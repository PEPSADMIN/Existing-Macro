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aring\JEGAN\MR\FOAM MR\"/>
    </mc:Choice>
  </mc:AlternateContent>
  <bookViews>
    <workbookView showHorizontalScroll="0" showVerticalScroll="0" xWindow="0" yWindow="0" windowWidth="20490" windowHeight="7755" firstSheet="12" activeTab="21"/>
  </bookViews>
  <sheets>
    <sheet name="ALL ITEM CODE" sheetId="29" r:id="rId1"/>
    <sheet name="MATTRESS DETAILS" sheetId="1" state="hidden" r:id="rId2"/>
    <sheet name="SIDE WALL FOAM WEIGHT DETAILS" sheetId="2" state="hidden" r:id="rId3"/>
    <sheet name="TOP FOAM WEIGHT DETAILS" sheetId="3" state="hidden" r:id="rId4"/>
    <sheet name="REBOUND WEIGHT DETAILS" sheetId="4" state="hidden" r:id="rId5"/>
    <sheet name="OVERALL WEIGHTS" sheetId="7" state="hidden" r:id="rId6"/>
    <sheet name="Sheet5" sheetId="76" state="hidden" r:id="rId7"/>
    <sheet name="Sheet1" sheetId="35" state="hidden" r:id="rId8"/>
    <sheet name="ALL NEW ITEM " sheetId="92" r:id="rId9"/>
    <sheet name="FORMULAS" sheetId="83" state="hidden" r:id="rId10"/>
    <sheet name="MASTER" sheetId="79" r:id="rId11"/>
    <sheet name="ALL ITEM CODE1" sheetId="85" r:id="rId12"/>
    <sheet name="Sheet3" sheetId="168" r:id="rId13"/>
    <sheet name="VARIETY" sheetId="25" r:id="rId14"/>
    <sheet name="INPUT" sheetId="6" r:id="rId15"/>
    <sheet name="STEP-1" sheetId="5" r:id="rId16"/>
    <sheet name="MANUAL MR PIVOT" sheetId="162" r:id="rId17"/>
    <sheet name="MANUAL MR" sheetId="20" r:id="rId18"/>
    <sheet name="Sheet6" sheetId="169" r:id="rId19"/>
    <sheet name="ERP MR PIVOT" sheetId="161" r:id="rId20"/>
    <sheet name="ERP MR" sheetId="93" r:id="rId21"/>
    <sheet name="Sheet9" sheetId="112" r:id="rId22"/>
    <sheet name="MR DETAILS" sheetId="164" r:id="rId23"/>
    <sheet name="Sheet2" sheetId="165" r:id="rId24"/>
    <sheet name="Sheet4" sheetId="167" r:id="rId25"/>
  </sheets>
  <definedNames>
    <definedName name="_xlnm._FilterDatabase" localSheetId="0" hidden="1">'ALL ITEM CODE'!$A$1:$J$852</definedName>
    <definedName name="_xlnm._FilterDatabase" localSheetId="11" hidden="1">'ALL ITEM CODE1'!$A$1:$AQ$463</definedName>
    <definedName name="_xlnm._FilterDatabase" localSheetId="8" hidden="1">'ALL NEW ITEM '!$A$2:$F$980</definedName>
    <definedName name="_xlnm._FilterDatabase" localSheetId="20" hidden="1">'ERP MR'!$B$1:$C$202</definedName>
    <definedName name="_xlnm._FilterDatabase" localSheetId="17" hidden="1">'MANUAL MR'!$A$1:$C$202</definedName>
    <definedName name="_xlnm._FilterDatabase" localSheetId="10" hidden="1">MASTER!$A$1:$O$1</definedName>
    <definedName name="_xlnm._FilterDatabase" localSheetId="5" hidden="1">'OVERALL WEIGHTS'!$A$1:$C$842</definedName>
    <definedName name="_xlnm._FilterDatabase" localSheetId="4" hidden="1">'REBOUND WEIGHT DETAILS'!$C$1:$D$145</definedName>
    <definedName name="_xlnm._FilterDatabase" localSheetId="2" hidden="1">'SIDE WALL FOAM WEIGHT DETAILS'!$C$2:$D$134</definedName>
    <definedName name="_xlnm._FilterDatabase" localSheetId="13" hidden="1">VARIETY!$A$1:$H$61</definedName>
  </definedNames>
  <calcPr calcId="162913"/>
  <pivotCaches>
    <pivotCache cacheId="3" r:id="rId26"/>
    <pivotCache cacheId="4" r:id="rId27"/>
    <pivotCache cacheId="11" r:id="rId28"/>
  </pivotCaches>
</workbook>
</file>

<file path=xl/calcChain.xml><?xml version="1.0" encoding="utf-8"?>
<calcChain xmlns="http://schemas.openxmlformats.org/spreadsheetml/2006/main">
  <c r="F980" i="92" l="1"/>
  <c r="F979" i="92"/>
  <c r="F978" i="92"/>
  <c r="F977" i="92"/>
  <c r="F976" i="92"/>
  <c r="F975" i="92"/>
  <c r="F974" i="92"/>
  <c r="F973" i="92"/>
  <c r="F972" i="92"/>
  <c r="F971" i="92"/>
  <c r="F970" i="92"/>
  <c r="F969" i="92"/>
  <c r="F968" i="92"/>
  <c r="F967" i="92"/>
  <c r="F966" i="92"/>
  <c r="F965" i="92"/>
  <c r="F964" i="92"/>
  <c r="F963" i="92"/>
  <c r="F962" i="92"/>
  <c r="F961" i="92"/>
  <c r="F960" i="92"/>
  <c r="F959" i="92"/>
  <c r="F958" i="92"/>
  <c r="F957" i="92"/>
  <c r="F956" i="92"/>
  <c r="F955" i="92"/>
  <c r="F954" i="92"/>
  <c r="F953" i="92"/>
  <c r="F952" i="92"/>
  <c r="F951" i="92"/>
  <c r="F950" i="92"/>
  <c r="F949" i="92"/>
  <c r="F948" i="92"/>
  <c r="F947" i="92"/>
  <c r="F946" i="92"/>
  <c r="F945" i="92"/>
  <c r="F944" i="92"/>
  <c r="F943" i="92"/>
  <c r="F942" i="92"/>
  <c r="F941" i="92"/>
  <c r="F940" i="92"/>
  <c r="F939" i="92"/>
  <c r="F938" i="92"/>
  <c r="F937" i="92"/>
  <c r="F936" i="92"/>
  <c r="F935" i="92"/>
  <c r="F934" i="92"/>
  <c r="F933" i="92"/>
  <c r="F926" i="92"/>
  <c r="F927" i="92"/>
  <c r="F928" i="92"/>
  <c r="F929" i="92"/>
  <c r="F930" i="92"/>
  <c r="F931" i="92"/>
  <c r="F932" i="92"/>
  <c r="Q51" i="5" l="1"/>
  <c r="AF51" i="5" s="1"/>
  <c r="C201" i="20" s="1"/>
  <c r="B51" i="5"/>
  <c r="A51" i="5"/>
  <c r="Q50" i="5"/>
  <c r="AD50" i="5" s="1"/>
  <c r="C196" i="20" s="1"/>
  <c r="B50" i="5"/>
  <c r="C50" i="5" s="1"/>
  <c r="D50" i="5" s="1"/>
  <c r="A50" i="5"/>
  <c r="Q49" i="5"/>
  <c r="AF49" i="5" s="1"/>
  <c r="C193" i="20" s="1"/>
  <c r="B49" i="5"/>
  <c r="A49" i="5"/>
  <c r="Q48" i="5"/>
  <c r="Z48" i="5" s="1"/>
  <c r="C186" i="20" s="1"/>
  <c r="B48" i="5"/>
  <c r="A48" i="5"/>
  <c r="Q47" i="5"/>
  <c r="AB47" i="5" s="1"/>
  <c r="C183" i="20" s="1"/>
  <c r="B47" i="5"/>
  <c r="A47" i="5"/>
  <c r="Q46" i="5"/>
  <c r="Z46" i="5" s="1"/>
  <c r="C178" i="20" s="1"/>
  <c r="B46" i="5"/>
  <c r="A46" i="5"/>
  <c r="Q45" i="5"/>
  <c r="AF45" i="5" s="1"/>
  <c r="C177" i="20" s="1"/>
  <c r="B45" i="5"/>
  <c r="A45" i="5"/>
  <c r="Q44" i="5"/>
  <c r="AB44" i="5" s="1"/>
  <c r="C171" i="20" s="1"/>
  <c r="B44" i="5"/>
  <c r="A44" i="5"/>
  <c r="Q43" i="5"/>
  <c r="Z43" i="5" s="1"/>
  <c r="C166" i="20" s="1"/>
  <c r="B43" i="5"/>
  <c r="A43" i="5"/>
  <c r="Q42" i="5"/>
  <c r="AF42" i="5" s="1"/>
  <c r="C165" i="20" s="1"/>
  <c r="B42" i="5"/>
  <c r="A42" i="5"/>
  <c r="Q41" i="5"/>
  <c r="AD41" i="5" s="1"/>
  <c r="C160" i="20" s="1"/>
  <c r="B41" i="5"/>
  <c r="C41" i="5" s="1"/>
  <c r="D41" i="5" s="1"/>
  <c r="A41" i="5"/>
  <c r="Q40" i="5"/>
  <c r="Z40" i="5" s="1"/>
  <c r="C154" i="20" s="1"/>
  <c r="B40" i="5"/>
  <c r="A40" i="5"/>
  <c r="Q39" i="5"/>
  <c r="AF39" i="5" s="1"/>
  <c r="C153" i="20" s="1"/>
  <c r="B39" i="5"/>
  <c r="A39" i="5"/>
  <c r="Q38" i="5"/>
  <c r="AD38" i="5" s="1"/>
  <c r="C148" i="20" s="1"/>
  <c r="B38" i="5"/>
  <c r="A38" i="5"/>
  <c r="Q37" i="5"/>
  <c r="AB37" i="5" s="1"/>
  <c r="C143" i="20" s="1"/>
  <c r="B37" i="5"/>
  <c r="C37" i="5" s="1"/>
  <c r="G37" i="5" s="1"/>
  <c r="A37" i="5"/>
  <c r="Q36" i="5"/>
  <c r="AB36" i="5" s="1"/>
  <c r="C139" i="20" s="1"/>
  <c r="B36" i="5"/>
  <c r="C36" i="5" s="1"/>
  <c r="D36" i="5" s="1"/>
  <c r="A36" i="5"/>
  <c r="Q35" i="5"/>
  <c r="AB35" i="5" s="1"/>
  <c r="C135" i="20" s="1"/>
  <c r="B35" i="5"/>
  <c r="A35" i="5"/>
  <c r="Q34" i="5"/>
  <c r="Z34" i="5" s="1"/>
  <c r="C130" i="20" s="1"/>
  <c r="B34" i="5"/>
  <c r="A34" i="5"/>
  <c r="Q33" i="5"/>
  <c r="AF33" i="5" s="1"/>
  <c r="C129" i="20" s="1"/>
  <c r="B33" i="5"/>
  <c r="A33" i="5"/>
  <c r="Q32" i="5"/>
  <c r="AD32" i="5" s="1"/>
  <c r="C124" i="20" s="1"/>
  <c r="B32" i="5"/>
  <c r="A32" i="5"/>
  <c r="Q31" i="5"/>
  <c r="Z31" i="5" s="1"/>
  <c r="C118" i="20" s="1"/>
  <c r="B31" i="5"/>
  <c r="A31" i="5"/>
  <c r="Q30" i="5"/>
  <c r="AF30" i="5" s="1"/>
  <c r="C117" i="20" s="1"/>
  <c r="B30" i="5"/>
  <c r="C30" i="5" s="1"/>
  <c r="G30" i="5" s="1"/>
  <c r="A30" i="5"/>
  <c r="Q29" i="5"/>
  <c r="AF29" i="5" s="1"/>
  <c r="C113" i="20" s="1"/>
  <c r="B29" i="5"/>
  <c r="A29" i="5"/>
  <c r="Q28" i="5"/>
  <c r="AF28" i="5" s="1"/>
  <c r="C109" i="20" s="1"/>
  <c r="B28" i="5"/>
  <c r="A28" i="5"/>
  <c r="Q27" i="5"/>
  <c r="AF27" i="5" s="1"/>
  <c r="C105" i="20" s="1"/>
  <c r="B27" i="5"/>
  <c r="A27" i="5"/>
  <c r="Q26" i="5"/>
  <c r="AD26" i="5" s="1"/>
  <c r="C100" i="20" s="1"/>
  <c r="B26" i="5"/>
  <c r="A26" i="5"/>
  <c r="Q25" i="5"/>
  <c r="Z25" i="5" s="1"/>
  <c r="C94" i="20" s="1"/>
  <c r="B25" i="5"/>
  <c r="C25" i="5" s="1"/>
  <c r="D25" i="5" s="1"/>
  <c r="A25" i="5"/>
  <c r="Q24" i="5"/>
  <c r="AB24" i="5" s="1"/>
  <c r="C91" i="20" s="1"/>
  <c r="B24" i="5"/>
  <c r="A24" i="5"/>
  <c r="Q23" i="5"/>
  <c r="AF23" i="5" s="1"/>
  <c r="C89" i="20" s="1"/>
  <c r="B23" i="5"/>
  <c r="A23" i="5"/>
  <c r="Q22" i="5"/>
  <c r="AF22" i="5" s="1"/>
  <c r="C85" i="20" s="1"/>
  <c r="B22" i="5"/>
  <c r="A22" i="5"/>
  <c r="Q21" i="5"/>
  <c r="AD21" i="5" s="1"/>
  <c r="C80" i="20" s="1"/>
  <c r="B21" i="5"/>
  <c r="C21" i="5" s="1"/>
  <c r="D21" i="5" s="1"/>
  <c r="A21" i="5"/>
  <c r="Q20" i="5"/>
  <c r="AD20" i="5" s="1"/>
  <c r="C76" i="20" s="1"/>
  <c r="B20" i="5"/>
  <c r="C20" i="5" s="1"/>
  <c r="A20" i="5"/>
  <c r="Q19" i="5"/>
  <c r="AB19" i="5" s="1"/>
  <c r="C71" i="20" s="1"/>
  <c r="B19" i="5"/>
  <c r="A19" i="5"/>
  <c r="Q18" i="5"/>
  <c r="Z18" i="5" s="1"/>
  <c r="C66" i="20" s="1"/>
  <c r="B18" i="5"/>
  <c r="A18" i="5"/>
  <c r="Q17" i="5"/>
  <c r="AF17" i="5" s="1"/>
  <c r="C65" i="20" s="1"/>
  <c r="B17" i="5"/>
  <c r="A17" i="5"/>
  <c r="Q16" i="5"/>
  <c r="Z16" i="5" s="1"/>
  <c r="C58" i="20" s="1"/>
  <c r="B16" i="5"/>
  <c r="A16" i="5"/>
  <c r="Q15" i="5"/>
  <c r="AB15" i="5" s="1"/>
  <c r="C55" i="20" s="1"/>
  <c r="B15" i="5"/>
  <c r="C15" i="5" s="1"/>
  <c r="D15" i="5" s="1"/>
  <c r="A15" i="5"/>
  <c r="Q14" i="5"/>
  <c r="AB14" i="5" s="1"/>
  <c r="C51" i="20" s="1"/>
  <c r="B14" i="5"/>
  <c r="A14" i="5"/>
  <c r="Q13" i="5"/>
  <c r="Z13" i="5" s="1"/>
  <c r="C46" i="20" s="1"/>
  <c r="B13" i="5"/>
  <c r="A13" i="5"/>
  <c r="Q12" i="5"/>
  <c r="AF12" i="5" s="1"/>
  <c r="C45" i="20" s="1"/>
  <c r="B12" i="5"/>
  <c r="C12" i="5" s="1"/>
  <c r="G12" i="5" s="1"/>
  <c r="A12" i="5"/>
  <c r="Q11" i="5"/>
  <c r="AD11" i="5" s="1"/>
  <c r="C40" i="20" s="1"/>
  <c r="B11" i="5"/>
  <c r="C11" i="5" s="1"/>
  <c r="A11" i="5"/>
  <c r="Q10" i="5"/>
  <c r="AF10" i="5" s="1"/>
  <c r="C37" i="20" s="1"/>
  <c r="B10" i="5"/>
  <c r="A10" i="5"/>
  <c r="Q9" i="5"/>
  <c r="AD9" i="5" s="1"/>
  <c r="C32" i="20" s="1"/>
  <c r="B9" i="5"/>
  <c r="A9" i="5"/>
  <c r="Q8" i="5"/>
  <c r="Z8" i="5" s="1"/>
  <c r="C26" i="20" s="1"/>
  <c r="B8" i="5"/>
  <c r="A8" i="5"/>
  <c r="Q7" i="5"/>
  <c r="AF7" i="5" s="1"/>
  <c r="C25" i="20" s="1"/>
  <c r="B7" i="5"/>
  <c r="C7" i="5" s="1"/>
  <c r="D7" i="5" s="1"/>
  <c r="E7" i="5" s="1"/>
  <c r="A7" i="5"/>
  <c r="Q6" i="5"/>
  <c r="AF6" i="5" s="1"/>
  <c r="C21" i="20" s="1"/>
  <c r="B6" i="5"/>
  <c r="A6" i="5"/>
  <c r="Q5" i="5"/>
  <c r="AF5" i="5" s="1"/>
  <c r="C17" i="20" s="1"/>
  <c r="B5" i="5"/>
  <c r="C5" i="5" s="1"/>
  <c r="A5" i="5"/>
  <c r="Q4" i="5"/>
  <c r="Z4" i="5" s="1"/>
  <c r="C10" i="20" s="1"/>
  <c r="B4" i="5"/>
  <c r="C4" i="5" s="1"/>
  <c r="G4" i="5" s="1"/>
  <c r="A4" i="5"/>
  <c r="Q3" i="5"/>
  <c r="AD3" i="5" s="1"/>
  <c r="C8" i="20" s="1"/>
  <c r="B3" i="5"/>
  <c r="A3" i="5"/>
  <c r="Q2" i="5"/>
  <c r="AD2" i="5" s="1"/>
  <c r="C4" i="20" s="1"/>
  <c r="B2" i="5"/>
  <c r="A2" i="5"/>
  <c r="AD463" i="85"/>
  <c r="AF463" i="85" s="1"/>
  <c r="AD462" i="85"/>
  <c r="AF462" i="85" s="1"/>
  <c r="AD461" i="85"/>
  <c r="AF461" i="85" s="1"/>
  <c r="AD460" i="85"/>
  <c r="AF460" i="85" s="1"/>
  <c r="AD459" i="85"/>
  <c r="AF459" i="85" s="1"/>
  <c r="AD458" i="85"/>
  <c r="AF458" i="85" s="1"/>
  <c r="AD457" i="85"/>
  <c r="AF457" i="85" s="1"/>
  <c r="AD456" i="85"/>
  <c r="AF456" i="85" s="1"/>
  <c r="AD455" i="85"/>
  <c r="AF455" i="85" s="1"/>
  <c r="AD454" i="85"/>
  <c r="AF454" i="85" s="1"/>
  <c r="AD453" i="85"/>
  <c r="AF453" i="85" s="1"/>
  <c r="AD452" i="85"/>
  <c r="AF452" i="85" s="1"/>
  <c r="AD451" i="85"/>
  <c r="AF451" i="85" s="1"/>
  <c r="AD450" i="85"/>
  <c r="AF450" i="85" s="1"/>
  <c r="AD449" i="85"/>
  <c r="AF449" i="85" s="1"/>
  <c r="AD448" i="85"/>
  <c r="AF448" i="85" s="1"/>
  <c r="AD447" i="85"/>
  <c r="AF447" i="85" s="1"/>
  <c r="AD446" i="85"/>
  <c r="AF446" i="85" s="1"/>
  <c r="AD445" i="85"/>
  <c r="AF445" i="85" s="1"/>
  <c r="AD444" i="85"/>
  <c r="AF444" i="85" s="1"/>
  <c r="AD443" i="85"/>
  <c r="AF443" i="85" s="1"/>
  <c r="AD442" i="85"/>
  <c r="AF442" i="85" s="1"/>
  <c r="AD441" i="85"/>
  <c r="AF441" i="85" s="1"/>
  <c r="AD440" i="85"/>
  <c r="AF440" i="85" s="1"/>
  <c r="AD439" i="85"/>
  <c r="AF439" i="85" s="1"/>
  <c r="AD438" i="85"/>
  <c r="AF438" i="85" s="1"/>
  <c r="AD437" i="85"/>
  <c r="AF437" i="85" s="1"/>
  <c r="AD436" i="85"/>
  <c r="AF436" i="85" s="1"/>
  <c r="AD435" i="85"/>
  <c r="AF435" i="85" s="1"/>
  <c r="AD434" i="85"/>
  <c r="AF434" i="85" s="1"/>
  <c r="AD433" i="85"/>
  <c r="AF433" i="85" s="1"/>
  <c r="AD432" i="85"/>
  <c r="AF432" i="85" s="1"/>
  <c r="AD431" i="85"/>
  <c r="AF431" i="85" s="1"/>
  <c r="AD430" i="85"/>
  <c r="AF430" i="85" s="1"/>
  <c r="AD429" i="85"/>
  <c r="AF429" i="85" s="1"/>
  <c r="AD428" i="85"/>
  <c r="AF428" i="85" s="1"/>
  <c r="AD427" i="85"/>
  <c r="AF427" i="85" s="1"/>
  <c r="AD426" i="85"/>
  <c r="AF426" i="85" s="1"/>
  <c r="AD425" i="85"/>
  <c r="AF425" i="85" s="1"/>
  <c r="AD424" i="85"/>
  <c r="AF424" i="85" s="1"/>
  <c r="AD423" i="85"/>
  <c r="AF423" i="85" s="1"/>
  <c r="AD422" i="85"/>
  <c r="AF422" i="85" s="1"/>
  <c r="AD421" i="85"/>
  <c r="AF421" i="85" s="1"/>
  <c r="AD420" i="85"/>
  <c r="AF420" i="85" s="1"/>
  <c r="AD419" i="85"/>
  <c r="AF419" i="85" s="1"/>
  <c r="AD418" i="85"/>
  <c r="AF418" i="85" s="1"/>
  <c r="AD417" i="85"/>
  <c r="AF417" i="85" s="1"/>
  <c r="AD416" i="85"/>
  <c r="AF416" i="85" s="1"/>
  <c r="AD415" i="85"/>
  <c r="AF415" i="85" s="1"/>
  <c r="AD414" i="85"/>
  <c r="AF414" i="85" s="1"/>
  <c r="AD413" i="85"/>
  <c r="AF413" i="85" s="1"/>
  <c r="AD412" i="85"/>
  <c r="AF412" i="85" s="1"/>
  <c r="AD411" i="85"/>
  <c r="AF411" i="85" s="1"/>
  <c r="AD410" i="85"/>
  <c r="AF410" i="85" s="1"/>
  <c r="AD409" i="85"/>
  <c r="AF409" i="85" s="1"/>
  <c r="AD408" i="85"/>
  <c r="AF408" i="85" s="1"/>
  <c r="AD407" i="85"/>
  <c r="AF407" i="85" s="1"/>
  <c r="AD406" i="85"/>
  <c r="AF406" i="85" s="1"/>
  <c r="AD405" i="85"/>
  <c r="AF405" i="85" s="1"/>
  <c r="AD404" i="85"/>
  <c r="AF404" i="85" s="1"/>
  <c r="AD403" i="85"/>
  <c r="AF403" i="85" s="1"/>
  <c r="AD402" i="85"/>
  <c r="AF402" i="85" s="1"/>
  <c r="AD401" i="85"/>
  <c r="AF401" i="85" s="1"/>
  <c r="AD400" i="85"/>
  <c r="AF400" i="85" s="1"/>
  <c r="AD399" i="85"/>
  <c r="AF399" i="85" s="1"/>
  <c r="AD398" i="85"/>
  <c r="AF398" i="85" s="1"/>
  <c r="AD397" i="85"/>
  <c r="AF397" i="85" s="1"/>
  <c r="AD396" i="85"/>
  <c r="AF396" i="85" s="1"/>
  <c r="AD395" i="85"/>
  <c r="AF395" i="85" s="1"/>
  <c r="AD394" i="85"/>
  <c r="AF394" i="85" s="1"/>
  <c r="AD393" i="85"/>
  <c r="AF393" i="85" s="1"/>
  <c r="AD392" i="85"/>
  <c r="AF392" i="85" s="1"/>
  <c r="AD391" i="85"/>
  <c r="AF391" i="85" s="1"/>
  <c r="AD390" i="85"/>
  <c r="AF390" i="85" s="1"/>
  <c r="AD389" i="85"/>
  <c r="AF389" i="85" s="1"/>
  <c r="AD388" i="85"/>
  <c r="AF388" i="85" s="1"/>
  <c r="AD387" i="85"/>
  <c r="AF387" i="85" s="1"/>
  <c r="AD386" i="85"/>
  <c r="AF386" i="85" s="1"/>
  <c r="AD385" i="85"/>
  <c r="AF385" i="85" s="1"/>
  <c r="AD384" i="85"/>
  <c r="AF384" i="85" s="1"/>
  <c r="AD383" i="85"/>
  <c r="AF383" i="85" s="1"/>
  <c r="AD382" i="85"/>
  <c r="AF382" i="85" s="1"/>
  <c r="AD381" i="85"/>
  <c r="AF381" i="85" s="1"/>
  <c r="AD380" i="85"/>
  <c r="AF380" i="85" s="1"/>
  <c r="AD379" i="85"/>
  <c r="AF379" i="85" s="1"/>
  <c r="AD378" i="85"/>
  <c r="AF378" i="85" s="1"/>
  <c r="AD377" i="85"/>
  <c r="AF377" i="85" s="1"/>
  <c r="AD376" i="85"/>
  <c r="AF376" i="85" s="1"/>
  <c r="AD375" i="85"/>
  <c r="AF375" i="85" s="1"/>
  <c r="AD374" i="85"/>
  <c r="AF374" i="85" s="1"/>
  <c r="AD373" i="85"/>
  <c r="AF373" i="85" s="1"/>
  <c r="AD372" i="85"/>
  <c r="AF372" i="85" s="1"/>
  <c r="AD371" i="85"/>
  <c r="AF371" i="85" s="1"/>
  <c r="AD370" i="85"/>
  <c r="AF370" i="85" s="1"/>
  <c r="AD369" i="85"/>
  <c r="AF369" i="85" s="1"/>
  <c r="AD368" i="85"/>
  <c r="AF368" i="85" s="1"/>
  <c r="AD367" i="85"/>
  <c r="AF367" i="85" s="1"/>
  <c r="AD366" i="85"/>
  <c r="AF366" i="85" s="1"/>
  <c r="AD365" i="85"/>
  <c r="AF365" i="85" s="1"/>
  <c r="AD364" i="85"/>
  <c r="AF364" i="85" s="1"/>
  <c r="AD363" i="85"/>
  <c r="AF363" i="85" s="1"/>
  <c r="AD362" i="85"/>
  <c r="AF362" i="85" s="1"/>
  <c r="AD361" i="85"/>
  <c r="AF361" i="85" s="1"/>
  <c r="AD360" i="85"/>
  <c r="AF360" i="85" s="1"/>
  <c r="AD359" i="85"/>
  <c r="AF359" i="85" s="1"/>
  <c r="AD358" i="85"/>
  <c r="AF358" i="85" s="1"/>
  <c r="AD357" i="85"/>
  <c r="AF357" i="85" s="1"/>
  <c r="AD356" i="85"/>
  <c r="AF356" i="85" s="1"/>
  <c r="AD355" i="85"/>
  <c r="AF355" i="85" s="1"/>
  <c r="AD354" i="85"/>
  <c r="AF354" i="85" s="1"/>
  <c r="AD353" i="85"/>
  <c r="AF353" i="85" s="1"/>
  <c r="AD352" i="85"/>
  <c r="AF352" i="85" s="1"/>
  <c r="AD351" i="85"/>
  <c r="AF351" i="85" s="1"/>
  <c r="AD350" i="85"/>
  <c r="AF350" i="85" s="1"/>
  <c r="AD349" i="85"/>
  <c r="AF349" i="85" s="1"/>
  <c r="AD348" i="85"/>
  <c r="AF348" i="85" s="1"/>
  <c r="AD347" i="85"/>
  <c r="AF347" i="85" s="1"/>
  <c r="AD346" i="85"/>
  <c r="AF346" i="85" s="1"/>
  <c r="AD345" i="85"/>
  <c r="AF345" i="85" s="1"/>
  <c r="AD344" i="85"/>
  <c r="AF344" i="85" s="1"/>
  <c r="AD343" i="85"/>
  <c r="AF343" i="85" s="1"/>
  <c r="AD342" i="85"/>
  <c r="AF342" i="85" s="1"/>
  <c r="AD341" i="85"/>
  <c r="AF341" i="85" s="1"/>
  <c r="AD340" i="85"/>
  <c r="AF340" i="85" s="1"/>
  <c r="AD339" i="85"/>
  <c r="AF339" i="85" s="1"/>
  <c r="AD338" i="85"/>
  <c r="AF338" i="85" s="1"/>
  <c r="AD337" i="85"/>
  <c r="AF337" i="85" s="1"/>
  <c r="AD336" i="85"/>
  <c r="AF336" i="85" s="1"/>
  <c r="AD335" i="85"/>
  <c r="AF335" i="85" s="1"/>
  <c r="AD334" i="85"/>
  <c r="AF334" i="85" s="1"/>
  <c r="AD333" i="85"/>
  <c r="AF333" i="85" s="1"/>
  <c r="AD332" i="85"/>
  <c r="AF332" i="85" s="1"/>
  <c r="AD331" i="85"/>
  <c r="AF331" i="85" s="1"/>
  <c r="AD330" i="85"/>
  <c r="AF330" i="85" s="1"/>
  <c r="AD329" i="85"/>
  <c r="AF329" i="85" s="1"/>
  <c r="AD328" i="85"/>
  <c r="AF328" i="85" s="1"/>
  <c r="AD327" i="85"/>
  <c r="AF327" i="85" s="1"/>
  <c r="AD326" i="85"/>
  <c r="AF326" i="85" s="1"/>
  <c r="AD325" i="85"/>
  <c r="AF325" i="85" s="1"/>
  <c r="AD324" i="85"/>
  <c r="AF324" i="85" s="1"/>
  <c r="AD323" i="85"/>
  <c r="AF323" i="85" s="1"/>
  <c r="AD322" i="85"/>
  <c r="AF322" i="85" s="1"/>
  <c r="AD321" i="85"/>
  <c r="AF321" i="85" s="1"/>
  <c r="AD320" i="85"/>
  <c r="AF320" i="85" s="1"/>
  <c r="AD319" i="85"/>
  <c r="AF319" i="85" s="1"/>
  <c r="AD318" i="85"/>
  <c r="AF318" i="85" s="1"/>
  <c r="AD317" i="85"/>
  <c r="AF317" i="85" s="1"/>
  <c r="AD316" i="85"/>
  <c r="AF316" i="85" s="1"/>
  <c r="AD315" i="85"/>
  <c r="AF315" i="85" s="1"/>
  <c r="AD314" i="85"/>
  <c r="AF314" i="85" s="1"/>
  <c r="AD313" i="85"/>
  <c r="AF313" i="85" s="1"/>
  <c r="AD312" i="85"/>
  <c r="AF312" i="85" s="1"/>
  <c r="AD311" i="85"/>
  <c r="AF311" i="85" s="1"/>
  <c r="AD310" i="85"/>
  <c r="AF310" i="85" s="1"/>
  <c r="AD309" i="85"/>
  <c r="AF309" i="85" s="1"/>
  <c r="AD308" i="85"/>
  <c r="AF308" i="85" s="1"/>
  <c r="AD307" i="85"/>
  <c r="AF307" i="85" s="1"/>
  <c r="AD306" i="85"/>
  <c r="AF306" i="85" s="1"/>
  <c r="AD305" i="85"/>
  <c r="AF305" i="85" s="1"/>
  <c r="AD304" i="85"/>
  <c r="AF304" i="85" s="1"/>
  <c r="AD303" i="85"/>
  <c r="AF303" i="85" s="1"/>
  <c r="AF302" i="85"/>
  <c r="AD302" i="85"/>
  <c r="AD301" i="85"/>
  <c r="AF301" i="85" s="1"/>
  <c r="AD300" i="85"/>
  <c r="AF300" i="85" s="1"/>
  <c r="AD299" i="85"/>
  <c r="AF299" i="85" s="1"/>
  <c r="AD298" i="85"/>
  <c r="AF298" i="85" s="1"/>
  <c r="AD297" i="85"/>
  <c r="AF297" i="85" s="1"/>
  <c r="AD296" i="85"/>
  <c r="AF296" i="85" s="1"/>
  <c r="AD295" i="85"/>
  <c r="AF295" i="85" s="1"/>
  <c r="AD294" i="85"/>
  <c r="AF294" i="85" s="1"/>
  <c r="AD293" i="85"/>
  <c r="AF293" i="85" s="1"/>
  <c r="AD292" i="85"/>
  <c r="AF292" i="85" s="1"/>
  <c r="AD291" i="85"/>
  <c r="AF291" i="85" s="1"/>
  <c r="AD290" i="85"/>
  <c r="AF290" i="85" s="1"/>
  <c r="AD289" i="85"/>
  <c r="AF289" i="85" s="1"/>
  <c r="AD288" i="85"/>
  <c r="AF288" i="85" s="1"/>
  <c r="AD287" i="85"/>
  <c r="AF287" i="85" s="1"/>
  <c r="AD286" i="85"/>
  <c r="AF286" i="85" s="1"/>
  <c r="AD285" i="85"/>
  <c r="AF285" i="85" s="1"/>
  <c r="AD284" i="85"/>
  <c r="AF284" i="85" s="1"/>
  <c r="AD283" i="85"/>
  <c r="AF283" i="85" s="1"/>
  <c r="AD282" i="85"/>
  <c r="AF282" i="85" s="1"/>
  <c r="AD281" i="85"/>
  <c r="AF281" i="85" s="1"/>
  <c r="AD280" i="85"/>
  <c r="AF280" i="85" s="1"/>
  <c r="AD279" i="85"/>
  <c r="AF279" i="85" s="1"/>
  <c r="AD278" i="85"/>
  <c r="AF278" i="85" s="1"/>
  <c r="AD277" i="85"/>
  <c r="AF277" i="85" s="1"/>
  <c r="AD276" i="85"/>
  <c r="AF276" i="85" s="1"/>
  <c r="AD275" i="85"/>
  <c r="AF275" i="85" s="1"/>
  <c r="AD274" i="85"/>
  <c r="AF274" i="85" s="1"/>
  <c r="AD273" i="85"/>
  <c r="AF273" i="85" s="1"/>
  <c r="AD272" i="85"/>
  <c r="AF272" i="85" s="1"/>
  <c r="AD271" i="85"/>
  <c r="AF271" i="85" s="1"/>
  <c r="AD270" i="85"/>
  <c r="AF270" i="85" s="1"/>
  <c r="AD269" i="85"/>
  <c r="AF269" i="85" s="1"/>
  <c r="AD268" i="85"/>
  <c r="AF268" i="85" s="1"/>
  <c r="AD267" i="85"/>
  <c r="AF267" i="85" s="1"/>
  <c r="AD266" i="85"/>
  <c r="AF266" i="85" s="1"/>
  <c r="AD265" i="85"/>
  <c r="AF265" i="85" s="1"/>
  <c r="AD264" i="85"/>
  <c r="AF264" i="85" s="1"/>
  <c r="AD263" i="85"/>
  <c r="AF263" i="85" s="1"/>
  <c r="AD262" i="85"/>
  <c r="AF262" i="85" s="1"/>
  <c r="AD261" i="85"/>
  <c r="AF261" i="85" s="1"/>
  <c r="AD260" i="85"/>
  <c r="AF260" i="85" s="1"/>
  <c r="AD259" i="85"/>
  <c r="AF259" i="85" s="1"/>
  <c r="AD258" i="85"/>
  <c r="AF258" i="85" s="1"/>
  <c r="AD257" i="85"/>
  <c r="AF257" i="85" s="1"/>
  <c r="AD256" i="85"/>
  <c r="AF256" i="85" s="1"/>
  <c r="S256" i="85"/>
  <c r="AD255" i="85"/>
  <c r="AF255" i="85" s="1"/>
  <c r="S255" i="85"/>
  <c r="AD254" i="85"/>
  <c r="AF254" i="85" s="1"/>
  <c r="S254" i="85"/>
  <c r="AD253" i="85"/>
  <c r="AF253" i="85" s="1"/>
  <c r="S253" i="85"/>
  <c r="AD252" i="85"/>
  <c r="AF252" i="85" s="1"/>
  <c r="S252" i="85"/>
  <c r="AD251" i="85"/>
  <c r="AF251" i="85" s="1"/>
  <c r="S251" i="85"/>
  <c r="AD250" i="85"/>
  <c r="AF250" i="85" s="1"/>
  <c r="S250" i="85"/>
  <c r="AD249" i="85"/>
  <c r="AF249" i="85" s="1"/>
  <c r="S249" i="85"/>
  <c r="AD248" i="85"/>
  <c r="AF248" i="85" s="1"/>
  <c r="S248" i="85"/>
  <c r="AD247" i="85"/>
  <c r="AF247" i="85" s="1"/>
  <c r="S247" i="85"/>
  <c r="AD246" i="85"/>
  <c r="AF246" i="85" s="1"/>
  <c r="S246" i="85"/>
  <c r="AD245" i="85"/>
  <c r="AF245" i="85" s="1"/>
  <c r="S245" i="85"/>
  <c r="AD244" i="85"/>
  <c r="AF244" i="85" s="1"/>
  <c r="S244" i="85"/>
  <c r="AD243" i="85"/>
  <c r="AF243" i="85" s="1"/>
  <c r="S243" i="85"/>
  <c r="AD242" i="85"/>
  <c r="AF242" i="85" s="1"/>
  <c r="S242" i="85"/>
  <c r="AF241" i="85"/>
  <c r="AD241" i="85"/>
  <c r="S241" i="85"/>
  <c r="AD240" i="85"/>
  <c r="AF240" i="85" s="1"/>
  <c r="S240" i="85"/>
  <c r="AD239" i="85"/>
  <c r="AE239" i="85" s="1"/>
  <c r="S239" i="85"/>
  <c r="U239" i="85" s="1"/>
  <c r="AD238" i="85"/>
  <c r="AF238" i="85" s="1"/>
  <c r="S238" i="85"/>
  <c r="U238" i="85" s="1"/>
  <c r="AD237" i="85"/>
  <c r="AF237" i="85" s="1"/>
  <c r="S237" i="85"/>
  <c r="U237" i="85" s="1"/>
  <c r="AD236" i="85"/>
  <c r="AF236" i="85" s="1"/>
  <c r="S236" i="85"/>
  <c r="U236" i="85" s="1"/>
  <c r="AD235" i="85"/>
  <c r="AF235" i="85" s="1"/>
  <c r="S235" i="85"/>
  <c r="U235" i="85" s="1"/>
  <c r="AD234" i="85"/>
  <c r="AF234" i="85" s="1"/>
  <c r="S234" i="85"/>
  <c r="U234" i="85" s="1"/>
  <c r="AD233" i="85"/>
  <c r="AF233" i="85" s="1"/>
  <c r="S233" i="85"/>
  <c r="U233" i="85" s="1"/>
  <c r="AD232" i="85"/>
  <c r="AF232" i="85" s="1"/>
  <c r="S232" i="85"/>
  <c r="U232" i="85" s="1"/>
  <c r="AD231" i="85"/>
  <c r="AF231" i="85" s="1"/>
  <c r="S231" i="85"/>
  <c r="U231" i="85" s="1"/>
  <c r="AD230" i="85"/>
  <c r="AF230" i="85" s="1"/>
  <c r="S230" i="85"/>
  <c r="U230" i="85" s="1"/>
  <c r="AD229" i="85"/>
  <c r="AF229" i="85" s="1"/>
  <c r="S229" i="85"/>
  <c r="U229" i="85" s="1"/>
  <c r="AD228" i="85"/>
  <c r="AF228" i="85" s="1"/>
  <c r="S228" i="85"/>
  <c r="U228" i="85" s="1"/>
  <c r="AD227" i="85"/>
  <c r="AF227" i="85" s="1"/>
  <c r="S227" i="85"/>
  <c r="U227" i="85" s="1"/>
  <c r="AD226" i="85"/>
  <c r="AF226" i="85" s="1"/>
  <c r="S226" i="85"/>
  <c r="U226" i="85" s="1"/>
  <c r="AD225" i="85"/>
  <c r="AF225" i="85" s="1"/>
  <c r="S225" i="85"/>
  <c r="U225" i="85" s="1"/>
  <c r="AD224" i="85"/>
  <c r="AF224" i="85" s="1"/>
  <c r="S224" i="85"/>
  <c r="U224" i="85" s="1"/>
  <c r="AD223" i="85"/>
  <c r="AF223" i="85" s="1"/>
  <c r="S223" i="85"/>
  <c r="U223" i="85" s="1"/>
  <c r="AD222" i="85"/>
  <c r="AF222" i="85" s="1"/>
  <c r="S222" i="85"/>
  <c r="U222" i="85" s="1"/>
  <c r="AD221" i="85"/>
  <c r="AF221" i="85" s="1"/>
  <c r="S221" i="85"/>
  <c r="U221" i="85" s="1"/>
  <c r="AD220" i="85"/>
  <c r="AF220" i="85" s="1"/>
  <c r="S220" i="85"/>
  <c r="U220" i="85" s="1"/>
  <c r="AD219" i="85"/>
  <c r="AF219" i="85" s="1"/>
  <c r="S219" i="85"/>
  <c r="U219" i="85" s="1"/>
  <c r="AD218" i="85"/>
  <c r="AF218" i="85" s="1"/>
  <c r="S218" i="85"/>
  <c r="U218" i="85" s="1"/>
  <c r="AD217" i="85"/>
  <c r="AF217" i="85" s="1"/>
  <c r="S217" i="85"/>
  <c r="U217" i="85" s="1"/>
  <c r="AD216" i="85"/>
  <c r="AF216" i="85" s="1"/>
  <c r="S216" i="85"/>
  <c r="U216" i="85" s="1"/>
  <c r="AD215" i="85"/>
  <c r="AF215" i="85" s="1"/>
  <c r="S215" i="85"/>
  <c r="U215" i="85" s="1"/>
  <c r="AD214" i="85"/>
  <c r="AF214" i="85" s="1"/>
  <c r="S214" i="85"/>
  <c r="U214" i="85" s="1"/>
  <c r="AD213" i="85"/>
  <c r="AF213" i="85" s="1"/>
  <c r="S213" i="85"/>
  <c r="U213" i="85" s="1"/>
  <c r="AD212" i="85"/>
  <c r="AF212" i="85" s="1"/>
  <c r="S212" i="85"/>
  <c r="U212" i="85" s="1"/>
  <c r="AD211" i="85"/>
  <c r="AF211" i="85" s="1"/>
  <c r="S211" i="85"/>
  <c r="U211" i="85" s="1"/>
  <c r="AD210" i="85"/>
  <c r="AF210" i="85" s="1"/>
  <c r="S210" i="85"/>
  <c r="U210" i="85" s="1"/>
  <c r="AD209" i="85"/>
  <c r="AF209" i="85" s="1"/>
  <c r="S209" i="85"/>
  <c r="U209" i="85" s="1"/>
  <c r="AD208" i="85"/>
  <c r="AF208" i="85" s="1"/>
  <c r="S208" i="85"/>
  <c r="U208" i="85" s="1"/>
  <c r="AD207" i="85"/>
  <c r="AF207" i="85" s="1"/>
  <c r="S207" i="85"/>
  <c r="U207" i="85" s="1"/>
  <c r="AD206" i="85"/>
  <c r="AF206" i="85" s="1"/>
  <c r="S206" i="85"/>
  <c r="U206" i="85" s="1"/>
  <c r="AD205" i="85"/>
  <c r="AF205" i="85" s="1"/>
  <c r="S205" i="85"/>
  <c r="U205" i="85" s="1"/>
  <c r="AD204" i="85"/>
  <c r="AF204" i="85" s="1"/>
  <c r="S204" i="85"/>
  <c r="U204" i="85" s="1"/>
  <c r="AD203" i="85"/>
  <c r="AF203" i="85" s="1"/>
  <c r="S203" i="85"/>
  <c r="U203" i="85" s="1"/>
  <c r="AD202" i="85"/>
  <c r="AF202" i="85" s="1"/>
  <c r="S202" i="85"/>
  <c r="U202" i="85" s="1"/>
  <c r="AD201" i="85"/>
  <c r="AF201" i="85" s="1"/>
  <c r="S201" i="85"/>
  <c r="U201" i="85" s="1"/>
  <c r="AD200" i="85"/>
  <c r="AF200" i="85" s="1"/>
  <c r="S200" i="85"/>
  <c r="U200" i="85" s="1"/>
  <c r="AD199" i="85"/>
  <c r="AF199" i="85" s="1"/>
  <c r="S199" i="85"/>
  <c r="U199" i="85" s="1"/>
  <c r="AD198" i="85"/>
  <c r="AF198" i="85" s="1"/>
  <c r="S198" i="85"/>
  <c r="U198" i="85" s="1"/>
  <c r="AD197" i="85"/>
  <c r="AF197" i="85" s="1"/>
  <c r="S197" i="85"/>
  <c r="U197" i="85" s="1"/>
  <c r="AD196" i="85"/>
  <c r="AF196" i="85" s="1"/>
  <c r="S196" i="85"/>
  <c r="U196" i="85" s="1"/>
  <c r="AD195" i="85"/>
  <c r="AF195" i="85" s="1"/>
  <c r="S195" i="85"/>
  <c r="U195" i="85" s="1"/>
  <c r="AD194" i="85"/>
  <c r="AF194" i="85" s="1"/>
  <c r="S194" i="85"/>
  <c r="U194" i="85" s="1"/>
  <c r="AD193" i="85"/>
  <c r="AF193" i="85" s="1"/>
  <c r="S193" i="85"/>
  <c r="U193" i="85" s="1"/>
  <c r="AD192" i="85"/>
  <c r="AF192" i="85" s="1"/>
  <c r="S192" i="85"/>
  <c r="U192" i="85" s="1"/>
  <c r="AD191" i="85"/>
  <c r="AF191" i="85" s="1"/>
  <c r="S191" i="85"/>
  <c r="U191" i="85" s="1"/>
  <c r="AD190" i="85"/>
  <c r="AF190" i="85" s="1"/>
  <c r="S190" i="85"/>
  <c r="U190" i="85" s="1"/>
  <c r="AD189" i="85"/>
  <c r="AF189" i="85" s="1"/>
  <c r="S189" i="85"/>
  <c r="U189" i="85" s="1"/>
  <c r="AD188" i="85"/>
  <c r="AF188" i="85" s="1"/>
  <c r="S188" i="85"/>
  <c r="U188" i="85" s="1"/>
  <c r="AD187" i="85"/>
  <c r="AF187" i="85" s="1"/>
  <c r="S187" i="85"/>
  <c r="U187" i="85" s="1"/>
  <c r="AD186" i="85"/>
  <c r="AF186" i="85" s="1"/>
  <c r="S186" i="85"/>
  <c r="U186" i="85" s="1"/>
  <c r="AD185" i="85"/>
  <c r="AF185" i="85" s="1"/>
  <c r="S185" i="85"/>
  <c r="U185" i="85" s="1"/>
  <c r="AD184" i="85"/>
  <c r="AF184" i="85" s="1"/>
  <c r="S184" i="85"/>
  <c r="U184" i="85" s="1"/>
  <c r="AD183" i="85"/>
  <c r="AF183" i="85" s="1"/>
  <c r="S183" i="85"/>
  <c r="U183" i="85" s="1"/>
  <c r="AD182" i="85"/>
  <c r="AF182" i="85" s="1"/>
  <c r="S182" i="85"/>
  <c r="U182" i="85" s="1"/>
  <c r="AD181" i="85"/>
  <c r="AF181" i="85" s="1"/>
  <c r="S181" i="85"/>
  <c r="U181" i="85" s="1"/>
  <c r="AD180" i="85"/>
  <c r="AF180" i="85" s="1"/>
  <c r="S180" i="85"/>
  <c r="U180" i="85" s="1"/>
  <c r="AD179" i="85"/>
  <c r="AF179" i="85" s="1"/>
  <c r="S179" i="85"/>
  <c r="U179" i="85" s="1"/>
  <c r="AD178" i="85"/>
  <c r="AF178" i="85" s="1"/>
  <c r="S178" i="85"/>
  <c r="U178" i="85" s="1"/>
  <c r="AD177" i="85"/>
  <c r="AF177" i="85" s="1"/>
  <c r="S177" i="85"/>
  <c r="U177" i="85" s="1"/>
  <c r="AD176" i="85"/>
  <c r="AF176" i="85" s="1"/>
  <c r="S176" i="85"/>
  <c r="U176" i="85" s="1"/>
  <c r="AD175" i="85"/>
  <c r="AF175" i="85" s="1"/>
  <c r="S175" i="85"/>
  <c r="U175" i="85" s="1"/>
  <c r="AD174" i="85"/>
  <c r="AF174" i="85" s="1"/>
  <c r="S174" i="85"/>
  <c r="U174" i="85" s="1"/>
  <c r="AD173" i="85"/>
  <c r="AF173" i="85" s="1"/>
  <c r="S173" i="85"/>
  <c r="U173" i="85" s="1"/>
  <c r="AD172" i="85"/>
  <c r="AF172" i="85" s="1"/>
  <c r="S172" i="85"/>
  <c r="U172" i="85" s="1"/>
  <c r="AD171" i="85"/>
  <c r="AF171" i="85" s="1"/>
  <c r="S171" i="85"/>
  <c r="U171" i="85" s="1"/>
  <c r="AD170" i="85"/>
  <c r="AF170" i="85" s="1"/>
  <c r="S170" i="85"/>
  <c r="U170" i="85" s="1"/>
  <c r="AD169" i="85"/>
  <c r="AF169" i="85" s="1"/>
  <c r="U169" i="85"/>
  <c r="S169" i="85"/>
  <c r="AD168" i="85"/>
  <c r="AF168" i="85" s="1"/>
  <c r="S168" i="85"/>
  <c r="U168" i="85" s="1"/>
  <c r="AD167" i="85"/>
  <c r="AF167" i="85" s="1"/>
  <c r="S167" i="85"/>
  <c r="U167" i="85" s="1"/>
  <c r="AD166" i="85"/>
  <c r="AF166" i="85" s="1"/>
  <c r="S166" i="85"/>
  <c r="U166" i="85" s="1"/>
  <c r="AD165" i="85"/>
  <c r="AF165" i="85" s="1"/>
  <c r="U165" i="85"/>
  <c r="S165" i="85"/>
  <c r="AD164" i="85"/>
  <c r="AF164" i="85" s="1"/>
  <c r="S164" i="85"/>
  <c r="U164" i="85" s="1"/>
  <c r="AD163" i="85"/>
  <c r="AF163" i="85" s="1"/>
  <c r="S163" i="85"/>
  <c r="U163" i="85" s="1"/>
  <c r="AD162" i="85"/>
  <c r="AF162" i="85" s="1"/>
  <c r="S162" i="85"/>
  <c r="U162" i="85" s="1"/>
  <c r="AD161" i="85"/>
  <c r="AF161" i="85" s="1"/>
  <c r="U161" i="85"/>
  <c r="S161" i="85"/>
  <c r="AD160" i="85"/>
  <c r="AF160" i="85" s="1"/>
  <c r="S160" i="85"/>
  <c r="U160" i="85" s="1"/>
  <c r="AD159" i="85"/>
  <c r="AF159" i="85" s="1"/>
  <c r="S159" i="85"/>
  <c r="U159" i="85" s="1"/>
  <c r="AD158" i="85"/>
  <c r="AF158" i="85" s="1"/>
  <c r="S158" i="85"/>
  <c r="U158" i="85" s="1"/>
  <c r="AD157" i="85"/>
  <c r="AF157" i="85" s="1"/>
  <c r="U157" i="85"/>
  <c r="S157" i="85"/>
  <c r="AD156" i="85"/>
  <c r="AF156" i="85" s="1"/>
  <c r="S156" i="85"/>
  <c r="U156" i="85" s="1"/>
  <c r="AD155" i="85"/>
  <c r="AF155" i="85" s="1"/>
  <c r="S155" i="85"/>
  <c r="U155" i="85" s="1"/>
  <c r="AD154" i="85"/>
  <c r="AF154" i="85" s="1"/>
  <c r="S154" i="85"/>
  <c r="U154" i="85" s="1"/>
  <c r="AD153" i="85"/>
  <c r="AF153" i="85" s="1"/>
  <c r="U153" i="85"/>
  <c r="S153" i="85"/>
  <c r="AD152" i="85"/>
  <c r="AF152" i="85" s="1"/>
  <c r="S152" i="85"/>
  <c r="U152" i="85" s="1"/>
  <c r="AD151" i="85"/>
  <c r="AF151" i="85" s="1"/>
  <c r="S151" i="85"/>
  <c r="U151" i="85" s="1"/>
  <c r="AD150" i="85"/>
  <c r="AF150" i="85" s="1"/>
  <c r="S150" i="85"/>
  <c r="U150" i="85" s="1"/>
  <c r="AD149" i="85"/>
  <c r="AF149" i="85" s="1"/>
  <c r="U149" i="85"/>
  <c r="S149" i="85"/>
  <c r="AD148" i="85"/>
  <c r="AF148" i="85" s="1"/>
  <c r="S148" i="85"/>
  <c r="U148" i="85" s="1"/>
  <c r="AD147" i="85"/>
  <c r="AF147" i="85" s="1"/>
  <c r="S147" i="85"/>
  <c r="U147" i="85" s="1"/>
  <c r="AD146" i="85"/>
  <c r="AF146" i="85" s="1"/>
  <c r="S146" i="85"/>
  <c r="U146" i="85" s="1"/>
  <c r="AD145" i="85"/>
  <c r="AF145" i="85" s="1"/>
  <c r="S145" i="85"/>
  <c r="U145" i="85" s="1"/>
  <c r="AD144" i="85"/>
  <c r="AF144" i="85" s="1"/>
  <c r="S144" i="85"/>
  <c r="U144" i="85" s="1"/>
  <c r="AD143" i="85"/>
  <c r="AF143" i="85" s="1"/>
  <c r="U143" i="85"/>
  <c r="S143" i="85"/>
  <c r="AD142" i="85"/>
  <c r="AF142" i="85" s="1"/>
  <c r="S142" i="85"/>
  <c r="U142" i="85" s="1"/>
  <c r="AD141" i="85"/>
  <c r="AF141" i="85" s="1"/>
  <c r="S141" i="85"/>
  <c r="U141" i="85" s="1"/>
  <c r="AD140" i="85"/>
  <c r="AF140" i="85" s="1"/>
  <c r="S140" i="85"/>
  <c r="U140" i="85" s="1"/>
  <c r="AD139" i="85"/>
  <c r="AF139" i="85" s="1"/>
  <c r="S139" i="85"/>
  <c r="U139" i="85" s="1"/>
  <c r="AD138" i="85"/>
  <c r="AF138" i="85" s="1"/>
  <c r="S138" i="85"/>
  <c r="U138" i="85" s="1"/>
  <c r="AD137" i="85"/>
  <c r="AF137" i="85" s="1"/>
  <c r="S137" i="85"/>
  <c r="U137" i="85" s="1"/>
  <c r="AD136" i="85"/>
  <c r="AF136" i="85" s="1"/>
  <c r="S136" i="85"/>
  <c r="U136" i="85" s="1"/>
  <c r="AD135" i="85"/>
  <c r="AF135" i="85" s="1"/>
  <c r="U135" i="85"/>
  <c r="S135" i="85"/>
  <c r="AD134" i="85"/>
  <c r="AF134" i="85" s="1"/>
  <c r="S134" i="85"/>
  <c r="U134" i="85" s="1"/>
  <c r="AD133" i="85"/>
  <c r="AF133" i="85" s="1"/>
  <c r="S133" i="85"/>
  <c r="U133" i="85" s="1"/>
  <c r="AD132" i="85"/>
  <c r="AF132" i="85" s="1"/>
  <c r="S132" i="85"/>
  <c r="U132" i="85" s="1"/>
  <c r="AD131" i="85"/>
  <c r="AF131" i="85" s="1"/>
  <c r="S131" i="85"/>
  <c r="U131" i="85" s="1"/>
  <c r="AD130" i="85"/>
  <c r="AF130" i="85" s="1"/>
  <c r="S130" i="85"/>
  <c r="U130" i="85" s="1"/>
  <c r="AD129" i="85"/>
  <c r="AF129" i="85" s="1"/>
  <c r="S129" i="85"/>
  <c r="U129" i="85" s="1"/>
  <c r="AD128" i="85"/>
  <c r="AF128" i="85" s="1"/>
  <c r="S128" i="85"/>
  <c r="U128" i="85" s="1"/>
  <c r="AD127" i="85"/>
  <c r="AF127" i="85" s="1"/>
  <c r="U127" i="85"/>
  <c r="S127" i="85"/>
  <c r="AD126" i="85"/>
  <c r="AF126" i="85" s="1"/>
  <c r="S126" i="85"/>
  <c r="U126" i="85" s="1"/>
  <c r="AD125" i="85"/>
  <c r="AF125" i="85" s="1"/>
  <c r="S125" i="85"/>
  <c r="U125" i="85" s="1"/>
  <c r="AD124" i="85"/>
  <c r="AF124" i="85" s="1"/>
  <c r="S124" i="85"/>
  <c r="U124" i="85" s="1"/>
  <c r="AD123" i="85"/>
  <c r="AF123" i="85" s="1"/>
  <c r="S123" i="85"/>
  <c r="U123" i="85" s="1"/>
  <c r="AD122" i="85"/>
  <c r="AF122" i="85" s="1"/>
  <c r="S122" i="85"/>
  <c r="U122" i="85" s="1"/>
  <c r="AD121" i="85"/>
  <c r="AF121" i="85" s="1"/>
  <c r="S121" i="85"/>
  <c r="U121" i="85" s="1"/>
  <c r="AD120" i="85"/>
  <c r="AF120" i="85" s="1"/>
  <c r="S120" i="85"/>
  <c r="U120" i="85" s="1"/>
  <c r="AD119" i="85"/>
  <c r="AF119" i="85" s="1"/>
  <c r="U119" i="85"/>
  <c r="S119" i="85"/>
  <c r="AD118" i="85"/>
  <c r="AF118" i="85" s="1"/>
  <c r="S118" i="85"/>
  <c r="U118" i="85" s="1"/>
  <c r="AD117" i="85"/>
  <c r="AF117" i="85" s="1"/>
  <c r="S117" i="85"/>
  <c r="U117" i="85" s="1"/>
  <c r="AD116" i="85"/>
  <c r="AF116" i="85" s="1"/>
  <c r="S116" i="85"/>
  <c r="U116" i="85" s="1"/>
  <c r="AD115" i="85"/>
  <c r="AF115" i="85" s="1"/>
  <c r="S115" i="85"/>
  <c r="U115" i="85" s="1"/>
  <c r="AD114" i="85"/>
  <c r="AF114" i="85" s="1"/>
  <c r="S114" i="85"/>
  <c r="U114" i="85" s="1"/>
  <c r="AD113" i="85"/>
  <c r="AF113" i="85" s="1"/>
  <c r="S113" i="85"/>
  <c r="U113" i="85" s="1"/>
  <c r="AD112" i="85"/>
  <c r="AF112" i="85" s="1"/>
  <c r="S112" i="85"/>
  <c r="U112" i="85" s="1"/>
  <c r="AD111" i="85"/>
  <c r="AF111" i="85" s="1"/>
  <c r="U111" i="85"/>
  <c r="S111" i="85"/>
  <c r="AD110" i="85"/>
  <c r="AF110" i="85" s="1"/>
  <c r="S110" i="85"/>
  <c r="U110" i="85" s="1"/>
  <c r="AD109" i="85"/>
  <c r="AF109" i="85" s="1"/>
  <c r="S109" i="85"/>
  <c r="U109" i="85" s="1"/>
  <c r="AD108" i="85"/>
  <c r="AF108" i="85" s="1"/>
  <c r="S108" i="85"/>
  <c r="U108" i="85" s="1"/>
  <c r="AD107" i="85"/>
  <c r="AF107" i="85" s="1"/>
  <c r="S107" i="85"/>
  <c r="U107" i="85" s="1"/>
  <c r="AD106" i="85"/>
  <c r="AF106" i="85" s="1"/>
  <c r="S106" i="85"/>
  <c r="U106" i="85" s="1"/>
  <c r="H106" i="85"/>
  <c r="J106" i="85" s="1"/>
  <c r="AD105" i="85"/>
  <c r="AF105" i="85" s="1"/>
  <c r="S105" i="85"/>
  <c r="U105" i="85" s="1"/>
  <c r="H105" i="85"/>
  <c r="J105" i="85" s="1"/>
  <c r="AD104" i="85"/>
  <c r="AF104" i="85" s="1"/>
  <c r="U104" i="85"/>
  <c r="S104" i="85"/>
  <c r="H104" i="85"/>
  <c r="J104" i="85" s="1"/>
  <c r="AD103" i="85"/>
  <c r="AF103" i="85" s="1"/>
  <c r="S103" i="85"/>
  <c r="U103" i="85" s="1"/>
  <c r="H103" i="85"/>
  <c r="J103" i="85" s="1"/>
  <c r="AD102" i="85"/>
  <c r="AF102" i="85" s="1"/>
  <c r="S102" i="85"/>
  <c r="U102" i="85" s="1"/>
  <c r="H102" i="85"/>
  <c r="J102" i="85" s="1"/>
  <c r="AD101" i="85"/>
  <c r="AF101" i="85" s="1"/>
  <c r="S101" i="85"/>
  <c r="U101" i="85" s="1"/>
  <c r="H101" i="85"/>
  <c r="J101" i="85" s="1"/>
  <c r="AD100" i="85"/>
  <c r="AF100" i="85" s="1"/>
  <c r="S100" i="85"/>
  <c r="U100" i="85" s="1"/>
  <c r="H100" i="85"/>
  <c r="J100" i="85" s="1"/>
  <c r="AD99" i="85"/>
  <c r="AF99" i="85" s="1"/>
  <c r="S99" i="85"/>
  <c r="U99" i="85" s="1"/>
  <c r="J99" i="85"/>
  <c r="H99" i="85"/>
  <c r="AD98" i="85"/>
  <c r="AF98" i="85" s="1"/>
  <c r="S98" i="85"/>
  <c r="U98" i="85" s="1"/>
  <c r="H98" i="85"/>
  <c r="J98" i="85" s="1"/>
  <c r="AD97" i="85"/>
  <c r="AF97" i="85" s="1"/>
  <c r="S97" i="85"/>
  <c r="U97" i="85" s="1"/>
  <c r="H97" i="85"/>
  <c r="J97" i="85" s="1"/>
  <c r="AD96" i="85"/>
  <c r="AF96" i="85" s="1"/>
  <c r="S96" i="85"/>
  <c r="U96" i="85" s="1"/>
  <c r="H96" i="85"/>
  <c r="J96" i="85" s="1"/>
  <c r="AD95" i="85"/>
  <c r="AF95" i="85" s="1"/>
  <c r="S95" i="85"/>
  <c r="U95" i="85" s="1"/>
  <c r="H95" i="85"/>
  <c r="J95" i="85" s="1"/>
  <c r="AD94" i="85"/>
  <c r="AF94" i="85" s="1"/>
  <c r="S94" i="85"/>
  <c r="U94" i="85" s="1"/>
  <c r="H94" i="85"/>
  <c r="J94" i="85" s="1"/>
  <c r="AF93" i="85"/>
  <c r="AD93" i="85"/>
  <c r="S93" i="85"/>
  <c r="U93" i="85" s="1"/>
  <c r="J93" i="85"/>
  <c r="H93" i="85"/>
  <c r="AD92" i="85"/>
  <c r="AF92" i="85" s="1"/>
  <c r="U92" i="85"/>
  <c r="S92" i="85"/>
  <c r="H92" i="85"/>
  <c r="J92" i="85" s="1"/>
  <c r="AF91" i="85"/>
  <c r="AD91" i="85"/>
  <c r="S91" i="85"/>
  <c r="U91" i="85" s="1"/>
  <c r="J91" i="85"/>
  <c r="H91" i="85"/>
  <c r="AD90" i="85"/>
  <c r="AF90" i="85" s="1"/>
  <c r="U90" i="85"/>
  <c r="S90" i="85"/>
  <c r="H90" i="85"/>
  <c r="J90" i="85" s="1"/>
  <c r="AF89" i="85"/>
  <c r="AD89" i="85"/>
  <c r="S89" i="85"/>
  <c r="U89" i="85" s="1"/>
  <c r="J89" i="85"/>
  <c r="H89" i="85"/>
  <c r="AD88" i="85"/>
  <c r="AF88" i="85" s="1"/>
  <c r="U88" i="85"/>
  <c r="S88" i="85"/>
  <c r="H88" i="85"/>
  <c r="J88" i="85" s="1"/>
  <c r="AF87" i="85"/>
  <c r="AD87" i="85"/>
  <c r="S87" i="85"/>
  <c r="U87" i="85" s="1"/>
  <c r="H87" i="85"/>
  <c r="J87" i="85" s="1"/>
  <c r="AD86" i="85"/>
  <c r="AF86" i="85" s="1"/>
  <c r="S86" i="85"/>
  <c r="U86" i="85" s="1"/>
  <c r="H86" i="85"/>
  <c r="J86" i="85" s="1"/>
  <c r="AD85" i="85"/>
  <c r="AF85" i="85" s="1"/>
  <c r="S85" i="85"/>
  <c r="U85" i="85" s="1"/>
  <c r="H85" i="85"/>
  <c r="J85" i="85" s="1"/>
  <c r="AN84" i="85"/>
  <c r="AD84" i="85"/>
  <c r="AF84" i="85" s="1"/>
  <c r="S84" i="85"/>
  <c r="U84" i="85" s="1"/>
  <c r="H84" i="85"/>
  <c r="J84" i="85" s="1"/>
  <c r="AD83" i="85"/>
  <c r="AF83" i="85" s="1"/>
  <c r="S83" i="85"/>
  <c r="U83" i="85" s="1"/>
  <c r="H83" i="85"/>
  <c r="J83" i="85" s="1"/>
  <c r="AD82" i="85"/>
  <c r="AF82" i="85" s="1"/>
  <c r="S82" i="85"/>
  <c r="U82" i="85" s="1"/>
  <c r="H82" i="85"/>
  <c r="J82" i="85" s="1"/>
  <c r="AD81" i="85"/>
  <c r="AF81" i="85" s="1"/>
  <c r="S81" i="85"/>
  <c r="U81" i="85" s="1"/>
  <c r="H81" i="85"/>
  <c r="J81" i="85" s="1"/>
  <c r="AD80" i="85"/>
  <c r="AF80" i="85" s="1"/>
  <c r="S80" i="85"/>
  <c r="U80" i="85" s="1"/>
  <c r="H80" i="85"/>
  <c r="J80" i="85" s="1"/>
  <c r="AD79" i="85"/>
  <c r="AF79" i="85" s="1"/>
  <c r="S79" i="85"/>
  <c r="U79" i="85" s="1"/>
  <c r="H79" i="85"/>
  <c r="J79" i="85" s="1"/>
  <c r="AO78" i="85"/>
  <c r="AQ78" i="85" s="1"/>
  <c r="AD78" i="85"/>
  <c r="AF78" i="85" s="1"/>
  <c r="S78" i="85"/>
  <c r="U78" i="85" s="1"/>
  <c r="H78" i="85"/>
  <c r="J78" i="85" s="1"/>
  <c r="AO77" i="85"/>
  <c r="AQ77" i="85" s="1"/>
  <c r="AD77" i="85"/>
  <c r="AF77" i="85" s="1"/>
  <c r="S77" i="85"/>
  <c r="U77" i="85" s="1"/>
  <c r="H77" i="85"/>
  <c r="J77" i="85" s="1"/>
  <c r="AO76" i="85"/>
  <c r="AQ76" i="85" s="1"/>
  <c r="AD76" i="85"/>
  <c r="AF76" i="85" s="1"/>
  <c r="S76" i="85"/>
  <c r="U76" i="85" s="1"/>
  <c r="H76" i="85"/>
  <c r="J76" i="85" s="1"/>
  <c r="AO75" i="85"/>
  <c r="AQ75" i="85" s="1"/>
  <c r="AD75" i="85"/>
  <c r="AF75" i="85" s="1"/>
  <c r="S75" i="85"/>
  <c r="U75" i="85" s="1"/>
  <c r="H75" i="85"/>
  <c r="J75" i="85" s="1"/>
  <c r="AO74" i="85"/>
  <c r="AQ74" i="85" s="1"/>
  <c r="AD74" i="85"/>
  <c r="AF74" i="85" s="1"/>
  <c r="S74" i="85"/>
  <c r="U74" i="85" s="1"/>
  <c r="H74" i="85"/>
  <c r="J74" i="85" s="1"/>
  <c r="AO73" i="85"/>
  <c r="AQ73" i="85" s="1"/>
  <c r="AD73" i="85"/>
  <c r="AF73" i="85" s="1"/>
  <c r="S73" i="85"/>
  <c r="U73" i="85" s="1"/>
  <c r="H73" i="85"/>
  <c r="J73" i="85" s="1"/>
  <c r="AO72" i="85"/>
  <c r="AQ72" i="85" s="1"/>
  <c r="AD72" i="85"/>
  <c r="AF72" i="85" s="1"/>
  <c r="S72" i="85"/>
  <c r="U72" i="85" s="1"/>
  <c r="H72" i="85"/>
  <c r="J72" i="85" s="1"/>
  <c r="AO71" i="85"/>
  <c r="AQ71" i="85" s="1"/>
  <c r="AD71" i="85"/>
  <c r="AF71" i="85" s="1"/>
  <c r="S71" i="85"/>
  <c r="U71" i="85" s="1"/>
  <c r="H71" i="85"/>
  <c r="J71" i="85" s="1"/>
  <c r="AO70" i="85"/>
  <c r="AQ70" i="85" s="1"/>
  <c r="AD70" i="85"/>
  <c r="AF70" i="85" s="1"/>
  <c r="S70" i="85"/>
  <c r="U70" i="85" s="1"/>
  <c r="H70" i="85"/>
  <c r="J70" i="85" s="1"/>
  <c r="AO69" i="85"/>
  <c r="AQ69" i="85" s="1"/>
  <c r="AD69" i="85"/>
  <c r="AF69" i="85" s="1"/>
  <c r="S69" i="85"/>
  <c r="U69" i="85" s="1"/>
  <c r="H69" i="85"/>
  <c r="J69" i="85" s="1"/>
  <c r="AO68" i="85"/>
  <c r="AQ68" i="85" s="1"/>
  <c r="AD68" i="85"/>
  <c r="AF68" i="85" s="1"/>
  <c r="S68" i="85"/>
  <c r="U68" i="85" s="1"/>
  <c r="H68" i="85"/>
  <c r="J68" i="85" s="1"/>
  <c r="AO67" i="85"/>
  <c r="AQ67" i="85" s="1"/>
  <c r="AD67" i="85"/>
  <c r="AF67" i="85" s="1"/>
  <c r="S67" i="85"/>
  <c r="U67" i="85" s="1"/>
  <c r="H67" i="85"/>
  <c r="J67" i="85" s="1"/>
  <c r="AO66" i="85"/>
  <c r="AQ66" i="85" s="1"/>
  <c r="AD66" i="85"/>
  <c r="AF66" i="85" s="1"/>
  <c r="S66" i="85"/>
  <c r="U66" i="85" s="1"/>
  <c r="H66" i="85"/>
  <c r="J66" i="85" s="1"/>
  <c r="AO65" i="85"/>
  <c r="AQ65" i="85" s="1"/>
  <c r="AD65" i="85"/>
  <c r="AF65" i="85" s="1"/>
  <c r="S65" i="85"/>
  <c r="U65" i="85" s="1"/>
  <c r="H65" i="85"/>
  <c r="J65" i="85" s="1"/>
  <c r="AO64" i="85"/>
  <c r="AQ64" i="85" s="1"/>
  <c r="AD64" i="85"/>
  <c r="AF64" i="85" s="1"/>
  <c r="S64" i="85"/>
  <c r="U64" i="85" s="1"/>
  <c r="H64" i="85"/>
  <c r="J64" i="85" s="1"/>
  <c r="AO63" i="85"/>
  <c r="AQ63" i="85" s="1"/>
  <c r="AD63" i="85"/>
  <c r="AF63" i="85" s="1"/>
  <c r="S63" i="85"/>
  <c r="U63" i="85" s="1"/>
  <c r="H63" i="85"/>
  <c r="J63" i="85" s="1"/>
  <c r="AO62" i="85"/>
  <c r="AQ62" i="85" s="1"/>
  <c r="AD62" i="85"/>
  <c r="AF62" i="85" s="1"/>
  <c r="S62" i="85"/>
  <c r="U62" i="85" s="1"/>
  <c r="H62" i="85"/>
  <c r="J62" i="85" s="1"/>
  <c r="AO61" i="85"/>
  <c r="AQ61" i="85" s="1"/>
  <c r="AD61" i="85"/>
  <c r="AF61" i="85" s="1"/>
  <c r="S61" i="85"/>
  <c r="U61" i="85" s="1"/>
  <c r="H61" i="85"/>
  <c r="J61" i="85" s="1"/>
  <c r="AO60" i="85"/>
  <c r="AQ60" i="85" s="1"/>
  <c r="AD60" i="85"/>
  <c r="AF60" i="85" s="1"/>
  <c r="S60" i="85"/>
  <c r="U60" i="85" s="1"/>
  <c r="H60" i="85"/>
  <c r="J60" i="85" s="1"/>
  <c r="AO59" i="85"/>
  <c r="AQ59" i="85" s="1"/>
  <c r="AD59" i="85"/>
  <c r="AF59" i="85" s="1"/>
  <c r="S59" i="85"/>
  <c r="U59" i="85" s="1"/>
  <c r="H59" i="85"/>
  <c r="J59" i="85" s="1"/>
  <c r="AO58" i="85"/>
  <c r="AQ58" i="85" s="1"/>
  <c r="AD58" i="85"/>
  <c r="AF58" i="85" s="1"/>
  <c r="S58" i="85"/>
  <c r="U58" i="85" s="1"/>
  <c r="H58" i="85"/>
  <c r="J58" i="85" s="1"/>
  <c r="AO57" i="85"/>
  <c r="AQ57" i="85" s="1"/>
  <c r="AD57" i="85"/>
  <c r="AF57" i="85" s="1"/>
  <c r="S57" i="85"/>
  <c r="U57" i="85" s="1"/>
  <c r="H57" i="85"/>
  <c r="J57" i="85" s="1"/>
  <c r="AO56" i="85"/>
  <c r="AQ56" i="85" s="1"/>
  <c r="AD56" i="85"/>
  <c r="AF56" i="85" s="1"/>
  <c r="S56" i="85"/>
  <c r="U56" i="85" s="1"/>
  <c r="H56" i="85"/>
  <c r="J56" i="85" s="1"/>
  <c r="AO55" i="85"/>
  <c r="AQ55" i="85" s="1"/>
  <c r="AD55" i="85"/>
  <c r="AF55" i="85" s="1"/>
  <c r="S55" i="85"/>
  <c r="U55" i="85" s="1"/>
  <c r="H55" i="85"/>
  <c r="J55" i="85" s="1"/>
  <c r="AO54" i="85"/>
  <c r="AQ54" i="85" s="1"/>
  <c r="AD54" i="85"/>
  <c r="AF54" i="85" s="1"/>
  <c r="S54" i="85"/>
  <c r="U54" i="85" s="1"/>
  <c r="H54" i="85"/>
  <c r="J54" i="85" s="1"/>
  <c r="AO53" i="85"/>
  <c r="AQ53" i="85" s="1"/>
  <c r="AD53" i="85"/>
  <c r="AF53" i="85" s="1"/>
  <c r="S53" i="85"/>
  <c r="U53" i="85" s="1"/>
  <c r="H53" i="85"/>
  <c r="J53" i="85" s="1"/>
  <c r="AO52" i="85"/>
  <c r="AQ52" i="85" s="1"/>
  <c r="AD52" i="85"/>
  <c r="AF52" i="85" s="1"/>
  <c r="S52" i="85"/>
  <c r="U52" i="85" s="1"/>
  <c r="H52" i="85"/>
  <c r="J52" i="85" s="1"/>
  <c r="AO51" i="85"/>
  <c r="AQ51" i="85" s="1"/>
  <c r="AD51" i="85"/>
  <c r="AF51" i="85" s="1"/>
  <c r="S51" i="85"/>
  <c r="U51" i="85" s="1"/>
  <c r="H51" i="85"/>
  <c r="J51" i="85" s="1"/>
  <c r="AO50" i="85"/>
  <c r="AQ50" i="85" s="1"/>
  <c r="AD50" i="85"/>
  <c r="AF50" i="85" s="1"/>
  <c r="S50" i="85"/>
  <c r="U50" i="85" s="1"/>
  <c r="H50" i="85"/>
  <c r="J50" i="85" s="1"/>
  <c r="AO49" i="85"/>
  <c r="AQ49" i="85" s="1"/>
  <c r="AD49" i="85"/>
  <c r="AF49" i="85" s="1"/>
  <c r="S49" i="85"/>
  <c r="U49" i="85" s="1"/>
  <c r="H49" i="85"/>
  <c r="J49" i="85" s="1"/>
  <c r="AO48" i="85"/>
  <c r="AQ48" i="85" s="1"/>
  <c r="AD48" i="85"/>
  <c r="AF48" i="85" s="1"/>
  <c r="S48" i="85"/>
  <c r="U48" i="85" s="1"/>
  <c r="H48" i="85"/>
  <c r="J48" i="85" s="1"/>
  <c r="AO47" i="85"/>
  <c r="AQ47" i="85" s="1"/>
  <c r="AD47" i="85"/>
  <c r="AF47" i="85" s="1"/>
  <c r="S47" i="85"/>
  <c r="U47" i="85" s="1"/>
  <c r="H47" i="85"/>
  <c r="J47" i="85" s="1"/>
  <c r="AO46" i="85"/>
  <c r="AQ46" i="85" s="1"/>
  <c r="AD46" i="85"/>
  <c r="AF46" i="85" s="1"/>
  <c r="S46" i="85"/>
  <c r="U46" i="85" s="1"/>
  <c r="H46" i="85"/>
  <c r="J46" i="85" s="1"/>
  <c r="AO45" i="85"/>
  <c r="AQ45" i="85" s="1"/>
  <c r="AD45" i="85"/>
  <c r="AF45" i="85" s="1"/>
  <c r="S45" i="85"/>
  <c r="U45" i="85" s="1"/>
  <c r="H45" i="85"/>
  <c r="J45" i="85" s="1"/>
  <c r="AO44" i="85"/>
  <c r="AQ44" i="85" s="1"/>
  <c r="AD44" i="85"/>
  <c r="AF44" i="85" s="1"/>
  <c r="S44" i="85"/>
  <c r="U44" i="85" s="1"/>
  <c r="H44" i="85"/>
  <c r="J44" i="85" s="1"/>
  <c r="AO43" i="85"/>
  <c r="AQ43" i="85" s="1"/>
  <c r="AD43" i="85"/>
  <c r="AF43" i="85" s="1"/>
  <c r="S43" i="85"/>
  <c r="U43" i="85" s="1"/>
  <c r="H43" i="85"/>
  <c r="J43" i="85" s="1"/>
  <c r="AO42" i="85"/>
  <c r="AQ42" i="85" s="1"/>
  <c r="AD42" i="85"/>
  <c r="AF42" i="85" s="1"/>
  <c r="S42" i="85"/>
  <c r="U42" i="85" s="1"/>
  <c r="H42" i="85"/>
  <c r="J42" i="85" s="1"/>
  <c r="AO41" i="85"/>
  <c r="AQ41" i="85" s="1"/>
  <c r="AD41" i="85"/>
  <c r="AF41" i="85" s="1"/>
  <c r="S41" i="85"/>
  <c r="U41" i="85" s="1"/>
  <c r="H41" i="85"/>
  <c r="J41" i="85" s="1"/>
  <c r="AO40" i="85"/>
  <c r="AQ40" i="85" s="1"/>
  <c r="AD40" i="85"/>
  <c r="AF40" i="85" s="1"/>
  <c r="S40" i="85"/>
  <c r="U40" i="85" s="1"/>
  <c r="H40" i="85"/>
  <c r="J40" i="85" s="1"/>
  <c r="AO39" i="85"/>
  <c r="AQ39" i="85" s="1"/>
  <c r="AD39" i="85"/>
  <c r="AF39" i="85" s="1"/>
  <c r="S39" i="85"/>
  <c r="U39" i="85" s="1"/>
  <c r="H39" i="85"/>
  <c r="J39" i="85" s="1"/>
  <c r="AO38" i="85"/>
  <c r="AQ38" i="85" s="1"/>
  <c r="AD38" i="85"/>
  <c r="AF38" i="85" s="1"/>
  <c r="S38" i="85"/>
  <c r="U38" i="85" s="1"/>
  <c r="H38" i="85"/>
  <c r="J38" i="85" s="1"/>
  <c r="AO37" i="85"/>
  <c r="AQ37" i="85" s="1"/>
  <c r="AD37" i="85"/>
  <c r="AF37" i="85" s="1"/>
  <c r="S37" i="85"/>
  <c r="U37" i="85" s="1"/>
  <c r="H37" i="85"/>
  <c r="J37" i="85" s="1"/>
  <c r="AO36" i="85"/>
  <c r="AQ36" i="85" s="1"/>
  <c r="AD36" i="85"/>
  <c r="AF36" i="85" s="1"/>
  <c r="S36" i="85"/>
  <c r="U36" i="85" s="1"/>
  <c r="H36" i="85"/>
  <c r="J36" i="85" s="1"/>
  <c r="AO35" i="85"/>
  <c r="AQ35" i="85" s="1"/>
  <c r="AD35" i="85"/>
  <c r="AF35" i="85" s="1"/>
  <c r="S35" i="85"/>
  <c r="U35" i="85" s="1"/>
  <c r="H35" i="85"/>
  <c r="J35" i="85" s="1"/>
  <c r="AO34" i="85"/>
  <c r="AQ34" i="85" s="1"/>
  <c r="AD34" i="85"/>
  <c r="AF34" i="85" s="1"/>
  <c r="S34" i="85"/>
  <c r="U34" i="85" s="1"/>
  <c r="H34" i="85"/>
  <c r="J34" i="85" s="1"/>
  <c r="AO33" i="85"/>
  <c r="AQ33" i="85" s="1"/>
  <c r="AD33" i="85"/>
  <c r="AF33" i="85" s="1"/>
  <c r="S33" i="85"/>
  <c r="U33" i="85" s="1"/>
  <c r="H33" i="85"/>
  <c r="J33" i="85" s="1"/>
  <c r="AO32" i="85"/>
  <c r="AQ32" i="85" s="1"/>
  <c r="AD32" i="85"/>
  <c r="AF32" i="85" s="1"/>
  <c r="S32" i="85"/>
  <c r="U32" i="85" s="1"/>
  <c r="H32" i="85"/>
  <c r="J32" i="85" s="1"/>
  <c r="AO31" i="85"/>
  <c r="AQ31" i="85" s="1"/>
  <c r="AD31" i="85"/>
  <c r="AF31" i="85" s="1"/>
  <c r="S31" i="85"/>
  <c r="U31" i="85" s="1"/>
  <c r="H31" i="85"/>
  <c r="J31" i="85" s="1"/>
  <c r="AO30" i="85"/>
  <c r="AQ30" i="85" s="1"/>
  <c r="AD30" i="85"/>
  <c r="AF30" i="85" s="1"/>
  <c r="S30" i="85"/>
  <c r="U30" i="85" s="1"/>
  <c r="H30" i="85"/>
  <c r="J30" i="85" s="1"/>
  <c r="AO29" i="85"/>
  <c r="AQ29" i="85" s="1"/>
  <c r="AD29" i="85"/>
  <c r="AF29" i="85" s="1"/>
  <c r="S29" i="85"/>
  <c r="U29" i="85" s="1"/>
  <c r="H29" i="85"/>
  <c r="J29" i="85" s="1"/>
  <c r="AO28" i="85"/>
  <c r="AQ28" i="85" s="1"/>
  <c r="AD28" i="85"/>
  <c r="AF28" i="85" s="1"/>
  <c r="S28" i="85"/>
  <c r="U28" i="85" s="1"/>
  <c r="H28" i="85"/>
  <c r="J28" i="85" s="1"/>
  <c r="AO27" i="85"/>
  <c r="AQ27" i="85" s="1"/>
  <c r="AD27" i="85"/>
  <c r="AF27" i="85" s="1"/>
  <c r="S27" i="85"/>
  <c r="U27" i="85" s="1"/>
  <c r="H27" i="85"/>
  <c r="J27" i="85" s="1"/>
  <c r="AO26" i="85"/>
  <c r="AQ26" i="85" s="1"/>
  <c r="AD26" i="85"/>
  <c r="AF26" i="85" s="1"/>
  <c r="S26" i="85"/>
  <c r="U26" i="85" s="1"/>
  <c r="H26" i="85"/>
  <c r="J26" i="85" s="1"/>
  <c r="AO25" i="85"/>
  <c r="AQ25" i="85" s="1"/>
  <c r="AD25" i="85"/>
  <c r="AF25" i="85" s="1"/>
  <c r="S25" i="85"/>
  <c r="U25" i="85" s="1"/>
  <c r="H25" i="85"/>
  <c r="J25" i="85" s="1"/>
  <c r="AO24" i="85"/>
  <c r="AQ24" i="85" s="1"/>
  <c r="AD24" i="85"/>
  <c r="AF24" i="85" s="1"/>
  <c r="S24" i="85"/>
  <c r="U24" i="85" s="1"/>
  <c r="H24" i="85"/>
  <c r="J24" i="85" s="1"/>
  <c r="AO23" i="85"/>
  <c r="AQ23" i="85" s="1"/>
  <c r="AD23" i="85"/>
  <c r="AF23" i="85" s="1"/>
  <c r="S23" i="85"/>
  <c r="U23" i="85" s="1"/>
  <c r="H23" i="85"/>
  <c r="J23" i="85" s="1"/>
  <c r="AO22" i="85"/>
  <c r="AQ22" i="85" s="1"/>
  <c r="AD22" i="85"/>
  <c r="AF22" i="85" s="1"/>
  <c r="S22" i="85"/>
  <c r="U22" i="85" s="1"/>
  <c r="H22" i="85"/>
  <c r="J22" i="85" s="1"/>
  <c r="AO21" i="85"/>
  <c r="AQ21" i="85" s="1"/>
  <c r="AD21" i="85"/>
  <c r="AF21" i="85" s="1"/>
  <c r="S21" i="85"/>
  <c r="U21" i="85" s="1"/>
  <c r="H21" i="85"/>
  <c r="J21" i="85" s="1"/>
  <c r="AO20" i="85"/>
  <c r="AQ20" i="85" s="1"/>
  <c r="AD20" i="85"/>
  <c r="AF20" i="85" s="1"/>
  <c r="S20" i="85"/>
  <c r="U20" i="85" s="1"/>
  <c r="H20" i="85"/>
  <c r="J20" i="85" s="1"/>
  <c r="AO19" i="85"/>
  <c r="AQ19" i="85" s="1"/>
  <c r="AD19" i="85"/>
  <c r="AF19" i="85" s="1"/>
  <c r="S19" i="85"/>
  <c r="U19" i="85" s="1"/>
  <c r="H19" i="85"/>
  <c r="J19" i="85" s="1"/>
  <c r="AO18" i="85"/>
  <c r="AQ18" i="85" s="1"/>
  <c r="AD18" i="85"/>
  <c r="AF18" i="85" s="1"/>
  <c r="S18" i="85"/>
  <c r="U18" i="85" s="1"/>
  <c r="H18" i="85"/>
  <c r="J18" i="85" s="1"/>
  <c r="AO17" i="85"/>
  <c r="AQ17" i="85" s="1"/>
  <c r="AD17" i="85"/>
  <c r="AF17" i="85" s="1"/>
  <c r="S17" i="85"/>
  <c r="U17" i="85" s="1"/>
  <c r="H17" i="85"/>
  <c r="J17" i="85" s="1"/>
  <c r="AO16" i="85"/>
  <c r="AQ16" i="85" s="1"/>
  <c r="AD16" i="85"/>
  <c r="AF16" i="85" s="1"/>
  <c r="S16" i="85"/>
  <c r="U16" i="85" s="1"/>
  <c r="H16" i="85"/>
  <c r="J16" i="85" s="1"/>
  <c r="AO15" i="85"/>
  <c r="AQ15" i="85" s="1"/>
  <c r="AD15" i="85"/>
  <c r="AF15" i="85" s="1"/>
  <c r="S15" i="85"/>
  <c r="U15" i="85" s="1"/>
  <c r="H15" i="85"/>
  <c r="J15" i="85" s="1"/>
  <c r="AO14" i="85"/>
  <c r="AQ14" i="85" s="1"/>
  <c r="AD14" i="85"/>
  <c r="AF14" i="85" s="1"/>
  <c r="S14" i="85"/>
  <c r="U14" i="85" s="1"/>
  <c r="H14" i="85"/>
  <c r="J14" i="85" s="1"/>
  <c r="AO13" i="85"/>
  <c r="AQ13" i="85" s="1"/>
  <c r="AD13" i="85"/>
  <c r="AF13" i="85" s="1"/>
  <c r="S13" i="85"/>
  <c r="U13" i="85" s="1"/>
  <c r="H13" i="85"/>
  <c r="J13" i="85" s="1"/>
  <c r="AO12" i="85"/>
  <c r="AQ12" i="85" s="1"/>
  <c r="AD12" i="85"/>
  <c r="AF12" i="85" s="1"/>
  <c r="S12" i="85"/>
  <c r="U12" i="85" s="1"/>
  <c r="H12" i="85"/>
  <c r="J12" i="85" s="1"/>
  <c r="AO11" i="85"/>
  <c r="AQ11" i="85" s="1"/>
  <c r="AD11" i="85"/>
  <c r="AF11" i="85" s="1"/>
  <c r="S11" i="85"/>
  <c r="U11" i="85" s="1"/>
  <c r="H11" i="85"/>
  <c r="J11" i="85" s="1"/>
  <c r="AO10" i="85"/>
  <c r="AQ10" i="85" s="1"/>
  <c r="AD10" i="85"/>
  <c r="AF10" i="85" s="1"/>
  <c r="S10" i="85"/>
  <c r="U10" i="85" s="1"/>
  <c r="H10" i="85"/>
  <c r="J10" i="85" s="1"/>
  <c r="AO9" i="85"/>
  <c r="AQ9" i="85" s="1"/>
  <c r="AD9" i="85"/>
  <c r="AF9" i="85" s="1"/>
  <c r="S9" i="85"/>
  <c r="U9" i="85" s="1"/>
  <c r="H9" i="85"/>
  <c r="J9" i="85" s="1"/>
  <c r="AO8" i="85"/>
  <c r="AQ8" i="85" s="1"/>
  <c r="AD8" i="85"/>
  <c r="AF8" i="85" s="1"/>
  <c r="S8" i="85"/>
  <c r="U8" i="85" s="1"/>
  <c r="H8" i="85"/>
  <c r="J8" i="85" s="1"/>
  <c r="AO7" i="85"/>
  <c r="AQ7" i="85" s="1"/>
  <c r="AD7" i="85"/>
  <c r="AF7" i="85" s="1"/>
  <c r="S7" i="85"/>
  <c r="U7" i="85" s="1"/>
  <c r="H7" i="85"/>
  <c r="J7" i="85" s="1"/>
  <c r="AO6" i="85"/>
  <c r="AQ6" i="85" s="1"/>
  <c r="AD6" i="85"/>
  <c r="AF6" i="85" s="1"/>
  <c r="S6" i="85"/>
  <c r="U6" i="85" s="1"/>
  <c r="H6" i="85"/>
  <c r="J6" i="85" s="1"/>
  <c r="AO5" i="85"/>
  <c r="AQ5" i="85" s="1"/>
  <c r="AD5" i="85"/>
  <c r="AF5" i="85" s="1"/>
  <c r="S5" i="85"/>
  <c r="U5" i="85" s="1"/>
  <c r="H5" i="85"/>
  <c r="J5" i="85" s="1"/>
  <c r="AO4" i="85"/>
  <c r="AQ4" i="85" s="1"/>
  <c r="AD4" i="85"/>
  <c r="AF4" i="85" s="1"/>
  <c r="S4" i="85"/>
  <c r="U4" i="85" s="1"/>
  <c r="H4" i="85"/>
  <c r="J4" i="85" s="1"/>
  <c r="AO3" i="85"/>
  <c r="AQ3" i="85" s="1"/>
  <c r="AD3" i="85"/>
  <c r="AF3" i="85" s="1"/>
  <c r="S3" i="85"/>
  <c r="U3" i="85" s="1"/>
  <c r="H3" i="85"/>
  <c r="J3" i="85" s="1"/>
  <c r="AO2" i="85"/>
  <c r="AQ2" i="85" s="1"/>
  <c r="AD2" i="85"/>
  <c r="AF2" i="85" s="1"/>
  <c r="S2" i="85"/>
  <c r="U2" i="85" s="1"/>
  <c r="H2" i="85"/>
  <c r="J2" i="85" s="1"/>
  <c r="F925" i="92"/>
  <c r="F924" i="92"/>
  <c r="F923" i="92"/>
  <c r="F922" i="92"/>
  <c r="F921" i="92"/>
  <c r="F920" i="92"/>
  <c r="F919" i="92"/>
  <c r="F918" i="92"/>
  <c r="F917" i="92"/>
  <c r="F916" i="92"/>
  <c r="F915" i="92"/>
  <c r="F914" i="92"/>
  <c r="F913" i="92"/>
  <c r="F912" i="92"/>
  <c r="F911" i="92"/>
  <c r="F910" i="92"/>
  <c r="F909" i="92"/>
  <c r="F908" i="92"/>
  <c r="F907" i="92"/>
  <c r="F906" i="92"/>
  <c r="F905" i="92"/>
  <c r="F904" i="92"/>
  <c r="F903" i="92"/>
  <c r="F902" i="92"/>
  <c r="F901" i="92"/>
  <c r="F900" i="92"/>
  <c r="F899" i="92"/>
  <c r="F898" i="92"/>
  <c r="F897" i="92"/>
  <c r="F896" i="92"/>
  <c r="F895" i="92"/>
  <c r="F894" i="92"/>
  <c r="F893" i="92"/>
  <c r="F892" i="92"/>
  <c r="F891" i="92"/>
  <c r="F890" i="92"/>
  <c r="F889" i="92"/>
  <c r="F888" i="92"/>
  <c r="F887" i="92"/>
  <c r="F886" i="92"/>
  <c r="F885" i="92"/>
  <c r="F884" i="92"/>
  <c r="F883" i="92"/>
  <c r="F882" i="92"/>
  <c r="F881" i="92"/>
  <c r="F880" i="92"/>
  <c r="F879" i="92"/>
  <c r="F878" i="92"/>
  <c r="F877" i="92"/>
  <c r="F876" i="92"/>
  <c r="F875" i="92"/>
  <c r="F874" i="92"/>
  <c r="F873" i="92"/>
  <c r="F872" i="92"/>
  <c r="F871" i="92"/>
  <c r="F870" i="92"/>
  <c r="F869" i="92"/>
  <c r="F868" i="92"/>
  <c r="F867" i="92"/>
  <c r="F866" i="92"/>
  <c r="F865" i="92"/>
  <c r="F864" i="92"/>
  <c r="F863" i="92"/>
  <c r="F862" i="92"/>
  <c r="F861" i="92"/>
  <c r="F860" i="92"/>
  <c r="F859" i="92"/>
  <c r="F858" i="92"/>
  <c r="F857" i="92"/>
  <c r="F856" i="92"/>
  <c r="F855" i="92"/>
  <c r="F854" i="92"/>
  <c r="F853" i="92"/>
  <c r="F852" i="92"/>
  <c r="F851" i="92"/>
  <c r="F850" i="92"/>
  <c r="F849" i="92"/>
  <c r="F848" i="92"/>
  <c r="F847" i="92"/>
  <c r="F846" i="92"/>
  <c r="F845" i="92"/>
  <c r="F844" i="92"/>
  <c r="F843" i="92"/>
  <c r="F842" i="92"/>
  <c r="F841" i="92"/>
  <c r="F840" i="92"/>
  <c r="F839" i="92"/>
  <c r="F838" i="92"/>
  <c r="F837" i="92"/>
  <c r="F836" i="92"/>
  <c r="F835" i="92"/>
  <c r="F834" i="92"/>
  <c r="F833" i="92"/>
  <c r="F832" i="92"/>
  <c r="F831" i="92"/>
  <c r="F830" i="92"/>
  <c r="F829" i="92"/>
  <c r="F828" i="92"/>
  <c r="F827" i="92"/>
  <c r="F826" i="92"/>
  <c r="F825" i="92"/>
  <c r="F824" i="92"/>
  <c r="F823" i="92"/>
  <c r="F822" i="92"/>
  <c r="F821" i="92"/>
  <c r="F820" i="92"/>
  <c r="F819" i="92"/>
  <c r="F818" i="92"/>
  <c r="F817" i="92"/>
  <c r="F816" i="92"/>
  <c r="F815" i="92"/>
  <c r="F814" i="92"/>
  <c r="F813" i="92"/>
  <c r="F812" i="92"/>
  <c r="F811" i="92"/>
  <c r="F810" i="92"/>
  <c r="F809" i="92"/>
  <c r="F808" i="92"/>
  <c r="F807" i="92"/>
  <c r="F806" i="92"/>
  <c r="F805" i="92"/>
  <c r="F804" i="92"/>
  <c r="F803" i="92"/>
  <c r="F802" i="92"/>
  <c r="F801" i="92"/>
  <c r="F800" i="92"/>
  <c r="F799" i="92"/>
  <c r="F798" i="92"/>
  <c r="F797" i="92"/>
  <c r="F796" i="92"/>
  <c r="F795" i="92"/>
  <c r="F794" i="92"/>
  <c r="F793" i="92"/>
  <c r="F792" i="92"/>
  <c r="F791" i="92"/>
  <c r="F790" i="92"/>
  <c r="F789" i="92"/>
  <c r="F788" i="92"/>
  <c r="F787" i="92"/>
  <c r="F786" i="92"/>
  <c r="F785" i="92"/>
  <c r="F784" i="92"/>
  <c r="F783" i="92"/>
  <c r="F782" i="92"/>
  <c r="F781" i="92"/>
  <c r="F780" i="92"/>
  <c r="F779" i="92"/>
  <c r="F778" i="92"/>
  <c r="F777" i="92"/>
  <c r="F776" i="92"/>
  <c r="F775" i="92"/>
  <c r="F774" i="92"/>
  <c r="F773" i="92"/>
  <c r="F772" i="92"/>
  <c r="F771" i="92"/>
  <c r="F770" i="92"/>
  <c r="F769" i="92"/>
  <c r="F768" i="92"/>
  <c r="F767" i="92"/>
  <c r="F766" i="92"/>
  <c r="F765" i="92"/>
  <c r="F764" i="92"/>
  <c r="F763" i="92"/>
  <c r="F762" i="92"/>
  <c r="F761" i="92"/>
  <c r="F760" i="92"/>
  <c r="F759" i="92"/>
  <c r="F758" i="92"/>
  <c r="F757" i="92"/>
  <c r="F756" i="92"/>
  <c r="F755" i="92"/>
  <c r="F754" i="92"/>
  <c r="F753" i="92"/>
  <c r="F752" i="92"/>
  <c r="F751" i="92"/>
  <c r="F750" i="92"/>
  <c r="F749" i="92"/>
  <c r="F748" i="92"/>
  <c r="F747" i="92"/>
  <c r="F746" i="92"/>
  <c r="F745" i="92"/>
  <c r="F744" i="92"/>
  <c r="F743" i="92"/>
  <c r="F742" i="92"/>
  <c r="F741" i="92"/>
  <c r="F740" i="92"/>
  <c r="F739" i="92"/>
  <c r="F738" i="92"/>
  <c r="F737" i="92"/>
  <c r="F736" i="92"/>
  <c r="F735" i="92"/>
  <c r="F734" i="92"/>
  <c r="F733" i="92"/>
  <c r="F732" i="92"/>
  <c r="F731" i="92"/>
  <c r="F730" i="92"/>
  <c r="F729" i="92"/>
  <c r="F728" i="92"/>
  <c r="F727" i="92"/>
  <c r="F726" i="92"/>
  <c r="F725" i="92"/>
  <c r="F724" i="92"/>
  <c r="F723" i="92"/>
  <c r="F722" i="92"/>
  <c r="F721" i="92"/>
  <c r="F720" i="92"/>
  <c r="F719" i="92"/>
  <c r="F718" i="92"/>
  <c r="F717" i="92"/>
  <c r="F716" i="92"/>
  <c r="F715" i="92"/>
  <c r="F714" i="92"/>
  <c r="F713" i="92"/>
  <c r="F712" i="92"/>
  <c r="F711" i="92"/>
  <c r="F710" i="92"/>
  <c r="F709" i="92"/>
  <c r="F708" i="92"/>
  <c r="F707" i="92"/>
  <c r="F706" i="92"/>
  <c r="F705" i="92"/>
  <c r="F704" i="92"/>
  <c r="F703" i="92"/>
  <c r="F702" i="92"/>
  <c r="F701" i="92"/>
  <c r="F700" i="92"/>
  <c r="F699" i="92"/>
  <c r="F698" i="92"/>
  <c r="F697" i="92"/>
  <c r="F696" i="92"/>
  <c r="F695" i="92"/>
  <c r="F694" i="92"/>
  <c r="F693" i="92"/>
  <c r="F692" i="92"/>
  <c r="F691" i="92"/>
  <c r="F690" i="92"/>
  <c r="F689" i="92"/>
  <c r="F688" i="92"/>
  <c r="F687" i="92"/>
  <c r="F686" i="92"/>
  <c r="F685" i="92"/>
  <c r="F684" i="92"/>
  <c r="F683" i="92"/>
  <c r="F682" i="92"/>
  <c r="F681" i="92"/>
  <c r="F680" i="92"/>
  <c r="F679" i="92"/>
  <c r="F678" i="92"/>
  <c r="F677" i="92"/>
  <c r="F676" i="92"/>
  <c r="F675" i="92"/>
  <c r="F674" i="92"/>
  <c r="F673" i="92"/>
  <c r="F672" i="92"/>
  <c r="F671" i="92"/>
  <c r="F670" i="92"/>
  <c r="F669" i="92"/>
  <c r="F668" i="92"/>
  <c r="F667" i="92"/>
  <c r="F666" i="92"/>
  <c r="F665" i="92"/>
  <c r="F664" i="92"/>
  <c r="F663" i="92"/>
  <c r="F662" i="92"/>
  <c r="F661" i="92"/>
  <c r="F660" i="92"/>
  <c r="F659" i="92"/>
  <c r="F658" i="92"/>
  <c r="F657" i="92"/>
  <c r="F656" i="92"/>
  <c r="F655" i="92"/>
  <c r="F654" i="92"/>
  <c r="F653" i="92"/>
  <c r="F652" i="92"/>
  <c r="F651" i="92"/>
  <c r="F650" i="92"/>
  <c r="F649" i="92"/>
  <c r="F648" i="92"/>
  <c r="F647" i="92"/>
  <c r="F646" i="92"/>
  <c r="F645" i="92"/>
  <c r="F644" i="92"/>
  <c r="F643" i="92"/>
  <c r="F642" i="92"/>
  <c r="F641" i="92"/>
  <c r="F640" i="92"/>
  <c r="F639" i="92"/>
  <c r="F638" i="92"/>
  <c r="F637" i="92"/>
  <c r="F636" i="92"/>
  <c r="F635" i="92"/>
  <c r="F634" i="92"/>
  <c r="F633" i="92"/>
  <c r="F632" i="92"/>
  <c r="F631" i="92"/>
  <c r="F630" i="92"/>
  <c r="F629" i="92"/>
  <c r="F628" i="92"/>
  <c r="F627" i="92"/>
  <c r="F626" i="92"/>
  <c r="F625" i="92"/>
  <c r="F624" i="92"/>
  <c r="F623" i="92"/>
  <c r="F622" i="92"/>
  <c r="F621" i="92"/>
  <c r="F620" i="92"/>
  <c r="F619" i="92"/>
  <c r="F618" i="92"/>
  <c r="F617" i="92"/>
  <c r="F616" i="92"/>
  <c r="F615" i="92"/>
  <c r="F614" i="92"/>
  <c r="F613" i="92"/>
  <c r="F612" i="92"/>
  <c r="F611" i="92"/>
  <c r="F610" i="92"/>
  <c r="F609" i="92"/>
  <c r="F608" i="92"/>
  <c r="F607" i="92"/>
  <c r="F606" i="92"/>
  <c r="F605" i="92"/>
  <c r="F604" i="92"/>
  <c r="F603" i="92"/>
  <c r="F602" i="92"/>
  <c r="F601" i="92"/>
  <c r="F600" i="92"/>
  <c r="F599" i="92"/>
  <c r="F598" i="92"/>
  <c r="F597" i="92"/>
  <c r="F596" i="92"/>
  <c r="F595" i="92"/>
  <c r="F594" i="92"/>
  <c r="F593" i="92"/>
  <c r="F592" i="92"/>
  <c r="F591" i="92"/>
  <c r="F590" i="92"/>
  <c r="F589" i="92"/>
  <c r="F588" i="92"/>
  <c r="F587" i="92"/>
  <c r="F586" i="92"/>
  <c r="F585" i="92"/>
  <c r="F584" i="92"/>
  <c r="F583" i="92"/>
  <c r="F582" i="92"/>
  <c r="F581" i="92"/>
  <c r="F580" i="92"/>
  <c r="F579" i="92"/>
  <c r="F578" i="92"/>
  <c r="F577" i="92"/>
  <c r="F576" i="92"/>
  <c r="F575" i="92"/>
  <c r="F574" i="92"/>
  <c r="F573" i="92"/>
  <c r="F572" i="92"/>
  <c r="F571" i="92"/>
  <c r="F570" i="92"/>
  <c r="F569" i="92"/>
  <c r="F568" i="92"/>
  <c r="F567" i="92"/>
  <c r="F566" i="92"/>
  <c r="F565" i="92"/>
  <c r="F564" i="92"/>
  <c r="F563" i="92"/>
  <c r="F562" i="92"/>
  <c r="F561" i="92"/>
  <c r="F560" i="92"/>
  <c r="F559" i="92"/>
  <c r="F558" i="92"/>
  <c r="F557" i="92"/>
  <c r="F556" i="92"/>
  <c r="F555" i="92"/>
  <c r="F554" i="92"/>
  <c r="F553" i="92"/>
  <c r="F552" i="92"/>
  <c r="F551" i="92"/>
  <c r="F550" i="92"/>
  <c r="F549" i="92"/>
  <c r="F548" i="92"/>
  <c r="F547" i="92"/>
  <c r="F546" i="92"/>
  <c r="F545" i="92"/>
  <c r="F544" i="92"/>
  <c r="F543" i="92"/>
  <c r="F542" i="92"/>
  <c r="F541" i="92"/>
  <c r="F540" i="92"/>
  <c r="F539" i="92"/>
  <c r="F538" i="92"/>
  <c r="F537" i="92"/>
  <c r="F536" i="92"/>
  <c r="F535" i="92"/>
  <c r="F534" i="92"/>
  <c r="F533" i="92"/>
  <c r="F532" i="92"/>
  <c r="F531" i="92"/>
  <c r="F530" i="92"/>
  <c r="F529" i="92"/>
  <c r="F528" i="92"/>
  <c r="F527" i="92"/>
  <c r="F526" i="92"/>
  <c r="F525" i="92"/>
  <c r="F524" i="92"/>
  <c r="F523" i="92"/>
  <c r="F522" i="92"/>
  <c r="F521" i="92"/>
  <c r="F520" i="92"/>
  <c r="F519" i="92"/>
  <c r="F518" i="92"/>
  <c r="F517" i="92"/>
  <c r="F516" i="92"/>
  <c r="F515" i="92"/>
  <c r="F514" i="92"/>
  <c r="F513" i="92"/>
  <c r="F512" i="92"/>
  <c r="F511" i="92"/>
  <c r="F510" i="92"/>
  <c r="F509" i="92"/>
  <c r="F508" i="92"/>
  <c r="F507" i="92"/>
  <c r="F506" i="92"/>
  <c r="F505" i="92"/>
  <c r="F504" i="92"/>
  <c r="F503" i="92"/>
  <c r="F502" i="92"/>
  <c r="F501" i="92"/>
  <c r="F500" i="92"/>
  <c r="F499" i="92"/>
  <c r="F498" i="92"/>
  <c r="F497" i="92"/>
  <c r="F496" i="92"/>
  <c r="F495" i="92"/>
  <c r="F494" i="92"/>
  <c r="F493" i="92"/>
  <c r="F492" i="92"/>
  <c r="F491" i="92"/>
  <c r="F490" i="92"/>
  <c r="F489" i="92"/>
  <c r="F488" i="92"/>
  <c r="F487" i="92"/>
  <c r="F486" i="92"/>
  <c r="F485" i="92"/>
  <c r="F484" i="92"/>
  <c r="F483" i="92"/>
  <c r="F482" i="92"/>
  <c r="F481" i="92"/>
  <c r="F480" i="92"/>
  <c r="F479" i="92"/>
  <c r="F478" i="92"/>
  <c r="F477" i="92"/>
  <c r="F476" i="92"/>
  <c r="F475" i="92"/>
  <c r="F474" i="92"/>
  <c r="F473" i="92"/>
  <c r="F472" i="92"/>
  <c r="F471" i="92"/>
  <c r="F470" i="92"/>
  <c r="F469" i="92"/>
  <c r="F468" i="92"/>
  <c r="F467" i="92"/>
  <c r="F466" i="92"/>
  <c r="F465" i="92"/>
  <c r="F464" i="92"/>
  <c r="F463" i="92"/>
  <c r="F462" i="92"/>
  <c r="F461" i="92"/>
  <c r="F460" i="92"/>
  <c r="F459" i="92"/>
  <c r="F458" i="92"/>
  <c r="F457" i="92"/>
  <c r="F456" i="92"/>
  <c r="F455" i="92"/>
  <c r="F454" i="92"/>
  <c r="F453" i="92"/>
  <c r="F452" i="92"/>
  <c r="F451" i="92"/>
  <c r="F450" i="92"/>
  <c r="F449" i="92"/>
  <c r="F448" i="92"/>
  <c r="F447" i="92"/>
  <c r="F446" i="92"/>
  <c r="F445" i="92"/>
  <c r="F444" i="92"/>
  <c r="F443" i="92"/>
  <c r="F442" i="92"/>
  <c r="F441" i="92"/>
  <c r="F440" i="92"/>
  <c r="F439" i="92"/>
  <c r="F438" i="92"/>
  <c r="F437" i="92"/>
  <c r="F436" i="92"/>
  <c r="F435" i="92"/>
  <c r="F434" i="92"/>
  <c r="F433" i="92"/>
  <c r="F432" i="92"/>
  <c r="F431" i="92"/>
  <c r="F430" i="92"/>
  <c r="F429" i="92"/>
  <c r="F428" i="92"/>
  <c r="F427" i="92"/>
  <c r="F426" i="92"/>
  <c r="F425" i="92"/>
  <c r="F424" i="92"/>
  <c r="F423" i="92"/>
  <c r="F422" i="92"/>
  <c r="F421" i="92"/>
  <c r="F420" i="92"/>
  <c r="F419" i="92"/>
  <c r="F418" i="92"/>
  <c r="F417" i="92"/>
  <c r="F416" i="92"/>
  <c r="F415" i="92"/>
  <c r="F414" i="92"/>
  <c r="F413" i="92"/>
  <c r="F412" i="92"/>
  <c r="F411" i="92"/>
  <c r="F410" i="92"/>
  <c r="F409" i="92"/>
  <c r="F408" i="92"/>
  <c r="F407" i="92"/>
  <c r="F406" i="92"/>
  <c r="F405" i="92"/>
  <c r="F404" i="92"/>
  <c r="F403" i="92"/>
  <c r="F402" i="92"/>
  <c r="F401" i="92"/>
  <c r="F400" i="92"/>
  <c r="F399" i="92"/>
  <c r="F398" i="92"/>
  <c r="F397" i="92"/>
  <c r="F396" i="92"/>
  <c r="F395" i="92"/>
  <c r="F394" i="92"/>
  <c r="F393" i="92"/>
  <c r="F392" i="92"/>
  <c r="F391" i="92"/>
  <c r="F390" i="92"/>
  <c r="F389" i="92"/>
  <c r="F388" i="92"/>
  <c r="F387" i="92"/>
  <c r="F386" i="92"/>
  <c r="F385" i="92"/>
  <c r="F384" i="92"/>
  <c r="F383" i="92"/>
  <c r="F382" i="92"/>
  <c r="F381" i="92"/>
  <c r="F380" i="92"/>
  <c r="F379" i="92"/>
  <c r="F378" i="92"/>
  <c r="F377" i="92"/>
  <c r="F376" i="92"/>
  <c r="F375" i="92"/>
  <c r="F374" i="92"/>
  <c r="F373" i="92"/>
  <c r="F372" i="92"/>
  <c r="F371" i="92"/>
  <c r="F370" i="92"/>
  <c r="F369" i="92"/>
  <c r="F368" i="92"/>
  <c r="F367" i="92"/>
  <c r="F366" i="92"/>
  <c r="F365" i="92"/>
  <c r="F364" i="92"/>
  <c r="F363" i="92"/>
  <c r="F362" i="92"/>
  <c r="F361" i="92"/>
  <c r="F360" i="92"/>
  <c r="F359" i="92"/>
  <c r="F358" i="92"/>
  <c r="F357" i="92"/>
  <c r="F356" i="92"/>
  <c r="F355" i="92"/>
  <c r="F354" i="92"/>
  <c r="F353" i="92"/>
  <c r="F352" i="92"/>
  <c r="F351" i="92"/>
  <c r="F350" i="92"/>
  <c r="F349" i="92"/>
  <c r="F348" i="92"/>
  <c r="F347" i="92"/>
  <c r="F346" i="92"/>
  <c r="F345" i="92"/>
  <c r="F344" i="92"/>
  <c r="F343" i="92"/>
  <c r="F342" i="92"/>
  <c r="F341" i="92"/>
  <c r="F340" i="92"/>
  <c r="F339" i="92"/>
  <c r="F338" i="92"/>
  <c r="F337" i="92"/>
  <c r="F336" i="92"/>
  <c r="F335" i="92"/>
  <c r="F334" i="92"/>
  <c r="F333" i="92"/>
  <c r="F332" i="92"/>
  <c r="F331" i="92"/>
  <c r="F330" i="92"/>
  <c r="F329" i="92"/>
  <c r="F328" i="92"/>
  <c r="F327" i="92"/>
  <c r="F326" i="92"/>
  <c r="F325" i="92"/>
  <c r="F324" i="92"/>
  <c r="F323" i="92"/>
  <c r="F322" i="92"/>
  <c r="F321" i="92"/>
  <c r="F320" i="92"/>
  <c r="F319" i="92"/>
  <c r="F318" i="92"/>
  <c r="F317" i="92"/>
  <c r="F316" i="92"/>
  <c r="F315" i="92"/>
  <c r="F314" i="92"/>
  <c r="F313" i="92"/>
  <c r="F312" i="92"/>
  <c r="F311" i="92"/>
  <c r="F310" i="92"/>
  <c r="F309" i="92"/>
  <c r="F308" i="92"/>
  <c r="F307" i="92"/>
  <c r="F306" i="92"/>
  <c r="F305" i="92"/>
  <c r="F304" i="92"/>
  <c r="F303" i="92"/>
  <c r="F302" i="92"/>
  <c r="F301" i="92"/>
  <c r="F300" i="92"/>
  <c r="F299" i="92"/>
  <c r="F298" i="92"/>
  <c r="F297" i="92"/>
  <c r="F296" i="92"/>
  <c r="F295" i="92"/>
  <c r="F294" i="92"/>
  <c r="F293" i="92"/>
  <c r="F292" i="92"/>
  <c r="F291" i="92"/>
  <c r="F290" i="92"/>
  <c r="F289" i="92"/>
  <c r="F288" i="92"/>
  <c r="F287" i="92"/>
  <c r="F286" i="92"/>
  <c r="F285" i="92"/>
  <c r="F284" i="92"/>
  <c r="F283" i="92"/>
  <c r="F282" i="92"/>
  <c r="F281" i="92"/>
  <c r="F280" i="92"/>
  <c r="F279" i="92"/>
  <c r="F278" i="92"/>
  <c r="F277" i="92"/>
  <c r="F276" i="92"/>
  <c r="F275" i="92"/>
  <c r="F274" i="92"/>
  <c r="F273" i="92"/>
  <c r="F272" i="92"/>
  <c r="F271" i="92"/>
  <c r="F270" i="92"/>
  <c r="F269" i="92"/>
  <c r="F268" i="92"/>
  <c r="F267" i="92"/>
  <c r="F266" i="92"/>
  <c r="F265" i="92"/>
  <c r="F264" i="92"/>
  <c r="F263" i="92"/>
  <c r="F262" i="92"/>
  <c r="F261" i="92"/>
  <c r="F260" i="92"/>
  <c r="F259" i="92"/>
  <c r="F258" i="92"/>
  <c r="F257" i="92"/>
  <c r="F256" i="92"/>
  <c r="F255" i="92"/>
  <c r="F254" i="92"/>
  <c r="F253" i="92"/>
  <c r="F252" i="92"/>
  <c r="F251" i="92"/>
  <c r="F250" i="92"/>
  <c r="F249" i="92"/>
  <c r="F248" i="92"/>
  <c r="F247" i="92"/>
  <c r="F246" i="92"/>
  <c r="F245" i="92"/>
  <c r="F244" i="92"/>
  <c r="F243" i="92"/>
  <c r="F242" i="92"/>
  <c r="F241" i="92"/>
  <c r="F240" i="92"/>
  <c r="F239" i="92"/>
  <c r="F238" i="92"/>
  <c r="F237" i="92"/>
  <c r="F236" i="92"/>
  <c r="F235" i="92"/>
  <c r="F234" i="92"/>
  <c r="F233" i="92"/>
  <c r="F232" i="92"/>
  <c r="F231" i="92"/>
  <c r="F230" i="92"/>
  <c r="F229" i="92"/>
  <c r="F228" i="92"/>
  <c r="F227" i="92"/>
  <c r="F226" i="92"/>
  <c r="F225" i="92"/>
  <c r="F224" i="92"/>
  <c r="F223" i="92"/>
  <c r="F222" i="92"/>
  <c r="F221" i="92"/>
  <c r="F220" i="92"/>
  <c r="F219" i="92"/>
  <c r="F218" i="92"/>
  <c r="F217" i="92"/>
  <c r="F216" i="92"/>
  <c r="F215" i="92"/>
  <c r="F214" i="92"/>
  <c r="F213" i="92"/>
  <c r="F212" i="92"/>
  <c r="F211" i="92"/>
  <c r="F210" i="92"/>
  <c r="F209" i="92"/>
  <c r="F208" i="92"/>
  <c r="F207" i="92"/>
  <c r="F206" i="92"/>
  <c r="F205" i="92"/>
  <c r="F204" i="92"/>
  <c r="F203" i="92"/>
  <c r="F202" i="92"/>
  <c r="F201" i="92"/>
  <c r="F200" i="92"/>
  <c r="F199" i="92"/>
  <c r="F198" i="92"/>
  <c r="F197" i="92"/>
  <c r="F196" i="92"/>
  <c r="F195" i="92"/>
  <c r="F194" i="92"/>
  <c r="F193" i="92"/>
  <c r="F192" i="92"/>
  <c r="F191" i="92"/>
  <c r="F190" i="92"/>
  <c r="F189" i="92"/>
  <c r="F188" i="92"/>
  <c r="F187" i="92"/>
  <c r="F186" i="92"/>
  <c r="F185" i="92"/>
  <c r="F184" i="92"/>
  <c r="F183" i="92"/>
  <c r="F182" i="92"/>
  <c r="F181" i="92"/>
  <c r="F180" i="92"/>
  <c r="F179" i="92"/>
  <c r="F178" i="92"/>
  <c r="F177" i="92"/>
  <c r="F176" i="92"/>
  <c r="F175" i="92"/>
  <c r="F174" i="92"/>
  <c r="F173" i="92"/>
  <c r="F172" i="92"/>
  <c r="F171" i="92"/>
  <c r="F170" i="92"/>
  <c r="F169" i="92"/>
  <c r="F168" i="92"/>
  <c r="F167" i="92"/>
  <c r="F166" i="92"/>
  <c r="F165" i="92"/>
  <c r="F164" i="92"/>
  <c r="F163" i="92"/>
  <c r="F162" i="92"/>
  <c r="F161" i="92"/>
  <c r="F160" i="92"/>
  <c r="F159" i="92"/>
  <c r="F158" i="92"/>
  <c r="F157" i="92"/>
  <c r="F156" i="92"/>
  <c r="F155" i="92"/>
  <c r="F154" i="92"/>
  <c r="F153" i="92"/>
  <c r="F152" i="92"/>
  <c r="F151" i="92"/>
  <c r="F150" i="92"/>
  <c r="F149" i="92"/>
  <c r="F148" i="92"/>
  <c r="F147" i="92"/>
  <c r="F146" i="92"/>
  <c r="F145" i="92"/>
  <c r="F144" i="92"/>
  <c r="F143" i="92"/>
  <c r="F142" i="92"/>
  <c r="F141" i="92"/>
  <c r="F140" i="92"/>
  <c r="F139" i="92"/>
  <c r="F138" i="92"/>
  <c r="F137" i="92"/>
  <c r="F136" i="92"/>
  <c r="F135" i="92"/>
  <c r="F134" i="92"/>
  <c r="F133" i="92"/>
  <c r="F132" i="92"/>
  <c r="F131" i="92"/>
  <c r="F130" i="92"/>
  <c r="F129" i="92"/>
  <c r="F128" i="92"/>
  <c r="F127" i="92"/>
  <c r="F126" i="92"/>
  <c r="F125" i="92"/>
  <c r="F124" i="92"/>
  <c r="F123" i="92"/>
  <c r="F122" i="92"/>
  <c r="F121" i="92"/>
  <c r="F120" i="92"/>
  <c r="F119" i="92"/>
  <c r="F118" i="92"/>
  <c r="F117" i="92"/>
  <c r="F116" i="92"/>
  <c r="F115" i="92"/>
  <c r="F114" i="92"/>
  <c r="F113" i="92"/>
  <c r="F112" i="92"/>
  <c r="F111" i="92"/>
  <c r="F110" i="92"/>
  <c r="F109" i="92"/>
  <c r="F108" i="92"/>
  <c r="F107" i="92"/>
  <c r="F106" i="92"/>
  <c r="F105" i="92"/>
  <c r="F104" i="92"/>
  <c r="F103" i="92"/>
  <c r="F102" i="92"/>
  <c r="F101" i="92"/>
  <c r="F100" i="92"/>
  <c r="F99" i="92"/>
  <c r="F98" i="92"/>
  <c r="F97" i="92"/>
  <c r="F96" i="92"/>
  <c r="F95" i="92"/>
  <c r="F94" i="92"/>
  <c r="F93" i="92"/>
  <c r="F92" i="92"/>
  <c r="F91" i="92"/>
  <c r="F90" i="92"/>
  <c r="F89" i="92"/>
  <c r="F88" i="92"/>
  <c r="F87" i="92"/>
  <c r="F86" i="92"/>
  <c r="F85" i="92"/>
  <c r="F84" i="92"/>
  <c r="F83" i="92"/>
  <c r="F82" i="92"/>
  <c r="F81" i="92"/>
  <c r="F80" i="92"/>
  <c r="F79" i="92"/>
  <c r="F78" i="92"/>
  <c r="F77" i="92"/>
  <c r="F76" i="92"/>
  <c r="F75" i="92"/>
  <c r="F74" i="92"/>
  <c r="F73" i="92"/>
  <c r="F72" i="92"/>
  <c r="F71" i="92"/>
  <c r="F70" i="92"/>
  <c r="F69" i="92"/>
  <c r="F68" i="92"/>
  <c r="F67" i="92"/>
  <c r="F66" i="92"/>
  <c r="F65" i="92"/>
  <c r="F64" i="92"/>
  <c r="F63" i="92"/>
  <c r="F62" i="92"/>
  <c r="F61" i="92"/>
  <c r="F60" i="92"/>
  <c r="F59" i="92"/>
  <c r="F58" i="92"/>
  <c r="F57" i="92"/>
  <c r="F56" i="92"/>
  <c r="F55" i="92"/>
  <c r="F54" i="92"/>
  <c r="F53" i="92"/>
  <c r="F52" i="92"/>
  <c r="F51" i="92"/>
  <c r="F50" i="92"/>
  <c r="F49" i="92"/>
  <c r="F48" i="92"/>
  <c r="F47" i="92"/>
  <c r="F46" i="92"/>
  <c r="F45" i="92"/>
  <c r="F44" i="92"/>
  <c r="F43" i="92"/>
  <c r="F42" i="92"/>
  <c r="F41" i="92"/>
  <c r="F40" i="92"/>
  <c r="F39" i="92"/>
  <c r="F38" i="92"/>
  <c r="F37" i="92"/>
  <c r="F36" i="92"/>
  <c r="F35" i="92"/>
  <c r="F34" i="92"/>
  <c r="F33" i="92"/>
  <c r="F32" i="92"/>
  <c r="F31" i="92"/>
  <c r="F30" i="92"/>
  <c r="F29" i="92"/>
  <c r="F28" i="92"/>
  <c r="F27" i="92"/>
  <c r="F26" i="92"/>
  <c r="F25" i="92"/>
  <c r="F24" i="92"/>
  <c r="F23" i="92"/>
  <c r="F22" i="92"/>
  <c r="F21" i="92"/>
  <c r="F20" i="92"/>
  <c r="F19" i="92"/>
  <c r="F18" i="92"/>
  <c r="F17" i="92"/>
  <c r="F16" i="92"/>
  <c r="F15" i="92"/>
  <c r="F14" i="92"/>
  <c r="F13" i="92"/>
  <c r="F12" i="92"/>
  <c r="F11" i="92"/>
  <c r="F10" i="92"/>
  <c r="F9" i="92"/>
  <c r="F8" i="92"/>
  <c r="F7" i="92"/>
  <c r="F6" i="92"/>
  <c r="F5" i="92"/>
  <c r="F4" i="92"/>
  <c r="F3" i="92"/>
  <c r="B350" i="7"/>
  <c r="B314" i="7"/>
  <c r="B278" i="7"/>
  <c r="B242" i="7"/>
  <c r="B206" i="7"/>
  <c r="E58" i="4"/>
  <c r="D37" i="3"/>
  <c r="AD36" i="5" l="1"/>
  <c r="C140" i="20" s="1"/>
  <c r="Z22" i="5"/>
  <c r="C82" i="20" s="1"/>
  <c r="AF239" i="85"/>
  <c r="AB13" i="5"/>
  <c r="C47" i="20" s="1"/>
  <c r="AD46" i="5"/>
  <c r="C180" i="20" s="1"/>
  <c r="AD47" i="5"/>
  <c r="C184" i="20" s="1"/>
  <c r="AB48" i="5"/>
  <c r="C187" i="20" s="1"/>
  <c r="Z49" i="5"/>
  <c r="C190" i="20" s="1"/>
  <c r="AD13" i="5"/>
  <c r="C48" i="20" s="1"/>
  <c r="Z45" i="5"/>
  <c r="C174" i="20" s="1"/>
  <c r="AB49" i="5"/>
  <c r="C191" i="20" s="1"/>
  <c r="G50" i="5"/>
  <c r="AB8" i="5"/>
  <c r="C27" i="20" s="1"/>
  <c r="AB18" i="5"/>
  <c r="C67" i="20" s="1"/>
  <c r="AB22" i="5"/>
  <c r="C83" i="20" s="1"/>
  <c r="Z23" i="5"/>
  <c r="C86" i="20" s="1"/>
  <c r="Z27" i="5"/>
  <c r="C102" i="20" s="1"/>
  <c r="Z28" i="5"/>
  <c r="C106" i="20" s="1"/>
  <c r="AB29" i="5"/>
  <c r="C111" i="20" s="1"/>
  <c r="AB31" i="5"/>
  <c r="C119" i="20" s="1"/>
  <c r="AB45" i="5"/>
  <c r="C175" i="20" s="1"/>
  <c r="Z51" i="5"/>
  <c r="C198" i="20" s="1"/>
  <c r="AD8" i="5"/>
  <c r="C28" i="20" s="1"/>
  <c r="AD18" i="5"/>
  <c r="C68" i="20" s="1"/>
  <c r="AD19" i="5"/>
  <c r="C72" i="20" s="1"/>
  <c r="AB23" i="5"/>
  <c r="C87" i="20" s="1"/>
  <c r="AB25" i="5"/>
  <c r="C95" i="20" s="1"/>
  <c r="AD29" i="5"/>
  <c r="C112" i="20" s="1"/>
  <c r="AD31" i="5"/>
  <c r="C120" i="20" s="1"/>
  <c r="AF32" i="5"/>
  <c r="C125" i="20" s="1"/>
  <c r="Z33" i="5"/>
  <c r="C126" i="20" s="1"/>
  <c r="AB34" i="5"/>
  <c r="C131" i="20" s="1"/>
  <c r="Z35" i="5"/>
  <c r="C134" i="20" s="1"/>
  <c r="Z36" i="5"/>
  <c r="C138" i="20" s="1"/>
  <c r="AD45" i="5"/>
  <c r="C176" i="20" s="1"/>
  <c r="AB46" i="5"/>
  <c r="C179" i="20" s="1"/>
  <c r="AB51" i="5"/>
  <c r="C199" i="20" s="1"/>
  <c r="AD49" i="5"/>
  <c r="C192" i="20" s="1"/>
  <c r="AB50" i="5"/>
  <c r="C195" i="20" s="1"/>
  <c r="AD51" i="5"/>
  <c r="C200" i="20" s="1"/>
  <c r="AF50" i="5"/>
  <c r="C197" i="20" s="1"/>
  <c r="Z50" i="5"/>
  <c r="C194" i="20" s="1"/>
  <c r="C49" i="5"/>
  <c r="E50" i="5"/>
  <c r="C51" i="5"/>
  <c r="AD48" i="5"/>
  <c r="C188" i="20" s="1"/>
  <c r="AF48" i="5"/>
  <c r="C189" i="20" s="1"/>
  <c r="C48" i="5"/>
  <c r="AF47" i="5"/>
  <c r="C185" i="20" s="1"/>
  <c r="AF46" i="5"/>
  <c r="C181" i="20" s="1"/>
  <c r="Z47" i="5"/>
  <c r="C182" i="20" s="1"/>
  <c r="C47" i="5"/>
  <c r="C46" i="5"/>
  <c r="C45" i="5"/>
  <c r="Z39" i="5"/>
  <c r="C150" i="20" s="1"/>
  <c r="Z29" i="5"/>
  <c r="C110" i="20" s="1"/>
  <c r="Z37" i="5"/>
  <c r="C142" i="20" s="1"/>
  <c r="AD25" i="5"/>
  <c r="C96" i="20" s="1"/>
  <c r="Z10" i="5"/>
  <c r="C34" i="20" s="1"/>
  <c r="AD14" i="5"/>
  <c r="C52" i="20" s="1"/>
  <c r="D12" i="5"/>
  <c r="E12" i="5" s="1"/>
  <c r="F12" i="5" s="1"/>
  <c r="I12" i="5" s="1"/>
  <c r="P12" i="5" s="1"/>
  <c r="AB6" i="5"/>
  <c r="C19" i="20" s="1"/>
  <c r="AD4" i="5"/>
  <c r="C12" i="20" s="1"/>
  <c r="D5" i="5"/>
  <c r="E5" i="5" s="1"/>
  <c r="G5" i="5"/>
  <c r="D11" i="5"/>
  <c r="E11" i="5" s="1"/>
  <c r="F11" i="5" s="1"/>
  <c r="I11" i="5" s="1"/>
  <c r="P11" i="5" s="1"/>
  <c r="G11" i="5"/>
  <c r="D4" i="5"/>
  <c r="E4" i="5" s="1"/>
  <c r="F4" i="5" s="1"/>
  <c r="I4" i="5" s="1"/>
  <c r="P4" i="5" s="1"/>
  <c r="Z7" i="5"/>
  <c r="C22" i="20" s="1"/>
  <c r="Z12" i="5"/>
  <c r="C42" i="20" s="1"/>
  <c r="AD15" i="5"/>
  <c r="C56" i="20" s="1"/>
  <c r="AB16" i="5"/>
  <c r="C59" i="20" s="1"/>
  <c r="Z17" i="5"/>
  <c r="C62" i="20" s="1"/>
  <c r="AD23" i="5"/>
  <c r="C88" i="20" s="1"/>
  <c r="AD24" i="5"/>
  <c r="C92" i="20" s="1"/>
  <c r="Z30" i="5"/>
  <c r="C114" i="20" s="1"/>
  <c r="AD35" i="5"/>
  <c r="C136" i="20" s="1"/>
  <c r="AD37" i="5"/>
  <c r="C144" i="20" s="1"/>
  <c r="AD39" i="5"/>
  <c r="C152" i="20" s="1"/>
  <c r="AB40" i="5"/>
  <c r="C155" i="20" s="1"/>
  <c r="Z42" i="5"/>
  <c r="C162" i="20" s="1"/>
  <c r="AB43" i="5"/>
  <c r="C167" i="20" s="1"/>
  <c r="AD44" i="5"/>
  <c r="C172" i="20" s="1"/>
  <c r="AB7" i="5"/>
  <c r="C23" i="20" s="1"/>
  <c r="AB12" i="5"/>
  <c r="C43" i="20" s="1"/>
  <c r="AB17" i="5"/>
  <c r="C63" i="20" s="1"/>
  <c r="AB30" i="5"/>
  <c r="C115" i="20" s="1"/>
  <c r="AB4" i="5"/>
  <c r="C11" i="20" s="1"/>
  <c r="Z5" i="5"/>
  <c r="C14" i="20" s="1"/>
  <c r="Z6" i="5"/>
  <c r="C18" i="20" s="1"/>
  <c r="AD12" i="5"/>
  <c r="C44" i="20" s="1"/>
  <c r="AD30" i="5"/>
  <c r="C116" i="20" s="1"/>
  <c r="AF44" i="5"/>
  <c r="C173" i="20" s="1"/>
  <c r="Z44" i="5"/>
  <c r="C170" i="20" s="1"/>
  <c r="AD43" i="5"/>
  <c r="C168" i="20" s="1"/>
  <c r="AF43" i="5"/>
  <c r="C169" i="20" s="1"/>
  <c r="AB42" i="5"/>
  <c r="C163" i="20" s="1"/>
  <c r="AD42" i="5"/>
  <c r="C164" i="20" s="1"/>
  <c r="C44" i="5"/>
  <c r="C43" i="5"/>
  <c r="C42" i="5"/>
  <c r="AF41" i="5"/>
  <c r="C161" i="20" s="1"/>
  <c r="Z41" i="5"/>
  <c r="C158" i="20" s="1"/>
  <c r="AB41" i="5"/>
  <c r="C159" i="20" s="1"/>
  <c r="E41" i="5"/>
  <c r="G41" i="5"/>
  <c r="AF38" i="5"/>
  <c r="C149" i="20" s="1"/>
  <c r="AD34" i="5"/>
  <c r="C132" i="20" s="1"/>
  <c r="AF35" i="5"/>
  <c r="C137" i="20" s="1"/>
  <c r="AF36" i="5"/>
  <c r="C141" i="20" s="1"/>
  <c r="AF37" i="5"/>
  <c r="C145" i="20" s="1"/>
  <c r="Z38" i="5"/>
  <c r="C146" i="20" s="1"/>
  <c r="AB39" i="5"/>
  <c r="C151" i="20" s="1"/>
  <c r="AD40" i="5"/>
  <c r="C156" i="20" s="1"/>
  <c r="AF34" i="5"/>
  <c r="C133" i="20" s="1"/>
  <c r="AB38" i="5"/>
  <c r="C147" i="20" s="1"/>
  <c r="AF40" i="5"/>
  <c r="C157" i="20" s="1"/>
  <c r="E36" i="5"/>
  <c r="G36" i="5"/>
  <c r="C35" i="5"/>
  <c r="D37" i="5"/>
  <c r="C34" i="5"/>
  <c r="C38" i="5"/>
  <c r="C40" i="5"/>
  <c r="C39" i="5"/>
  <c r="AB28" i="5"/>
  <c r="C107" i="20" s="1"/>
  <c r="AF31" i="5"/>
  <c r="C121" i="20" s="1"/>
  <c r="Z32" i="5"/>
  <c r="C122" i="20" s="1"/>
  <c r="AB33" i="5"/>
  <c r="C127" i="20" s="1"/>
  <c r="AD28" i="5"/>
  <c r="C108" i="20" s="1"/>
  <c r="AB32" i="5"/>
  <c r="C123" i="20" s="1"/>
  <c r="AD33" i="5"/>
  <c r="C128" i="20" s="1"/>
  <c r="D30" i="5"/>
  <c r="C29" i="5"/>
  <c r="C28" i="5"/>
  <c r="C32" i="5"/>
  <c r="C31" i="5"/>
  <c r="C33" i="5"/>
  <c r="AF19" i="5"/>
  <c r="C73" i="20" s="1"/>
  <c r="Z20" i="5"/>
  <c r="C74" i="20" s="1"/>
  <c r="Z21" i="5"/>
  <c r="C78" i="20" s="1"/>
  <c r="AF24" i="5"/>
  <c r="C93" i="20" s="1"/>
  <c r="AF25" i="5"/>
  <c r="C97" i="20" s="1"/>
  <c r="Z26" i="5"/>
  <c r="C98" i="20" s="1"/>
  <c r="AB27" i="5"/>
  <c r="C103" i="20" s="1"/>
  <c r="AF20" i="5"/>
  <c r="C77" i="20" s="1"/>
  <c r="AD17" i="5"/>
  <c r="C64" i="20" s="1"/>
  <c r="AF18" i="5"/>
  <c r="C69" i="20" s="1"/>
  <c r="Z19" i="5"/>
  <c r="C70" i="20" s="1"/>
  <c r="AB20" i="5"/>
  <c r="C75" i="20" s="1"/>
  <c r="AB21" i="5"/>
  <c r="C79" i="20" s="1"/>
  <c r="AD22" i="5"/>
  <c r="C84" i="20" s="1"/>
  <c r="Z24" i="5"/>
  <c r="C90" i="20" s="1"/>
  <c r="AB26" i="5"/>
  <c r="C99" i="20" s="1"/>
  <c r="AD27" i="5"/>
  <c r="C104" i="20" s="1"/>
  <c r="AF21" i="5"/>
  <c r="C81" i="20" s="1"/>
  <c r="AF26" i="5"/>
  <c r="C101" i="20" s="1"/>
  <c r="D20" i="5"/>
  <c r="G20" i="5"/>
  <c r="E21" i="5"/>
  <c r="C24" i="5"/>
  <c r="E25" i="5"/>
  <c r="C18" i="5"/>
  <c r="G21" i="5"/>
  <c r="G25" i="5"/>
  <c r="C19" i="5"/>
  <c r="C17" i="5"/>
  <c r="C23" i="5"/>
  <c r="C26" i="5"/>
  <c r="C22" i="5"/>
  <c r="C27" i="5"/>
  <c r="AD16" i="5"/>
  <c r="C60" i="20" s="1"/>
  <c r="AF16" i="5"/>
  <c r="C61" i="20" s="1"/>
  <c r="C16" i="5"/>
  <c r="AF14" i="5"/>
  <c r="C53" i="20" s="1"/>
  <c r="AF15" i="5"/>
  <c r="C57" i="20" s="1"/>
  <c r="AF13" i="5"/>
  <c r="C49" i="20" s="1"/>
  <c r="Z14" i="5"/>
  <c r="C50" i="20" s="1"/>
  <c r="Z15" i="5"/>
  <c r="C54" i="20" s="1"/>
  <c r="E15" i="5"/>
  <c r="G15" i="5"/>
  <c r="C14" i="5"/>
  <c r="C13" i="5"/>
  <c r="AF3" i="5"/>
  <c r="C9" i="20" s="1"/>
  <c r="AF9" i="5"/>
  <c r="C33" i="20" s="1"/>
  <c r="AF11" i="5"/>
  <c r="C41" i="20" s="1"/>
  <c r="Z3" i="5"/>
  <c r="C6" i="20" s="1"/>
  <c r="AF4" i="5"/>
  <c r="C13" i="20" s="1"/>
  <c r="AB5" i="5"/>
  <c r="C15" i="20" s="1"/>
  <c r="AD6" i="5"/>
  <c r="C20" i="20" s="1"/>
  <c r="AD7" i="5"/>
  <c r="C24" i="20" s="1"/>
  <c r="AF8" i="5"/>
  <c r="C29" i="20" s="1"/>
  <c r="Z9" i="5"/>
  <c r="C30" i="20" s="1"/>
  <c r="AB10" i="5"/>
  <c r="C35" i="20" s="1"/>
  <c r="Z11" i="5"/>
  <c r="C38" i="20" s="1"/>
  <c r="AB3" i="5"/>
  <c r="C7" i="20" s="1"/>
  <c r="AD5" i="5"/>
  <c r="C16" i="20" s="1"/>
  <c r="AB9" i="5"/>
  <c r="C31" i="20" s="1"/>
  <c r="AD10" i="5"/>
  <c r="C36" i="20" s="1"/>
  <c r="AB11" i="5"/>
  <c r="C39" i="20" s="1"/>
  <c r="F7" i="5"/>
  <c r="H7" i="5" s="1"/>
  <c r="C3" i="5"/>
  <c r="G7" i="5"/>
  <c r="C8" i="5"/>
  <c r="C6" i="5"/>
  <c r="C9" i="5"/>
  <c r="C10" i="5"/>
  <c r="Z2" i="5"/>
  <c r="C2" i="20" s="1"/>
  <c r="AF2" i="5"/>
  <c r="C5" i="20" s="1"/>
  <c r="AB2" i="5"/>
  <c r="C3" i="20" s="1"/>
  <c r="C2" i="5"/>
  <c r="F5" i="5" l="1"/>
  <c r="H5" i="5" s="1"/>
  <c r="J5" i="5" s="1"/>
  <c r="F50" i="5"/>
  <c r="I50" i="5" s="1"/>
  <c r="P50" i="5" s="1"/>
  <c r="S50" i="5" s="1"/>
  <c r="G51" i="5"/>
  <c r="D51" i="5"/>
  <c r="G49" i="5"/>
  <c r="D49" i="5"/>
  <c r="D48" i="5"/>
  <c r="G48" i="5"/>
  <c r="D47" i="5"/>
  <c r="G47" i="5"/>
  <c r="G45" i="5"/>
  <c r="D45" i="5"/>
  <c r="D46" i="5"/>
  <c r="G46" i="5"/>
  <c r="H11" i="5"/>
  <c r="J11" i="5" s="1"/>
  <c r="I7" i="5"/>
  <c r="P7" i="5" s="1"/>
  <c r="AH7" i="5" s="1"/>
  <c r="H4" i="5"/>
  <c r="K4" i="5" s="1"/>
  <c r="D44" i="5"/>
  <c r="G44" i="5"/>
  <c r="D43" i="5"/>
  <c r="G43" i="5"/>
  <c r="G42" i="5"/>
  <c r="D42" i="5"/>
  <c r="F41" i="5"/>
  <c r="I41" i="5" s="1"/>
  <c r="P41" i="5" s="1"/>
  <c r="D34" i="5"/>
  <c r="G34" i="5"/>
  <c r="D38" i="5"/>
  <c r="G38" i="5"/>
  <c r="D40" i="5"/>
  <c r="G40" i="5"/>
  <c r="E37" i="5"/>
  <c r="F36" i="5"/>
  <c r="I36" i="5" s="1"/>
  <c r="P36" i="5" s="1"/>
  <c r="G39" i="5"/>
  <c r="D39" i="5"/>
  <c r="D35" i="5"/>
  <c r="G35" i="5"/>
  <c r="G33" i="5"/>
  <c r="D33" i="5"/>
  <c r="G31" i="5"/>
  <c r="D31" i="5"/>
  <c r="G28" i="5"/>
  <c r="D28" i="5"/>
  <c r="D29" i="5"/>
  <c r="G29" i="5"/>
  <c r="D32" i="5"/>
  <c r="G32" i="5"/>
  <c r="E30" i="5"/>
  <c r="G27" i="5"/>
  <c r="D27" i="5"/>
  <c r="G19" i="5"/>
  <c r="D19" i="5"/>
  <c r="E20" i="5"/>
  <c r="F20" i="5" s="1"/>
  <c r="I20" i="5" s="1"/>
  <c r="P20" i="5" s="1"/>
  <c r="G22" i="5"/>
  <c r="D22" i="5"/>
  <c r="F25" i="5"/>
  <c r="I25" i="5" s="1"/>
  <c r="P25" i="5" s="1"/>
  <c r="F21" i="5"/>
  <c r="I21" i="5" s="1"/>
  <c r="P21" i="5" s="1"/>
  <c r="D23" i="5"/>
  <c r="G23" i="5"/>
  <c r="D26" i="5"/>
  <c r="G26" i="5"/>
  <c r="G17" i="5"/>
  <c r="D17" i="5"/>
  <c r="D24" i="5"/>
  <c r="G24" i="5"/>
  <c r="D18" i="5"/>
  <c r="G18" i="5"/>
  <c r="D16" i="5"/>
  <c r="G16" i="5"/>
  <c r="AH12" i="5"/>
  <c r="S12" i="5"/>
  <c r="D14" i="5"/>
  <c r="G14" i="5"/>
  <c r="H12" i="5"/>
  <c r="D13" i="5"/>
  <c r="G13" i="5"/>
  <c r="F15" i="5"/>
  <c r="I15" i="5" s="1"/>
  <c r="P15" i="5" s="1"/>
  <c r="S11" i="5"/>
  <c r="AH11" i="5"/>
  <c r="D3" i="5"/>
  <c r="G3" i="5"/>
  <c r="G8" i="5"/>
  <c r="D8" i="5"/>
  <c r="G9" i="5"/>
  <c r="D9" i="5"/>
  <c r="AH4" i="5"/>
  <c r="S4" i="5"/>
  <c r="D10" i="5"/>
  <c r="G10" i="5"/>
  <c r="G6" i="5"/>
  <c r="D6" i="5"/>
  <c r="J7" i="5"/>
  <c r="K7" i="5"/>
  <c r="C202" i="20"/>
  <c r="G2" i="5"/>
  <c r="D2" i="5"/>
  <c r="I5" i="5" l="1"/>
  <c r="P5" i="5" s="1"/>
  <c r="AH5" i="5" s="1"/>
  <c r="K5" i="5"/>
  <c r="L5" i="5" s="1"/>
  <c r="J4" i="5"/>
  <c r="L4" i="5" s="1"/>
  <c r="AI4" i="5" s="1"/>
  <c r="AN4" i="5" s="1"/>
  <c r="AO4" i="5" s="1"/>
  <c r="AH50" i="5"/>
  <c r="S7" i="5"/>
  <c r="T7" i="5" s="1"/>
  <c r="Y7" i="5" s="1"/>
  <c r="K11" i="5"/>
  <c r="M11" i="5" s="1"/>
  <c r="AL11" i="5" s="1"/>
  <c r="U11" i="5"/>
  <c r="AA11" i="5" s="1"/>
  <c r="B39" i="20" s="1"/>
  <c r="D39" i="20" s="1"/>
  <c r="H50" i="5"/>
  <c r="W50" i="5" s="1"/>
  <c r="E49" i="5"/>
  <c r="F49" i="5" s="1"/>
  <c r="E51" i="5"/>
  <c r="F51" i="5" s="1"/>
  <c r="I51" i="5" s="1"/>
  <c r="P51" i="5" s="1"/>
  <c r="V50" i="5"/>
  <c r="T50" i="5"/>
  <c r="Y50" i="5" s="1"/>
  <c r="B194" i="20" s="1"/>
  <c r="D194" i="20" s="1"/>
  <c r="E48" i="5"/>
  <c r="F48" i="5" s="1"/>
  <c r="E45" i="5"/>
  <c r="F45" i="5" s="1"/>
  <c r="I45" i="5" s="1"/>
  <c r="P45" i="5" s="1"/>
  <c r="E46" i="5"/>
  <c r="E47" i="5"/>
  <c r="F47" i="5" s="1"/>
  <c r="I47" i="5" s="1"/>
  <c r="P47" i="5" s="1"/>
  <c r="H20" i="5"/>
  <c r="K20" i="5" s="1"/>
  <c r="E44" i="5"/>
  <c r="F44" i="5" s="1"/>
  <c r="I44" i="5" s="1"/>
  <c r="P44" i="5" s="1"/>
  <c r="E43" i="5"/>
  <c r="F43" i="5" s="1"/>
  <c r="I43" i="5" s="1"/>
  <c r="P43" i="5" s="1"/>
  <c r="E42" i="5"/>
  <c r="F42" i="5" s="1"/>
  <c r="S41" i="5"/>
  <c r="AH41" i="5"/>
  <c r="H41" i="5"/>
  <c r="S36" i="5"/>
  <c r="AH36" i="5"/>
  <c r="F37" i="5"/>
  <c r="I37" i="5" s="1"/>
  <c r="P37" i="5" s="1"/>
  <c r="E34" i="5"/>
  <c r="E38" i="5"/>
  <c r="F38" i="5" s="1"/>
  <c r="E35" i="5"/>
  <c r="F35" i="5" s="1"/>
  <c r="I35" i="5" s="1"/>
  <c r="P35" i="5" s="1"/>
  <c r="E39" i="5"/>
  <c r="F39" i="5" s="1"/>
  <c r="E40" i="5"/>
  <c r="H36" i="5"/>
  <c r="E31" i="5"/>
  <c r="F31" i="5" s="1"/>
  <c r="F30" i="5"/>
  <c r="I30" i="5" s="1"/>
  <c r="P30" i="5" s="1"/>
  <c r="E29" i="5"/>
  <c r="E28" i="5"/>
  <c r="F28" i="5" s="1"/>
  <c r="I28" i="5" s="1"/>
  <c r="P28" i="5" s="1"/>
  <c r="E33" i="5"/>
  <c r="F33" i="5" s="1"/>
  <c r="I33" i="5" s="1"/>
  <c r="P33" i="5" s="1"/>
  <c r="E32" i="5"/>
  <c r="F32" i="5" s="1"/>
  <c r="H32" i="5" s="1"/>
  <c r="AH20" i="5"/>
  <c r="S20" i="5"/>
  <c r="E26" i="5"/>
  <c r="F26" i="5" s="1"/>
  <c r="I26" i="5" s="1"/>
  <c r="P26" i="5" s="1"/>
  <c r="E22" i="5"/>
  <c r="E27" i="5"/>
  <c r="F27" i="5" s="1"/>
  <c r="I27" i="5" s="1"/>
  <c r="P27" i="5" s="1"/>
  <c r="E17" i="5"/>
  <c r="E24" i="5"/>
  <c r="E18" i="5"/>
  <c r="F18" i="5" s="1"/>
  <c r="I18" i="5" s="1"/>
  <c r="P18" i="5" s="1"/>
  <c r="E23" i="5"/>
  <c r="F23" i="5" s="1"/>
  <c r="I23" i="5" s="1"/>
  <c r="P23" i="5" s="1"/>
  <c r="E19" i="5"/>
  <c r="H25" i="5"/>
  <c r="S25" i="5"/>
  <c r="AH25" i="5"/>
  <c r="S21" i="5"/>
  <c r="AH21" i="5"/>
  <c r="H21" i="5"/>
  <c r="E16" i="5"/>
  <c r="F16" i="5" s="1"/>
  <c r="S15" i="5"/>
  <c r="AH15" i="5"/>
  <c r="W12" i="5"/>
  <c r="V12" i="5"/>
  <c r="T12" i="5"/>
  <c r="Y12" i="5" s="1"/>
  <c r="B42" i="20" s="1"/>
  <c r="D42" i="20" s="1"/>
  <c r="E14" i="5"/>
  <c r="F14" i="5" s="1"/>
  <c r="E13" i="5"/>
  <c r="U12" i="5"/>
  <c r="AA12" i="5" s="1"/>
  <c r="B43" i="20" s="1"/>
  <c r="D43" i="20" s="1"/>
  <c r="J12" i="5"/>
  <c r="K12" i="5"/>
  <c r="H15" i="5"/>
  <c r="L7" i="5"/>
  <c r="AI7" i="5" s="1"/>
  <c r="AN7" i="5" s="1"/>
  <c r="AO7" i="5" s="1"/>
  <c r="E10" i="5"/>
  <c r="F10" i="5" s="1"/>
  <c r="I10" i="5" s="1"/>
  <c r="P10" i="5" s="1"/>
  <c r="M7" i="5"/>
  <c r="AL7" i="5" s="1"/>
  <c r="E8" i="5"/>
  <c r="F8" i="5" s="1"/>
  <c r="I8" i="5" s="1"/>
  <c r="P8" i="5" s="1"/>
  <c r="V4" i="5"/>
  <c r="W4" i="5"/>
  <c r="T4" i="5"/>
  <c r="E6" i="5"/>
  <c r="F6" i="5" s="1"/>
  <c r="I6" i="5" s="1"/>
  <c r="P6" i="5" s="1"/>
  <c r="U4" i="5"/>
  <c r="AA4" i="5" s="1"/>
  <c r="B11" i="20" s="1"/>
  <c r="D11" i="20" s="1"/>
  <c r="E9" i="5"/>
  <c r="F9" i="5" s="1"/>
  <c r="I9" i="5" s="1"/>
  <c r="P9" i="5" s="1"/>
  <c r="E3" i="5"/>
  <c r="F3" i="5" s="1"/>
  <c r="W11" i="5"/>
  <c r="V11" i="5"/>
  <c r="AE11" i="5" s="1"/>
  <c r="B41" i="20" s="1"/>
  <c r="D41" i="20" s="1"/>
  <c r="T11" i="5"/>
  <c r="Y11" i="5" s="1"/>
  <c r="B38" i="20" s="1"/>
  <c r="D38" i="20" s="1"/>
  <c r="E2" i="5"/>
  <c r="F2" i="5" s="1"/>
  <c r="I2" i="5" s="1"/>
  <c r="P2" i="5" s="1"/>
  <c r="AC50" i="5" l="1"/>
  <c r="B196" i="20" s="1"/>
  <c r="D196" i="20" s="1"/>
  <c r="E196" i="20" s="1"/>
  <c r="AE50" i="5"/>
  <c r="B197" i="20" s="1"/>
  <c r="D197" i="20" s="1"/>
  <c r="E197" i="20" s="1"/>
  <c r="AC12" i="5"/>
  <c r="B44" i="20" s="1"/>
  <c r="D44" i="20" s="1"/>
  <c r="E44" i="20" s="1"/>
  <c r="AC11" i="5"/>
  <c r="B40" i="20" s="1"/>
  <c r="D40" i="20" s="1"/>
  <c r="E40" i="20" s="1"/>
  <c r="S5" i="5"/>
  <c r="V5" i="5" s="1"/>
  <c r="AE4" i="5"/>
  <c r="B13" i="20" s="1"/>
  <c r="D13" i="20" s="1"/>
  <c r="E13" i="20" s="1"/>
  <c r="Y4" i="5"/>
  <c r="B10" i="20" s="1"/>
  <c r="D10" i="20" s="1"/>
  <c r="M5" i="5"/>
  <c r="AL5" i="5" s="1"/>
  <c r="AE12" i="5"/>
  <c r="B45" i="20" s="1"/>
  <c r="D45" i="20" s="1"/>
  <c r="E45" i="20" s="1"/>
  <c r="AC4" i="5"/>
  <c r="B12" i="20" s="1"/>
  <c r="D12" i="20" s="1"/>
  <c r="E12" i="20" s="1"/>
  <c r="M4" i="5"/>
  <c r="AL4" i="5" s="1"/>
  <c r="M12" i="5"/>
  <c r="AL12" i="5" s="1"/>
  <c r="J20" i="5"/>
  <c r="M20" i="5" s="1"/>
  <c r="AL20" i="5" s="1"/>
  <c r="B22" i="20"/>
  <c r="D22" i="20" s="1"/>
  <c r="E22" i="20" s="1"/>
  <c r="U7" i="5"/>
  <c r="AA7" i="5" s="1"/>
  <c r="B23" i="20" s="1"/>
  <c r="D23" i="20" s="1"/>
  <c r="F23" i="20" s="1"/>
  <c r="V7" i="5"/>
  <c r="W7" i="5"/>
  <c r="AK4" i="5"/>
  <c r="AJ11" i="5"/>
  <c r="AP11" i="5" s="1"/>
  <c r="AQ11" i="5" s="1"/>
  <c r="C39" i="93" s="1"/>
  <c r="L11" i="5"/>
  <c r="AI11" i="5" s="1"/>
  <c r="AN11" i="5" s="1"/>
  <c r="AO11" i="5" s="1"/>
  <c r="C38" i="93" s="1"/>
  <c r="H47" i="5"/>
  <c r="J47" i="5" s="1"/>
  <c r="J50" i="5"/>
  <c r="K50" i="5"/>
  <c r="H51" i="5"/>
  <c r="J51" i="5" s="1"/>
  <c r="U50" i="5"/>
  <c r="AA50" i="5" s="1"/>
  <c r="B195" i="20" s="1"/>
  <c r="D195" i="20" s="1"/>
  <c r="F195" i="20" s="1"/>
  <c r="H49" i="5"/>
  <c r="I49" i="5"/>
  <c r="P49" i="5" s="1"/>
  <c r="AH51" i="5"/>
  <c r="S51" i="5"/>
  <c r="E194" i="20"/>
  <c r="F194" i="20"/>
  <c r="F196" i="20"/>
  <c r="F197" i="20"/>
  <c r="I48" i="5"/>
  <c r="P48" i="5" s="1"/>
  <c r="H48" i="5"/>
  <c r="S47" i="5"/>
  <c r="AH47" i="5"/>
  <c r="AH45" i="5"/>
  <c r="S45" i="5"/>
  <c r="F46" i="5"/>
  <c r="I46" i="5" s="1"/>
  <c r="P46" i="5" s="1"/>
  <c r="H45" i="5"/>
  <c r="AJ7" i="5"/>
  <c r="AP7" i="5" s="1"/>
  <c r="B23" i="93" s="1"/>
  <c r="I14" i="5"/>
  <c r="P14" i="5" s="1"/>
  <c r="AH14" i="5" s="1"/>
  <c r="H14" i="5"/>
  <c r="K14" i="5" s="1"/>
  <c r="H26" i="5"/>
  <c r="H33" i="5"/>
  <c r="J33" i="5" s="1"/>
  <c r="H28" i="5"/>
  <c r="K28" i="5" s="1"/>
  <c r="H27" i="5"/>
  <c r="K27" i="5" s="1"/>
  <c r="F29" i="5"/>
  <c r="I29" i="5" s="1"/>
  <c r="P29" i="5" s="1"/>
  <c r="AH29" i="5" s="1"/>
  <c r="H23" i="5"/>
  <c r="J23" i="5" s="1"/>
  <c r="F22" i="5"/>
  <c r="I22" i="5" s="1"/>
  <c r="P22" i="5" s="1"/>
  <c r="AH22" i="5" s="1"/>
  <c r="H44" i="5"/>
  <c r="K44" i="5" s="1"/>
  <c r="AH44" i="5"/>
  <c r="S44" i="5"/>
  <c r="AH43" i="5"/>
  <c r="S43" i="5"/>
  <c r="H43" i="5"/>
  <c r="H42" i="5"/>
  <c r="I42" i="5"/>
  <c r="P42" i="5" s="1"/>
  <c r="U41" i="5"/>
  <c r="AA41" i="5" s="1"/>
  <c r="B159" i="20" s="1"/>
  <c r="D159" i="20" s="1"/>
  <c r="J41" i="5"/>
  <c r="K41" i="5"/>
  <c r="W41" i="5"/>
  <c r="V41" i="5"/>
  <c r="T41" i="5"/>
  <c r="Y41" i="5" s="1"/>
  <c r="B158" i="20" s="1"/>
  <c r="D158" i="20" s="1"/>
  <c r="S35" i="5"/>
  <c r="AH35" i="5"/>
  <c r="I39" i="5"/>
  <c r="P39" i="5" s="1"/>
  <c r="H39" i="5"/>
  <c r="I38" i="5"/>
  <c r="P38" i="5" s="1"/>
  <c r="H38" i="5"/>
  <c r="U36" i="5"/>
  <c r="AA36" i="5" s="1"/>
  <c r="B139" i="20" s="1"/>
  <c r="D139" i="20" s="1"/>
  <c r="J36" i="5"/>
  <c r="K36" i="5"/>
  <c r="F34" i="5"/>
  <c r="I34" i="5" s="1"/>
  <c r="P34" i="5" s="1"/>
  <c r="S37" i="5"/>
  <c r="AH37" i="5"/>
  <c r="H35" i="5"/>
  <c r="F40" i="5"/>
  <c r="I40" i="5" s="1"/>
  <c r="P40" i="5" s="1"/>
  <c r="V36" i="5"/>
  <c r="AE36" i="5" s="1"/>
  <c r="B141" i="20" s="1"/>
  <c r="D141" i="20" s="1"/>
  <c r="W36" i="5"/>
  <c r="T36" i="5"/>
  <c r="Y36" i="5" s="1"/>
  <c r="B138" i="20" s="1"/>
  <c r="D138" i="20" s="1"/>
  <c r="H37" i="5"/>
  <c r="J32" i="5"/>
  <c r="K32" i="5"/>
  <c r="AH28" i="5"/>
  <c r="S28" i="5"/>
  <c r="AH33" i="5"/>
  <c r="S33" i="5"/>
  <c r="I31" i="5"/>
  <c r="P31" i="5" s="1"/>
  <c r="H31" i="5"/>
  <c r="I32" i="5"/>
  <c r="P32" i="5" s="1"/>
  <c r="S30" i="5"/>
  <c r="AH30" i="5"/>
  <c r="H30" i="5"/>
  <c r="AH18" i="5"/>
  <c r="S18" i="5"/>
  <c r="S26" i="5"/>
  <c r="AH26" i="5"/>
  <c r="U21" i="5"/>
  <c r="AA21" i="5" s="1"/>
  <c r="B79" i="20" s="1"/>
  <c r="D79" i="20" s="1"/>
  <c r="J21" i="5"/>
  <c r="K21" i="5"/>
  <c r="AH27" i="5"/>
  <c r="S27" i="5"/>
  <c r="W25" i="5"/>
  <c r="V25" i="5"/>
  <c r="T25" i="5"/>
  <c r="Y25" i="5" s="1"/>
  <c r="B94" i="20" s="1"/>
  <c r="D94" i="20" s="1"/>
  <c r="H18" i="5"/>
  <c r="W21" i="5"/>
  <c r="V21" i="5"/>
  <c r="T21" i="5"/>
  <c r="Y21" i="5" s="1"/>
  <c r="B78" i="20" s="1"/>
  <c r="D78" i="20" s="1"/>
  <c r="U25" i="5"/>
  <c r="AA25" i="5" s="1"/>
  <c r="B95" i="20" s="1"/>
  <c r="D95" i="20" s="1"/>
  <c r="K25" i="5"/>
  <c r="J25" i="5"/>
  <c r="F19" i="5"/>
  <c r="I19" i="5" s="1"/>
  <c r="P19" i="5" s="1"/>
  <c r="F24" i="5"/>
  <c r="I24" i="5" s="1"/>
  <c r="P24" i="5" s="1"/>
  <c r="F17" i="5"/>
  <c r="I17" i="5" s="1"/>
  <c r="P17" i="5" s="1"/>
  <c r="W20" i="5"/>
  <c r="V20" i="5"/>
  <c r="AC20" i="5" s="1"/>
  <c r="B76" i="20" s="1"/>
  <c r="D76" i="20" s="1"/>
  <c r="T20" i="5"/>
  <c r="Y20" i="5" s="1"/>
  <c r="B74" i="20" s="1"/>
  <c r="D74" i="20" s="1"/>
  <c r="AH23" i="5"/>
  <c r="S23" i="5"/>
  <c r="U20" i="5"/>
  <c r="AA20" i="5" s="1"/>
  <c r="B75" i="20" s="1"/>
  <c r="D75" i="20" s="1"/>
  <c r="H16" i="5"/>
  <c r="I16" i="5"/>
  <c r="P16" i="5" s="1"/>
  <c r="F42" i="20"/>
  <c r="E42" i="20"/>
  <c r="F43" i="20"/>
  <c r="E43" i="20"/>
  <c r="F13" i="5"/>
  <c r="I13" i="5" s="1"/>
  <c r="P13" i="5" s="1"/>
  <c r="U15" i="5"/>
  <c r="AA15" i="5" s="1"/>
  <c r="J15" i="5"/>
  <c r="K15" i="5"/>
  <c r="L12" i="5"/>
  <c r="W15" i="5"/>
  <c r="V15" i="5"/>
  <c r="T15" i="5"/>
  <c r="Y15" i="5" s="1"/>
  <c r="B54" i="20" s="1"/>
  <c r="D54" i="20" s="1"/>
  <c r="F38" i="20"/>
  <c r="E38" i="20"/>
  <c r="I3" i="5"/>
  <c r="P3" i="5" s="1"/>
  <c r="H3" i="5"/>
  <c r="AH9" i="5"/>
  <c r="S9" i="5"/>
  <c r="AH10" i="5"/>
  <c r="S10" i="5"/>
  <c r="AH6" i="5"/>
  <c r="S6" i="5"/>
  <c r="B22" i="93"/>
  <c r="C22" i="93"/>
  <c r="AH8" i="5"/>
  <c r="S8" i="5"/>
  <c r="F39" i="20"/>
  <c r="E39" i="20"/>
  <c r="B10" i="93"/>
  <c r="C10" i="93"/>
  <c r="F11" i="20"/>
  <c r="E11" i="20"/>
  <c r="AK5" i="5"/>
  <c r="F41" i="20"/>
  <c r="E41" i="20"/>
  <c r="AI5" i="5"/>
  <c r="AN5" i="5" s="1"/>
  <c r="AO5" i="5" s="1"/>
  <c r="H9" i="5"/>
  <c r="H6" i="5"/>
  <c r="H10" i="5"/>
  <c r="H8" i="5"/>
  <c r="AK7" i="5"/>
  <c r="N7" i="5"/>
  <c r="O7" i="5" s="1"/>
  <c r="AH2" i="5"/>
  <c r="S2" i="5"/>
  <c r="H2" i="5"/>
  <c r="AC25" i="5" l="1"/>
  <c r="B96" i="20" s="1"/>
  <c r="D96" i="20" s="1"/>
  <c r="F96" i="20" s="1"/>
  <c r="AE20" i="5"/>
  <c r="B77" i="20" s="1"/>
  <c r="D77" i="20" s="1"/>
  <c r="F77" i="20" s="1"/>
  <c r="F44" i="20"/>
  <c r="AC36" i="5"/>
  <c r="B140" i="20" s="1"/>
  <c r="D140" i="20" s="1"/>
  <c r="F140" i="20" s="1"/>
  <c r="AR5" i="5"/>
  <c r="B16" i="93" s="1"/>
  <c r="T5" i="5"/>
  <c r="Y5" i="5" s="1"/>
  <c r="B14" i="20" s="1"/>
  <c r="D14" i="20" s="1"/>
  <c r="W5" i="5"/>
  <c r="AE5" i="5" s="1"/>
  <c r="B17" i="20" s="1"/>
  <c r="D17" i="20" s="1"/>
  <c r="E17" i="20" s="1"/>
  <c r="F40" i="20"/>
  <c r="AE41" i="5"/>
  <c r="B161" i="20" s="1"/>
  <c r="D161" i="20" s="1"/>
  <c r="E161" i="20" s="1"/>
  <c r="U5" i="5"/>
  <c r="AA5" i="5" s="1"/>
  <c r="B15" i="20" s="1"/>
  <c r="D15" i="20" s="1"/>
  <c r="E15" i="20" s="1"/>
  <c r="AE21" i="5"/>
  <c r="B81" i="20" s="1"/>
  <c r="D81" i="20" s="1"/>
  <c r="E81" i="20" s="1"/>
  <c r="F13" i="20"/>
  <c r="AC15" i="5"/>
  <c r="B56" i="20" s="1"/>
  <c r="D56" i="20" s="1"/>
  <c r="E56" i="20" s="1"/>
  <c r="AE25" i="5"/>
  <c r="B97" i="20" s="1"/>
  <c r="D97" i="20" s="1"/>
  <c r="F97" i="20" s="1"/>
  <c r="AC7" i="5"/>
  <c r="B24" i="20" s="1"/>
  <c r="D24" i="20" s="1"/>
  <c r="E24" i="20" s="1"/>
  <c r="F10" i="20"/>
  <c r="E10" i="20"/>
  <c r="AC21" i="5"/>
  <c r="B80" i="20" s="1"/>
  <c r="D80" i="20" s="1"/>
  <c r="E80" i="20" s="1"/>
  <c r="AJ5" i="5"/>
  <c r="AP5" i="5" s="1"/>
  <c r="AQ5" i="5" s="1"/>
  <c r="C15" i="93" s="1"/>
  <c r="N5" i="5"/>
  <c r="O5" i="5" s="1"/>
  <c r="F45" i="20"/>
  <c r="F12" i="20"/>
  <c r="AR4" i="5"/>
  <c r="AT4" i="5"/>
  <c r="M50" i="5"/>
  <c r="AL50" i="5" s="1"/>
  <c r="AC41" i="5"/>
  <c r="B160" i="20" s="1"/>
  <c r="D160" i="20" s="1"/>
  <c r="E160" i="20" s="1"/>
  <c r="L50" i="5"/>
  <c r="AI50" i="5" s="1"/>
  <c r="AN50" i="5" s="1"/>
  <c r="AT5" i="5"/>
  <c r="B17" i="93" s="1"/>
  <c r="U47" i="5"/>
  <c r="AA47" i="5" s="1"/>
  <c r="B183" i="20" s="1"/>
  <c r="D183" i="20" s="1"/>
  <c r="K47" i="5"/>
  <c r="M47" i="5" s="1"/>
  <c r="AJ4" i="5"/>
  <c r="AP4" i="5" s="1"/>
  <c r="AQ4" i="5" s="1"/>
  <c r="C11" i="93" s="1"/>
  <c r="AR7" i="5"/>
  <c r="AT7" i="5"/>
  <c r="AE7" i="5"/>
  <c r="B25" i="20" s="1"/>
  <c r="D25" i="20" s="1"/>
  <c r="F25" i="20" s="1"/>
  <c r="L20" i="5"/>
  <c r="AI20" i="5" s="1"/>
  <c r="AN20" i="5" s="1"/>
  <c r="B74" i="93" s="1"/>
  <c r="N4" i="5"/>
  <c r="O4" i="5" s="1"/>
  <c r="K33" i="5"/>
  <c r="M33" i="5" s="1"/>
  <c r="AL33" i="5" s="1"/>
  <c r="AJ12" i="5"/>
  <c r="AP12" i="5" s="1"/>
  <c r="AQ12" i="5" s="1"/>
  <c r="C43" i="93" s="1"/>
  <c r="S14" i="5"/>
  <c r="U14" i="5" s="1"/>
  <c r="F22" i="20"/>
  <c r="S29" i="5"/>
  <c r="S22" i="5"/>
  <c r="N11" i="5"/>
  <c r="O11" i="5" s="1"/>
  <c r="B38" i="93"/>
  <c r="B39" i="93"/>
  <c r="AK11" i="5"/>
  <c r="E23" i="20"/>
  <c r="AQ7" i="5"/>
  <c r="C23" i="93" s="1"/>
  <c r="L21" i="5"/>
  <c r="AI21" i="5" s="1"/>
  <c r="AN21" i="5" s="1"/>
  <c r="B78" i="93" s="1"/>
  <c r="K23" i="5"/>
  <c r="M23" i="5" s="1"/>
  <c r="AL23" i="5" s="1"/>
  <c r="M15" i="5"/>
  <c r="AL15" i="5" s="1"/>
  <c r="U51" i="5"/>
  <c r="AA51" i="5" s="1"/>
  <c r="B199" i="20" s="1"/>
  <c r="D199" i="20" s="1"/>
  <c r="K51" i="5"/>
  <c r="L51" i="5" s="1"/>
  <c r="E195" i="20"/>
  <c r="U28" i="5"/>
  <c r="AA28" i="5" s="1"/>
  <c r="B107" i="20" s="1"/>
  <c r="D107" i="20" s="1"/>
  <c r="U26" i="5"/>
  <c r="AA26" i="5" s="1"/>
  <c r="B99" i="20" s="1"/>
  <c r="D99" i="20" s="1"/>
  <c r="J49" i="5"/>
  <c r="K49" i="5"/>
  <c r="AC51" i="5"/>
  <c r="B200" i="20" s="1"/>
  <c r="D200" i="20" s="1"/>
  <c r="W51" i="5"/>
  <c r="V51" i="5"/>
  <c r="AE51" i="5" s="1"/>
  <c r="B201" i="20" s="1"/>
  <c r="D201" i="20" s="1"/>
  <c r="T51" i="5"/>
  <c r="Y51" i="5" s="1"/>
  <c r="B198" i="20" s="1"/>
  <c r="D198" i="20" s="1"/>
  <c r="AH49" i="5"/>
  <c r="S49" i="5"/>
  <c r="J48" i="5"/>
  <c r="K48" i="5"/>
  <c r="AH48" i="5"/>
  <c r="S48" i="5"/>
  <c r="H46" i="5"/>
  <c r="U45" i="5"/>
  <c r="AA45" i="5" s="1"/>
  <c r="B175" i="20" s="1"/>
  <c r="D175" i="20" s="1"/>
  <c r="K45" i="5"/>
  <c r="J45" i="5"/>
  <c r="AH46" i="5"/>
  <c r="S46" i="5"/>
  <c r="W45" i="5"/>
  <c r="V45" i="5"/>
  <c r="T45" i="5"/>
  <c r="Y45" i="5" s="1"/>
  <c r="B174" i="20" s="1"/>
  <c r="D174" i="20" s="1"/>
  <c r="V47" i="5"/>
  <c r="AE47" i="5" s="1"/>
  <c r="B185" i="20" s="1"/>
  <c r="D185" i="20" s="1"/>
  <c r="W47" i="5"/>
  <c r="T47" i="5"/>
  <c r="Y47" i="5" s="1"/>
  <c r="B182" i="20" s="1"/>
  <c r="D182" i="20" s="1"/>
  <c r="J28" i="5"/>
  <c r="L28" i="5" s="1"/>
  <c r="AI28" i="5" s="1"/>
  <c r="AN28" i="5" s="1"/>
  <c r="L25" i="5"/>
  <c r="AK25" i="5" s="1"/>
  <c r="H22" i="5"/>
  <c r="M21" i="5"/>
  <c r="AL21" i="5" s="1"/>
  <c r="AJ20" i="5"/>
  <c r="AP20" i="5" s="1"/>
  <c r="B75" i="93" s="1"/>
  <c r="J14" i="5"/>
  <c r="L14" i="5" s="1"/>
  <c r="AK14" i="5" s="1"/>
  <c r="J27" i="5"/>
  <c r="M27" i="5" s="1"/>
  <c r="AL27" i="5" s="1"/>
  <c r="H17" i="5"/>
  <c r="J17" i="5" s="1"/>
  <c r="H29" i="5"/>
  <c r="U27" i="5"/>
  <c r="AA27" i="5" s="1"/>
  <c r="B103" i="20" s="1"/>
  <c r="D103" i="20" s="1"/>
  <c r="J44" i="5"/>
  <c r="L44" i="5" s="1"/>
  <c r="AI44" i="5" s="1"/>
  <c r="AN44" i="5" s="1"/>
  <c r="K26" i="5"/>
  <c r="J26" i="5"/>
  <c r="V44" i="5"/>
  <c r="W44" i="5"/>
  <c r="T44" i="5"/>
  <c r="Y44" i="5" s="1"/>
  <c r="B170" i="20" s="1"/>
  <c r="D170" i="20" s="1"/>
  <c r="U44" i="5"/>
  <c r="AA44" i="5" s="1"/>
  <c r="B171" i="20" s="1"/>
  <c r="D171" i="20" s="1"/>
  <c r="U43" i="5"/>
  <c r="AA43" i="5" s="1"/>
  <c r="B167" i="20" s="1"/>
  <c r="D167" i="20" s="1"/>
  <c r="K43" i="5"/>
  <c r="J43" i="5"/>
  <c r="W43" i="5"/>
  <c r="AE43" i="5"/>
  <c r="B169" i="20" s="1"/>
  <c r="D169" i="20" s="1"/>
  <c r="V43" i="5"/>
  <c r="AC43" i="5" s="1"/>
  <c r="B168" i="20" s="1"/>
  <c r="D168" i="20" s="1"/>
  <c r="T43" i="5"/>
  <c r="Y43" i="5" s="1"/>
  <c r="B166" i="20" s="1"/>
  <c r="D166" i="20" s="1"/>
  <c r="AH42" i="5"/>
  <c r="S42" i="5"/>
  <c r="U42" i="5" s="1"/>
  <c r="J42" i="5"/>
  <c r="K42" i="5"/>
  <c r="F158" i="20"/>
  <c r="E158" i="20"/>
  <c r="L41" i="5"/>
  <c r="F159" i="20"/>
  <c r="E159" i="20"/>
  <c r="M41" i="5"/>
  <c r="F138" i="20"/>
  <c r="E138" i="20"/>
  <c r="U35" i="5"/>
  <c r="AA35" i="5" s="1"/>
  <c r="B135" i="20" s="1"/>
  <c r="D135" i="20" s="1"/>
  <c r="K35" i="5"/>
  <c r="J35" i="5"/>
  <c r="J38" i="5"/>
  <c r="K38" i="5"/>
  <c r="U37" i="5"/>
  <c r="AA37" i="5" s="1"/>
  <c r="B143" i="20" s="1"/>
  <c r="D143" i="20" s="1"/>
  <c r="J37" i="5"/>
  <c r="K37" i="5"/>
  <c r="L36" i="5"/>
  <c r="S38" i="5"/>
  <c r="AH38" i="5"/>
  <c r="H34" i="5"/>
  <c r="F141" i="20"/>
  <c r="E141" i="20"/>
  <c r="AH39" i="5"/>
  <c r="S39" i="5"/>
  <c r="W37" i="5"/>
  <c r="V37" i="5"/>
  <c r="T37" i="5"/>
  <c r="Y37" i="5" s="1"/>
  <c r="B142" i="20" s="1"/>
  <c r="D142" i="20" s="1"/>
  <c r="H40" i="5"/>
  <c r="F139" i="20"/>
  <c r="E139" i="20"/>
  <c r="AH40" i="5"/>
  <c r="S40" i="5"/>
  <c r="AH34" i="5"/>
  <c r="S34" i="5"/>
  <c r="M36" i="5"/>
  <c r="J39" i="5"/>
  <c r="K39" i="5"/>
  <c r="V35" i="5"/>
  <c r="AC35" i="5" s="1"/>
  <c r="B136" i="20" s="1"/>
  <c r="D136" i="20" s="1"/>
  <c r="W35" i="5"/>
  <c r="T35" i="5"/>
  <c r="Y35" i="5" s="1"/>
  <c r="B134" i="20" s="1"/>
  <c r="D134" i="20" s="1"/>
  <c r="L32" i="5"/>
  <c r="U30" i="5"/>
  <c r="AA30" i="5" s="1"/>
  <c r="B115" i="20" s="1"/>
  <c r="D115" i="20" s="1"/>
  <c r="J30" i="5"/>
  <c r="K30" i="5"/>
  <c r="J31" i="5"/>
  <c r="K31" i="5"/>
  <c r="W33" i="5"/>
  <c r="V33" i="5"/>
  <c r="T33" i="5"/>
  <c r="Y33" i="5" s="1"/>
  <c r="B126" i="20" s="1"/>
  <c r="D126" i="20" s="1"/>
  <c r="U33" i="5"/>
  <c r="AA33" i="5" s="1"/>
  <c r="B127" i="20" s="1"/>
  <c r="D127" i="20" s="1"/>
  <c r="AH31" i="5"/>
  <c r="S31" i="5"/>
  <c r="U31" i="5" s="1"/>
  <c r="W30" i="5"/>
  <c r="V30" i="5"/>
  <c r="T30" i="5"/>
  <c r="Y30" i="5" s="1"/>
  <c r="B114" i="20" s="1"/>
  <c r="D114" i="20" s="1"/>
  <c r="S32" i="5"/>
  <c r="AH32" i="5"/>
  <c r="V28" i="5"/>
  <c r="W28" i="5"/>
  <c r="T28" i="5"/>
  <c r="Y28" i="5" s="1"/>
  <c r="B106" i="20" s="1"/>
  <c r="D106" i="20" s="1"/>
  <c r="M32" i="5"/>
  <c r="AL32" i="5" s="1"/>
  <c r="F78" i="20"/>
  <c r="E78" i="20"/>
  <c r="F74" i="20"/>
  <c r="E74" i="20"/>
  <c r="F75" i="20"/>
  <c r="E75" i="20"/>
  <c r="F94" i="20"/>
  <c r="E94" i="20"/>
  <c r="AH17" i="5"/>
  <c r="S17" i="5"/>
  <c r="H24" i="5"/>
  <c r="E76" i="20"/>
  <c r="F76" i="20"/>
  <c r="F95" i="20"/>
  <c r="E95" i="20"/>
  <c r="AH24" i="5"/>
  <c r="S24" i="5"/>
  <c r="W26" i="5"/>
  <c r="V26" i="5"/>
  <c r="T26" i="5"/>
  <c r="Y26" i="5" s="1"/>
  <c r="B98" i="20" s="1"/>
  <c r="D98" i="20" s="1"/>
  <c r="W18" i="5"/>
  <c r="V18" i="5"/>
  <c r="T18" i="5"/>
  <c r="Y18" i="5" s="1"/>
  <c r="B66" i="20" s="1"/>
  <c r="D66" i="20" s="1"/>
  <c r="F79" i="20"/>
  <c r="E79" i="20"/>
  <c r="W23" i="5"/>
  <c r="V23" i="5"/>
  <c r="T23" i="5"/>
  <c r="Y23" i="5" s="1"/>
  <c r="B86" i="20" s="1"/>
  <c r="D86" i="20" s="1"/>
  <c r="AH19" i="5"/>
  <c r="S19" i="5"/>
  <c r="M25" i="5"/>
  <c r="U18" i="5"/>
  <c r="AA18" i="5" s="1"/>
  <c r="B67" i="20" s="1"/>
  <c r="D67" i="20" s="1"/>
  <c r="J18" i="5"/>
  <c r="K18" i="5"/>
  <c r="W27" i="5"/>
  <c r="V27" i="5"/>
  <c r="T27" i="5"/>
  <c r="Y27" i="5" s="1"/>
  <c r="B102" i="20" s="1"/>
  <c r="D102" i="20" s="1"/>
  <c r="H19" i="5"/>
  <c r="U23" i="5"/>
  <c r="AA23" i="5" s="1"/>
  <c r="B87" i="20" s="1"/>
  <c r="D87" i="20" s="1"/>
  <c r="AH16" i="5"/>
  <c r="S16" i="5"/>
  <c r="U16" i="5" s="1"/>
  <c r="K16" i="5"/>
  <c r="J16" i="5"/>
  <c r="F54" i="20"/>
  <c r="E54" i="20"/>
  <c r="B55" i="20"/>
  <c r="D55" i="20" s="1"/>
  <c r="B75" i="5"/>
  <c r="AH13" i="5"/>
  <c r="S13" i="5"/>
  <c r="AE15" i="5"/>
  <c r="B57" i="20" s="1"/>
  <c r="D57" i="20" s="1"/>
  <c r="L15" i="5"/>
  <c r="AK12" i="5"/>
  <c r="N12" i="5"/>
  <c r="O12" i="5" s="1"/>
  <c r="AI12" i="5"/>
  <c r="AN12" i="5" s="1"/>
  <c r="H13" i="5"/>
  <c r="B14" i="93"/>
  <c r="C14" i="93"/>
  <c r="V8" i="5"/>
  <c r="W8" i="5"/>
  <c r="T8" i="5"/>
  <c r="Y8" i="5" s="1"/>
  <c r="B26" i="20" s="1"/>
  <c r="D26" i="20" s="1"/>
  <c r="V6" i="5"/>
  <c r="W6" i="5"/>
  <c r="T6" i="5"/>
  <c r="W9" i="5"/>
  <c r="V9" i="5"/>
  <c r="T9" i="5"/>
  <c r="Y9" i="5" s="1"/>
  <c r="B30" i="20" s="1"/>
  <c r="D30" i="20" s="1"/>
  <c r="U8" i="5"/>
  <c r="AA8" i="5" s="1"/>
  <c r="B27" i="20" s="1"/>
  <c r="D27" i="20" s="1"/>
  <c r="K8" i="5"/>
  <c r="J8" i="5"/>
  <c r="U6" i="5"/>
  <c r="AA6" i="5" s="1"/>
  <c r="B19" i="20" s="1"/>
  <c r="D19" i="20" s="1"/>
  <c r="K6" i="5"/>
  <c r="J6" i="5"/>
  <c r="V10" i="5"/>
  <c r="W10" i="5"/>
  <c r="T10" i="5"/>
  <c r="Y10" i="5" s="1"/>
  <c r="B34" i="20" s="1"/>
  <c r="D34" i="20" s="1"/>
  <c r="J3" i="5"/>
  <c r="K3" i="5"/>
  <c r="U10" i="5"/>
  <c r="AA10" i="5" s="1"/>
  <c r="B35" i="20" s="1"/>
  <c r="D35" i="20" s="1"/>
  <c r="K10" i="5"/>
  <c r="J10" i="5"/>
  <c r="U9" i="5"/>
  <c r="AA9" i="5" s="1"/>
  <c r="B31" i="20" s="1"/>
  <c r="D31" i="20" s="1"/>
  <c r="K9" i="5"/>
  <c r="J9" i="5"/>
  <c r="AH3" i="5"/>
  <c r="S3" i="5"/>
  <c r="U3" i="5" s="1"/>
  <c r="U2" i="5"/>
  <c r="AA2" i="5" s="1"/>
  <c r="B3" i="20" s="1"/>
  <c r="D3" i="20" s="1"/>
  <c r="J2" i="5"/>
  <c r="K2" i="5"/>
  <c r="V2" i="5"/>
  <c r="W2" i="5"/>
  <c r="T2" i="5"/>
  <c r="AE30" i="5" l="1"/>
  <c r="B117" i="20" s="1"/>
  <c r="D117" i="20" s="1"/>
  <c r="AC5" i="5"/>
  <c r="B16" i="20" s="1"/>
  <c r="D16" i="20" s="1"/>
  <c r="F16" i="20" s="1"/>
  <c r="AC47" i="5"/>
  <c r="B184" i="20" s="1"/>
  <c r="D184" i="20" s="1"/>
  <c r="E184" i="20" s="1"/>
  <c r="E77" i="20"/>
  <c r="E96" i="20"/>
  <c r="E140" i="20"/>
  <c r="AE33" i="5"/>
  <c r="B129" i="20" s="1"/>
  <c r="D129" i="20" s="1"/>
  <c r="F129" i="20" s="1"/>
  <c r="AC27" i="5"/>
  <c r="B104" i="20" s="1"/>
  <c r="D104" i="20" s="1"/>
  <c r="E104" i="20" s="1"/>
  <c r="AC44" i="5"/>
  <c r="B172" i="20" s="1"/>
  <c r="D172" i="20" s="1"/>
  <c r="E172" i="20" s="1"/>
  <c r="AE26" i="5"/>
  <c r="B101" i="20" s="1"/>
  <c r="D101" i="20" s="1"/>
  <c r="F101" i="20" s="1"/>
  <c r="AE35" i="5"/>
  <c r="B137" i="20" s="1"/>
  <c r="D137" i="20" s="1"/>
  <c r="F137" i="20" s="1"/>
  <c r="AC30" i="5"/>
  <c r="B116" i="20" s="1"/>
  <c r="D116" i="20" s="1"/>
  <c r="F116" i="20" s="1"/>
  <c r="AC26" i="5"/>
  <c r="B100" i="20" s="1"/>
  <c r="D100" i="20" s="1"/>
  <c r="E100" i="20" s="1"/>
  <c r="AC28" i="5"/>
  <c r="B108" i="20" s="1"/>
  <c r="D108" i="20" s="1"/>
  <c r="E108" i="20" s="1"/>
  <c r="AC45" i="5"/>
  <c r="B176" i="20" s="1"/>
  <c r="D176" i="20" s="1"/>
  <c r="E176" i="20" s="1"/>
  <c r="AC23" i="5"/>
  <c r="B88" i="20" s="1"/>
  <c r="D88" i="20" s="1"/>
  <c r="E88" i="20" s="1"/>
  <c r="AE10" i="5"/>
  <c r="B37" i="20" s="1"/>
  <c r="D37" i="20" s="1"/>
  <c r="F37" i="20" s="1"/>
  <c r="AC33" i="5"/>
  <c r="B128" i="20" s="1"/>
  <c r="D128" i="20" s="1"/>
  <c r="F128" i="20" s="1"/>
  <c r="AC37" i="5"/>
  <c r="B144" i="20" s="1"/>
  <c r="D144" i="20" s="1"/>
  <c r="E144" i="20" s="1"/>
  <c r="AC8" i="5"/>
  <c r="B28" i="20" s="1"/>
  <c r="D28" i="20" s="1"/>
  <c r="E28" i="20" s="1"/>
  <c r="AC18" i="5"/>
  <c r="B68" i="20" s="1"/>
  <c r="D68" i="20" s="1"/>
  <c r="E68" i="20" s="1"/>
  <c r="AS5" i="5"/>
  <c r="C16" i="93" s="1"/>
  <c r="F161" i="20"/>
  <c r="F81" i="20"/>
  <c r="F15" i="20"/>
  <c r="AE44" i="5"/>
  <c r="B173" i="20" s="1"/>
  <c r="D173" i="20" s="1"/>
  <c r="F173" i="20" s="1"/>
  <c r="E97" i="20"/>
  <c r="AE27" i="5"/>
  <c r="B105" i="20" s="1"/>
  <c r="D105" i="20" s="1"/>
  <c r="E105" i="20" s="1"/>
  <c r="AC10" i="5"/>
  <c r="B36" i="20" s="1"/>
  <c r="D36" i="20" s="1"/>
  <c r="E36" i="20" s="1"/>
  <c r="AE6" i="5"/>
  <c r="B21" i="20" s="1"/>
  <c r="D21" i="20" s="1"/>
  <c r="F21" i="20" s="1"/>
  <c r="F24" i="20"/>
  <c r="F56" i="20"/>
  <c r="AE8" i="5"/>
  <c r="B29" i="20" s="1"/>
  <c r="D29" i="20" s="1"/>
  <c r="E29" i="20" s="1"/>
  <c r="AE45" i="5"/>
  <c r="B177" i="20" s="1"/>
  <c r="D177" i="20" s="1"/>
  <c r="E177" i="20" s="1"/>
  <c r="AE28" i="5"/>
  <c r="B109" i="20" s="1"/>
  <c r="D109" i="20" s="1"/>
  <c r="E109" i="20" s="1"/>
  <c r="AC9" i="5"/>
  <c r="B32" i="20" s="1"/>
  <c r="D32" i="20" s="1"/>
  <c r="E32" i="20" s="1"/>
  <c r="F80" i="20"/>
  <c r="F14" i="20"/>
  <c r="E14" i="20"/>
  <c r="Y6" i="5"/>
  <c r="B18" i="20" s="1"/>
  <c r="D18" i="20" s="1"/>
  <c r="Y2" i="5"/>
  <c r="AE23" i="5"/>
  <c r="B89" i="20" s="1"/>
  <c r="D89" i="20" s="1"/>
  <c r="F89" i="20" s="1"/>
  <c r="AE9" i="5"/>
  <c r="B33" i="20" s="1"/>
  <c r="D33" i="20" s="1"/>
  <c r="F33" i="20" s="1"/>
  <c r="AC6" i="5"/>
  <c r="B20" i="20" s="1"/>
  <c r="D20" i="20" s="1"/>
  <c r="E20" i="20" s="1"/>
  <c r="AT11" i="5"/>
  <c r="AR11" i="5"/>
  <c r="B15" i="93"/>
  <c r="AR12" i="5"/>
  <c r="AT12" i="5"/>
  <c r="B13" i="93"/>
  <c r="AU4" i="5"/>
  <c r="C13" i="93" s="1"/>
  <c r="B12" i="93"/>
  <c r="AS4" i="5"/>
  <c r="C12" i="93" s="1"/>
  <c r="AC2" i="5"/>
  <c r="B4" i="20" s="1"/>
  <c r="D4" i="20" s="1"/>
  <c r="E4" i="20" s="1"/>
  <c r="AE2" i="5"/>
  <c r="B5" i="20" s="1"/>
  <c r="D5" i="20" s="1"/>
  <c r="E5" i="20" s="1"/>
  <c r="F17" i="20"/>
  <c r="AU5" i="5"/>
  <c r="C17" i="93" s="1"/>
  <c r="F160" i="20"/>
  <c r="AJ50" i="5"/>
  <c r="AP50" i="5" s="1"/>
  <c r="L43" i="5"/>
  <c r="AK43" i="5" s="1"/>
  <c r="L33" i="5"/>
  <c r="AK33" i="5" s="1"/>
  <c r="N50" i="5"/>
  <c r="O50" i="5" s="1"/>
  <c r="AK50" i="5"/>
  <c r="AE18" i="5"/>
  <c r="B69" i="20" s="1"/>
  <c r="D69" i="20" s="1"/>
  <c r="F69" i="20" s="1"/>
  <c r="L47" i="5"/>
  <c r="N47" i="5" s="1"/>
  <c r="O47" i="5" s="1"/>
  <c r="AL47" i="5"/>
  <c r="AJ47" i="5"/>
  <c r="AP47" i="5" s="1"/>
  <c r="AQ47" i="5" s="1"/>
  <c r="C183" i="93" s="1"/>
  <c r="AI51" i="5"/>
  <c r="AN51" i="5" s="1"/>
  <c r="B198" i="93" s="1"/>
  <c r="AK51" i="5"/>
  <c r="M51" i="5"/>
  <c r="AL51" i="5" s="1"/>
  <c r="W29" i="5"/>
  <c r="AJ33" i="5"/>
  <c r="AP33" i="5" s="1"/>
  <c r="AQ33" i="5" s="1"/>
  <c r="C127" i="93" s="1"/>
  <c r="AK21" i="5"/>
  <c r="AR21" i="5" s="1"/>
  <c r="E25" i="20"/>
  <c r="B11" i="93"/>
  <c r="N20" i="5"/>
  <c r="O20" i="5" s="1"/>
  <c r="AK20" i="5"/>
  <c r="AU7" i="5"/>
  <c r="C25" i="93" s="1"/>
  <c r="B25" i="93"/>
  <c r="B24" i="93"/>
  <c r="AS7" i="5"/>
  <c r="C24" i="93" s="1"/>
  <c r="AO20" i="5"/>
  <c r="C74" i="93" s="1"/>
  <c r="T14" i="5"/>
  <c r="Y14" i="5" s="1"/>
  <c r="B50" i="20" s="1"/>
  <c r="D50" i="20" s="1"/>
  <c r="F50" i="20" s="1"/>
  <c r="L42" i="5"/>
  <c r="AK42" i="5" s="1"/>
  <c r="L35" i="5"/>
  <c r="AI35" i="5" s="1"/>
  <c r="AN35" i="5" s="1"/>
  <c r="B134" i="93" s="1"/>
  <c r="V14" i="5"/>
  <c r="AA14" i="5"/>
  <c r="B51" i="20" s="1"/>
  <c r="D51" i="20" s="1"/>
  <c r="F51" i="20" s="1"/>
  <c r="L39" i="5"/>
  <c r="AI39" i="5" s="1"/>
  <c r="AN39" i="5" s="1"/>
  <c r="M38" i="5"/>
  <c r="AL38" i="5" s="1"/>
  <c r="M37" i="5"/>
  <c r="AL37" i="5" s="1"/>
  <c r="AE37" i="5"/>
  <c r="B145" i="20" s="1"/>
  <c r="D145" i="20" s="1"/>
  <c r="F145" i="20" s="1"/>
  <c r="W14" i="5"/>
  <c r="M6" i="5"/>
  <c r="AJ6" i="5" s="1"/>
  <c r="AP6" i="5" s="1"/>
  <c r="N25" i="5"/>
  <c r="O25" i="5" s="1"/>
  <c r="V29" i="5"/>
  <c r="AC29" i="5" s="1"/>
  <c r="B112" i="20" s="1"/>
  <c r="D112" i="20" s="1"/>
  <c r="E112" i="20" s="1"/>
  <c r="T29" i="5"/>
  <c r="Y29" i="5" s="1"/>
  <c r="B110" i="20" s="1"/>
  <c r="D110" i="20" s="1"/>
  <c r="E110" i="20" s="1"/>
  <c r="M31" i="5"/>
  <c r="AL31" i="5" s="1"/>
  <c r="L23" i="5"/>
  <c r="AI23" i="5" s="1"/>
  <c r="AN23" i="5" s="1"/>
  <c r="B86" i="93" s="1"/>
  <c r="AI25" i="5"/>
  <c r="AN25" i="5" s="1"/>
  <c r="B94" i="93" s="1"/>
  <c r="AT21" i="5"/>
  <c r="B43" i="93"/>
  <c r="M9" i="5"/>
  <c r="AL9" i="5" s="1"/>
  <c r="V22" i="5"/>
  <c r="W22" i="5"/>
  <c r="T22" i="5"/>
  <c r="Y22" i="5" s="1"/>
  <c r="B82" i="20" s="1"/>
  <c r="D82" i="20" s="1"/>
  <c r="E82" i="20" s="1"/>
  <c r="L27" i="5"/>
  <c r="AK27" i="5" s="1"/>
  <c r="AO21" i="5"/>
  <c r="C78" i="93" s="1"/>
  <c r="AJ15" i="5"/>
  <c r="AP15" i="5" s="1"/>
  <c r="AQ15" i="5" s="1"/>
  <c r="C55" i="93" s="1"/>
  <c r="AI14" i="5"/>
  <c r="AN14" i="5" s="1"/>
  <c r="B50" i="93" s="1"/>
  <c r="M14" i="5"/>
  <c r="AL14" i="5" s="1"/>
  <c r="AT14" i="5" s="1"/>
  <c r="AU14" i="5" s="1"/>
  <c r="C53" i="93" s="1"/>
  <c r="M8" i="5"/>
  <c r="AL8" i="5" s="1"/>
  <c r="M28" i="5"/>
  <c r="AL28" i="5" s="1"/>
  <c r="AQ20" i="5"/>
  <c r="C75" i="93" s="1"/>
  <c r="M10" i="5"/>
  <c r="AL10" i="5" s="1"/>
  <c r="M18" i="5"/>
  <c r="AL18" i="5" s="1"/>
  <c r="L3" i="5"/>
  <c r="AI3" i="5" s="1"/>
  <c r="AN3" i="5" s="1"/>
  <c r="AO3" i="5" s="1"/>
  <c r="N21" i="5"/>
  <c r="O21" i="5" s="1"/>
  <c r="M3" i="5"/>
  <c r="AL3" i="5" s="1"/>
  <c r="K17" i="5"/>
  <c r="L17" i="5" s="1"/>
  <c r="AI17" i="5" s="1"/>
  <c r="AN17" i="5" s="1"/>
  <c r="AO50" i="5"/>
  <c r="C194" i="93" s="1"/>
  <c r="B194" i="93"/>
  <c r="E198" i="20"/>
  <c r="F198" i="20"/>
  <c r="F201" i="20"/>
  <c r="E201" i="20"/>
  <c r="AE49" i="5"/>
  <c r="B193" i="20" s="1"/>
  <c r="D193" i="20" s="1"/>
  <c r="V49" i="5"/>
  <c r="AC49" i="5"/>
  <c r="B192" i="20" s="1"/>
  <c r="D192" i="20" s="1"/>
  <c r="W49" i="5"/>
  <c r="T49" i="5"/>
  <c r="Y49" i="5" s="1"/>
  <c r="B190" i="20" s="1"/>
  <c r="D190" i="20" s="1"/>
  <c r="L49" i="5"/>
  <c r="AI49" i="5" s="1"/>
  <c r="AN49" i="5" s="1"/>
  <c r="AR49" i="5"/>
  <c r="AT49" i="5"/>
  <c r="U49" i="5"/>
  <c r="AA49" i="5" s="1"/>
  <c r="B191" i="20" s="1"/>
  <c r="D191" i="20" s="1"/>
  <c r="F199" i="20"/>
  <c r="E199" i="20"/>
  <c r="E200" i="20"/>
  <c r="F200" i="20"/>
  <c r="M49" i="5"/>
  <c r="AL49" i="5" s="1"/>
  <c r="L48" i="5"/>
  <c r="AI48" i="5" s="1"/>
  <c r="AN48" i="5" s="1"/>
  <c r="W48" i="5"/>
  <c r="V48" i="5"/>
  <c r="T48" i="5"/>
  <c r="Y48" i="5" s="1"/>
  <c r="B186" i="20" s="1"/>
  <c r="D186" i="20" s="1"/>
  <c r="M48" i="5"/>
  <c r="AL48" i="5" s="1"/>
  <c r="U48" i="5"/>
  <c r="AA48" i="5" s="1"/>
  <c r="B187" i="20" s="1"/>
  <c r="D187" i="20" s="1"/>
  <c r="F175" i="20"/>
  <c r="E175" i="20"/>
  <c r="M44" i="5"/>
  <c r="AL44" i="5" s="1"/>
  <c r="V46" i="5"/>
  <c r="W46" i="5"/>
  <c r="T46" i="5"/>
  <c r="Y46" i="5" s="1"/>
  <c r="B178" i="20" s="1"/>
  <c r="D178" i="20" s="1"/>
  <c r="L45" i="5"/>
  <c r="F185" i="20"/>
  <c r="E185" i="20"/>
  <c r="F174" i="20"/>
  <c r="E174" i="20"/>
  <c r="F182" i="20"/>
  <c r="E182" i="20"/>
  <c r="F183" i="20"/>
  <c r="E183" i="20"/>
  <c r="M45" i="5"/>
  <c r="U46" i="5"/>
  <c r="AA46" i="5" s="1"/>
  <c r="B179" i="20" s="1"/>
  <c r="D179" i="20" s="1"/>
  <c r="K46" i="5"/>
  <c r="J46" i="5"/>
  <c r="M39" i="5"/>
  <c r="AL39" i="5" s="1"/>
  <c r="L30" i="5"/>
  <c r="AK30" i="5" s="1"/>
  <c r="AJ27" i="5"/>
  <c r="AP27" i="5" s="1"/>
  <c r="AQ27" i="5" s="1"/>
  <c r="C103" i="93" s="1"/>
  <c r="L26" i="5"/>
  <c r="M26" i="5"/>
  <c r="J22" i="5"/>
  <c r="K22" i="5"/>
  <c r="U22" i="5"/>
  <c r="AA22" i="5" s="1"/>
  <c r="B83" i="20" s="1"/>
  <c r="D83" i="20" s="1"/>
  <c r="F83" i="20" s="1"/>
  <c r="AJ21" i="5"/>
  <c r="AP21" i="5" s="1"/>
  <c r="B79" i="93" s="1"/>
  <c r="L16" i="5"/>
  <c r="AK16" i="5" s="1"/>
  <c r="J29" i="5"/>
  <c r="U29" i="5"/>
  <c r="AA29" i="5" s="1"/>
  <c r="B111" i="20" s="1"/>
  <c r="D111" i="20" s="1"/>
  <c r="E111" i="20" s="1"/>
  <c r="K29" i="5"/>
  <c r="M42" i="5"/>
  <c r="AL42" i="5" s="1"/>
  <c r="E170" i="20"/>
  <c r="F170" i="20"/>
  <c r="AO44" i="5"/>
  <c r="C170" i="93" s="1"/>
  <c r="B170" i="93"/>
  <c r="F171" i="20"/>
  <c r="E171" i="20"/>
  <c r="AK44" i="5"/>
  <c r="F166" i="20"/>
  <c r="E166" i="20"/>
  <c r="F169" i="20"/>
  <c r="E169" i="20"/>
  <c r="M43" i="5"/>
  <c r="F167" i="20"/>
  <c r="E167" i="20"/>
  <c r="E168" i="20"/>
  <c r="F168" i="20"/>
  <c r="W42" i="5"/>
  <c r="AA42" i="5"/>
  <c r="B163" i="20" s="1"/>
  <c r="D163" i="20" s="1"/>
  <c r="V42" i="5"/>
  <c r="T42" i="5"/>
  <c r="Y42" i="5" s="1"/>
  <c r="B162" i="20" s="1"/>
  <c r="D162" i="20" s="1"/>
  <c r="AL41" i="5"/>
  <c r="AJ41" i="5"/>
  <c r="AP41" i="5" s="1"/>
  <c r="AK41" i="5"/>
  <c r="N41" i="5"/>
  <c r="O41" i="5" s="1"/>
  <c r="AI41" i="5"/>
  <c r="AN41" i="5" s="1"/>
  <c r="F142" i="20"/>
  <c r="E142" i="20"/>
  <c r="F143" i="20"/>
  <c r="E143" i="20"/>
  <c r="W39" i="5"/>
  <c r="V39" i="5"/>
  <c r="T39" i="5"/>
  <c r="Y39" i="5" s="1"/>
  <c r="B150" i="20" s="1"/>
  <c r="D150" i="20" s="1"/>
  <c r="W38" i="5"/>
  <c r="AE38" i="5" s="1"/>
  <c r="B149" i="20" s="1"/>
  <c r="D149" i="20" s="1"/>
  <c r="V38" i="5"/>
  <c r="T38" i="5"/>
  <c r="Y38" i="5" s="1"/>
  <c r="B146" i="20" s="1"/>
  <c r="D146" i="20" s="1"/>
  <c r="U38" i="5"/>
  <c r="AA38" i="5" s="1"/>
  <c r="B147" i="20" s="1"/>
  <c r="D147" i="20" s="1"/>
  <c r="AL36" i="5"/>
  <c r="AJ36" i="5"/>
  <c r="AP36" i="5" s="1"/>
  <c r="AK36" i="5"/>
  <c r="N36" i="5"/>
  <c r="O36" i="5" s="1"/>
  <c r="AI36" i="5"/>
  <c r="AN36" i="5" s="1"/>
  <c r="M35" i="5"/>
  <c r="E136" i="20"/>
  <c r="F136" i="20"/>
  <c r="W40" i="5"/>
  <c r="AC40" i="5" s="1"/>
  <c r="B156" i="20" s="1"/>
  <c r="D156" i="20" s="1"/>
  <c r="V40" i="5"/>
  <c r="T40" i="5"/>
  <c r="Y40" i="5" s="1"/>
  <c r="B154" i="20" s="1"/>
  <c r="D154" i="20" s="1"/>
  <c r="V34" i="5"/>
  <c r="W34" i="5"/>
  <c r="T34" i="5"/>
  <c r="Y34" i="5" s="1"/>
  <c r="B130" i="20" s="1"/>
  <c r="D130" i="20" s="1"/>
  <c r="U40" i="5"/>
  <c r="AA40" i="5" s="1"/>
  <c r="B155" i="20" s="1"/>
  <c r="D155" i="20" s="1"/>
  <c r="K40" i="5"/>
  <c r="J40" i="5"/>
  <c r="U34" i="5"/>
  <c r="AA34" i="5" s="1"/>
  <c r="B131" i="20" s="1"/>
  <c r="D131" i="20" s="1"/>
  <c r="K34" i="5"/>
  <c r="J34" i="5"/>
  <c r="F134" i="20"/>
  <c r="E134" i="20"/>
  <c r="F135" i="20"/>
  <c r="E135" i="20"/>
  <c r="U39" i="5"/>
  <c r="AA39" i="5" s="1"/>
  <c r="B151" i="20" s="1"/>
  <c r="D151" i="20" s="1"/>
  <c r="L37" i="5"/>
  <c r="L38" i="5"/>
  <c r="F114" i="20"/>
  <c r="E114" i="20"/>
  <c r="F127" i="20"/>
  <c r="E127" i="20"/>
  <c r="B106" i="93"/>
  <c r="AO28" i="5"/>
  <c r="C106" i="93" s="1"/>
  <c r="F126" i="20"/>
  <c r="E126" i="20"/>
  <c r="AI32" i="5"/>
  <c r="AN32" i="5" s="1"/>
  <c r="AJ32" i="5"/>
  <c r="AP32" i="5" s="1"/>
  <c r="F117" i="20"/>
  <c r="E117" i="20"/>
  <c r="M30" i="5"/>
  <c r="F107" i="20"/>
  <c r="E107" i="20"/>
  <c r="F106" i="20"/>
  <c r="E106" i="20"/>
  <c r="W32" i="5"/>
  <c r="V32" i="5"/>
  <c r="T32" i="5"/>
  <c r="Y32" i="5" s="1"/>
  <c r="B122" i="20" s="1"/>
  <c r="D122" i="20" s="1"/>
  <c r="U32" i="5"/>
  <c r="AA32" i="5" s="1"/>
  <c r="B123" i="20" s="1"/>
  <c r="D123" i="20" s="1"/>
  <c r="AK28" i="5"/>
  <c r="F115" i="20"/>
  <c r="E115" i="20"/>
  <c r="W31" i="5"/>
  <c r="V31" i="5"/>
  <c r="AA31" i="5"/>
  <c r="B119" i="20" s="1"/>
  <c r="D119" i="20" s="1"/>
  <c r="T31" i="5"/>
  <c r="Y31" i="5" s="1"/>
  <c r="B118" i="20" s="1"/>
  <c r="D118" i="20" s="1"/>
  <c r="L31" i="5"/>
  <c r="AK32" i="5"/>
  <c r="AR32" i="5" s="1"/>
  <c r="N32" i="5"/>
  <c r="O32" i="5" s="1"/>
  <c r="F66" i="20"/>
  <c r="E66" i="20"/>
  <c r="F86" i="20"/>
  <c r="E86" i="20"/>
  <c r="F67" i="20"/>
  <c r="E67" i="20"/>
  <c r="F103" i="20"/>
  <c r="E103" i="20"/>
  <c r="F98" i="20"/>
  <c r="E98" i="20"/>
  <c r="V24" i="5"/>
  <c r="W24" i="5"/>
  <c r="T24" i="5"/>
  <c r="Y24" i="5" s="1"/>
  <c r="B90" i="20" s="1"/>
  <c r="D90" i="20" s="1"/>
  <c r="F102" i="20"/>
  <c r="E102" i="20"/>
  <c r="U24" i="5"/>
  <c r="AA24" i="5" s="1"/>
  <c r="B91" i="20" s="1"/>
  <c r="D91" i="20" s="1"/>
  <c r="J24" i="5"/>
  <c r="K24" i="5"/>
  <c r="W17" i="5"/>
  <c r="V17" i="5"/>
  <c r="T17" i="5"/>
  <c r="Y17" i="5" s="1"/>
  <c r="B62" i="20" s="1"/>
  <c r="D62" i="20" s="1"/>
  <c r="U17" i="5"/>
  <c r="AA17" i="5" s="1"/>
  <c r="B63" i="20" s="1"/>
  <c r="D63" i="20" s="1"/>
  <c r="AL25" i="5"/>
  <c r="AT25" i="5" s="1"/>
  <c r="AJ25" i="5"/>
  <c r="AP25" i="5" s="1"/>
  <c r="W19" i="5"/>
  <c r="V19" i="5"/>
  <c r="T19" i="5"/>
  <c r="Y19" i="5" s="1"/>
  <c r="B70" i="20" s="1"/>
  <c r="D70" i="20" s="1"/>
  <c r="F99" i="20"/>
  <c r="E99" i="20"/>
  <c r="F87" i="20"/>
  <c r="E87" i="20"/>
  <c r="U19" i="5"/>
  <c r="AA19" i="5" s="1"/>
  <c r="B71" i="20" s="1"/>
  <c r="D71" i="20" s="1"/>
  <c r="J19" i="5"/>
  <c r="K19" i="5"/>
  <c r="L18" i="5"/>
  <c r="AJ23" i="5"/>
  <c r="AP23" i="5" s="1"/>
  <c r="M16" i="5"/>
  <c r="AL16" i="5" s="1"/>
  <c r="AT16" i="5" s="1"/>
  <c r="AA16" i="5"/>
  <c r="B59" i="20" s="1"/>
  <c r="D59" i="20" s="1"/>
  <c r="W16" i="5"/>
  <c r="V16" i="5"/>
  <c r="AE16" i="5" s="1"/>
  <c r="B61" i="20" s="1"/>
  <c r="D61" i="20" s="1"/>
  <c r="T16" i="5"/>
  <c r="Y16" i="5" s="1"/>
  <c r="B58" i="20" s="1"/>
  <c r="D58" i="20" s="1"/>
  <c r="F57" i="20"/>
  <c r="E57" i="20"/>
  <c r="B42" i="93"/>
  <c r="AO12" i="5"/>
  <c r="C42" i="93" s="1"/>
  <c r="W13" i="5"/>
  <c r="V13" i="5"/>
  <c r="T13" i="5"/>
  <c r="Y13" i="5" s="1"/>
  <c r="B46" i="20" s="1"/>
  <c r="D46" i="20" s="1"/>
  <c r="AK15" i="5"/>
  <c r="N15" i="5"/>
  <c r="O15" i="5" s="1"/>
  <c r="AI15" i="5"/>
  <c r="AN15" i="5" s="1"/>
  <c r="U13" i="5"/>
  <c r="AA13" i="5" s="1"/>
  <c r="B47" i="20" s="1"/>
  <c r="D47" i="20" s="1"/>
  <c r="J13" i="5"/>
  <c r="K13" i="5"/>
  <c r="F55" i="20"/>
  <c r="E55" i="20"/>
  <c r="F31" i="20"/>
  <c r="E31" i="20"/>
  <c r="F19" i="20"/>
  <c r="E19" i="20"/>
  <c r="F35" i="20"/>
  <c r="E35" i="20"/>
  <c r="L8" i="5"/>
  <c r="F30" i="20"/>
  <c r="E30" i="20"/>
  <c r="F27" i="20"/>
  <c r="E27" i="20"/>
  <c r="AA3" i="5"/>
  <c r="B7" i="20" s="1"/>
  <c r="D7" i="20" s="1"/>
  <c r="W3" i="5"/>
  <c r="V3" i="5"/>
  <c r="T3" i="5"/>
  <c r="L9" i="5"/>
  <c r="L10" i="5"/>
  <c r="F26" i="20"/>
  <c r="E26" i="20"/>
  <c r="F34" i="20"/>
  <c r="E34" i="20"/>
  <c r="L6" i="5"/>
  <c r="F3" i="20"/>
  <c r="E3" i="20"/>
  <c r="L2" i="5"/>
  <c r="M2" i="5"/>
  <c r="F184" i="20" l="1"/>
  <c r="E129" i="20"/>
  <c r="E16" i="20"/>
  <c r="AC38" i="5"/>
  <c r="B148" i="20" s="1"/>
  <c r="D148" i="20" s="1"/>
  <c r="F148" i="20" s="1"/>
  <c r="E116" i="20"/>
  <c r="AC32" i="5"/>
  <c r="B124" i="20" s="1"/>
  <c r="D124" i="20" s="1"/>
  <c r="E124" i="20" s="1"/>
  <c r="F104" i="20"/>
  <c r="F172" i="20"/>
  <c r="AC24" i="5"/>
  <c r="B92" i="20" s="1"/>
  <c r="D92" i="20" s="1"/>
  <c r="F92" i="20" s="1"/>
  <c r="E101" i="20"/>
  <c r="E137" i="20"/>
  <c r="AC48" i="5"/>
  <c r="B188" i="20" s="1"/>
  <c r="D188" i="20" s="1"/>
  <c r="F188" i="20" s="1"/>
  <c r="AC46" i="5"/>
  <c r="B180" i="20" s="1"/>
  <c r="D180" i="20" s="1"/>
  <c r="F180" i="20" s="1"/>
  <c r="AT51" i="5"/>
  <c r="AR51" i="5"/>
  <c r="AC34" i="5"/>
  <c r="B132" i="20" s="1"/>
  <c r="D132" i="20" s="1"/>
  <c r="E132" i="20" s="1"/>
  <c r="AE34" i="5"/>
  <c r="B133" i="20" s="1"/>
  <c r="D133" i="20" s="1"/>
  <c r="E133" i="20" s="1"/>
  <c r="F100" i="20"/>
  <c r="F108" i="20"/>
  <c r="AE32" i="5"/>
  <c r="B125" i="20" s="1"/>
  <c r="D125" i="20" s="1"/>
  <c r="F125" i="20" s="1"/>
  <c r="AC31" i="5"/>
  <c r="B120" i="20" s="1"/>
  <c r="D120" i="20" s="1"/>
  <c r="E120" i="20" s="1"/>
  <c r="F176" i="20"/>
  <c r="E37" i="20"/>
  <c r="F88" i="20"/>
  <c r="AE29" i="5"/>
  <c r="B113" i="20" s="1"/>
  <c r="D113" i="20" s="1"/>
  <c r="F113" i="20" s="1"/>
  <c r="E128" i="20"/>
  <c r="AT42" i="5"/>
  <c r="AU42" i="5" s="1"/>
  <c r="C165" i="93" s="1"/>
  <c r="AC39" i="5"/>
  <c r="B152" i="20" s="1"/>
  <c r="D152" i="20" s="1"/>
  <c r="F152" i="20" s="1"/>
  <c r="AC42" i="5"/>
  <c r="B164" i="20" s="1"/>
  <c r="D164" i="20" s="1"/>
  <c r="F164" i="20" s="1"/>
  <c r="AE14" i="5"/>
  <c r="B53" i="20" s="1"/>
  <c r="D53" i="20" s="1"/>
  <c r="F53" i="20" s="1"/>
  <c r="AR16" i="5"/>
  <c r="AS16" i="5" s="1"/>
  <c r="C60" i="93" s="1"/>
  <c r="F144" i="20"/>
  <c r="F28" i="20"/>
  <c r="F68" i="20"/>
  <c r="B2" i="20"/>
  <c r="D2" i="20" s="1"/>
  <c r="AR33" i="5"/>
  <c r="AT33" i="5"/>
  <c r="AE46" i="5"/>
  <c r="B181" i="20" s="1"/>
  <c r="D181" i="20" s="1"/>
  <c r="F181" i="20" s="1"/>
  <c r="AR50" i="5"/>
  <c r="AT50" i="5"/>
  <c r="F105" i="20"/>
  <c r="AC16" i="5"/>
  <c r="B60" i="20" s="1"/>
  <c r="D60" i="20" s="1"/>
  <c r="E60" i="20" s="1"/>
  <c r="AE19" i="5"/>
  <c r="B73" i="20" s="1"/>
  <c r="D73" i="20" s="1"/>
  <c r="F73" i="20" s="1"/>
  <c r="E173" i="20"/>
  <c r="AR36" i="5"/>
  <c r="B140" i="93" s="1"/>
  <c r="AT36" i="5"/>
  <c r="AR44" i="5"/>
  <c r="AT44" i="5"/>
  <c r="AE40" i="5"/>
  <c r="B157" i="20" s="1"/>
  <c r="D157" i="20" s="1"/>
  <c r="E157" i="20" s="1"/>
  <c r="AE24" i="5"/>
  <c r="B93" i="20" s="1"/>
  <c r="D93" i="20" s="1"/>
  <c r="E93" i="20" s="1"/>
  <c r="AC22" i="5"/>
  <c r="B84" i="20" s="1"/>
  <c r="D84" i="20" s="1"/>
  <c r="E84" i="20" s="1"/>
  <c r="AC14" i="5"/>
  <c r="B52" i="20" s="1"/>
  <c r="D52" i="20" s="1"/>
  <c r="F52" i="20" s="1"/>
  <c r="AE22" i="5"/>
  <c r="B85" i="20" s="1"/>
  <c r="D85" i="20" s="1"/>
  <c r="F85" i="20" s="1"/>
  <c r="F36" i="20"/>
  <c r="F177" i="20"/>
  <c r="E21" i="20"/>
  <c r="AR27" i="5"/>
  <c r="AT27" i="5"/>
  <c r="F109" i="20"/>
  <c r="AI33" i="5"/>
  <c r="AN33" i="5" s="1"/>
  <c r="AO33" i="5" s="1"/>
  <c r="C126" i="93" s="1"/>
  <c r="F29" i="20"/>
  <c r="AR42" i="5"/>
  <c r="B164" i="93" s="1"/>
  <c r="AE42" i="5"/>
  <c r="B165" i="20" s="1"/>
  <c r="D165" i="20" s="1"/>
  <c r="E165" i="20" s="1"/>
  <c r="E89" i="20"/>
  <c r="AE31" i="5"/>
  <c r="B121" i="20" s="1"/>
  <c r="D121" i="20" s="1"/>
  <c r="E121" i="20" s="1"/>
  <c r="AT28" i="5"/>
  <c r="AR28" i="5"/>
  <c r="F32" i="20"/>
  <c r="AJ51" i="5"/>
  <c r="AP51" i="5" s="1"/>
  <c r="B199" i="93" s="1"/>
  <c r="AE48" i="5"/>
  <c r="B189" i="20" s="1"/>
  <c r="D189" i="20" s="1"/>
  <c r="E189" i="20" s="1"/>
  <c r="E33" i="20"/>
  <c r="AI43" i="5"/>
  <c r="AN43" i="5" s="1"/>
  <c r="B166" i="93" s="1"/>
  <c r="F20" i="20"/>
  <c r="F18" i="20"/>
  <c r="E18" i="20"/>
  <c r="Y3" i="5"/>
  <c r="B6" i="20" s="1"/>
  <c r="D6" i="20" s="1"/>
  <c r="B97" i="93"/>
  <c r="AU25" i="5"/>
  <c r="C97" i="93" s="1"/>
  <c r="AR20" i="5"/>
  <c r="AT20" i="5"/>
  <c r="AR25" i="5"/>
  <c r="AI42" i="5"/>
  <c r="AN42" i="5" s="1"/>
  <c r="AO42" i="5" s="1"/>
  <c r="C162" i="93" s="1"/>
  <c r="B127" i="93"/>
  <c r="AO51" i="5"/>
  <c r="C198" i="93" s="1"/>
  <c r="N33" i="5"/>
  <c r="O33" i="5" s="1"/>
  <c r="AC13" i="5"/>
  <c r="B48" i="20" s="1"/>
  <c r="D48" i="20" s="1"/>
  <c r="E48" i="20" s="1"/>
  <c r="AU11" i="5"/>
  <c r="C41" i="93" s="1"/>
  <c r="B41" i="93"/>
  <c r="B40" i="93"/>
  <c r="AS11" i="5"/>
  <c r="C40" i="93" s="1"/>
  <c r="F4" i="20"/>
  <c r="F5" i="20"/>
  <c r="AU12" i="5"/>
  <c r="C45" i="93" s="1"/>
  <c r="B45" i="93"/>
  <c r="B44" i="93"/>
  <c r="AS12" i="5"/>
  <c r="C44" i="93" s="1"/>
  <c r="E69" i="20"/>
  <c r="AE3" i="5"/>
  <c r="B9" i="20" s="1"/>
  <c r="D9" i="20" s="1"/>
  <c r="E9" i="20" s="1"/>
  <c r="AQ50" i="5"/>
  <c r="C195" i="93" s="1"/>
  <c r="B195" i="93"/>
  <c r="AO35" i="5"/>
  <c r="C134" i="93" s="1"/>
  <c r="AK35" i="5"/>
  <c r="AK47" i="5"/>
  <c r="AI47" i="5"/>
  <c r="AN47" i="5" s="1"/>
  <c r="AO47" i="5" s="1"/>
  <c r="C182" i="93" s="1"/>
  <c r="N51" i="5"/>
  <c r="O51" i="5" s="1"/>
  <c r="B183" i="93"/>
  <c r="AC17" i="5"/>
  <c r="B64" i="20" s="1"/>
  <c r="D64" i="20" s="1"/>
  <c r="F64" i="20" s="1"/>
  <c r="AJ37" i="5"/>
  <c r="AP37" i="5" s="1"/>
  <c r="B143" i="93" s="1"/>
  <c r="B53" i="93"/>
  <c r="M46" i="5"/>
  <c r="AL46" i="5" s="1"/>
  <c r="AJ48" i="5"/>
  <c r="AP48" i="5" s="1"/>
  <c r="B187" i="93" s="1"/>
  <c r="AJ38" i="5"/>
  <c r="AP38" i="5" s="1"/>
  <c r="B147" i="93" s="1"/>
  <c r="N35" i="5"/>
  <c r="O35" i="5" s="1"/>
  <c r="E51" i="20"/>
  <c r="E50" i="20"/>
  <c r="AJ31" i="5"/>
  <c r="AP31" i="5" s="1"/>
  <c r="AQ31" i="5" s="1"/>
  <c r="C119" i="93" s="1"/>
  <c r="B103" i="93"/>
  <c r="AE13" i="5"/>
  <c r="B49" i="20" s="1"/>
  <c r="D49" i="20" s="1"/>
  <c r="E49" i="20" s="1"/>
  <c r="AR14" i="5"/>
  <c r="F112" i="20"/>
  <c r="N23" i="5"/>
  <c r="O23" i="5" s="1"/>
  <c r="AK23" i="5"/>
  <c r="AJ9" i="5"/>
  <c r="AP9" i="5" s="1"/>
  <c r="B31" i="93" s="1"/>
  <c r="AO25" i="5"/>
  <c r="C94" i="93" s="1"/>
  <c r="AT41" i="5"/>
  <c r="AR41" i="5"/>
  <c r="AK39" i="5"/>
  <c r="AO23" i="5"/>
  <c r="C86" i="93" s="1"/>
  <c r="AE17" i="5"/>
  <c r="B65" i="20" s="1"/>
  <c r="D65" i="20" s="1"/>
  <c r="F65" i="20" s="1"/>
  <c r="AL6" i="5"/>
  <c r="N42" i="5"/>
  <c r="O42" i="5" s="1"/>
  <c r="AE39" i="5"/>
  <c r="B153" i="20" s="1"/>
  <c r="D153" i="20" s="1"/>
  <c r="F153" i="20" s="1"/>
  <c r="E145" i="20"/>
  <c r="F110" i="20"/>
  <c r="AJ10" i="5"/>
  <c r="AP10" i="5" s="1"/>
  <c r="AQ10" i="5" s="1"/>
  <c r="C35" i="93" s="1"/>
  <c r="AJ14" i="5"/>
  <c r="AP14" i="5" s="1"/>
  <c r="B51" i="93" s="1"/>
  <c r="N30" i="5"/>
  <c r="O30" i="5" s="1"/>
  <c r="F82" i="20"/>
  <c r="B80" i="93"/>
  <c r="AS21" i="5"/>
  <c r="C80" i="93" s="1"/>
  <c r="AU21" i="5"/>
  <c r="C81" i="93" s="1"/>
  <c r="B81" i="93"/>
  <c r="AC19" i="5"/>
  <c r="B72" i="20" s="1"/>
  <c r="D72" i="20" s="1"/>
  <c r="E72" i="20" s="1"/>
  <c r="AJ8" i="5"/>
  <c r="AP8" i="5" s="1"/>
  <c r="B27" i="93" s="1"/>
  <c r="AC3" i="5"/>
  <c r="B8" i="20" s="1"/>
  <c r="D8" i="20" s="1"/>
  <c r="E8" i="20" s="1"/>
  <c r="AJ39" i="5"/>
  <c r="AP39" i="5" s="1"/>
  <c r="AQ39" i="5" s="1"/>
  <c r="C151" i="93" s="1"/>
  <c r="N39" i="5"/>
  <c r="O39" i="5" s="1"/>
  <c r="N44" i="5"/>
  <c r="O44" i="5" s="1"/>
  <c r="AJ44" i="5"/>
  <c r="AP44" i="5" s="1"/>
  <c r="AQ44" i="5" s="1"/>
  <c r="C171" i="93" s="1"/>
  <c r="AI27" i="5"/>
  <c r="AN27" i="5" s="1"/>
  <c r="B102" i="93" s="1"/>
  <c r="AI30" i="5"/>
  <c r="AN30" i="5" s="1"/>
  <c r="AO30" i="5" s="1"/>
  <c r="C114" i="93" s="1"/>
  <c r="N27" i="5"/>
  <c r="O27" i="5" s="1"/>
  <c r="AO14" i="5"/>
  <c r="C50" i="93" s="1"/>
  <c r="F111" i="20"/>
  <c r="N28" i="5"/>
  <c r="O28" i="5" s="1"/>
  <c r="AJ28" i="5"/>
  <c r="AP28" i="5" s="1"/>
  <c r="B107" i="93" s="1"/>
  <c r="AJ18" i="5"/>
  <c r="AP18" i="5" s="1"/>
  <c r="B67" i="93" s="1"/>
  <c r="B55" i="93"/>
  <c r="N14" i="5"/>
  <c r="O14" i="5" s="1"/>
  <c r="AK3" i="5"/>
  <c r="M17" i="5"/>
  <c r="N17" i="5" s="1"/>
  <c r="O17" i="5" s="1"/>
  <c r="E83" i="20"/>
  <c r="AQ21" i="5"/>
  <c r="C79" i="93" s="1"/>
  <c r="N3" i="5"/>
  <c r="O3" i="5" s="1"/>
  <c r="AJ3" i="5"/>
  <c r="AP3" i="5" s="1"/>
  <c r="B7" i="93" s="1"/>
  <c r="F190" i="20"/>
  <c r="E190" i="20"/>
  <c r="AO49" i="5"/>
  <c r="C190" i="93" s="1"/>
  <c r="B190" i="93"/>
  <c r="F193" i="20"/>
  <c r="E193" i="20"/>
  <c r="F191" i="20"/>
  <c r="E191" i="20"/>
  <c r="AU49" i="5"/>
  <c r="C193" i="93" s="1"/>
  <c r="B193" i="93"/>
  <c r="AS49" i="5"/>
  <c r="C192" i="93" s="1"/>
  <c r="B192" i="93"/>
  <c r="AK49" i="5"/>
  <c r="N49" i="5"/>
  <c r="O49" i="5" s="1"/>
  <c r="E192" i="20"/>
  <c r="F192" i="20"/>
  <c r="AJ49" i="5"/>
  <c r="AP49" i="5" s="1"/>
  <c r="AO48" i="5"/>
  <c r="C186" i="93" s="1"/>
  <c r="B186" i="93"/>
  <c r="F187" i="20"/>
  <c r="E187" i="20"/>
  <c r="E186" i="20"/>
  <c r="F186" i="20"/>
  <c r="AK48" i="5"/>
  <c r="N48" i="5"/>
  <c r="O48" i="5" s="1"/>
  <c r="F179" i="20"/>
  <c r="E179" i="20"/>
  <c r="F178" i="20"/>
  <c r="E178" i="20"/>
  <c r="AJ42" i="5"/>
  <c r="AP42" i="5" s="1"/>
  <c r="B163" i="93" s="1"/>
  <c r="AK45" i="5"/>
  <c r="N45" i="5"/>
  <c r="O45" i="5" s="1"/>
  <c r="AI45" i="5"/>
  <c r="AN45" i="5" s="1"/>
  <c r="L46" i="5"/>
  <c r="AL45" i="5"/>
  <c r="AJ45" i="5"/>
  <c r="AP45" i="5" s="1"/>
  <c r="L29" i="5"/>
  <c r="M29" i="5"/>
  <c r="M40" i="5"/>
  <c r="AJ40" i="5" s="1"/>
  <c r="AP40" i="5" s="1"/>
  <c r="M34" i="5"/>
  <c r="AL34" i="5" s="1"/>
  <c r="L22" i="5"/>
  <c r="M22" i="5"/>
  <c r="M24" i="5"/>
  <c r="AL24" i="5" s="1"/>
  <c r="AL26" i="5"/>
  <c r="AJ26" i="5"/>
  <c r="AP26" i="5" s="1"/>
  <c r="N26" i="5"/>
  <c r="O26" i="5" s="1"/>
  <c r="AK26" i="5"/>
  <c r="AI26" i="5"/>
  <c r="AN26" i="5" s="1"/>
  <c r="AI16" i="5"/>
  <c r="AN16" i="5" s="1"/>
  <c r="AO16" i="5" s="1"/>
  <c r="C58" i="93" s="1"/>
  <c r="M13" i="5"/>
  <c r="AL13" i="5" s="1"/>
  <c r="AJ16" i="5"/>
  <c r="AP16" i="5" s="1"/>
  <c r="AQ16" i="5" s="1"/>
  <c r="C59" i="93" s="1"/>
  <c r="AL43" i="5"/>
  <c r="AT43" i="5" s="1"/>
  <c r="AJ43" i="5"/>
  <c r="AP43" i="5" s="1"/>
  <c r="N43" i="5"/>
  <c r="O43" i="5" s="1"/>
  <c r="F162" i="20"/>
  <c r="E162" i="20"/>
  <c r="F163" i="20"/>
  <c r="E163" i="20"/>
  <c r="B159" i="93"/>
  <c r="AQ41" i="5"/>
  <c r="C159" i="93" s="1"/>
  <c r="B158" i="93"/>
  <c r="AO41" i="5"/>
  <c r="C158" i="93" s="1"/>
  <c r="F154" i="20"/>
  <c r="E154" i="20"/>
  <c r="F155" i="20"/>
  <c r="E155" i="20"/>
  <c r="F146" i="20"/>
  <c r="E146" i="20"/>
  <c r="F151" i="20"/>
  <c r="E151" i="20"/>
  <c r="F131" i="20"/>
  <c r="E131" i="20"/>
  <c r="B138" i="93"/>
  <c r="AO36" i="5"/>
  <c r="C138" i="93" s="1"/>
  <c r="F147" i="20"/>
  <c r="E147" i="20"/>
  <c r="F150" i="20"/>
  <c r="E150" i="20"/>
  <c r="L34" i="5"/>
  <c r="L40" i="5"/>
  <c r="F149" i="20"/>
  <c r="E149" i="20"/>
  <c r="F130" i="20"/>
  <c r="E130" i="20"/>
  <c r="E156" i="20"/>
  <c r="F156" i="20"/>
  <c r="E148" i="20"/>
  <c r="B150" i="93"/>
  <c r="AO39" i="5"/>
  <c r="C150" i="93" s="1"/>
  <c r="AK38" i="5"/>
  <c r="N38" i="5"/>
  <c r="O38" i="5" s="1"/>
  <c r="AI38" i="5"/>
  <c r="AN38" i="5" s="1"/>
  <c r="AK37" i="5"/>
  <c r="N37" i="5"/>
  <c r="O37" i="5" s="1"/>
  <c r="AI37" i="5"/>
  <c r="AN37" i="5" s="1"/>
  <c r="AL35" i="5"/>
  <c r="AJ35" i="5"/>
  <c r="AP35" i="5" s="1"/>
  <c r="B139" i="93"/>
  <c r="AQ36" i="5"/>
  <c r="C139" i="93" s="1"/>
  <c r="B124" i="93"/>
  <c r="AS32" i="5"/>
  <c r="C124" i="93" s="1"/>
  <c r="F122" i="20"/>
  <c r="E122" i="20"/>
  <c r="F123" i="20"/>
  <c r="E123" i="20"/>
  <c r="AL30" i="5"/>
  <c r="AR30" i="5" s="1"/>
  <c r="AJ30" i="5"/>
  <c r="AP30" i="5" s="1"/>
  <c r="AT32" i="5"/>
  <c r="AK31" i="5"/>
  <c r="N31" i="5"/>
  <c r="O31" i="5" s="1"/>
  <c r="F118" i="20"/>
  <c r="E118" i="20"/>
  <c r="AI31" i="5"/>
  <c r="AN31" i="5" s="1"/>
  <c r="B122" i="93"/>
  <c r="AO32" i="5"/>
  <c r="C122" i="93" s="1"/>
  <c r="B123" i="93"/>
  <c r="AQ32" i="5"/>
  <c r="C123" i="93" s="1"/>
  <c r="F119" i="20"/>
  <c r="E119" i="20"/>
  <c r="F91" i="20"/>
  <c r="E91" i="20"/>
  <c r="B62" i="93"/>
  <c r="AO17" i="5"/>
  <c r="C62" i="93" s="1"/>
  <c r="F63" i="20"/>
  <c r="E63" i="20"/>
  <c r="F71" i="20"/>
  <c r="E71" i="20"/>
  <c r="F90" i="20"/>
  <c r="E90" i="20"/>
  <c r="AK18" i="5"/>
  <c r="N18" i="5"/>
  <c r="O18" i="5" s="1"/>
  <c r="AI18" i="5"/>
  <c r="AN18" i="5" s="1"/>
  <c r="AQ23" i="5"/>
  <c r="C87" i="93" s="1"/>
  <c r="B87" i="93"/>
  <c r="L19" i="5"/>
  <c r="AQ25" i="5"/>
  <c r="C95" i="93" s="1"/>
  <c r="B95" i="93"/>
  <c r="F62" i="20"/>
  <c r="E62" i="20"/>
  <c r="F70" i="20"/>
  <c r="E70" i="20"/>
  <c r="AK17" i="5"/>
  <c r="M19" i="5"/>
  <c r="L24" i="5"/>
  <c r="F58" i="20"/>
  <c r="E58" i="20"/>
  <c r="E61" i="20"/>
  <c r="F61" i="20"/>
  <c r="B61" i="93"/>
  <c r="AU16" i="5"/>
  <c r="C61" i="93" s="1"/>
  <c r="N16" i="5"/>
  <c r="O16" i="5" s="1"/>
  <c r="F59" i="20"/>
  <c r="E59" i="20"/>
  <c r="F46" i="20"/>
  <c r="E46" i="20"/>
  <c r="F47" i="20"/>
  <c r="E47" i="20"/>
  <c r="AR15" i="5"/>
  <c r="AT15" i="5"/>
  <c r="L13" i="5"/>
  <c r="B54" i="93"/>
  <c r="AO15" i="5"/>
  <c r="C54" i="93" s="1"/>
  <c r="N9" i="5"/>
  <c r="O9" i="5" s="1"/>
  <c r="AK9" i="5"/>
  <c r="AI9" i="5"/>
  <c r="AN9" i="5" s="1"/>
  <c r="B19" i="93"/>
  <c r="AQ6" i="5"/>
  <c r="C19" i="93" s="1"/>
  <c r="AK8" i="5"/>
  <c r="N8" i="5"/>
  <c r="O8" i="5" s="1"/>
  <c r="AI8" i="5"/>
  <c r="AN8" i="5" s="1"/>
  <c r="F7" i="20"/>
  <c r="E7" i="20"/>
  <c r="B6" i="93"/>
  <c r="C6" i="93"/>
  <c r="N6" i="5"/>
  <c r="O6" i="5" s="1"/>
  <c r="AK6" i="5"/>
  <c r="AI6" i="5"/>
  <c r="AN6" i="5" s="1"/>
  <c r="AO6" i="5" s="1"/>
  <c r="N10" i="5"/>
  <c r="O10" i="5" s="1"/>
  <c r="AK10" i="5"/>
  <c r="AI10" i="5"/>
  <c r="AN10" i="5" s="1"/>
  <c r="AL2" i="5"/>
  <c r="AJ2" i="5"/>
  <c r="AP2" i="5" s="1"/>
  <c r="AK2" i="5"/>
  <c r="N2" i="5"/>
  <c r="O2" i="5" s="1"/>
  <c r="AI2" i="5"/>
  <c r="AN2" i="5" s="1"/>
  <c r="F124" i="20" l="1"/>
  <c r="AR47" i="5"/>
  <c r="AS47" i="5" s="1"/>
  <c r="C184" i="93" s="1"/>
  <c r="AT47" i="5"/>
  <c r="E92" i="20"/>
  <c r="E188" i="20"/>
  <c r="AT38" i="5"/>
  <c r="AR38" i="5"/>
  <c r="E180" i="20"/>
  <c r="F120" i="20"/>
  <c r="E125" i="20"/>
  <c r="B200" i="93"/>
  <c r="AS51" i="5"/>
  <c r="C200" i="93" s="1"/>
  <c r="B201" i="93"/>
  <c r="AU51" i="5"/>
  <c r="C201" i="93" s="1"/>
  <c r="F132" i="20"/>
  <c r="B165" i="93"/>
  <c r="F133" i="20"/>
  <c r="E152" i="20"/>
  <c r="E164" i="20"/>
  <c r="B60" i="93"/>
  <c r="E53" i="20"/>
  <c r="E113" i="20"/>
  <c r="AT39" i="5"/>
  <c r="AR39" i="5"/>
  <c r="F157" i="20"/>
  <c r="AS42" i="5"/>
  <c r="C164" i="93" s="1"/>
  <c r="F189" i="20"/>
  <c r="E2" i="20"/>
  <c r="F2" i="20"/>
  <c r="AT35" i="5"/>
  <c r="AU33" i="5"/>
  <c r="C129" i="93" s="1"/>
  <c r="B129" i="93"/>
  <c r="B128" i="93"/>
  <c r="AS33" i="5"/>
  <c r="C128" i="93" s="1"/>
  <c r="E181" i="20"/>
  <c r="B197" i="93"/>
  <c r="AU50" i="5"/>
  <c r="C197" i="93" s="1"/>
  <c r="B196" i="93"/>
  <c r="AS50" i="5"/>
  <c r="C196" i="93" s="1"/>
  <c r="F60" i="20"/>
  <c r="E73" i="20"/>
  <c r="AR35" i="5"/>
  <c r="B116" i="93"/>
  <c r="AS30" i="5"/>
  <c r="C116" i="93" s="1"/>
  <c r="AT30" i="5"/>
  <c r="AS36" i="5"/>
  <c r="C140" i="93" s="1"/>
  <c r="AU36" i="5"/>
  <c r="C141" i="93" s="1"/>
  <c r="B141" i="93"/>
  <c r="F93" i="20"/>
  <c r="AU43" i="5"/>
  <c r="C169" i="93" s="1"/>
  <c r="B169" i="93"/>
  <c r="B173" i="93"/>
  <c r="AU44" i="5"/>
  <c r="C173" i="93" s="1"/>
  <c r="AS44" i="5"/>
  <c r="C172" i="93" s="1"/>
  <c r="B172" i="93"/>
  <c r="AR43" i="5"/>
  <c r="F84" i="20"/>
  <c r="E85" i="20"/>
  <c r="E52" i="20"/>
  <c r="F165" i="20"/>
  <c r="F121" i="20"/>
  <c r="B126" i="93"/>
  <c r="AU27" i="5"/>
  <c r="C105" i="93" s="1"/>
  <c r="B105" i="93"/>
  <c r="B104" i="93"/>
  <c r="AS27" i="5"/>
  <c r="C104" i="93" s="1"/>
  <c r="AR10" i="5"/>
  <c r="AT10" i="5"/>
  <c r="AT45" i="5"/>
  <c r="AR45" i="5"/>
  <c r="B108" i="93"/>
  <c r="AS28" i="5"/>
  <c r="C108" i="93" s="1"/>
  <c r="AR31" i="5"/>
  <c r="B120" i="93" s="1"/>
  <c r="AT31" i="5"/>
  <c r="AU28" i="5"/>
  <c r="C109" i="93" s="1"/>
  <c r="B109" i="93"/>
  <c r="AT26" i="5"/>
  <c r="AR26" i="5"/>
  <c r="AQ51" i="5"/>
  <c r="C199" i="93" s="1"/>
  <c r="AO43" i="5"/>
  <c r="C166" i="93" s="1"/>
  <c r="E153" i="20"/>
  <c r="AR48" i="5"/>
  <c r="AT48" i="5"/>
  <c r="B184" i="93"/>
  <c r="B162" i="93"/>
  <c r="F6" i="20"/>
  <c r="E6" i="20"/>
  <c r="B77" i="93"/>
  <c r="AU20" i="5"/>
  <c r="C77" i="93" s="1"/>
  <c r="B76" i="93"/>
  <c r="AS20" i="5"/>
  <c r="C76" i="93" s="1"/>
  <c r="AR23" i="5"/>
  <c r="AT23" i="5"/>
  <c r="B96" i="93"/>
  <c r="AS25" i="5"/>
  <c r="C96" i="93" s="1"/>
  <c r="F48" i="20"/>
  <c r="AT8" i="5"/>
  <c r="AR8" i="5"/>
  <c r="F9" i="20"/>
  <c r="F49" i="20"/>
  <c r="E64" i="20"/>
  <c r="B119" i="93"/>
  <c r="AO27" i="5"/>
  <c r="C102" i="93" s="1"/>
  <c r="B182" i="93"/>
  <c r="AQ48" i="5"/>
  <c r="C187" i="93" s="1"/>
  <c r="AJ46" i="5"/>
  <c r="AP46" i="5" s="1"/>
  <c r="B179" i="93" s="1"/>
  <c r="AQ38" i="5"/>
  <c r="C147" i="93" s="1"/>
  <c r="AQ37" i="5"/>
  <c r="C143" i="93" s="1"/>
  <c r="B171" i="93"/>
  <c r="AR6" i="5"/>
  <c r="AT6" i="5"/>
  <c r="AQ9" i="5"/>
  <c r="C31" i="93" s="1"/>
  <c r="B52" i="93"/>
  <c r="AS14" i="5"/>
  <c r="C52" i="93" s="1"/>
  <c r="AT9" i="5"/>
  <c r="AR9" i="5"/>
  <c r="E65" i="20"/>
  <c r="AT2" i="5"/>
  <c r="AR2" i="5"/>
  <c r="AL40" i="5"/>
  <c r="B160" i="93"/>
  <c r="AS41" i="5"/>
  <c r="C160" i="93" s="1"/>
  <c r="AU41" i="5"/>
  <c r="C161" i="93" s="1"/>
  <c r="B161" i="93"/>
  <c r="F72" i="20"/>
  <c r="AT18" i="5"/>
  <c r="AR18" i="5"/>
  <c r="B35" i="93"/>
  <c r="F8" i="20"/>
  <c r="AR3" i="5"/>
  <c r="AS3" i="5" s="1"/>
  <c r="C8" i="93" s="1"/>
  <c r="AT3" i="5"/>
  <c r="AQ14" i="5"/>
  <c r="C51" i="93" s="1"/>
  <c r="AQ42" i="5"/>
  <c r="C163" i="93" s="1"/>
  <c r="B151" i="93"/>
  <c r="AR37" i="5"/>
  <c r="AT37" i="5"/>
  <c r="AJ34" i="5"/>
  <c r="AP34" i="5" s="1"/>
  <c r="B131" i="93" s="1"/>
  <c r="B114" i="93"/>
  <c r="AQ8" i="5"/>
  <c r="C27" i="93" s="1"/>
  <c r="AQ28" i="5"/>
  <c r="C107" i="93" s="1"/>
  <c r="AQ18" i="5"/>
  <c r="C67" i="93" s="1"/>
  <c r="AJ13" i="5"/>
  <c r="AP13" i="5" s="1"/>
  <c r="AQ13" i="5" s="1"/>
  <c r="C47" i="93" s="1"/>
  <c r="AL17" i="5"/>
  <c r="AT17" i="5" s="1"/>
  <c r="AJ17" i="5"/>
  <c r="AP17" i="5" s="1"/>
  <c r="B58" i="93"/>
  <c r="AJ24" i="5"/>
  <c r="AP24" i="5" s="1"/>
  <c r="AQ24" i="5" s="1"/>
  <c r="C91" i="93" s="1"/>
  <c r="B59" i="93"/>
  <c r="AQ3" i="5"/>
  <c r="C7" i="93" s="1"/>
  <c r="AQ49" i="5"/>
  <c r="C191" i="93" s="1"/>
  <c r="B191" i="93"/>
  <c r="B174" i="93"/>
  <c r="AO45" i="5"/>
  <c r="C174" i="93" s="1"/>
  <c r="AK46" i="5"/>
  <c r="N46" i="5"/>
  <c r="O46" i="5" s="1"/>
  <c r="AI46" i="5"/>
  <c r="AN46" i="5" s="1"/>
  <c r="AQ45" i="5"/>
  <c r="C175" i="93" s="1"/>
  <c r="B175" i="93"/>
  <c r="AL29" i="5"/>
  <c r="AJ29" i="5"/>
  <c r="AP29" i="5" s="1"/>
  <c r="AI29" i="5"/>
  <c r="AN29" i="5" s="1"/>
  <c r="AK29" i="5"/>
  <c r="N29" i="5"/>
  <c r="O29" i="5" s="1"/>
  <c r="B98" i="93"/>
  <c r="AO26" i="5"/>
  <c r="C98" i="93" s="1"/>
  <c r="AL22" i="5"/>
  <c r="AJ22" i="5"/>
  <c r="AP22" i="5" s="1"/>
  <c r="B99" i="93"/>
  <c r="AQ26" i="5"/>
  <c r="C99" i="93" s="1"/>
  <c r="AI22" i="5"/>
  <c r="AN22" i="5" s="1"/>
  <c r="AK22" i="5"/>
  <c r="N22" i="5"/>
  <c r="O22" i="5" s="1"/>
  <c r="AQ43" i="5"/>
  <c r="C167" i="93" s="1"/>
  <c r="B167" i="93"/>
  <c r="B146" i="93"/>
  <c r="AO38" i="5"/>
  <c r="C146" i="93" s="1"/>
  <c r="B135" i="93"/>
  <c r="AQ35" i="5"/>
  <c r="C135" i="93" s="1"/>
  <c r="AK40" i="5"/>
  <c r="N40" i="5"/>
  <c r="O40" i="5" s="1"/>
  <c r="AI40" i="5"/>
  <c r="AN40" i="5" s="1"/>
  <c r="AQ40" i="5"/>
  <c r="C155" i="93" s="1"/>
  <c r="B155" i="93"/>
  <c r="B142" i="93"/>
  <c r="AO37" i="5"/>
  <c r="C142" i="93" s="1"/>
  <c r="AK34" i="5"/>
  <c r="N34" i="5"/>
  <c r="O34" i="5" s="1"/>
  <c r="AI34" i="5"/>
  <c r="AN34" i="5" s="1"/>
  <c r="B115" i="93"/>
  <c r="AQ30" i="5"/>
  <c r="C115" i="93" s="1"/>
  <c r="B125" i="93"/>
  <c r="AU32" i="5"/>
  <c r="C125" i="93" s="1"/>
  <c r="B118" i="93"/>
  <c r="AO31" i="5"/>
  <c r="C118" i="93" s="1"/>
  <c r="N24" i="5"/>
  <c r="O24" i="5" s="1"/>
  <c r="AK24" i="5"/>
  <c r="AI24" i="5"/>
  <c r="AN24" i="5" s="1"/>
  <c r="N19" i="5"/>
  <c r="O19" i="5" s="1"/>
  <c r="AK19" i="5"/>
  <c r="AI19" i="5"/>
  <c r="AN19" i="5" s="1"/>
  <c r="AL19" i="5"/>
  <c r="AJ19" i="5"/>
  <c r="AP19" i="5" s="1"/>
  <c r="B66" i="93"/>
  <c r="AO18" i="5"/>
  <c r="C66" i="93" s="1"/>
  <c r="B56" i="93"/>
  <c r="AS15" i="5"/>
  <c r="C56" i="93" s="1"/>
  <c r="B57" i="93"/>
  <c r="AU15" i="5"/>
  <c r="C57" i="93" s="1"/>
  <c r="AK13" i="5"/>
  <c r="N13" i="5"/>
  <c r="O13" i="5" s="1"/>
  <c r="AI13" i="5"/>
  <c r="AN13" i="5" s="1"/>
  <c r="B34" i="93"/>
  <c r="AO10" i="5"/>
  <c r="C34" i="93" s="1"/>
  <c r="B30" i="93"/>
  <c r="AO9" i="5"/>
  <c r="C30" i="93" s="1"/>
  <c r="B26" i="93"/>
  <c r="AO8" i="5"/>
  <c r="C26" i="93" s="1"/>
  <c r="B18" i="93"/>
  <c r="C18" i="93"/>
  <c r="B2" i="93"/>
  <c r="AO2" i="5"/>
  <c r="C2" i="93" s="1"/>
  <c r="B3" i="93"/>
  <c r="AQ2" i="5"/>
  <c r="C3" i="93" s="1"/>
  <c r="AU47" i="5" l="1"/>
  <c r="C185" i="93" s="1"/>
  <c r="B185" i="93"/>
  <c r="AS38" i="5"/>
  <c r="C148" i="93" s="1"/>
  <c r="B148" i="93"/>
  <c r="AU38" i="5"/>
  <c r="C149" i="93" s="1"/>
  <c r="B149" i="93"/>
  <c r="AR34" i="5"/>
  <c r="AS34" i="5" s="1"/>
  <c r="C132" i="93" s="1"/>
  <c r="AT34" i="5"/>
  <c r="AR29" i="5"/>
  <c r="B112" i="93" s="1"/>
  <c r="AT29" i="5"/>
  <c r="B152" i="93"/>
  <c r="AS39" i="5"/>
  <c r="C152" i="93" s="1"/>
  <c r="AU39" i="5"/>
  <c r="C153" i="93" s="1"/>
  <c r="B153" i="93"/>
  <c r="B137" i="93"/>
  <c r="AU35" i="5"/>
  <c r="C137" i="93" s="1"/>
  <c r="AT46" i="5"/>
  <c r="AR46" i="5"/>
  <c r="AS35" i="5"/>
  <c r="C136" i="93" s="1"/>
  <c r="B136" i="93"/>
  <c r="AU30" i="5"/>
  <c r="C117" i="93" s="1"/>
  <c r="B117" i="93"/>
  <c r="AS43" i="5"/>
  <c r="C168" i="93" s="1"/>
  <c r="B168" i="93"/>
  <c r="AR22" i="5"/>
  <c r="AT22" i="5"/>
  <c r="AS31" i="5"/>
  <c r="C120" i="93" s="1"/>
  <c r="AR24" i="5"/>
  <c r="AT24" i="5"/>
  <c r="AU24" i="5" s="1"/>
  <c r="B37" i="93"/>
  <c r="AU10" i="5"/>
  <c r="C37" i="93" s="1"/>
  <c r="B36" i="93"/>
  <c r="AS10" i="5"/>
  <c r="C36" i="93" s="1"/>
  <c r="AT40" i="5"/>
  <c r="AR40" i="5"/>
  <c r="AS45" i="5"/>
  <c r="C176" i="93" s="1"/>
  <c r="B176" i="93"/>
  <c r="AU45" i="5"/>
  <c r="C177" i="93" s="1"/>
  <c r="B177" i="93"/>
  <c r="B100" i="93"/>
  <c r="AS26" i="5"/>
  <c r="C100" i="93" s="1"/>
  <c r="AU31" i="5"/>
  <c r="C121" i="93" s="1"/>
  <c r="B121" i="93"/>
  <c r="B101" i="93"/>
  <c r="AU26" i="5"/>
  <c r="C101" i="93" s="1"/>
  <c r="AU48" i="5"/>
  <c r="C189" i="93" s="1"/>
  <c r="B189" i="93"/>
  <c r="AS48" i="5"/>
  <c r="C188" i="93" s="1"/>
  <c r="B188" i="93"/>
  <c r="AU23" i="5"/>
  <c r="B89" i="93"/>
  <c r="B93" i="93"/>
  <c r="B88" i="93"/>
  <c r="AS23" i="5"/>
  <c r="C88" i="93" s="1"/>
  <c r="B28" i="93"/>
  <c r="AS8" i="5"/>
  <c r="C28" i="93" s="1"/>
  <c r="B29" i="93"/>
  <c r="AU8" i="5"/>
  <c r="C29" i="93" s="1"/>
  <c r="AR17" i="5"/>
  <c r="AS17" i="5" s="1"/>
  <c r="C64" i="93" s="1"/>
  <c r="AQ46" i="5"/>
  <c r="C179" i="93" s="1"/>
  <c r="AQ34" i="5"/>
  <c r="C131" i="93" s="1"/>
  <c r="AU6" i="5"/>
  <c r="C21" i="93" s="1"/>
  <c r="B21" i="93"/>
  <c r="B20" i="93"/>
  <c r="AS6" i="5"/>
  <c r="C20" i="93" s="1"/>
  <c r="AU9" i="5"/>
  <c r="C33" i="93" s="1"/>
  <c r="B33" i="93"/>
  <c r="AS9" i="5"/>
  <c r="C32" i="93" s="1"/>
  <c r="B32" i="93"/>
  <c r="B4" i="93"/>
  <c r="AS2" i="5"/>
  <c r="C4" i="93" s="1"/>
  <c r="B5" i="93"/>
  <c r="AU2" i="5"/>
  <c r="C5" i="93" s="1"/>
  <c r="AU17" i="5"/>
  <c r="C65" i="93" s="1"/>
  <c r="B65" i="93"/>
  <c r="B68" i="93"/>
  <c r="AS18" i="5"/>
  <c r="C68" i="93" s="1"/>
  <c r="AU18" i="5"/>
  <c r="C69" i="93" s="1"/>
  <c r="B69" i="93"/>
  <c r="AU3" i="5"/>
  <c r="C9" i="93" s="1"/>
  <c r="B9" i="93"/>
  <c r="B8" i="93"/>
  <c r="B144" i="93"/>
  <c r="AS37" i="5"/>
  <c r="C144" i="93" s="1"/>
  <c r="AU37" i="5"/>
  <c r="C145" i="93" s="1"/>
  <c r="B145" i="93"/>
  <c r="AT19" i="5"/>
  <c r="AR19" i="5"/>
  <c r="B47" i="93"/>
  <c r="B63" i="93"/>
  <c r="AQ17" i="5"/>
  <c r="C63" i="93" s="1"/>
  <c r="B91" i="93"/>
  <c r="B178" i="93"/>
  <c r="AO46" i="5"/>
  <c r="C178" i="93" s="1"/>
  <c r="B110" i="93"/>
  <c r="AO29" i="5"/>
  <c r="C110" i="93" s="1"/>
  <c r="B111" i="93"/>
  <c r="AQ29" i="5"/>
  <c r="C111" i="93" s="1"/>
  <c r="AO22" i="5"/>
  <c r="C82" i="93" s="1"/>
  <c r="B82" i="93"/>
  <c r="AQ22" i="5"/>
  <c r="C83" i="93" s="1"/>
  <c r="B83" i="93"/>
  <c r="B154" i="93"/>
  <c r="AO40" i="5"/>
  <c r="C154" i="93" s="1"/>
  <c r="B130" i="93"/>
  <c r="AO34" i="5"/>
  <c r="C130" i="93" s="1"/>
  <c r="B90" i="93"/>
  <c r="AO24" i="5"/>
  <c r="C90" i="93" s="1"/>
  <c r="B70" i="93"/>
  <c r="AO19" i="5"/>
  <c r="C70" i="93" s="1"/>
  <c r="AQ19" i="5"/>
  <c r="C71" i="93" s="1"/>
  <c r="B71" i="93"/>
  <c r="AR13" i="5"/>
  <c r="AT13" i="5"/>
  <c r="B46" i="93"/>
  <c r="AO13" i="5"/>
  <c r="C46" i="93" s="1"/>
  <c r="AS29" i="5" l="1"/>
  <c r="C112" i="93" s="1"/>
  <c r="B132" i="93"/>
  <c r="AU34" i="5"/>
  <c r="C133" i="93" s="1"/>
  <c r="B133" i="93"/>
  <c r="B113" i="93"/>
  <c r="AU29" i="5"/>
  <c r="C113" i="93" s="1"/>
  <c r="AS46" i="5"/>
  <c r="C180" i="93" s="1"/>
  <c r="B180" i="93"/>
  <c r="AU46" i="5"/>
  <c r="C181" i="93" s="1"/>
  <c r="B181" i="93"/>
  <c r="B85" i="93"/>
  <c r="AU22" i="5"/>
  <c r="C85" i="93" s="1"/>
  <c r="AS22" i="5"/>
  <c r="C84" i="93" s="1"/>
  <c r="B84" i="93"/>
  <c r="B92" i="93"/>
  <c r="AS24" i="5"/>
  <c r="C92" i="93" s="1"/>
  <c r="AS40" i="5"/>
  <c r="C156" i="93" s="1"/>
  <c r="B156" i="93"/>
  <c r="AU40" i="5"/>
  <c r="C157" i="93" s="1"/>
  <c r="B157" i="93"/>
  <c r="C93" i="93"/>
  <c r="C89" i="93"/>
  <c r="B64" i="93"/>
  <c r="B72" i="93"/>
  <c r="AS19" i="5"/>
  <c r="C72" i="93" s="1"/>
  <c r="AU19" i="5"/>
  <c r="C73" i="93" s="1"/>
  <c r="B73" i="93"/>
  <c r="AU13" i="5"/>
  <c r="C49" i="93" s="1"/>
  <c r="B49" i="93"/>
  <c r="B48" i="93"/>
  <c r="AS13" i="5"/>
  <c r="C48" i="93" s="1"/>
  <c r="C202" i="93" l="1"/>
</calcChain>
</file>

<file path=xl/sharedStrings.xml><?xml version="1.0" encoding="utf-8"?>
<sst xmlns="http://schemas.openxmlformats.org/spreadsheetml/2006/main" count="13854" uniqueCount="4125">
  <si>
    <t>LENGTH FOAM</t>
  </si>
  <si>
    <t>WEIGHT</t>
  </si>
  <si>
    <t>WIDTH FOAM</t>
  </si>
  <si>
    <t>WEIGHT2</t>
  </si>
  <si>
    <t>TOP FOAM1 &amp; REBOUND1</t>
  </si>
  <si>
    <t>WEIGHT3</t>
  </si>
  <si>
    <t>TOP FOAM2 &amp; REBOUND2</t>
  </si>
  <si>
    <t>WEIGHT4</t>
  </si>
  <si>
    <t>VARIETY</t>
  </si>
  <si>
    <t>SAMPLES</t>
  </si>
  <si>
    <t>40D-PU-FOAM-71.50x115MMx40MM</t>
  </si>
  <si>
    <t>40D-PU-FOAM-26.50x115MMx40MM</t>
  </si>
  <si>
    <t>18D-PU-FOAM-71.50X29.50X09MM</t>
  </si>
  <si>
    <t>SKSGSR</t>
  </si>
  <si>
    <t>SPG</t>
  </si>
  <si>
    <t>40D-PU-FOAM-32.50X115MMX40MM</t>
  </si>
  <si>
    <t>18D-PU-FOAM-71.50X35.50X09MM</t>
  </si>
  <si>
    <t>RTUPGPBW</t>
  </si>
  <si>
    <t>GP</t>
  </si>
  <si>
    <t>GP06</t>
  </si>
  <si>
    <t>RTUPGPBW72X42X06</t>
  </si>
  <si>
    <t>40D-PU-FOAM-38.50X115MMX40MM</t>
  </si>
  <si>
    <t>18D-PU-FOAM-71.50X41.50X09MM</t>
  </si>
  <si>
    <t>RTUPGPGR</t>
  </si>
  <si>
    <t>RTUPGPBW72X48X06</t>
  </si>
  <si>
    <t>40D-PU-FOAM-44.50X115MMX40MM</t>
  </si>
  <si>
    <t>18D-PU-FOAM-71.50X47.50X09MM</t>
  </si>
  <si>
    <t>RTGPCSBG</t>
  </si>
  <si>
    <t>CRYSTAL</t>
  </si>
  <si>
    <t>RTUPGPBW72X60X06</t>
  </si>
  <si>
    <t>40D-PU-FOAM-56.50X115MMX40MM</t>
  </si>
  <si>
    <t>18D-PU-FOAM-71.50X59.50X09MM</t>
  </si>
  <si>
    <t>RTGPCSPW</t>
  </si>
  <si>
    <t>RTUPGPBW72X66X06</t>
  </si>
  <si>
    <t>40D-PU-FOAM-62.50X115MMX40MM</t>
  </si>
  <si>
    <t>18D-PU-FOAM-71.50X65.50X09MM</t>
  </si>
  <si>
    <t>PEPSPKORGBW</t>
  </si>
  <si>
    <t>ORG</t>
  </si>
  <si>
    <t>RTUPGPBW72X72X06</t>
  </si>
  <si>
    <t>40D-PU-FOAM-68.50X115MMX40MM</t>
  </si>
  <si>
    <t>18D-PU-FOAM-71.50X71.50X09MM</t>
  </si>
  <si>
    <t>RTVHETPT</t>
  </si>
  <si>
    <t>VIVAH</t>
  </si>
  <si>
    <t>RTUPGPBW75X30X06</t>
  </si>
  <si>
    <t>40D-PU-FOAM-74.50x115MMx40MM</t>
  </si>
  <si>
    <t>18D-PU-FOAM-74.50X29.50X09MM</t>
  </si>
  <si>
    <t>RTPKCMSTCS</t>
  </si>
  <si>
    <t>CAMEO</t>
  </si>
  <si>
    <t>RTUPGPBW75X36X06</t>
  </si>
  <si>
    <t>18D-PU-FOAM-74.50X35.50X09MM</t>
  </si>
  <si>
    <t>RTPKCMULTSTCS</t>
  </si>
  <si>
    <t>RTUPGPBW75X42X06</t>
  </si>
  <si>
    <t>18D-PU-FOAM-74.50X41.50X09MM</t>
  </si>
  <si>
    <t>HYPALRPKNLBLOR</t>
  </si>
  <si>
    <t>ALU</t>
  </si>
  <si>
    <t>RTUPGPBW75X48X06</t>
  </si>
  <si>
    <t>18D-PU-FOAM-74.50X47.50X09MM</t>
  </si>
  <si>
    <t>HYPALRPKNLSTGR</t>
  </si>
  <si>
    <t>RTUPGPBW75X60X06</t>
  </si>
  <si>
    <t>18D-PU-FOAM-74.50X59.50X09MM</t>
  </si>
  <si>
    <t>RTUPGPBW75X66X06</t>
  </si>
  <si>
    <t>18D-PU-FOAM-74.50X65.50X09MM</t>
  </si>
  <si>
    <t>RTUPGPBW75X72X06</t>
  </si>
  <si>
    <t>18D-PU-FOAM-74.50X71.50X09MM</t>
  </si>
  <si>
    <t>RTUPGPBW78X30X06</t>
  </si>
  <si>
    <t>40D-PU-FOAM-77.50x115MMx40MM</t>
  </si>
  <si>
    <t>18D-PU-FOAM-77.50X29.50X09MM</t>
  </si>
  <si>
    <t>RTUPGPBW78X36X06</t>
  </si>
  <si>
    <t>18D-PU-FOAM-77.50X35.50X09MM</t>
  </si>
  <si>
    <t>RTUPGPBW78X42X06</t>
  </si>
  <si>
    <t>18D-PU-FOAM-77.50X41.50X09MM</t>
  </si>
  <si>
    <t>RTUPGPBW78X48X06</t>
  </si>
  <si>
    <t>18D-PU-FOAM-77.50X47.50X09MM</t>
  </si>
  <si>
    <t>RTUPGPBW78X60X06</t>
  </si>
  <si>
    <t>18D-PU-FOAM-77.50X59.50X09MM</t>
  </si>
  <si>
    <t>RTUPGPBW78X66X06</t>
  </si>
  <si>
    <t>18D-PU-FOAM-77.50X65.50X09MM</t>
  </si>
  <si>
    <t>RTUPGPBW78X72X06</t>
  </si>
  <si>
    <t>18D-PU-FOAM-77.50X71.50X09MM</t>
  </si>
  <si>
    <t>RTUPGPBW80X30X06</t>
  </si>
  <si>
    <t>40D-PU-FOAM-79.50x115MMx40MM</t>
  </si>
  <si>
    <t>18D-PU-FOAM-79.50X29.50X09MM</t>
  </si>
  <si>
    <t>RTUPGPBW80X36X06</t>
  </si>
  <si>
    <t>18D-PU-FOAM-79.50X35.50X09MM</t>
  </si>
  <si>
    <t>RTUPGPBW80X42X06</t>
  </si>
  <si>
    <t>18D-PU-FOAM-79.50X41.50X09MM</t>
  </si>
  <si>
    <t>RTUPGPBW80X48X06</t>
  </si>
  <si>
    <t>18D-PU-FOAM-79.50X47.50X09MM</t>
  </si>
  <si>
    <t>RTUPGPBW80X60X06</t>
  </si>
  <si>
    <t>18D-PU-FOAM-79.50X59.50X09MM</t>
  </si>
  <si>
    <t>RTUPGPBW80X66X06</t>
  </si>
  <si>
    <t>18D-PU-FOAM-79.50X65.50X09MM</t>
  </si>
  <si>
    <t>RTUPGPBW80X72X06</t>
  </si>
  <si>
    <t>18D-PU-FOAM-79.50X71.50X09MM</t>
  </si>
  <si>
    <t>RTUPGPBW84X30X06</t>
  </si>
  <si>
    <t>40D-PU-FOAM-83.50x115MMx40MM</t>
  </si>
  <si>
    <t>18D-PU-FOAM-83.50X29.50X09MM</t>
  </si>
  <si>
    <t>RTUPGPBW84X36X06</t>
  </si>
  <si>
    <t>18D-PU-FOAM-83.50X35.50X09MM</t>
  </si>
  <si>
    <t>RTUPGPBW84X42X06</t>
  </si>
  <si>
    <t>18D-PU-FOAM-83.50X41.50X09MM</t>
  </si>
  <si>
    <t>RTUPGPBW84X48X06</t>
  </si>
  <si>
    <t>18D-PU-FOAM-83.50X47.50X09MM</t>
  </si>
  <si>
    <t>RTUPGPBW84X60X06</t>
  </si>
  <si>
    <t>18D-PU-FOAM-83.50X59.50X09MM</t>
  </si>
  <si>
    <t>RTUPGPBW84X66X06</t>
  </si>
  <si>
    <t>18D-PU-FOAM-83.50X65.50X09MM</t>
  </si>
  <si>
    <t>RTUPGPBW84X72X06</t>
  </si>
  <si>
    <t>18D-PU-FOAM-83.50X71.50X09MM</t>
  </si>
  <si>
    <t>RTUPGPBW20X18X06</t>
  </si>
  <si>
    <t>40D-PU-FOAM-19.50x115MMx40MM</t>
  </si>
  <si>
    <t>40D-PU-FOAM-14.50X115MMX40MM</t>
  </si>
  <si>
    <t>18D-PU-FOAM-19.50X17.50X09MM</t>
  </si>
  <si>
    <t>RTUPGPBW13X13X06</t>
  </si>
  <si>
    <t>40D-PU-FOAM-12.50x115MMx40MM</t>
  </si>
  <si>
    <t>40D-PU-FOAM-09.50X115MMX40MM</t>
  </si>
  <si>
    <t>18D-PU-FOAM-12.50X12.50X09MM</t>
  </si>
  <si>
    <t>GP08</t>
  </si>
  <si>
    <t>RTUPGPBW72X30X08</t>
  </si>
  <si>
    <t>40D-PU-FOAM-71.50x145MMx40MM</t>
  </si>
  <si>
    <t>40D-PU-FOAM-26.50x145MMx40MM</t>
  </si>
  <si>
    <t>RTUPGPBW72X36X08</t>
  </si>
  <si>
    <t>40D-PU-FOAM-32.50X145MMX40MM</t>
  </si>
  <si>
    <t>RTUPGPBW72X42X08</t>
  </si>
  <si>
    <t>40D-PU-FOAM-38.50X145MMX40MM</t>
  </si>
  <si>
    <t>RTUPGPBW72X48X08</t>
  </si>
  <si>
    <t>40D-PU-FOAM-44.50X145MMX40MM</t>
  </si>
  <si>
    <t>RTUPGPBW72X60X08</t>
  </si>
  <si>
    <t>40D-PU-FOAM-56.50X145MMX40MM</t>
  </si>
  <si>
    <t>RTUPGPBW72X66X08</t>
  </si>
  <si>
    <t>40D-PU-FOAM-62.50X145MMX40MM</t>
  </si>
  <si>
    <t>RTUPGPBW72X72X08</t>
  </si>
  <si>
    <t>40D-PU-FOAM-68.50X145MMX40MM</t>
  </si>
  <si>
    <t>RTUPGPBW75X30X08</t>
  </si>
  <si>
    <t>40D-PU-FOAM-74.50x145MMx40MM</t>
  </si>
  <si>
    <t>RTUPGPBW75X36X08</t>
  </si>
  <si>
    <t>RTUPGPBW75X42X08</t>
  </si>
  <si>
    <t>RTUPGPBW75X48X08</t>
  </si>
  <si>
    <t>RTUPGPBW75X60X08</t>
  </si>
  <si>
    <t>RTUPGPBW75X66X08</t>
  </si>
  <si>
    <t>RTUPGPBW75X72X08</t>
  </si>
  <si>
    <t>RTUPGPBW78X30X08</t>
  </si>
  <si>
    <t>40D-PU-FOAM-77.50x145MMx40MM</t>
  </si>
  <si>
    <t>RTUPGPBW78X36X08</t>
  </si>
  <si>
    <t>RTUPGPBW78X42X08</t>
  </si>
  <si>
    <t>RTUPGPBW78X48X08</t>
  </si>
  <si>
    <t>RTUPGPBW78X60X08</t>
  </si>
  <si>
    <t>RTUPGPBW78X66X08</t>
  </si>
  <si>
    <t>RTUPGPBW78X72X08</t>
  </si>
  <si>
    <t>RTUPGPBW80X30X08</t>
  </si>
  <si>
    <t>40D-PU-FOAM-79.50x145MMx40MM</t>
  </si>
  <si>
    <t>RTUPGPBW80X36X08</t>
  </si>
  <si>
    <t>RTUPGPBW80X42X08</t>
  </si>
  <si>
    <t>RTUPGPBW80X48X08</t>
  </si>
  <si>
    <t>RTUPGPBW80X60X08</t>
  </si>
  <si>
    <t>RTUPGPBW80X66X08</t>
  </si>
  <si>
    <t>RTUPGPBW80X72X08</t>
  </si>
  <si>
    <t>RTUPGPBW84X30X08</t>
  </si>
  <si>
    <t>40D-PU-FOAM-83.50x145MMx40MM</t>
  </si>
  <si>
    <t>RTUPGPBW84X36X08</t>
  </si>
  <si>
    <t>RTUPGPBW84X42X08</t>
  </si>
  <si>
    <t>RTUPGPBW84X48X08</t>
  </si>
  <si>
    <t>RTUPGPBW84X60X08</t>
  </si>
  <si>
    <t>RTUPGPBW84X66X08</t>
  </si>
  <si>
    <t>RTUPGPBW84X72X08</t>
  </si>
  <si>
    <t>RTUPGPBW20X18X08</t>
  </si>
  <si>
    <t>40D-PU-FOAM-19.50x145MMx40MM</t>
  </si>
  <si>
    <t>40D-PU-FOAM-14.50X145MMX40MM</t>
  </si>
  <si>
    <t>RTUPGPBW13X13X08</t>
  </si>
  <si>
    <t>40D-PU-FOAM-12.50x145MMx40MM</t>
  </si>
  <si>
    <t>40D-PU-FOAM-09.50X145MMX40MM</t>
  </si>
  <si>
    <t>GP10</t>
  </si>
  <si>
    <t>RTUPGPBW72X30X10</t>
  </si>
  <si>
    <t>40D-PU-FOAM-71.50x165MMx40MM</t>
  </si>
  <si>
    <t>40D-PU-FOAM-26.50x165MMx40MM</t>
  </si>
  <si>
    <t>RTUPGPBW72X36X10</t>
  </si>
  <si>
    <t>40D-PU-FOAM-32.50X165MMX40MM</t>
  </si>
  <si>
    <t>RTUPGPBW72X42X10</t>
  </si>
  <si>
    <t>40D-PU-FOAM-38.50X165MMX40MM</t>
  </si>
  <si>
    <t>RTUPGPBW72X48X10</t>
  </si>
  <si>
    <t>40D-PU-FOAM-44.50X165MMX40MM</t>
  </si>
  <si>
    <t>RTUPGPBW72X60X10</t>
  </si>
  <si>
    <t>40D-PU-FOAM-56.50X165MMX40MM</t>
  </si>
  <si>
    <t>RTUPGPBW72X66X10</t>
  </si>
  <si>
    <t>40D-PU-FOAM-62.50X165MMX40MM</t>
  </si>
  <si>
    <t>RTUPGPBW72X72X10</t>
  </si>
  <si>
    <t>40D-PU-FOAM-68.50X165MMX40MM</t>
  </si>
  <si>
    <t>RTUPGPBW75X30X10</t>
  </si>
  <si>
    <t>40D-PU-FOAM-74.50x165MMx40MM</t>
  </si>
  <si>
    <t>RTUPGPBW75X36X10</t>
  </si>
  <si>
    <t>RTUPGPBW75X42X10</t>
  </si>
  <si>
    <t>RTUPGPBW75X48X10</t>
  </si>
  <si>
    <t>RTUPGPBW75X60X10</t>
  </si>
  <si>
    <t>RTUPGPBW75X66X10</t>
  </si>
  <si>
    <t>RTUPGPBW75X72X10</t>
  </si>
  <si>
    <t>RTUPGPBW78X30X10</t>
  </si>
  <si>
    <t>40D-PU-FOAM-77.50x165MMx40MM</t>
  </si>
  <si>
    <t>RTUPGPBW78X36X10</t>
  </si>
  <si>
    <t>RTUPGPBW78X42X10</t>
  </si>
  <si>
    <t>RTUPGPBW78X48X10</t>
  </si>
  <si>
    <t>RTUPGPBW78X60X10</t>
  </si>
  <si>
    <t>RTUPGPBW78X66X10</t>
  </si>
  <si>
    <t>RTUPGPBW78X72X10</t>
  </si>
  <si>
    <t>RTUPGPBW80X30X10</t>
  </si>
  <si>
    <t>40D-PU-FOAM-79.50x165MMx40MM</t>
  </si>
  <si>
    <t>RTUPGPBW80X36X10</t>
  </si>
  <si>
    <t>RTUPGPBW80X42X10</t>
  </si>
  <si>
    <t>RTUPGPBW80X48X10</t>
  </si>
  <si>
    <t>RTUPGPBW80X60X10</t>
  </si>
  <si>
    <t>RTUPGPBW80X66X10</t>
  </si>
  <si>
    <t>RTUPGPBW80X72X10</t>
  </si>
  <si>
    <t>RTUPGPBW84X30X10</t>
  </si>
  <si>
    <t>40D-PU-FOAM-83.50x165MMx40MM</t>
  </si>
  <si>
    <t>RTUPGPBW84X36X10</t>
  </si>
  <si>
    <t>RTUPGPBW84X42X10</t>
  </si>
  <si>
    <t>RTUPGPBW84X48X10</t>
  </si>
  <si>
    <t>RTUPGPBW84X60X10</t>
  </si>
  <si>
    <t>RTUPGPBW84X66X10</t>
  </si>
  <si>
    <t>RTUPGPBW84X72X10</t>
  </si>
  <si>
    <t>RTUPGPBW20X18X10</t>
  </si>
  <si>
    <t>40D-PU-FOAM-19.50x165MMx40MM</t>
  </si>
  <si>
    <t>40D-PU-FOAM-14.50X165MMX40MM</t>
  </si>
  <si>
    <t>RTUPGPBW13X13X10</t>
  </si>
  <si>
    <t>40D-PU-FOAM-12.50x165MMx40MM</t>
  </si>
  <si>
    <t>40D-PU-FOAM-09.50X165MMX40MM</t>
  </si>
  <si>
    <t>RTUPGPGR72X36X06</t>
  </si>
  <si>
    <t>RTUPGPGR72X42X06</t>
  </si>
  <si>
    <t>RTUPGPGR72X48X06</t>
  </si>
  <si>
    <t>RTUPGPGR72X60X06</t>
  </si>
  <si>
    <t>RTUPGPGR72X66X06</t>
  </si>
  <si>
    <t>RTUPGPGR72X72X06</t>
  </si>
  <si>
    <t>RTUPGPGR75X30X06</t>
  </si>
  <si>
    <t>RTUPGPGR75X36X06</t>
  </si>
  <si>
    <t>RTUPGPGR75X42X06</t>
  </si>
  <si>
    <t>RTUPGPGR75X48X06</t>
  </si>
  <si>
    <t>RTUPGPGR75X60X06</t>
  </si>
  <si>
    <t>RTUPGPGR75X66X06</t>
  </si>
  <si>
    <t>RTUPGPGR75X72X06</t>
  </si>
  <si>
    <t>RTUPGPGR78X30X06</t>
  </si>
  <si>
    <t>RTUPGPGR78X36X06</t>
  </si>
  <si>
    <t>RTUPGPGR78X42X06</t>
  </si>
  <si>
    <t>RTUPGPGR78X48X06</t>
  </si>
  <si>
    <t>RTUPGPGR78X60X06</t>
  </si>
  <si>
    <t>RTUPGPGR78X66X06</t>
  </si>
  <si>
    <t>RTUPGPGR78X72X06</t>
  </si>
  <si>
    <t>RTUPGPGR80X30X06</t>
  </si>
  <si>
    <t>RTUPGPGR80X36X06</t>
  </si>
  <si>
    <t>RTUPGPGR80X42X06</t>
  </si>
  <si>
    <t>RTUPGPGR80X48X06</t>
  </si>
  <si>
    <t>RTUPGPGR80X60X06</t>
  </si>
  <si>
    <t>RTUPGPGR80X66X06</t>
  </si>
  <si>
    <t>RTUPGPGR80X72X06</t>
  </si>
  <si>
    <t>RTUPGPGR84X30X06</t>
  </si>
  <si>
    <t>RTUPGPGR84X36X06</t>
  </si>
  <si>
    <t>RTUPGPGR84X42X06</t>
  </si>
  <si>
    <t>RTUPGPGR84X48X06</t>
  </si>
  <si>
    <t>RTUPGPGR84X60X06</t>
  </si>
  <si>
    <t>RTUPGPGR84X66X06</t>
  </si>
  <si>
    <t>RTUPGPGR84X72X06</t>
  </si>
  <si>
    <t>RTUPGPGR20X18X06</t>
  </si>
  <si>
    <t>RTUPGPGR13X13X06</t>
  </si>
  <si>
    <t>RTUPGPGR72X30X08</t>
  </si>
  <si>
    <t>RTUPGPGR72X36X08</t>
  </si>
  <si>
    <t>RTUPGPGR72X42X08</t>
  </si>
  <si>
    <t>RTUPGPGR72X48X08</t>
  </si>
  <si>
    <t>RTUPGPGR72X60X08</t>
  </si>
  <si>
    <t>RTUPGPGR72X66X08</t>
  </si>
  <si>
    <t>RTUPGPGR72X72X08</t>
  </si>
  <si>
    <t>RTUPGPGR75X30X08</t>
  </si>
  <si>
    <t>RTUPGPGR75X36X08</t>
  </si>
  <si>
    <t>RTUPGPGR75X42X08</t>
  </si>
  <si>
    <t>RTUPGPGR75X48X08</t>
  </si>
  <si>
    <t>RTUPGPGR75X60X08</t>
  </si>
  <si>
    <t>RTUPGPGR75X66X08</t>
  </si>
  <si>
    <t>RTUPGPGR75X72X08</t>
  </si>
  <si>
    <t>RTUPGPGR78X30X08</t>
  </si>
  <si>
    <t>RTUPGPGR78X36X08</t>
  </si>
  <si>
    <t>RTUPGPGR78X42X08</t>
  </si>
  <si>
    <t>RTUPGPGR78X48X08</t>
  </si>
  <si>
    <t>RTUPGPGR78X60X08</t>
  </si>
  <si>
    <t>RTUPGPGR78X66X08</t>
  </si>
  <si>
    <t>RTUPGPGR78X72X08</t>
  </si>
  <si>
    <t>RTUPGPGR80X30X08</t>
  </si>
  <si>
    <t>RTUPGPGR80X36X08</t>
  </si>
  <si>
    <t>RTUPGPGR80X42X08</t>
  </si>
  <si>
    <t>RTUPGPGR80X48X08</t>
  </si>
  <si>
    <t>RTUPGPGR80X60X08</t>
  </si>
  <si>
    <t>RTUPGPGR80X66X08</t>
  </si>
  <si>
    <t>RTUPGPGR80X72X08</t>
  </si>
  <si>
    <t>RTUPGPGR84X30X08</t>
  </si>
  <si>
    <t>RTUPGPGR84X36X08</t>
  </si>
  <si>
    <t>RTUPGPGR84X42X08</t>
  </si>
  <si>
    <t>RTUPGPGR84X48X08</t>
  </si>
  <si>
    <t>RTUPGPGR84X60X08</t>
  </si>
  <si>
    <t>RTUPGPGR84X66X08</t>
  </si>
  <si>
    <t>RTUPGPGR84X72X08</t>
  </si>
  <si>
    <t>RTUPGPGR20X18X08</t>
  </si>
  <si>
    <t>RTUPGPGR13X13X08</t>
  </si>
  <si>
    <t>RTUPGPGR72X30X10</t>
  </si>
  <si>
    <t>RTUPGPGR72X36X10</t>
  </si>
  <si>
    <t>RTUPGPGR72X42X10</t>
  </si>
  <si>
    <t>RTUPGPGR72X48X10</t>
  </si>
  <si>
    <t>RTUPGPGR72X60X10</t>
  </si>
  <si>
    <t>RTUPGPGR72X66X10</t>
  </si>
  <si>
    <t>RTUPGPGR72X72X10</t>
  </si>
  <si>
    <t>RTUPGPGR75X30X10</t>
  </si>
  <si>
    <t>RTUPGPGR75X36X10</t>
  </si>
  <si>
    <t>RTUPGPGR75X42X10</t>
  </si>
  <si>
    <t>RTUPGPGR75X48X10</t>
  </si>
  <si>
    <t>RTUPGPGR75X60X10</t>
  </si>
  <si>
    <t>RTUPGPGR75X66X10</t>
  </si>
  <si>
    <t>RTUPGPGR75X72X10</t>
  </si>
  <si>
    <t>RTUPGPGR78X30X10</t>
  </si>
  <si>
    <t>RTUPGPGR78X36X10</t>
  </si>
  <si>
    <t>RTUPGPGR78X42X10</t>
  </si>
  <si>
    <t>RTUPGPGR78X48X10</t>
  </si>
  <si>
    <t>RTUPGPGR78X60X10</t>
  </si>
  <si>
    <t>RTUPGPGR78X66X10</t>
  </si>
  <si>
    <t>RTUPGPGR78X72X10</t>
  </si>
  <si>
    <t>RTUPGPGR80X30X10</t>
  </si>
  <si>
    <t>RTUPGPGR80X36X10</t>
  </si>
  <si>
    <t>RTUPGPGR80X42X10</t>
  </si>
  <si>
    <t>RTUPGPGR80X48X10</t>
  </si>
  <si>
    <t>RTUPGPGR80X60X10</t>
  </si>
  <si>
    <t>RTUPGPGR80X66X10</t>
  </si>
  <si>
    <t>RTUPGPGR80X72X10</t>
  </si>
  <si>
    <t>RTUPGPGR84X30X10</t>
  </si>
  <si>
    <t>RTUPGPGR84X36X10</t>
  </si>
  <si>
    <t>RTUPGPGR84X42X10</t>
  </si>
  <si>
    <t>RTUPGPGR84X48X10</t>
  </si>
  <si>
    <t>RTUPGPGR84X60X10</t>
  </si>
  <si>
    <t>RTUPGPGR84X66X10</t>
  </si>
  <si>
    <t>RTUPGPGR84X72X10</t>
  </si>
  <si>
    <t>RTUPGPGR20X18X10</t>
  </si>
  <si>
    <t>RTUPGPGR13X13X10</t>
  </si>
  <si>
    <t>CAMEO06</t>
  </si>
  <si>
    <t>RTPKCMSTCS72X30X06</t>
  </si>
  <si>
    <t>RTPKCMSTCS72X36X06</t>
  </si>
  <si>
    <t>RTPKCMSTCS72X42X06</t>
  </si>
  <si>
    <t>RTPKCMSTCS72X48X06</t>
  </si>
  <si>
    <t>RTPKCMSTCS72X60X06</t>
  </si>
  <si>
    <t>RTPKCMSTCS72X66X06</t>
  </si>
  <si>
    <t>RTPKCMSTCS72X72X06</t>
  </si>
  <si>
    <t>RTPKCMSTCS75X30X06</t>
  </si>
  <si>
    <t>RTPKCMSTCS75X36X06</t>
  </si>
  <si>
    <t>RTPKCMSTCS75X42X06</t>
  </si>
  <si>
    <t>RTPKCMSTCS75X48X06</t>
  </si>
  <si>
    <t>RTPKCMSTCS75X60X06</t>
  </si>
  <si>
    <t>RTPKCMSTCS75X66X06</t>
  </si>
  <si>
    <t>RTPKCMSTCS75X72X06</t>
  </si>
  <si>
    <t>RTPKCMSTCS78X30X06</t>
  </si>
  <si>
    <t>RTPKCMSTCS78X36X06</t>
  </si>
  <si>
    <t>RTPKCMSTCS78X42X06</t>
  </si>
  <si>
    <t>RTPKCMSTCS78X48X06</t>
  </si>
  <si>
    <t>RTPKCMSTCS78X60X06</t>
  </si>
  <si>
    <t>RTPKCMSTCS78X66X06</t>
  </si>
  <si>
    <t>RTPKCMSTCS78X72X06</t>
  </si>
  <si>
    <t>RTPKCMSTCS80X30X06</t>
  </si>
  <si>
    <t>RTPKCMSTCS80X36X06</t>
  </si>
  <si>
    <t>RTPKCMSTCS80X42X06</t>
  </si>
  <si>
    <t>RTPKCMSTCS80X48X06</t>
  </si>
  <si>
    <t>RTPKCMSTCS80X60X06</t>
  </si>
  <si>
    <t>RTPKCMSTCS80X66X06</t>
  </si>
  <si>
    <t>RTPKCMSTCS80X72X06</t>
  </si>
  <si>
    <t>RTPKCMSTCS84X30X06</t>
  </si>
  <si>
    <t>RTPKCMSTCS84X36X06</t>
  </si>
  <si>
    <t>RTPKCMSTCS84X42X06</t>
  </si>
  <si>
    <t>RTPKCMSTCS84X48X06</t>
  </si>
  <si>
    <t>RTPKCMSTCS84X60X06</t>
  </si>
  <si>
    <t>RTPKCMSTCS84X66X06</t>
  </si>
  <si>
    <t>RTPKCMSTCS84X72X06</t>
  </si>
  <si>
    <t>RTPKCMSTCS20X18X06</t>
  </si>
  <si>
    <t>RTPKCMSTCS13X13X06</t>
  </si>
  <si>
    <t>CAMEO08</t>
  </si>
  <si>
    <t>RTPKCMSTCS72X30X08</t>
  </si>
  <si>
    <t>RTPKCMSTCS72X36X08</t>
  </si>
  <si>
    <t>RTPKCMSTCS72X42X08</t>
  </si>
  <si>
    <t>RTPKCMSTCS72X48X08</t>
  </si>
  <si>
    <t>RTPKCMSTCS72X60X08</t>
  </si>
  <si>
    <t>RTPKCMSTCS72X66X08</t>
  </si>
  <si>
    <t>RTPKCMSTCS72X72X08</t>
  </si>
  <si>
    <t>RTPKCMSTCS75X30X08</t>
  </si>
  <si>
    <t>RTPKCMSTCS75X36X08</t>
  </si>
  <si>
    <t>RTPKCMSTCS75X42X08</t>
  </si>
  <si>
    <t>RTPKCMSTCS75X48X08</t>
  </si>
  <si>
    <t>RTPKCMSTCS75X60X08</t>
  </si>
  <si>
    <t>RTPKCMSTCS75X66X08</t>
  </si>
  <si>
    <t>RTPKCMSTCS75X72X08</t>
  </si>
  <si>
    <t>RTPKCMSTCS78X30X08</t>
  </si>
  <si>
    <t>RTPKCMSTCS78X36X08</t>
  </si>
  <si>
    <t>RTPKCMSTCS78X42X08</t>
  </si>
  <si>
    <t>RTPKCMSTCS78X48X08</t>
  </si>
  <si>
    <t>RTPKCMSTCS78X60X08</t>
  </si>
  <si>
    <t>RTPKCMSTCS78X66X08</t>
  </si>
  <si>
    <t>RTPKCMSTCS78X72X08</t>
  </si>
  <si>
    <t>RTPKCMSTCS80X30X08</t>
  </si>
  <si>
    <t>RTPKCMSTCS80X36X08</t>
  </si>
  <si>
    <t>RTPKCMSTCS80X42X08</t>
  </si>
  <si>
    <t>RTPKCMSTCS80X48X08</t>
  </si>
  <si>
    <t>RTPKCMSTCS80X60X08</t>
  </si>
  <si>
    <t>RTPKCMSTCS80X66X08</t>
  </si>
  <si>
    <t>RTPKCMSTCS80X72X08</t>
  </si>
  <si>
    <t>RTPKCMSTCS84X30X08</t>
  </si>
  <si>
    <t>RTPKCMSTCS84X36X08</t>
  </si>
  <si>
    <t>RTPKCMSTCS84X42X08</t>
  </si>
  <si>
    <t>RTPKCMSTCS84X48X08</t>
  </si>
  <si>
    <t>RTPKCMSTCS84X60X08</t>
  </si>
  <si>
    <t>RTPKCMSTCS84X66X08</t>
  </si>
  <si>
    <t>RTPKCMSTCS84X72X08</t>
  </si>
  <si>
    <t>RTPKCMSTCS20X18X08</t>
  </si>
  <si>
    <t>RTPKCMSTCS13X13X08</t>
  </si>
  <si>
    <t>RTPKCMULTSTCS72X30X06</t>
  </si>
  <si>
    <t>RTPKCMULTSTCS72X36X06</t>
  </si>
  <si>
    <t>RTPKCMULTSTCS72X42X06</t>
  </si>
  <si>
    <t>RTPKCMULTSTCS72X48X06</t>
  </si>
  <si>
    <t>RTPKCMULTSTCS72X60X06</t>
  </si>
  <si>
    <t>RTPKCMULTSTCS72X66X06</t>
  </si>
  <si>
    <t>RTPKCMULTSTCS72X72X06</t>
  </si>
  <si>
    <t>RTPKCMULTSTCS75X30X06</t>
  </si>
  <si>
    <t>RTPKCMULTSTCS75X36X06</t>
  </si>
  <si>
    <t>RTPKCMULTSTCS75X42X06</t>
  </si>
  <si>
    <t>RTPKCMULTSTCS75X48X06</t>
  </si>
  <si>
    <t>RTPKCMULTSTCS75X60X06</t>
  </si>
  <si>
    <t>RTPKCMULTSTCS75X66X06</t>
  </si>
  <si>
    <t>RTPKCMULTSTCS75X72X06</t>
  </si>
  <si>
    <t>RTPKCMULTSTCS78X30X06</t>
  </si>
  <si>
    <t>RTPKCMULTSTCS78X36X06</t>
  </si>
  <si>
    <t>RTPKCMULTSTCS78X42X06</t>
  </si>
  <si>
    <t>RTPKCMULTSTCS78X48X06</t>
  </si>
  <si>
    <t>RTPKCMULTSTCS78X60X06</t>
  </si>
  <si>
    <t>RTPKCMULTSTCS78X66X06</t>
  </si>
  <si>
    <t>RTPKCMULTSTCS78X72X06</t>
  </si>
  <si>
    <t>RTPKCMULTSTCS80X30X06</t>
  </si>
  <si>
    <t>RTPKCMULTSTCS80X36X06</t>
  </si>
  <si>
    <t>RTPKCMULTSTCS80X42X06</t>
  </si>
  <si>
    <t>RTPKCMULTSTCS80X48X06</t>
  </si>
  <si>
    <t>RTPKCMULTSTCS80X60X06</t>
  </si>
  <si>
    <t>RTPKCMULTSTCS80X66X06</t>
  </si>
  <si>
    <t>RTPKCMULTSTCS80X72X06</t>
  </si>
  <si>
    <t>RTPKCMULTSTCS84X30X06</t>
  </si>
  <si>
    <t>RTPKCMULTSTCS84X36X06</t>
  </si>
  <si>
    <t>RTPKCMULTSTCS84X42X06</t>
  </si>
  <si>
    <t>RTPKCMULTSTCS84X48X06</t>
  </si>
  <si>
    <t>RTPKCMULTSTCS84X60X06</t>
  </si>
  <si>
    <t>RTPKCMULTSTCS84X66X06</t>
  </si>
  <si>
    <t>RTPKCMULTSTCS84X72X06</t>
  </si>
  <si>
    <t>RTPKCMULTSTCS20X18X06</t>
  </si>
  <si>
    <t>RTPKCMULTSTCS13X13X06</t>
  </si>
  <si>
    <t>RTPKCMULTSTCS72X30X08</t>
  </si>
  <si>
    <t>RTPKCMULTSTCS72X36X08</t>
  </si>
  <si>
    <t>RTPKCMULTSTCS72X42X08</t>
  </si>
  <si>
    <t>RTPKCMULTSTCS72X48X08</t>
  </si>
  <si>
    <t>RTPKCMULTSTCS72X60X08</t>
  </si>
  <si>
    <t>RTPKCMULTSTCS72X66X08</t>
  </si>
  <si>
    <t>RTPKCMULTSTCS72X72X08</t>
  </si>
  <si>
    <t>RTPKCMULTSTCS75X30X08</t>
  </si>
  <si>
    <t>RTPKCMULTSTCS75X36X08</t>
  </si>
  <si>
    <t>RTPKCMULTSTCS75X42X08</t>
  </si>
  <si>
    <t>RTPKCMULTSTCS75X48X08</t>
  </si>
  <si>
    <t>RTPKCMULTSTCS75X60X08</t>
  </si>
  <si>
    <t>RTPKCMULTSTCS75X66X08</t>
  </si>
  <si>
    <t>RTPKCMULTSTCS75X72X08</t>
  </si>
  <si>
    <t>RTPKCMULTSTCS78X30X08</t>
  </si>
  <si>
    <t>RTPKCMULTSTCS78X36X08</t>
  </si>
  <si>
    <t>RTPKCMULTSTCS78X42X08</t>
  </si>
  <si>
    <t>RTPKCMULTSTCS78X48X08</t>
  </si>
  <si>
    <t>RTPKCMULTSTCS78X60X08</t>
  </si>
  <si>
    <t>RTPKCMULTSTCS78X66X08</t>
  </si>
  <si>
    <t>RTPKCMULTSTCS78X72X08</t>
  </si>
  <si>
    <t>RTPKCMULTSTCS80X30X08</t>
  </si>
  <si>
    <t>RTPKCMULTSTCS80X36X08</t>
  </si>
  <si>
    <t>RTPKCMULTSTCS80X42X08</t>
  </si>
  <si>
    <t>RTPKCMULTSTCS80X48X08</t>
  </si>
  <si>
    <t>RTPKCMULTSTCS80X60X08</t>
  </si>
  <si>
    <t>RTPKCMULTSTCS80X66X08</t>
  </si>
  <si>
    <t>RTPKCMULTSTCS80X72X08</t>
  </si>
  <si>
    <t>RTPKCMULTSTCS84X30X08</t>
  </si>
  <si>
    <t>RTPKCMULTSTCS84X36X08</t>
  </si>
  <si>
    <t>RTPKCMULTSTCS84X42X08</t>
  </si>
  <si>
    <t>RTPKCMULTSTCS84X48X08</t>
  </si>
  <si>
    <t>RTPKCMULTSTCS84X60X08</t>
  </si>
  <si>
    <t>RTPKCMULTSTCS84X66X08</t>
  </si>
  <si>
    <t>RTPKCMULTSTCS84X72X08</t>
  </si>
  <si>
    <t>RTPKCMULTSTCS20X18X08</t>
  </si>
  <si>
    <t>RTPKCMULTSTCS13X13X08</t>
  </si>
  <si>
    <t>VIVAH10</t>
  </si>
  <si>
    <t>RTVHETPT72X30X10</t>
  </si>
  <si>
    <t>18D-PU-FOAM-71.50X29.50X15MM</t>
  </si>
  <si>
    <t>RTVHETPT72X36X10</t>
  </si>
  <si>
    <t>18D-PU-FOAM-71.50X35.50X15MM</t>
  </si>
  <si>
    <t>RTVHETPT72X42X10</t>
  </si>
  <si>
    <t>18D-PU-FOAM-71.50X41.50X15MM</t>
  </si>
  <si>
    <t>RTVHETPT72X48X10</t>
  </si>
  <si>
    <t>18D-PU-FOAM-71.50X47.50X15MM</t>
  </si>
  <si>
    <t>RTVHETPT72X60X10</t>
  </si>
  <si>
    <t>18D-PU-FOAM-71.50X59.50X15MM</t>
  </si>
  <si>
    <t>RTVHETPT72X66X10</t>
  </si>
  <si>
    <t>18D-PU-FOAM-71.50X65.50X15MM</t>
  </si>
  <si>
    <t>RTVHETPT72X72X10</t>
  </si>
  <si>
    <t>18D-PU-FOAM-71.50X71.50X15MM</t>
  </si>
  <si>
    <t>RTVHETPT75X30X10</t>
  </si>
  <si>
    <t>18D-PU-FOAM-74.50X29.50X15MM</t>
  </si>
  <si>
    <t>RTVHETPT75X36X10</t>
  </si>
  <si>
    <t>18D-PU-FOAM-74.50X35.50X15MM</t>
  </si>
  <si>
    <t>RTVHETPT75X42X10</t>
  </si>
  <si>
    <t>18D-PU-FOAM-74.50X41.50X15MM</t>
  </si>
  <si>
    <t>RTVHETPT75X48X10</t>
  </si>
  <si>
    <t>18D-PU-FOAM-74.50X47.50X15MM</t>
  </si>
  <si>
    <t>RTVHETPT75X60X10</t>
  </si>
  <si>
    <t>18D-PU-FOAM-74.50X59.50X15MM</t>
  </si>
  <si>
    <t>RTVHETPT75X66X10</t>
  </si>
  <si>
    <t>18D-PU-FOAM-74.50X65.50X15MM</t>
  </si>
  <si>
    <t>RTVHETPT75X72X10</t>
  </si>
  <si>
    <t>18D-PU-FOAM-74.50X71.50X15MM</t>
  </si>
  <si>
    <t>RTVHETPT78X30X10</t>
  </si>
  <si>
    <t>18D-PU-FOAM-77.50X29.50X15MM</t>
  </si>
  <si>
    <t>RTVHETPT78X36X10</t>
  </si>
  <si>
    <t>18D-PU-FOAM-77.50X35.50X15MM</t>
  </si>
  <si>
    <t>RTVHETPT78X42X10</t>
  </si>
  <si>
    <t>18D-PU-FOAM-77.50X41.50X15MM</t>
  </si>
  <si>
    <t>RTVHETPT78X48X10</t>
  </si>
  <si>
    <t>18D-PU-FOAM-77.50X47.50X15MM</t>
  </si>
  <si>
    <t>RTVHETPT78X60X10</t>
  </si>
  <si>
    <t>18D-PU-FOAM-77.50X59.50X15MM</t>
  </si>
  <si>
    <t>RTVHETPT78X66X10</t>
  </si>
  <si>
    <t>18D-PU-FOAM-77.50X65.50X15MM</t>
  </si>
  <si>
    <t>RTVHETPT78X72X10</t>
  </si>
  <si>
    <t>18D-PU-FOAM-77.50X71.50X15MM</t>
  </si>
  <si>
    <t>RTVHETPT80X30X10</t>
  </si>
  <si>
    <t>18D-PU-FOAM-79.50X29.50X15MM</t>
  </si>
  <si>
    <t>RTVHETPT80X36X10</t>
  </si>
  <si>
    <t>18D-PU-FOAM-79.50X35.50X15MM</t>
  </si>
  <si>
    <t>RTVHETPT80X42X10</t>
  </si>
  <si>
    <t>18D-PU-FOAM-79.50X41.50X15MM</t>
  </si>
  <si>
    <t>RTVHETPT80X48X10</t>
  </si>
  <si>
    <t>18D-PU-FOAM-79.50X47.50X15MM</t>
  </si>
  <si>
    <t>RTVHETPT80X60X10</t>
  </si>
  <si>
    <t>18D-PU-FOAM-79.50X59.50X15MM</t>
  </si>
  <si>
    <t>RTVHETPT80X66X10</t>
  </si>
  <si>
    <t>18D-PU-FOAM-79.50X65.50X15MM</t>
  </si>
  <si>
    <t>RTVHETPT80X72X10</t>
  </si>
  <si>
    <t>18D-PU-FOAM-79.50X71.50X15MM</t>
  </si>
  <si>
    <t>RTVHETPT84X30X10</t>
  </si>
  <si>
    <t>18D-PU-FOAM-83.50X29.50X15MM</t>
  </si>
  <si>
    <t>RTVHETPT84X36X10</t>
  </si>
  <si>
    <t>18D-PU-FOAM-83.50X35.50X15MM</t>
  </si>
  <si>
    <t>RTVHETPT84X42X10</t>
  </si>
  <si>
    <t>18D-PU-FOAM-83.50X41.50X15MM</t>
  </si>
  <si>
    <t>RTVHETPT84X48X10</t>
  </si>
  <si>
    <t>18D-PU-FOAM-83.50X47.50X15MM</t>
  </si>
  <si>
    <t>RTVHETPT84X60X10</t>
  </si>
  <si>
    <t>18D-PU-FOAM-83.50X59.50X15MM</t>
  </si>
  <si>
    <t>RTVHETPT84X66X10</t>
  </si>
  <si>
    <t>18D-PU-FOAM-83.50X65.50X15MM</t>
  </si>
  <si>
    <t>RTVHETPT84X72X10</t>
  </si>
  <si>
    <t>18D-PU-FOAM-83.50X71.50X15MM</t>
  </si>
  <si>
    <t>RTVHETPT20X18X10</t>
  </si>
  <si>
    <t>18D-PU-FOAM-19.50X17.50X15MM</t>
  </si>
  <si>
    <t>RTVHETPT13X13X10</t>
  </si>
  <si>
    <t>18D-PU-FOAM-12.50X12.50X15MM</t>
  </si>
  <si>
    <t>VIVAH12</t>
  </si>
  <si>
    <t>RTVHETPT72X30X12</t>
  </si>
  <si>
    <t>RTVHETPT72X36X12</t>
  </si>
  <si>
    <t>RTVHETPT72X42X12</t>
  </si>
  <si>
    <t>RTVHETPT72X48X12</t>
  </si>
  <si>
    <t>RTVHETPT72X60X12</t>
  </si>
  <si>
    <t>RTVHETPT72X66X12</t>
  </si>
  <si>
    <t>RTVHETPT72X72X12</t>
  </si>
  <si>
    <t>RTVHETPT75X30X12</t>
  </si>
  <si>
    <t>RTVHETPT75X36X12</t>
  </si>
  <si>
    <t>RTVHETPT75X42X12</t>
  </si>
  <si>
    <t>RTVHETPT75X48X12</t>
  </si>
  <si>
    <t>RTVHETPT75X60X12</t>
  </si>
  <si>
    <t>RTVHETPT75X66X12</t>
  </si>
  <si>
    <t>RTVHETPT75X72X12</t>
  </si>
  <si>
    <t>RTVHETPT78X30X12</t>
  </si>
  <si>
    <t>RTVHETPT78X36X12</t>
  </si>
  <si>
    <t>RTVHETPT78X42X12</t>
  </si>
  <si>
    <t>RTVHETPT78X48X12</t>
  </si>
  <si>
    <t>RTVHETPT78X60X12</t>
  </si>
  <si>
    <t>RTVHETPT78X66X12</t>
  </si>
  <si>
    <t>RTVHETPT78X72X12</t>
  </si>
  <si>
    <t>RTVHETPT80X30X12</t>
  </si>
  <si>
    <t>RTVHETPT80X36X12</t>
  </si>
  <si>
    <t>RTVHETPT80X42X12</t>
  </si>
  <si>
    <t>RTVHETPT80X48X12</t>
  </si>
  <si>
    <t>RTVHETPT80X60X12</t>
  </si>
  <si>
    <t>RTVHETPT80X66X12</t>
  </si>
  <si>
    <t>RTVHETPT80X72X12</t>
  </si>
  <si>
    <t>RTVHETPT84X30X12</t>
  </si>
  <si>
    <t>RTVHETPT84X36X12</t>
  </si>
  <si>
    <t>RTVHETPT84X42X12</t>
  </si>
  <si>
    <t>RTVHETPT84X48X12</t>
  </si>
  <si>
    <t>RTVHETPT84X60X12</t>
  </si>
  <si>
    <t>RTVHETPT84X66X12</t>
  </si>
  <si>
    <t>RTVHETPT84X72X12</t>
  </si>
  <si>
    <t>RTVHETPT20X18X12</t>
  </si>
  <si>
    <t>RTVHETPT13X13X12</t>
  </si>
  <si>
    <t>CRYSTAL08</t>
  </si>
  <si>
    <t>RTGPCSBG72X30X08</t>
  </si>
  <si>
    <t>40D-PU-FOAM-71.50x165MMx75MM</t>
  </si>
  <si>
    <t>40D-PU-FOAM-24X165MMX75MM</t>
  </si>
  <si>
    <t>RTGPCSBG72X36X08</t>
  </si>
  <si>
    <t>40D-PU-FOAM-30X165MMX75MM</t>
  </si>
  <si>
    <t>RTGPCSBG72X42X08</t>
  </si>
  <si>
    <t>40D-PU-FOAM-36X165MMX75MM</t>
  </si>
  <si>
    <t>RTGPCSBG72X48X08</t>
  </si>
  <si>
    <t>40D-PU-FOAM-42X165MMX75MM</t>
  </si>
  <si>
    <t>RTGPCSBG72X60X08</t>
  </si>
  <si>
    <t>40D-PU-FOAM-54X165MMX75MM</t>
  </si>
  <si>
    <t>RTGPCSBG72X66X08</t>
  </si>
  <si>
    <t>40D-PU-FOAM-60X165MMX75MM</t>
  </si>
  <si>
    <t>RTGPCSBG72X72X08</t>
  </si>
  <si>
    <t>40D-PU-FOAM-66X165MMX75MM</t>
  </si>
  <si>
    <t>RTGPCSBG75X30X08</t>
  </si>
  <si>
    <t>40D-PU-FOAM-74.50x165MMx75MM</t>
  </si>
  <si>
    <t>RTGPCSBG75X36X08</t>
  </si>
  <si>
    <t>RTGPCSBG75X42X08</t>
  </si>
  <si>
    <t>RTGPCSBG75X48X08</t>
  </si>
  <si>
    <t>RTGPCSBG75X60X08</t>
  </si>
  <si>
    <t>RTGPCSBG75X66X08</t>
  </si>
  <si>
    <t>RTGPCSBG75X72X08</t>
  </si>
  <si>
    <t>RTGPCSBG78X30X08</t>
  </si>
  <si>
    <t>RTGPCSBG78X36X08</t>
  </si>
  <si>
    <t>40D-PU-FOAM-77.50x165MMx75MM</t>
  </si>
  <si>
    <t>RTGPCSBG78X42X08</t>
  </si>
  <si>
    <t>RTGPCSBG78X48X08</t>
  </si>
  <si>
    <t>RTGPCSBG78X60X08</t>
  </si>
  <si>
    <t>RTGPCSBG78X66X08</t>
  </si>
  <si>
    <t>RTGPCSBG78X72X08</t>
  </si>
  <si>
    <t>RTGPCSBG80X30X08</t>
  </si>
  <si>
    <t>40D-PU-FOAM-79.50x165MMx75MM</t>
  </si>
  <si>
    <t>RTGPCSBG80X36X08</t>
  </si>
  <si>
    <t>RTGPCSBG80X42X08</t>
  </si>
  <si>
    <t>RTGPCSBG80X48X08</t>
  </si>
  <si>
    <t>RTGPCSBG80X60X08</t>
  </si>
  <si>
    <t>RTGPCSBG80X66X08</t>
  </si>
  <si>
    <t>RTGPCSBG80X72X08</t>
  </si>
  <si>
    <t>RTGPCSBG84X30X08</t>
  </si>
  <si>
    <t>40D-PU-FOAM-83.50x165MMx75MM</t>
  </si>
  <si>
    <t>RTGPCSBG84X36X08</t>
  </si>
  <si>
    <t>RTGPCSBG84X42X08</t>
  </si>
  <si>
    <t>RTGPCSBG84X48X08</t>
  </si>
  <si>
    <t>RTGPCSBG84X60X08</t>
  </si>
  <si>
    <t>RTGPCSBG84X66X08</t>
  </si>
  <si>
    <t>RTGPCSBG84X72X08</t>
  </si>
  <si>
    <t>RTGPCSBG20X18X08</t>
  </si>
  <si>
    <t>40D-PU-FOAM-19.50x165MMx75MM</t>
  </si>
  <si>
    <t>40D-PU-FOAM-12X165MMX75MM</t>
  </si>
  <si>
    <t>RTGPCSBG13X13X08</t>
  </si>
  <si>
    <t>40D-PU-FOAM-12.50x165MMx75MM</t>
  </si>
  <si>
    <t>40D-PU-FOAM-07X165MMX75MM</t>
  </si>
  <si>
    <t>ORGANIGA06</t>
  </si>
  <si>
    <t>PEPSPKORGBW72X30X06</t>
  </si>
  <si>
    <t>40D-PU-FOAM-71.50x115MMx75MM</t>
  </si>
  <si>
    <t>40D-PU-FOAM-24X115MMX75MM</t>
  </si>
  <si>
    <t>32D-PU-FOAM-71.50X29.50X10MM</t>
  </si>
  <si>
    <t>PEPSPKORGBW72X36X06</t>
  </si>
  <si>
    <t>40D-PU-FOAM-30X115MMX75MM</t>
  </si>
  <si>
    <t>32D-PU-FOAM-71.50X35.50X10MM</t>
  </si>
  <si>
    <t>PEPSPKORGBW72X42X06</t>
  </si>
  <si>
    <t>40D-PU-FOAM-36X115MMX75MM</t>
  </si>
  <si>
    <t>32D-PU-FOAM-71.50X41.50X10MM</t>
  </si>
  <si>
    <t>PEPSPKORGBW72X48X06</t>
  </si>
  <si>
    <t>40D-PU-FOAM-42X115MMX75MM</t>
  </si>
  <si>
    <t>32D-PU-FOAM-71.50X47.50X10MM</t>
  </si>
  <si>
    <t>PEPSPKORGBW72X60X06</t>
  </si>
  <si>
    <t>40D-PU-FOAM-54X115MMX75MM</t>
  </si>
  <si>
    <t>32D-PU-FOAM-71.50X59.50X10MM</t>
  </si>
  <si>
    <t>PEPSPKORGBW72X66X06</t>
  </si>
  <si>
    <t>40D-PU-FOAM-60X115MMX75MM</t>
  </si>
  <si>
    <t>32D-PU-FOAM-71.50X65.50X10MM</t>
  </si>
  <si>
    <t>PEPSPKORGBW72X72X06</t>
  </si>
  <si>
    <t>40D-PU-FOAM-66X115MMX75MM</t>
  </si>
  <si>
    <t>32D-PU-FOAM-71.50X71.50X10MM</t>
  </si>
  <si>
    <t>PEPSPKORGBW75X30X06</t>
  </si>
  <si>
    <t>40D-PU-FOAM-74.50x115MMx75MM</t>
  </si>
  <si>
    <t>32D-PU-FOAM-74.50X29.50X10MM</t>
  </si>
  <si>
    <t>PEPSPKORGBW75X36X06</t>
  </si>
  <si>
    <t>32D-PU-FOAM-74.50X35.50X10MM</t>
  </si>
  <si>
    <t>PEPSPKORGBW75X42X06</t>
  </si>
  <si>
    <t>32D-PU-FOAM-74.50X41.50X10MM</t>
  </si>
  <si>
    <t>PEPSPKORGBW75X48X06</t>
  </si>
  <si>
    <t>32D-PU-FOAM-74.50X47.50X10MM</t>
  </si>
  <si>
    <t>PEPSPKORGBW75X60X06</t>
  </si>
  <si>
    <t>32D-PU-FOAM-74.50X59.50X10MM</t>
  </si>
  <si>
    <t>PEPSPKORGBW75X66X06</t>
  </si>
  <si>
    <t>32D-PU-FOAM-74.50X65.50X10MM</t>
  </si>
  <si>
    <t>PEPSPKORGBW75X72X06</t>
  </si>
  <si>
    <t>32D-PU-FOAM-74.50X71.50X10MM</t>
  </si>
  <si>
    <t>PEPSPKORGBW78X30X06</t>
  </si>
  <si>
    <t>40D-PU-FOAM-77.50x115MMx75MM</t>
  </si>
  <si>
    <t>32D-PU-FOAM-77.50X29.50X10MM</t>
  </si>
  <si>
    <t>PEPSPKORGBW78X36X06</t>
  </si>
  <si>
    <t>32D-PU-FOAM-77.50X35.50X10MM</t>
  </si>
  <si>
    <t>PEPSPKORGBW78X42X06</t>
  </si>
  <si>
    <t>32D-PU-FOAM-77.50X41.50X10MM</t>
  </si>
  <si>
    <t>PEPSPKORGBW78X48X06</t>
  </si>
  <si>
    <t>32D-PU-FOAM-77.50X47.50X10MM</t>
  </si>
  <si>
    <t>PEPSPKORGBW78X60X06</t>
  </si>
  <si>
    <t>32D-PU-FOAM-77.50X59.50X10MM</t>
  </si>
  <si>
    <t>PEPSPKORGBW78X66X06</t>
  </si>
  <si>
    <t>32D-PU-FOAM-77.50X65.50X10MM</t>
  </si>
  <si>
    <t>PEPSPKORGBW78X72X06</t>
  </si>
  <si>
    <t>32D-PU-FOAM-77.50X71.50X10MM</t>
  </si>
  <si>
    <t>PEPSPKORGBW80X30X06</t>
  </si>
  <si>
    <t>40D-PU-FOAM-79.50x115MMx75MM</t>
  </si>
  <si>
    <t>32D-PU-FOAM-79.50X29.50X10MM</t>
  </si>
  <si>
    <t>PEPSPKORGBW80X36X06</t>
  </si>
  <si>
    <t>32D-PU-FOAM-79.50X35.50X10MM</t>
  </si>
  <si>
    <t>PEPSPKORGBW80X42X06</t>
  </si>
  <si>
    <t>32D-PU-FOAM-79.50X41.50X10MM</t>
  </si>
  <si>
    <t>PEPSPKORGBW80X48X06</t>
  </si>
  <si>
    <t>32D-PU-FOAM-79.50X47.50X10MM</t>
  </si>
  <si>
    <t>PEPSPKORGBW80X60X06</t>
  </si>
  <si>
    <t>32D-PU-FOAM-79.50X59.50X10MM</t>
  </si>
  <si>
    <t>PEPSPKORGBW80X66X06</t>
  </si>
  <si>
    <t>32D-PU-FOAM-79.50X65.50X10MM</t>
  </si>
  <si>
    <t>PEPSPKORGBW80X72X06</t>
  </si>
  <si>
    <t>32D-PU-FOAM-79.50X71.50X10MM</t>
  </si>
  <si>
    <t>PEPSPKORGBW84X30X06</t>
  </si>
  <si>
    <t>40D-PU-FOAM-83.50x115MMx75MM</t>
  </si>
  <si>
    <t>32D-PU-FOAM-83.50X29.50X10MM</t>
  </si>
  <si>
    <t>PEPSPKORGBW84X36X06</t>
  </si>
  <si>
    <t>32D-PU-FOAM-83.50X35.50X10MM</t>
  </si>
  <si>
    <t>PEPSPKORGBW84X42X06</t>
  </si>
  <si>
    <t>32D-PU-FOAM-83.50X41.50X10MM</t>
  </si>
  <si>
    <t>PEPSPKORGBW84X48X06</t>
  </si>
  <si>
    <t>32D-PU-FOAM-83.50X47.50X10MM</t>
  </si>
  <si>
    <t>PEPSPKORGBW84X60X06</t>
  </si>
  <si>
    <t>32D-PU-FOAM-83.50X59.50X10MM</t>
  </si>
  <si>
    <t>PEPSPKORGBW84X66X06</t>
  </si>
  <si>
    <t>32D-PU-FOAM-83.50X65.50X10MM</t>
  </si>
  <si>
    <t>PEPSPKORGBW84X72X06</t>
  </si>
  <si>
    <t>32D-PU-FOAM-83.50X71.50X10MM</t>
  </si>
  <si>
    <t>PEPSPKORGBW20X18X06</t>
  </si>
  <si>
    <t>40D-PU-FOAM-19.50x115MMx75MM</t>
  </si>
  <si>
    <t>40D-PU-FOAM-12X115MMX75MM</t>
  </si>
  <si>
    <t>32D-PU-FOAM-19.50X17.50X10MM</t>
  </si>
  <si>
    <t>PEPSPKORGBW13X13X06</t>
  </si>
  <si>
    <t>40D-PU-FOAM-12.50x115MMx75MM</t>
  </si>
  <si>
    <t>40D-PU-FOAM-07X115MMX75MM</t>
  </si>
  <si>
    <t>32D-PU-FOAM-12.50X712.50X10MM</t>
  </si>
  <si>
    <t>ORGANIGA08</t>
  </si>
  <si>
    <t>PEPSPKORGBW72X30X08</t>
  </si>
  <si>
    <t>40D-PU-FOAM-71.50x145MMx75MM</t>
  </si>
  <si>
    <t>40D-PU-FOAM-24X145MMX75MM</t>
  </si>
  <si>
    <t>32D-PU-FOAM-71.50X29.50X20MM</t>
  </si>
  <si>
    <t>PEPSPKORGBW72X36X08</t>
  </si>
  <si>
    <t>40D-PU-FOAM-30X145MMX75MM</t>
  </si>
  <si>
    <t>32D-PU-FOAM-71.50X35.50X20MM</t>
  </si>
  <si>
    <t>PEPSPKORGBW72X42X08</t>
  </si>
  <si>
    <t>40D-PU-FOAM-36X145MMX75MM</t>
  </si>
  <si>
    <t>32D-PU-FOAM-71.50X41.50X20MM</t>
  </si>
  <si>
    <t>PEPSPKORGBW72X48X08</t>
  </si>
  <si>
    <t>40D-PU-FOAM-42X145MMX75MM</t>
  </si>
  <si>
    <t>32D-PU-FOAM-71.50X47.50X20MM</t>
  </si>
  <si>
    <t>PEPSPKORGBW72X60X08</t>
  </si>
  <si>
    <t>40D-PU-FOAM-54X145MMX75MM</t>
  </si>
  <si>
    <t>32D-PU-FOAM-71.50X59.50X20MM</t>
  </si>
  <si>
    <t>PEPSPKORGBW72X66X08</t>
  </si>
  <si>
    <t>40D-PU-FOAM-60X145MMX75MM</t>
  </si>
  <si>
    <t>32D-PU-FOAM-71.50X65.50X20MM</t>
  </si>
  <si>
    <t>PEPSPKORGBW72X72X08</t>
  </si>
  <si>
    <t>40D-PU-FOAM-66X145MMX75MM</t>
  </si>
  <si>
    <t>32D-PU-FOAM-71.50X71.50X20MM</t>
  </si>
  <si>
    <t>PEPSPKORGBW75X30X08</t>
  </si>
  <si>
    <t>40D-PU-FOAM-74.50x145MMx75MM</t>
  </si>
  <si>
    <t>32D-PU-FOAM-74.50X29.50X20MM</t>
  </si>
  <si>
    <t>PEPSPKORGBW75X36X08</t>
  </si>
  <si>
    <t>32D-PU-FOAM-74.50X35.50X20MM</t>
  </si>
  <si>
    <t>PEPSPKORGBW75X42X08</t>
  </si>
  <si>
    <t>32D-PU-FOAM-74.50X41.50X20MM</t>
  </si>
  <si>
    <t>PEPSPKORGBW75X48X08</t>
  </si>
  <si>
    <t>32D-PU-FOAM-74.50X47.50X20MM</t>
  </si>
  <si>
    <t>PEPSPKORGBW75X60X08</t>
  </si>
  <si>
    <t>32D-PU-FOAM-74.50X59.50X20MM</t>
  </si>
  <si>
    <t>PEPSPKORGBW75X66X08</t>
  </si>
  <si>
    <t>32D-PU-FOAM-74.50X65.50X20MM</t>
  </si>
  <si>
    <t>PEPSPKORGBW75X72X08</t>
  </si>
  <si>
    <t>32D-PU-FOAM-74.50X71.50X20MM</t>
  </si>
  <si>
    <t>PEPSPKORGBW78X30X08</t>
  </si>
  <si>
    <t>40D-PU-FOAM-77.50x145MMx75MM</t>
  </si>
  <si>
    <t>32D-PU-FOAM-77.50X29.50X20MM</t>
  </si>
  <si>
    <t>PEPSPKORGBW78X36X08</t>
  </si>
  <si>
    <t>32D-PU-FOAM-77.50X35.50X20MM</t>
  </si>
  <si>
    <t>PEPSPKORGBW78X42X08</t>
  </si>
  <si>
    <t>32D-PU-FOAM-77.50X41.50X20MM</t>
  </si>
  <si>
    <t>PEPSPKORGBW78X48X08</t>
  </si>
  <si>
    <t>32D-PU-FOAM-77.50X47.50X20MM</t>
  </si>
  <si>
    <t>PEPSPKORGBW78X60X08</t>
  </si>
  <si>
    <t>32D-PU-FOAM-77.50X59.50X20MM</t>
  </si>
  <si>
    <t>PEPSPKORGBW78X66X08</t>
  </si>
  <si>
    <t>32D-PU-FOAM-77.50X65.50X20MM</t>
  </si>
  <si>
    <t>PEPSPKORGBW78X72X08</t>
  </si>
  <si>
    <t>32D-PU-FOAM-77.50X71.50X20MM</t>
  </si>
  <si>
    <t>PEPSPKORGBW80X30X08</t>
  </si>
  <si>
    <t>40D-PU-FOAM-79.50x145MMx75MM</t>
  </si>
  <si>
    <t>32D-PU-FOAM-79.50X29.50X20MM</t>
  </si>
  <si>
    <t>PEPSPKORGBW80X36X08</t>
  </si>
  <si>
    <t>32D-PU-FOAM-79.50X35.50X20MM</t>
  </si>
  <si>
    <t>PEPSPKORGBW80X42X08</t>
  </si>
  <si>
    <t>32D-PU-FOAM-79.50X41.50X20MM</t>
  </si>
  <si>
    <t>PEPSPKORGBW80X48X08</t>
  </si>
  <si>
    <t>32D-PU-FOAM-79.50X47.50X20MM</t>
  </si>
  <si>
    <t>PEPSPKORGBW80X60X08</t>
  </si>
  <si>
    <t>32D-PU-FOAM-79.50X59.50X20MM</t>
  </si>
  <si>
    <t>PEPSPKORGBW80X66X08</t>
  </si>
  <si>
    <t>32D-PU-FOAM-79.50X65.50X20MM</t>
  </si>
  <si>
    <t>PEPSPKORGBW80X72X08</t>
  </si>
  <si>
    <t>32D-PU-FOAM-79.50X71.50X20MM</t>
  </si>
  <si>
    <t>PEPSPKORGBW84X30X08</t>
  </si>
  <si>
    <t>40D-PU-FOAM-83.50x145MMx75MM</t>
  </si>
  <si>
    <t>32D-PU-FOAM-83.50X29.50X20MM</t>
  </si>
  <si>
    <t>PEPSPKORGBW84X36X08</t>
  </si>
  <si>
    <t>32D-PU-FOAM-83.50X35.50X20MM</t>
  </si>
  <si>
    <t>PEPSPKORGBW84X42X08</t>
  </si>
  <si>
    <t>32D-PU-FOAM-83.50X41.50X20MM</t>
  </si>
  <si>
    <t>PEPSPKORGBW84X48X08</t>
  </si>
  <si>
    <t>32D-PU-FOAM-83.50X47.50X20MM</t>
  </si>
  <si>
    <t>PEPSPKORGBW84X60X08</t>
  </si>
  <si>
    <t>32D-PU-FOAM-83.50X59.50X20MM</t>
  </si>
  <si>
    <t>PEPSPKORGBW84X66X08</t>
  </si>
  <si>
    <t>32D-PU-FOAM-83.50X65.50X20MM</t>
  </si>
  <si>
    <t>PEPSPKORGBW84X72X08</t>
  </si>
  <si>
    <t>32D-PU-FOAM-83.50X71.50X20MM</t>
  </si>
  <si>
    <t>PEPSPKORGBW20X18X08</t>
  </si>
  <si>
    <t>40D-PU-FOAM-19.50x145MMx75MM</t>
  </si>
  <si>
    <t>40D-PU-FOAM-12X145MMX75MM</t>
  </si>
  <si>
    <t>32D-PU-FOAM-19.50X17.50X20MM</t>
  </si>
  <si>
    <t>PEPSPKORGBW13X13X08</t>
  </si>
  <si>
    <t>40D-PU-FOAM-12.50x145MMx75MM</t>
  </si>
  <si>
    <t>40D-PU-FOAM-07X145MMX75MM</t>
  </si>
  <si>
    <t>32D-PU-FOAM-12.50X712.50X20MM</t>
  </si>
  <si>
    <t>ORGANIGA10</t>
  </si>
  <si>
    <t>PEPSPKORGBW72X30X10</t>
  </si>
  <si>
    <t>32D-PU-FOAM-71.50X29.50X30MM</t>
  </si>
  <si>
    <t>PEPSPKORGBW72X36X10</t>
  </si>
  <si>
    <t>32D-PU-FOAM-71.50X35.50X30MM</t>
  </si>
  <si>
    <t>PEPSPKORGBW72X42X10</t>
  </si>
  <si>
    <t>32D-PU-FOAM-71.50X41.50X30MM</t>
  </si>
  <si>
    <t>PEPSPKORGBW72X48X10</t>
  </si>
  <si>
    <t>32D-PU-FOAM-71.50X47.50X30MM</t>
  </si>
  <si>
    <t>PEPSPKORGBW72X60X10</t>
  </si>
  <si>
    <t>32D-PU-FOAM-71.50X59.50X30MM</t>
  </si>
  <si>
    <t>PEPSPKORGBW72X66X10</t>
  </si>
  <si>
    <t>32D-PU-FOAM-71.50X65.50X30MM</t>
  </si>
  <si>
    <t>PEPSPKORGBW72X72X10</t>
  </si>
  <si>
    <t>32D-PU-FOAM-71.50X71.50X30MM</t>
  </si>
  <si>
    <t>PEPSPKORGBW75X30X10</t>
  </si>
  <si>
    <t>32D-PU-FOAM-74.50X29.50X30MM</t>
  </si>
  <si>
    <t>PEPSPKORGBW75X36X10</t>
  </si>
  <si>
    <t>32D-PU-FOAM-74.50X35.50X30MM</t>
  </si>
  <si>
    <t>PEPSPKORGBW75X42X10</t>
  </si>
  <si>
    <t>32D-PU-FOAM-74.50X41.50X30MM</t>
  </si>
  <si>
    <t>PEPSPKORGBW75X48X10</t>
  </si>
  <si>
    <t>32D-PU-FOAM-74.50X47.50X30MM</t>
  </si>
  <si>
    <t>PEPSPKORGBW75X60X10</t>
  </si>
  <si>
    <t>32D-PU-FOAM-74.50X59.50X30MM</t>
  </si>
  <si>
    <t>PEPSPKORGBW75X66X10</t>
  </si>
  <si>
    <t>32D-PU-FOAM-74.50X65.50X30MM</t>
  </si>
  <si>
    <t>PEPSPKORGBW75X72X10</t>
  </si>
  <si>
    <t>32D-PU-FOAM-74.50X71.50X30MM</t>
  </si>
  <si>
    <t>PEPSPKORGBW78X30X10</t>
  </si>
  <si>
    <t>32D-PU-FOAM-77.50X29.50X30MM</t>
  </si>
  <si>
    <t>PEPSPKORGBW78X36X10</t>
  </si>
  <si>
    <t>32D-PU-FOAM-77.50X35.50X30MM</t>
  </si>
  <si>
    <t>PEPSPKORGBW78X42X10</t>
  </si>
  <si>
    <t>32D-PU-FOAM-77.50X41.50X30MM</t>
  </si>
  <si>
    <t>PEPSPKORGBW78X48X10</t>
  </si>
  <si>
    <t>32D-PU-FOAM-77.50X47.50X30MM</t>
  </si>
  <si>
    <t>PEPSPKORGBW78X60X10</t>
  </si>
  <si>
    <t>32D-PU-FOAM-77.50X59.50X30MM</t>
  </si>
  <si>
    <t>PEPSPKORGBW78X66X10</t>
  </si>
  <si>
    <t>32D-PU-FOAM-77.50X65.50X30MM</t>
  </si>
  <si>
    <t>PEPSPKORGBW78X72X10</t>
  </si>
  <si>
    <t>32D-PU-FOAM-77.50X71.50X30MM</t>
  </si>
  <si>
    <t>PEPSPKORGBW80X30X10</t>
  </si>
  <si>
    <t>32D-PU-FOAM-79.50X29.50X30MM</t>
  </si>
  <si>
    <t>PEPSPKORGBW80X36X10</t>
  </si>
  <si>
    <t>32D-PU-FOAM-79.50X35.50X30MM</t>
  </si>
  <si>
    <t>PEPSPKORGBW80X42X10</t>
  </si>
  <si>
    <t>32D-PU-FOAM-79.50X41.50X30MM</t>
  </si>
  <si>
    <t>PEPSPKORGBW80X48X10</t>
  </si>
  <si>
    <t>32D-PU-FOAM-79.50X47.50X30MM</t>
  </si>
  <si>
    <t>PEPSPKORGBW80X60X10</t>
  </si>
  <si>
    <t>32D-PU-FOAM-79.50X59.50X30MM</t>
  </si>
  <si>
    <t>PEPSPKORGBW80X66X10</t>
  </si>
  <si>
    <t>32D-PU-FOAM-79.50X65.50X30MM</t>
  </si>
  <si>
    <t>PEPSPKORGBW80X72X10</t>
  </si>
  <si>
    <t>32D-PU-FOAM-79.50X71.50X30MM</t>
  </si>
  <si>
    <t>PEPSPKORGBW84X30X10</t>
  </si>
  <si>
    <t>32D-PU-FOAM-83.50X29.50X30MM</t>
  </si>
  <si>
    <t>PEPSPKORGBW84X36X10</t>
  </si>
  <si>
    <t>32D-PU-FOAM-83.50X35.50X30MM</t>
  </si>
  <si>
    <t>PEPSPKORGBW84X42X10</t>
  </si>
  <si>
    <t>32D-PU-FOAM-83.50X41.50X30MM</t>
  </si>
  <si>
    <t>PEPSPKORGBW84X48X10</t>
  </si>
  <si>
    <t>32D-PU-FOAM-83.50X47.50X30MM</t>
  </si>
  <si>
    <t>PEPSPKORGBW84X60X10</t>
  </si>
  <si>
    <t>32D-PU-FOAM-83.50X59.50X30MM</t>
  </si>
  <si>
    <t>PEPSPKORGBW84X66X10</t>
  </si>
  <si>
    <t>32D-PU-FOAM-83.50X65.50X30MM</t>
  </si>
  <si>
    <t>PEPSPKORGBW84X72X10</t>
  </si>
  <si>
    <t>32D-PU-FOAM-83.50X71.50X30MM</t>
  </si>
  <si>
    <t>PEPSPKORGBW20X18X10</t>
  </si>
  <si>
    <t>32D-PU-FOAM-19.50X17.50X30MM</t>
  </si>
  <si>
    <t>PEPSPKORGBW13X13X10</t>
  </si>
  <si>
    <t>32D-PU-FOAM-12.50X12.50X30MM</t>
  </si>
  <si>
    <t>SPG08</t>
  </si>
  <si>
    <t>SKSGSR72X30X08</t>
  </si>
  <si>
    <t>40D-PU-FOAM-71.50x135MMx75MM</t>
  </si>
  <si>
    <t>40D-PU-FOAM-24X135MMX75MM</t>
  </si>
  <si>
    <t>100D-RB-FOAM-71.50X29.50X20MM</t>
  </si>
  <si>
    <t>100D-RB-FOAM-71.50X29.50X25MM</t>
  </si>
  <si>
    <t>SKSGSR72X36X08</t>
  </si>
  <si>
    <t>40D-PU-FOAM-30X135MMX75MM</t>
  </si>
  <si>
    <t>100D-RB-FOAM-71.50X35.50X20MM</t>
  </si>
  <si>
    <t>100D-RB-FOAM-71.50X35.50X25MM</t>
  </si>
  <si>
    <t>SKSGSR72X42X08</t>
  </si>
  <si>
    <t>40D-PU-FOAM-36X135MMX75MM</t>
  </si>
  <si>
    <t>100D-RB-FOAM-71.50X41.50X20MM</t>
  </si>
  <si>
    <t>100D-RB-FOAM-71.50X41.50X25MM</t>
  </si>
  <si>
    <t>SKSGSR72X48X08</t>
  </si>
  <si>
    <t>40D-PU-FOAM-42X135MMX75MM</t>
  </si>
  <si>
    <t>100D-RB-FOAM-71.50X47.50X20MM</t>
  </si>
  <si>
    <t>100D-RB-FOAM-71.50X47.50X25MM</t>
  </si>
  <si>
    <t>SKSGSR72X60X08</t>
  </si>
  <si>
    <t>40D-PU-FOAM-54X135MMX75MM</t>
  </si>
  <si>
    <t>100D-RB-FOAM-71.50X59.50X20MM</t>
  </si>
  <si>
    <t>100D-RB-FOAM-71.50X59.50X25MM</t>
  </si>
  <si>
    <t>SKSGSR72X66X08</t>
  </si>
  <si>
    <t>40D-PU-FOAM-60X135MMX75MM</t>
  </si>
  <si>
    <t>100D-RB-FOAM-71.50X65.50X20MM</t>
  </si>
  <si>
    <t>100D-RB-FOAM-71.50X65.50X25MM</t>
  </si>
  <si>
    <t>SKSGSR72X72X08</t>
  </si>
  <si>
    <t>40D-PU-FOAM-66X135MMX75MM</t>
  </si>
  <si>
    <t>100D-RB-FOAM-71.50X71.50X20MM</t>
  </si>
  <si>
    <t>100D-RB-FOAM-71.50X71.50X25MM</t>
  </si>
  <si>
    <t>SKSGSR75X30X08</t>
  </si>
  <si>
    <t>40D-PU-FOAM-74.50x135MMx75MM</t>
  </si>
  <si>
    <t>100D-RB-FOAM-74.50X29.50X20MM</t>
  </si>
  <si>
    <t>100D-RB-FOAM-74.50X29.50X25MM</t>
  </si>
  <si>
    <t>SKSGSR75X36X08</t>
  </si>
  <si>
    <t>100D-RB-FOAM-74.50X35.50X20MM</t>
  </si>
  <si>
    <t>100D-RB-FOAM-74.50X35.50X25MM</t>
  </si>
  <si>
    <t>SKSGSR75X42X08</t>
  </si>
  <si>
    <t>100D-RB-FOAM-74.50X41.50X20MM</t>
  </si>
  <si>
    <t>100D-RB-FOAM-74.50X41.50X25MM</t>
  </si>
  <si>
    <t>SKSGSR75X48X08</t>
  </si>
  <si>
    <t>100D-RB-FOAM-74.50X47.50X20MM</t>
  </si>
  <si>
    <t>100D-RB-FOAM-74.50X47.50X25MM</t>
  </si>
  <si>
    <t>SKSGSR75X60X08</t>
  </si>
  <si>
    <t>100D-RB-FOAM-74.50X59.50X20MM</t>
  </si>
  <si>
    <t>100D-RB-FOAM-74.50X59.50X25MM</t>
  </si>
  <si>
    <t>SKSGSR75X66X08</t>
  </si>
  <si>
    <t>100D-RB-FOAM-74.50X65.50X20MM</t>
  </si>
  <si>
    <t>100D-RB-FOAM-74.50X65.50X25MM</t>
  </si>
  <si>
    <t>SKSGSR75X72X08</t>
  </si>
  <si>
    <t>100D-RB-FOAM-74.50X71.50X20MM</t>
  </si>
  <si>
    <t>100D-RB-FOAM-74.50X71.50X25MM</t>
  </si>
  <si>
    <t>SKSGSR78X30X08</t>
  </si>
  <si>
    <t>40D-PU-FOAM-77.50x135MMx75MM</t>
  </si>
  <si>
    <t>100D-RB-FOAM-77.50X29.50X20MM</t>
  </si>
  <si>
    <t>100D-RB-FOAM-77.50X29.50X25MM</t>
  </si>
  <si>
    <t>SKSGSR78X36X08</t>
  </si>
  <si>
    <t>100D-RB-FOAM-77.50X35.50X20MM</t>
  </si>
  <si>
    <t>100D-RB-FOAM-77.50X35.50X25MM</t>
  </si>
  <si>
    <t>SKSGSR78X42X08</t>
  </si>
  <si>
    <t>100D-RB-FOAM-77.50X41.50X20MM</t>
  </si>
  <si>
    <t>100D-RB-FOAM-77.50X41.50X25MM</t>
  </si>
  <si>
    <t>SKSGSR78X48X08</t>
  </si>
  <si>
    <t>100D-RB-FOAM-77.50X47.50X20MM</t>
  </si>
  <si>
    <t>100D-RB-FOAM-77.50X47.50X25MM</t>
  </si>
  <si>
    <t>SKSGSR78X60X08</t>
  </si>
  <si>
    <t>100D-RB-FOAM-77.50X59.50X20MM</t>
  </si>
  <si>
    <t>100D-RB-FOAM-77.50X59.50X25MM</t>
  </si>
  <si>
    <t>SKSGSR78X66X08</t>
  </si>
  <si>
    <t>100D-RB-FOAM-77.50X65.50X20MM</t>
  </si>
  <si>
    <t>100D-RB-FOAM-77.50X65.50X25MM</t>
  </si>
  <si>
    <t>SKSGSR78X72X08</t>
  </si>
  <si>
    <t>100D-RB-FOAM-77.50X71.50X20MM</t>
  </si>
  <si>
    <t>100D-RB-FOAM-77.50X71.50X25MM</t>
  </si>
  <si>
    <t>SKSGSR80X30X08</t>
  </si>
  <si>
    <t>40D-PU-FOAM-79.50x135MMx75MM</t>
  </si>
  <si>
    <t>100D-RB-FOAM-79.50X29.50X20MM</t>
  </si>
  <si>
    <t>100D-RB-FOAM-79.50X29.50X25MM</t>
  </si>
  <si>
    <t>SKSGSR80X36X08</t>
  </si>
  <si>
    <t>100D-RB-FOAM-79.50X35.50X20MM</t>
  </si>
  <si>
    <t>100D-RB-FOAM-79.50X35.50X25MM</t>
  </si>
  <si>
    <t>SKSGSR80X42X08</t>
  </si>
  <si>
    <t>100D-RB-FOAM-79.50X41.50X20MM</t>
  </si>
  <si>
    <t>100D-RB-FOAM-79.50X41.50X25MM</t>
  </si>
  <si>
    <t>SKSGSR80X48X08</t>
  </si>
  <si>
    <t>100D-RB-FOAM-79.50X47.50X20MM</t>
  </si>
  <si>
    <t>100D-RB-FOAM-79.50X47.50X25MM</t>
  </si>
  <si>
    <t>SKSGSR80X60X08</t>
  </si>
  <si>
    <t>100D-RB-FOAM-79.50X59.50X20MM</t>
  </si>
  <si>
    <t>100D-RB-FOAM-79.50X59.50X25MM</t>
  </si>
  <si>
    <t>SKSGSR80X66X08</t>
  </si>
  <si>
    <t>100D-RB-FOAM-79.50X65.50X20MM</t>
  </si>
  <si>
    <t>100D-RB-FOAM-79.50X65.50X25MM</t>
  </si>
  <si>
    <t>SKSGSR80X72X08</t>
  </si>
  <si>
    <t>100D-RB-FOAM-79.50X71.50X20MM</t>
  </si>
  <si>
    <t>100D-RB-FOAM-79.50X71.50X25MM</t>
  </si>
  <si>
    <t>SKSGSR84X30X08</t>
  </si>
  <si>
    <t>40D-PU-FOAM-83.50x135MMx75MM</t>
  </si>
  <si>
    <t>100D-RB-FOAM-83.50X29.50X20MM</t>
  </si>
  <si>
    <t>100D-RB-FOAM-83.50X29.50X25MM</t>
  </si>
  <si>
    <t>SKSGSR84X36X08</t>
  </si>
  <si>
    <t>100D-RB-FOAM-83.50X35.50X20MM</t>
  </si>
  <si>
    <t>100D-RB-FOAM-83.50X35.50X25MM</t>
  </si>
  <si>
    <t>SKSGSR84X42X08</t>
  </si>
  <si>
    <t>100D-RB-FOAM-83.50X41.50X20MM</t>
  </si>
  <si>
    <t>100D-RB-FOAM-83.50X41.50X25MM</t>
  </si>
  <si>
    <t>SKSGSR84X48X08</t>
  </si>
  <si>
    <t>100D-RB-FOAM-83.50X47.50X20MM</t>
  </si>
  <si>
    <t>100D-RB-FOAM-83.50X47.50X25MM</t>
  </si>
  <si>
    <t>SKSGSR84X60X08</t>
  </si>
  <si>
    <t>100D-RB-FOAM-83.50X59.50X20MM</t>
  </si>
  <si>
    <t>100D-RB-FOAM-83.50X59.50X25MM</t>
  </si>
  <si>
    <t>SKSGSR84X66X08</t>
  </si>
  <si>
    <t>100D-RB-FOAM-83.50X65.50X20MM</t>
  </si>
  <si>
    <t>100D-RB-FOAM-83.50X65.50X25MM</t>
  </si>
  <si>
    <t>SKSGSR84X72X08</t>
  </si>
  <si>
    <t>100D-RB-FOAM-83.50X71.50X20MM</t>
  </si>
  <si>
    <t>100D-RB-FOAM-83.50X71.50X25MM</t>
  </si>
  <si>
    <t>SKSGSR20X18X08</t>
  </si>
  <si>
    <t>40D-PU-FOAM-19.50x135MMx75MM</t>
  </si>
  <si>
    <t>40D-PU-FOAM-12X135MMX75MM</t>
  </si>
  <si>
    <t>100D-RB-FOAM-19.50X17.50X20MM</t>
  </si>
  <si>
    <t>100D-RB-FOAM-19.50X17.50X25MM</t>
  </si>
  <si>
    <t>SKSGSR13X13X08</t>
  </si>
  <si>
    <t>40D-PU-FOAM-12.50x135MMx75MM</t>
  </si>
  <si>
    <t>40D-PU-FOAM-07X135MMX75MM</t>
  </si>
  <si>
    <t>100D-RB-FOAM-12.50X12.50X20MM</t>
  </si>
  <si>
    <t>100D-RB-FOAM-12.50X12.50X25MM</t>
  </si>
  <si>
    <t>SPG10</t>
  </si>
  <si>
    <t>SKSGSR72X30X10</t>
  </si>
  <si>
    <t>40D-PU-FOAM-71.50x155MMx75MM</t>
  </si>
  <si>
    <t>40D-PU-FOAM-24X155MMX75MM</t>
  </si>
  <si>
    <t>100D-RB-FOAM-71.50X29.50X30MM</t>
  </si>
  <si>
    <t>SKSGSR72X36X10</t>
  </si>
  <si>
    <t>40D-PU-FOAM-30X155MMX75MM</t>
  </si>
  <si>
    <t>100D-RB-FOAM-71.50X35.50X30MM</t>
  </si>
  <si>
    <t>SKSGSR72X42X10</t>
  </si>
  <si>
    <t>40D-PU-FOAM-36X155MMX75MM</t>
  </si>
  <si>
    <t>100D-RB-FOAM-71.50X41.50X30MM</t>
  </si>
  <si>
    <t>SKSGSR72X48X10</t>
  </si>
  <si>
    <t>40D-PU-FOAM-42X155MMX75MM</t>
  </si>
  <si>
    <t>100D-RB-FOAM-71.50X47.50X30MM</t>
  </si>
  <si>
    <t>SKSGSR72X60X10</t>
  </si>
  <si>
    <t>40D-PU-FOAM-54X155MMX75MM</t>
  </si>
  <si>
    <t>100D-RB-FOAM-71.50X59.50X30MM</t>
  </si>
  <si>
    <t>SKSGSR72X66X10</t>
  </si>
  <si>
    <t>40D-PU-FOAM-60X155MMX75MM</t>
  </si>
  <si>
    <t>100D-RB-FOAM-71.50X65.50X30MM</t>
  </si>
  <si>
    <t>SKSGSR72X72X10</t>
  </si>
  <si>
    <t>40D-PU-FOAM-66X155MMX75MM</t>
  </si>
  <si>
    <t>100D-RB-FOAM-71.50X71.50X30MM</t>
  </si>
  <si>
    <t>SKSGSR75X30X10</t>
  </si>
  <si>
    <t>40D-PU-FOAM-74.50x155MMx75MM</t>
  </si>
  <si>
    <t>100D-RB-FOAM-74.50X29.50X30MM</t>
  </si>
  <si>
    <t>SKSGSR75X36X10</t>
  </si>
  <si>
    <t>100D-RB-FOAM-74.50X35.50X30MM</t>
  </si>
  <si>
    <t>SKSGSR75X42X10</t>
  </si>
  <si>
    <t>100D-RB-FOAM-74.50X41.50X30MM</t>
  </si>
  <si>
    <t>SKSGSR75X48X10</t>
  </si>
  <si>
    <t>100D-RB-FOAM-74.50X47.50X30MM</t>
  </si>
  <si>
    <t>SKSGSR75X60X10</t>
  </si>
  <si>
    <t>100D-RB-FOAM-74.50X59.50X30MM</t>
  </si>
  <si>
    <t>SKSGSR75X66X10</t>
  </si>
  <si>
    <t>100D-RB-FOAM-74.50X65.50X30MM</t>
  </si>
  <si>
    <t>SKSGSR75X72X10</t>
  </si>
  <si>
    <t>100D-RB-FOAM-74.50X71.50X30MM</t>
  </si>
  <si>
    <t>SKSGSR78X30X10</t>
  </si>
  <si>
    <t>40D-PU-FOAM-77.50x155MMx75MM</t>
  </si>
  <si>
    <t>100D-RB-FOAM-77.50X29.50X30MM</t>
  </si>
  <si>
    <t>SKSGSR78X36X10</t>
  </si>
  <si>
    <t>100D-RB-FOAM-77.50X35.50X30MM</t>
  </si>
  <si>
    <t>SKSGSR78X42X10</t>
  </si>
  <si>
    <t>100D-RB-FOAM-77.50X41.50X30MM</t>
  </si>
  <si>
    <t>SKSGSR78X48X10</t>
  </si>
  <si>
    <t>100D-RB-FOAM-77.50X47.50X30MM</t>
  </si>
  <si>
    <t>SKSGSR78X60X10</t>
  </si>
  <si>
    <t>100D-RB-FOAM-77.50X59.50X30MM</t>
  </si>
  <si>
    <t>SKSGSR78X66X10</t>
  </si>
  <si>
    <t>100D-RB-FOAM-77.50X65.50X30MM</t>
  </si>
  <si>
    <t>SKSGSR78X72X10</t>
  </si>
  <si>
    <t>100D-RB-FOAM-77.50X71.50X30MM</t>
  </si>
  <si>
    <t>SKSGSR80X30X10</t>
  </si>
  <si>
    <t>100D-RB-FOAM-79.50X29.50X30MM</t>
  </si>
  <si>
    <t>SKSGSR80X36X10</t>
  </si>
  <si>
    <t>40D-PU-FOAM-79.50x155MMx75MM</t>
  </si>
  <si>
    <t>100D-RB-FOAM-79.50X35.50X30MM</t>
  </si>
  <si>
    <t>SKSGSR80X42X10</t>
  </si>
  <si>
    <t>100D-RB-FOAM-79.50X41.50X30MM</t>
  </si>
  <si>
    <t>SKSGSR80X48X10</t>
  </si>
  <si>
    <t>100D-RB-FOAM-79.50X47.50X30MM</t>
  </si>
  <si>
    <t>SKSGSR80X60X10</t>
  </si>
  <si>
    <t>100D-RB-FOAM-79.50X59.50X30MM</t>
  </si>
  <si>
    <t>SKSGSR80X66X10</t>
  </si>
  <si>
    <t>100D-RB-FOAM-79.50X65.50X30MM</t>
  </si>
  <si>
    <t>SKSGSR80X72X10</t>
  </si>
  <si>
    <t>100D-RB-FOAM-79.50X71.50X30MM</t>
  </si>
  <si>
    <t>SKSGSR84X30X10</t>
  </si>
  <si>
    <t>40D-PU-FOAM-83.50x155MMx75MM</t>
  </si>
  <si>
    <t>100D-RB-FOAM-83.50X29.50X30MM</t>
  </si>
  <si>
    <t>SKSGSR84X36X10</t>
  </si>
  <si>
    <t>100D-RB-FOAM-83.50X35.50X30MM</t>
  </si>
  <si>
    <t>SKSGSR84X42X10</t>
  </si>
  <si>
    <t>100D-RB-FOAM-83.50X41.50X30MM</t>
  </si>
  <si>
    <t>SKSGSR84X48X10</t>
  </si>
  <si>
    <t>100D-RB-FOAM-83.50X47.50X30MM</t>
  </si>
  <si>
    <t>SKSGSR84X60X10</t>
  </si>
  <si>
    <t>100D-RB-FOAM-83.50X59.50X30MM</t>
  </si>
  <si>
    <t>SKSGSR84X66X10</t>
  </si>
  <si>
    <t>100D-RB-FOAM-83.50X65.50X30MM</t>
  </si>
  <si>
    <t>SKSGSR84X72X10</t>
  </si>
  <si>
    <t>100D-RB-FOAM-83.50X71.50X30MM</t>
  </si>
  <si>
    <t>SKSGSR20X18X10</t>
  </si>
  <si>
    <t>40D-PU-FOAM-19.50x155MMx75MM</t>
  </si>
  <si>
    <t>40D-PU-FOAM-12X155MMX75MM</t>
  </si>
  <si>
    <t>100D-RB-FOAM-19.50X17.50X30MM</t>
  </si>
  <si>
    <t>SKSGSR13X13X10</t>
  </si>
  <si>
    <t>40D-PU-FOAM-12.50x155MMx75MM</t>
  </si>
  <si>
    <t>40D-PU-FOAM-07X155MMX75MM</t>
  </si>
  <si>
    <t>100D-RB-FOAM-12.50X12.50X30MM</t>
  </si>
  <si>
    <t>ALLURA06</t>
  </si>
  <si>
    <t>HYPALRPKNLBLOR72X30X06</t>
  </si>
  <si>
    <t>32D-PU-FOAM-71.50x115MMx75MM</t>
  </si>
  <si>
    <t>32D-PU-FOAM-24x115MMx75MM</t>
  </si>
  <si>
    <t>28D-PU-FOAM-71.50X29.50X10MM</t>
  </si>
  <si>
    <t>28D-PU-FOAM-71.50X29.50X15MM</t>
  </si>
  <si>
    <t>HYPALRPKNLBLOR72X36X06</t>
  </si>
  <si>
    <t>32D-PU-FOAM-30x115MMx75MM</t>
  </si>
  <si>
    <t>28D-PU-FOAM-71.50X35.50X10MM</t>
  </si>
  <si>
    <t>28D-PU-FOAM-71.50X35.50X15MM</t>
  </si>
  <si>
    <t>HYPALRPKNLBLOR72X42X06</t>
  </si>
  <si>
    <t>32D-PU-FOAM-36x115MMx75MM</t>
  </si>
  <si>
    <t>28D-PU-FOAM-71.50X41.50X10MM</t>
  </si>
  <si>
    <t>28D-PU-FOAM-71.50X41.50X15MM</t>
  </si>
  <si>
    <t>HYPALRPKNLBLOR72X48X06</t>
  </si>
  <si>
    <t>32D-PU-FOAM-42x115MMx75MM</t>
  </si>
  <si>
    <t>28D-PU-FOAM-71.50X47.50X10MM</t>
  </si>
  <si>
    <t>28D-PU-FOAM-71.50X47.50X15MM</t>
  </si>
  <si>
    <t>HYPALRPKNLBLOR72X60X06</t>
  </si>
  <si>
    <t>32D-PU-FOAM-54x115MMx75MM</t>
  </si>
  <si>
    <t>28D-PU-FOAM-71.50X59.50X10MM</t>
  </si>
  <si>
    <t>28D-PU-FOAM-71.50X59.50X15MM</t>
  </si>
  <si>
    <t>HYPALRPKNLBLOR72X66X06</t>
  </si>
  <si>
    <t>32D-PU-FOAM-60x115MMx75MM</t>
  </si>
  <si>
    <t>28D-PU-FOAM-71.50X65.50X10MM</t>
  </si>
  <si>
    <t>28D-PU-FOAM-71.50X65.50X15MM</t>
  </si>
  <si>
    <t>HYPALRPKNLBLOR72X72X06</t>
  </si>
  <si>
    <t>32D-PU-FOAM-66x115MMx75MM</t>
  </si>
  <si>
    <t>28D-PU-FOAM-71.50X71.50X10MM</t>
  </si>
  <si>
    <t>28D-PU-FOAM-71.50X71.50X15MM</t>
  </si>
  <si>
    <t>HYPALRPKNLBLOR75X30X06</t>
  </si>
  <si>
    <t>32D-PU-FOAM-74.50x115MMx75MM</t>
  </si>
  <si>
    <t>28D-PU-FOAM-74.50X29.50X10MM</t>
  </si>
  <si>
    <t>28D-PU-FOAM-74.50X29.50X15MM</t>
  </si>
  <si>
    <t>HYPALRPKNLBLOR75X36X06</t>
  </si>
  <si>
    <t>28D-PU-FOAM-74.50X35.50X10MM</t>
  </si>
  <si>
    <t>28D-PU-FOAM-74.50X35.50X15MM</t>
  </si>
  <si>
    <t>HYPALRPKNLBLOR75X42X06</t>
  </si>
  <si>
    <t>28D-PU-FOAM-74.50X41.50X10MM</t>
  </si>
  <si>
    <t>28D-PU-FOAM-74.50X41.50X15MM</t>
  </si>
  <si>
    <t>HYPALRPKNLBLOR75X48X06</t>
  </si>
  <si>
    <t>28D-PU-FOAM-74.50X47.50X10MM</t>
  </si>
  <si>
    <t>28D-PU-FOAM-74.50X47.50X15MM</t>
  </si>
  <si>
    <t>HYPALRPKNLBLOR75X60X06</t>
  </si>
  <si>
    <t>28D-PU-FOAM-74.50X59.50X10MM</t>
  </si>
  <si>
    <t>28D-PU-FOAM-74.50X59.50X15MM</t>
  </si>
  <si>
    <t>HYPALRPKNLBLOR75X66X06</t>
  </si>
  <si>
    <t>28D-PU-FOAM-74.50X65.50X10MM</t>
  </si>
  <si>
    <t>28D-PU-FOAM-74.50X65.50X15MM</t>
  </si>
  <si>
    <t>HYPALRPKNLBLOR75X72X06</t>
  </si>
  <si>
    <t>28D-PU-FOAM-74.50X71.50X10MM</t>
  </si>
  <si>
    <t>28D-PU-FOAM-74.50X71.50X15MM</t>
  </si>
  <si>
    <t>HYPALRPKNLBLOR78X30X06</t>
  </si>
  <si>
    <t>32D-PU-FOAM-77.50x115MMx75MM</t>
  </si>
  <si>
    <t>28D-PU-FOAM-77.50X29.50X10MM</t>
  </si>
  <si>
    <t>28D-PU-FOAM-77.50X29.50X15MM</t>
  </si>
  <si>
    <t>HYPALRPKNLBLOR78X36X06</t>
  </si>
  <si>
    <t>28D-PU-FOAM-77.50X35.50X10MM</t>
  </si>
  <si>
    <t>28D-PU-FOAM-77.50X35.50X15MM</t>
  </si>
  <si>
    <t>HYPALRPKNLBLOR78X42X06</t>
  </si>
  <si>
    <t>28D-PU-FOAM-77.50X41.50X10MM</t>
  </si>
  <si>
    <t>28D-PU-FOAM-77.50X41.50X15MM</t>
  </si>
  <si>
    <t>HYPALRPKNLBLOR78X48X06</t>
  </si>
  <si>
    <t>28D-PU-FOAM-77.50X47.50X10MM</t>
  </si>
  <si>
    <t>28D-PU-FOAM-77.50X47.50X15MM</t>
  </si>
  <si>
    <t>HYPALRPKNLBLOR78X60X06</t>
  </si>
  <si>
    <t>28D-PU-FOAM-77.50X59.50X10MM</t>
  </si>
  <si>
    <t>28D-PU-FOAM-77.50X59.50X15MM</t>
  </si>
  <si>
    <t>HYPALRPKNLBLOR78X66X06</t>
  </si>
  <si>
    <t>28D-PU-FOAM-77.50X65.50X10MM</t>
  </si>
  <si>
    <t>28D-PU-FOAM-77.50X65.50X15MM</t>
  </si>
  <si>
    <t>HYPALRPKNLBLOR78X72X06</t>
  </si>
  <si>
    <t>28D-PU-FOAM-77.50X71.50X10MM</t>
  </si>
  <si>
    <t>28D-PU-FOAM-77.50X71.50X15MM</t>
  </si>
  <si>
    <t>HYPALRPKNLBLOR80X30X06</t>
  </si>
  <si>
    <t>32D-PU-FOAM-79.50x115MMx75MM</t>
  </si>
  <si>
    <t>28D-PU-FOAM-79.50X29.50X10MM</t>
  </si>
  <si>
    <t>28D-PU-FOAM-79.50X29.50X15MM</t>
  </si>
  <si>
    <t>HYPALRPKNLBLOR80X36X06</t>
  </si>
  <si>
    <t>28D-PU-FOAM-79.50X35.50X10MM</t>
  </si>
  <si>
    <t>28D-PU-FOAM-79.50X35.50X15MM</t>
  </si>
  <si>
    <t>HYPALRPKNLBLOR80X42X06</t>
  </si>
  <si>
    <t>28D-PU-FOAM-79.50X41.50X10MM</t>
  </si>
  <si>
    <t>28D-PU-FOAM-79.50X41.50X15MM</t>
  </si>
  <si>
    <t>HYPALRPKNLBLOR80X48X06</t>
  </si>
  <si>
    <t>28D-PU-FOAM-79.50X47.50X10MM</t>
  </si>
  <si>
    <t>28D-PU-FOAM-79.50X47.50X15MM</t>
  </si>
  <si>
    <t>HYPALRPKNLBLOR80X60X06</t>
  </si>
  <si>
    <t>28D-PU-FOAM-79.50X59.50X10MM</t>
  </si>
  <si>
    <t>28D-PU-FOAM-79.50X59.50X15MM</t>
  </si>
  <si>
    <t>HYPALRPKNLBLOR80X66X06</t>
  </si>
  <si>
    <t>28D-PU-FOAM-79.50X65.50X10MM</t>
  </si>
  <si>
    <t>28D-PU-FOAM-79.50X65.50X15MM</t>
  </si>
  <si>
    <t>HYPALRPKNLBLOR80X72X06</t>
  </si>
  <si>
    <t>28D-PU-FOAM-79.50X71.50X10MM</t>
  </si>
  <si>
    <t>28D-PU-FOAM-79.50X71.50X15MM</t>
  </si>
  <si>
    <t>HYPALRPKNLBLOR84X30X06</t>
  </si>
  <si>
    <t>32D-PU-FOAM-83.50x115MMx75MM</t>
  </si>
  <si>
    <t>28D-PU-FOAM-83.50X29.50X10MM</t>
  </si>
  <si>
    <t>28D-PU-FOAM-83.50X29.50X15MM</t>
  </si>
  <si>
    <t>HYPALRPKNLBLOR84X36X06</t>
  </si>
  <si>
    <t>28D-PU-FOAM-83.50X35.50X10MM</t>
  </si>
  <si>
    <t>28D-PU-FOAM-83.50X35.50X15MM</t>
  </si>
  <si>
    <t>HYPALRPKNLBLOR84X42X06</t>
  </si>
  <si>
    <t>28D-PU-FOAM-83.50X41.50X10MM</t>
  </si>
  <si>
    <t>28D-PU-FOAM-83.50X41.50X15MM</t>
  </si>
  <si>
    <t>HYPALRPKNLBLOR84X48X06</t>
  </si>
  <si>
    <t>28D-PU-FOAM-83.50X47.50X10MM</t>
  </si>
  <si>
    <t>28D-PU-FOAM-83.50X47.50X15MM</t>
  </si>
  <si>
    <t>HYPALRPKNLBLOR84X60X06</t>
  </si>
  <si>
    <t>28D-PU-FOAM-83.50X59.50X10MM</t>
  </si>
  <si>
    <t>28D-PU-FOAM-83.50X59.50X15MM</t>
  </si>
  <si>
    <t>HYPALRPKNLBLOR84X66X06</t>
  </si>
  <si>
    <t>28D-PU-FOAM-83.50X65.50X10MM</t>
  </si>
  <si>
    <t>28D-PU-FOAM-83.50X65.50X15MM</t>
  </si>
  <si>
    <t>HYPALRPKNLBLOR84X72X06</t>
  </si>
  <si>
    <t>28D-PU-FOAM-83.50X71.50X10MM</t>
  </si>
  <si>
    <t>28D-PU-FOAM-83.50X71.50X15MM</t>
  </si>
  <si>
    <t>HYPALRPKNLBLOR20X18X06</t>
  </si>
  <si>
    <t>32D-PU-FOAM-19.50x115MMx75MM</t>
  </si>
  <si>
    <t>32D-PU-FOAM-12x115MMx75MM</t>
  </si>
  <si>
    <t>28D-PU-FOAM-19.50X17.50X10MM</t>
  </si>
  <si>
    <t>28D-PU-FOAM-19.50X17.50X15MM</t>
  </si>
  <si>
    <t>HYPALRPKNLBLOR13X13X06</t>
  </si>
  <si>
    <t>32D-PU-FOAM-12.50x115MMx75MM</t>
  </si>
  <si>
    <t>32D-PU-FOAM-07x115MMx75MM</t>
  </si>
  <si>
    <t>28D-PU-FOAM-12.50X12.50X10MM</t>
  </si>
  <si>
    <t>28D-PU-FOAM-12.50X12.50X15MM</t>
  </si>
  <si>
    <t>ALLURA08</t>
  </si>
  <si>
    <t>HYPALRPKNLBLOR72X30X08</t>
  </si>
  <si>
    <t>32D-PU-FOAM-71.50x165MMx75MM</t>
  </si>
  <si>
    <t>32D-PU-FOAM-24x165MMx75MM</t>
  </si>
  <si>
    <t>HYPALRPKNLBLOR72X36X08</t>
  </si>
  <si>
    <t>32D-PU-FOAM-30x165MMx75MM</t>
  </si>
  <si>
    <t>HYPALRPKNLBLOR72X42X08</t>
  </si>
  <si>
    <t>32D-PU-FOAM-36x165MMx75MM</t>
  </si>
  <si>
    <t>HYPALRPKNLBLOR72X48X08</t>
  </si>
  <si>
    <t>32D-PU-FOAM-42x165MMx75MM</t>
  </si>
  <si>
    <t>HYPALRPKNLBLOR72X60X08</t>
  </si>
  <si>
    <t>32D-PU-FOAM-54x165MMx75MM</t>
  </si>
  <si>
    <t>HYPALRPKNLBLOR72X66X08</t>
  </si>
  <si>
    <t>32D-PU-FOAM-60x165MMx75MM</t>
  </si>
  <si>
    <t>HYPALRPKNLBLOR72X72X08</t>
  </si>
  <si>
    <t>32D-PU-FOAM-66x165MMx75MM</t>
  </si>
  <si>
    <t>HYPALRPKNLBLOR75X30X08</t>
  </si>
  <si>
    <t>32D-PU-FOAM-74.50x165MMx75MM</t>
  </si>
  <si>
    <t>HYPALRPKNLBLOR75X36X08</t>
  </si>
  <si>
    <t>HYPALRPKNLBLOR75X42X08</t>
  </si>
  <si>
    <t>HYPALRPKNLBLOR75X48X08</t>
  </si>
  <si>
    <t>HYPALRPKNLBLOR75X60X08</t>
  </si>
  <si>
    <t>HYPALRPKNLBLOR75X66X08</t>
  </si>
  <si>
    <t>HYPALRPKNLBLOR75X72X08</t>
  </si>
  <si>
    <t>HYPALRPKNLBLOR78X30X08</t>
  </si>
  <si>
    <t>32D-PU-FOAM-77.50x165MMx75MM</t>
  </si>
  <si>
    <t>HYPALRPKNLBLOR78X36X08</t>
  </si>
  <si>
    <t>HYPALRPKNLBLOR78X42X08</t>
  </si>
  <si>
    <t>HYPALRPKNLBLOR78X48X08</t>
  </si>
  <si>
    <t>HYPALRPKNLBLOR78X60X08</t>
  </si>
  <si>
    <t>HYPALRPKNLBLOR78X66X08</t>
  </si>
  <si>
    <t>HYPALRPKNLBLOR78X72X08</t>
  </si>
  <si>
    <t>HYPALRPKNLBLOR80X30X08</t>
  </si>
  <si>
    <t>32D-PU-FOAM-79.50x165MMx75MM</t>
  </si>
  <si>
    <t>HYPALRPKNLBLOR80X36X08</t>
  </si>
  <si>
    <t>HYPALRPKNLBLOR80X42X08</t>
  </si>
  <si>
    <t>HYPALRPKNLBLOR80X48X08</t>
  </si>
  <si>
    <t>HYPALRPKNLBLOR80X60X08</t>
  </si>
  <si>
    <t>HYPALRPKNLBLOR80X66X08</t>
  </si>
  <si>
    <t>HYPALRPKNLBLOR80X72X08</t>
  </si>
  <si>
    <t>HYPALRPKNLBLOR84X30X08</t>
  </si>
  <si>
    <t>32D-PU-FOAM-83.50x165MMx75MM</t>
  </si>
  <si>
    <t>HYPALRPKNLBLOR84X36X08</t>
  </si>
  <si>
    <t>HYPALRPKNLBLOR84X42X08</t>
  </si>
  <si>
    <t>HYPALRPKNLBLOR84X48X08</t>
  </si>
  <si>
    <t>HYPALRPKNLBLOR84X60X08</t>
  </si>
  <si>
    <t>HYPALRPKNLBLOR84X66X08</t>
  </si>
  <si>
    <t>HYPALRPKNLBLOR84X72X08</t>
  </si>
  <si>
    <t>HYPALRPKNLBLOR20X18X08</t>
  </si>
  <si>
    <t>32D-PU-FOAM-19.5x165MMx75MM</t>
  </si>
  <si>
    <t>32D-PU-FOAM-12x165MMx75MM</t>
  </si>
  <si>
    <t>HYPALRPKNLBLOR13X13X08</t>
  </si>
  <si>
    <t>32D-PU-FOAM-12.50x165MMx75MM</t>
  </si>
  <si>
    <t>32D-PU-FOAM-07x165MMx75MM</t>
  </si>
  <si>
    <t>HYPALRPKNLSTGR72X30X06</t>
  </si>
  <si>
    <t>HYPALRPKNLSTGR72X36X06</t>
  </si>
  <si>
    <t>HYPALRPKNLSTGR72X42X06</t>
  </si>
  <si>
    <t>HYPALRPKNLSTGR72X48X06</t>
  </si>
  <si>
    <t>HYPALRPKNLSTGR72X60X06</t>
  </si>
  <si>
    <t>HYPALRPKNLSTGR72X66X06</t>
  </si>
  <si>
    <t>HYPALRPKNLSTGR72X72X06</t>
  </si>
  <si>
    <t>HYPALRPKNLSTGR75X30X06</t>
  </si>
  <si>
    <t>HYPALRPKNLSTGR75X36X06</t>
  </si>
  <si>
    <t>HYPALRPKNLSTGR75X42X06</t>
  </si>
  <si>
    <t>HYPALRPKNLSTGR75X48X06</t>
  </si>
  <si>
    <t>HYPALRPKNLSTGR75X60X06</t>
  </si>
  <si>
    <t>HYPALRPKNLSTGR75X66X06</t>
  </si>
  <si>
    <t>HYPALRPKNLSTGR75X72X06</t>
  </si>
  <si>
    <t>HYPALRPKNLSTGR78X30X06</t>
  </si>
  <si>
    <t>HYPALRPKNLSTGR78X36X06</t>
  </si>
  <si>
    <t>HYPALRPKNLSTGR78X42X06</t>
  </si>
  <si>
    <t>HYPALRPKNLSTGR78X48X06</t>
  </si>
  <si>
    <t>HYPALRPKNLSTGR78X60X06</t>
  </si>
  <si>
    <t>HYPALRPKNLSTGR78X66X06</t>
  </si>
  <si>
    <t>HYPALRPKNLSTGR78X72X06</t>
  </si>
  <si>
    <t>HYPALRPKNLSTGR80X30X06</t>
  </si>
  <si>
    <t>HYPALRPKNLSTGR80X36X06</t>
  </si>
  <si>
    <t>HYPALRPKNLSTGR80X42X06</t>
  </si>
  <si>
    <t>HYPALRPKNLSTGR80X48X06</t>
  </si>
  <si>
    <t>HYPALRPKNLSTGR80X60X06</t>
  </si>
  <si>
    <t>HYPALRPKNLSTGR80X66X06</t>
  </si>
  <si>
    <t>HYPALRPKNLSTGR80X72X06</t>
  </si>
  <si>
    <t>HYPALRPKNLSTGR84X30X06</t>
  </si>
  <si>
    <t>HYPALRPKNLSTGR84X36X06</t>
  </si>
  <si>
    <t>HYPALRPKNLSTGR84X42X06</t>
  </si>
  <si>
    <t>HYPALRPKNLSTGR84X48X06</t>
  </si>
  <si>
    <t>HYPALRPKNLSTGR84X60X06</t>
  </si>
  <si>
    <t>HYPALRPKNLSTGR84X66X06</t>
  </si>
  <si>
    <t>HYPALRPKNLSTGR84X72X06</t>
  </si>
  <si>
    <t>HYPALRPKNLSTGR20X18X06</t>
  </si>
  <si>
    <t>HYPALRPKNLSTGR13X13X06</t>
  </si>
  <si>
    <t>32D-PU-FOAM-7x115MMx75MM</t>
  </si>
  <si>
    <t>HYPALRPKNLSTGR72X30X08</t>
  </si>
  <si>
    <t>HYPALRPKNLSTGR72X36X08</t>
  </si>
  <si>
    <t>HYPALRPKNLSTGR72X42X08</t>
  </si>
  <si>
    <t>HYPALRPKNLSTGR72X48X08</t>
  </si>
  <si>
    <t>HYPALRPKNLSTGR72X60X08</t>
  </si>
  <si>
    <t>HYPALRPKNLSTGR72X66X08</t>
  </si>
  <si>
    <t>HYPALRPKNLSTGR72X72X08</t>
  </si>
  <si>
    <t>HYPALRPKNLSTGR75X30X08</t>
  </si>
  <si>
    <t>HYPALRPKNLSTGR75X36X08</t>
  </si>
  <si>
    <t>HYPALRPKNLSTGR75X42X08</t>
  </si>
  <si>
    <t>HYPALRPKNLSTGR75X48X08</t>
  </si>
  <si>
    <t>HYPALRPKNLSTGR75X60X08</t>
  </si>
  <si>
    <t>HYPALRPKNLSTGR75X66X08</t>
  </si>
  <si>
    <t>HYPALRPKNLSTGR75X72X08</t>
  </si>
  <si>
    <t>HYPALRPKNLSTGR78X30X08</t>
  </si>
  <si>
    <t>HYPALRPKNLSTGR78X36X08</t>
  </si>
  <si>
    <t>HYPALRPKNLSTGR78X42X08</t>
  </si>
  <si>
    <t>HYPALRPKNLSTGR78X48X08</t>
  </si>
  <si>
    <t>HYPALRPKNLSTGR78X60X08</t>
  </si>
  <si>
    <t>HYPALRPKNLSTGR78X66X08</t>
  </si>
  <si>
    <t>HYPALRPKNLSTGR78X72X08</t>
  </si>
  <si>
    <t>HYPALRPKNLSTGR80X30X08</t>
  </si>
  <si>
    <t>HYPALRPKNLSTGR80X36X08</t>
  </si>
  <si>
    <t>HYPALRPKNLSTGR80X42X08</t>
  </si>
  <si>
    <t>HYPALRPKNLSTGR80X48X08</t>
  </si>
  <si>
    <t>HYPALRPKNLSTGR80X60X08</t>
  </si>
  <si>
    <t>HYPALRPKNLSTGR80X66X08</t>
  </si>
  <si>
    <t>HYPALRPKNLSTGR80X72X08</t>
  </si>
  <si>
    <t>HYPALRPKNLSTGR84X30X08</t>
  </si>
  <si>
    <t>HYPALRPKNLSTGR84X36X08</t>
  </si>
  <si>
    <t>HYPALRPKNLSTGR84X42X08</t>
  </si>
  <si>
    <t>HYPALRPKNLSTGR84X48X08</t>
  </si>
  <si>
    <t>HYPALRPKNLSTGR84X60X08</t>
  </si>
  <si>
    <t>HYPALRPKNLSTGR84X66X08</t>
  </si>
  <si>
    <t>HYPALRPKNLSTGR84X72X08</t>
  </si>
  <si>
    <t>HYPALRPKNLSTGR20X18X08</t>
  </si>
  <si>
    <t>32D-PU-FOAM-19.50x165MMx75MM</t>
  </si>
  <si>
    <t>HYPALRPKNLSTGR13X13X08</t>
  </si>
  <si>
    <t>BOX MATTRESS FOAM DETAILS</t>
  </si>
  <si>
    <t>S.NO</t>
  </si>
  <si>
    <t>BOX TYPES</t>
  </si>
  <si>
    <t>INCHES</t>
  </si>
  <si>
    <t>HEIGHT</t>
  </si>
  <si>
    <t>SIDEWALL</t>
  </si>
  <si>
    <t>TOP FOAM</t>
  </si>
  <si>
    <t>REBOUND</t>
  </si>
  <si>
    <t>DENSITY</t>
  </si>
  <si>
    <t xml:space="preserve">  MM</t>
  </si>
  <si>
    <t xml:space="preserve">LENGTH </t>
  </si>
  <si>
    <t>WIDTH</t>
  </si>
  <si>
    <t>QTY</t>
  </si>
  <si>
    <t>40-D</t>
  </si>
  <si>
    <t>40MM</t>
  </si>
  <si>
    <t>ACTUAL SIZE-0.5MM</t>
  </si>
  <si>
    <t>ACTUAL SIZE - 3.5MM</t>
  </si>
  <si>
    <t>LENGTH-2NOS, WIDTH- 2NOS</t>
  </si>
  <si>
    <t>18-D</t>
  </si>
  <si>
    <t>9MM</t>
  </si>
  <si>
    <t>1NO</t>
  </si>
  <si>
    <t>-</t>
  </si>
  <si>
    <t>15MM</t>
  </si>
  <si>
    <t>ORGANIGA</t>
  </si>
  <si>
    <t>75MM</t>
  </si>
  <si>
    <t>ACTUAL SIZE - 6MM</t>
  </si>
  <si>
    <t>32-D</t>
  </si>
  <si>
    <t>10MM</t>
  </si>
  <si>
    <t>20MM</t>
  </si>
  <si>
    <t>30MM</t>
  </si>
  <si>
    <t>09MM</t>
  </si>
  <si>
    <t>ITALINO FAUXTOP</t>
  </si>
  <si>
    <t>23-D</t>
  </si>
  <si>
    <t>2NOS</t>
  </si>
  <si>
    <t>ITALINO NORMAL</t>
  </si>
  <si>
    <t>ITALINO CROWN TOP</t>
  </si>
  <si>
    <t>ALLURA</t>
  </si>
  <si>
    <t>28-D</t>
  </si>
  <si>
    <t>10MM &amp; 15MM</t>
  </si>
  <si>
    <t>100-D</t>
  </si>
  <si>
    <t>20MM &amp;   25MM</t>
  </si>
  <si>
    <t>20MM-1, 25MM-1</t>
  </si>
  <si>
    <t>25MM &amp;   30MM</t>
  </si>
  <si>
    <t>25MM-1, 30MM-1</t>
  </si>
  <si>
    <t>ITEM CODE</t>
  </si>
  <si>
    <t>40D-PU-FOAM-71.50X115MMX75MM</t>
  </si>
  <si>
    <t>40D-PU-FOAM-74.50X115MMX75MM</t>
  </si>
  <si>
    <t>40D-PU-FOAM-77.50X115MMX75MM</t>
  </si>
  <si>
    <t>40D-PU-FOAM-79.50X115MMX75MM</t>
  </si>
  <si>
    <t>40D-PU-FOAM-83.50X115MMX75MM</t>
  </si>
  <si>
    <t>40D-PU-FOAM-71.50X145MMX75MM</t>
  </si>
  <si>
    <t>40D-PU-FOAM-74.50X145MMX75MM</t>
  </si>
  <si>
    <t>40D-PU-FOAM-77.50X145MMX75MM</t>
  </si>
  <si>
    <t>40D-PU-FOAM-79.50X145MMX75MM</t>
  </si>
  <si>
    <t>40D-PU-FOAM-83.50X145MMX75MM</t>
  </si>
  <si>
    <t>40D-PU-FOAM-71.50X165MMX75MM</t>
  </si>
  <si>
    <t>40D-PU-FOAM-74.50X165MMX75MM</t>
  </si>
  <si>
    <t>40D-PU-FOAM-77.50X165MMX75MM</t>
  </si>
  <si>
    <t>40D-PU-FOAM-79.50X165MMX75MM</t>
  </si>
  <si>
    <t>40D-PU-FOAM-83.50X165MMX75MM</t>
  </si>
  <si>
    <t>40D-PU-FOAM-71.50X135MMX75MM</t>
  </si>
  <si>
    <t>40D-PU-FOAM-74.50X135MMX75MM</t>
  </si>
  <si>
    <t>40D-PU-FOAM-77.50X135MMX75MM</t>
  </si>
  <si>
    <t>40D-PU-FOAM-79.50X135MMX75MM</t>
  </si>
  <si>
    <t>40D-PU-FOAM-83.50X135MMX75MM</t>
  </si>
  <si>
    <t>40D-PU-FOAM-71.50X155MMX75MM</t>
  </si>
  <si>
    <t>40D-PU-FOAM-74.50X155MMX75MM</t>
  </si>
  <si>
    <t>40D-PU-FOAM-77.50X155MMX75MM</t>
  </si>
  <si>
    <t>40D-PU-FOAM-79.50X155MMX75MM</t>
  </si>
  <si>
    <t>40D-PU-FOAM-83.50X155MMX75MM</t>
  </si>
  <si>
    <t>32D-PU-FOAM-24X115MMX75MM</t>
  </si>
  <si>
    <t>32D-PU-FOAM-30X115MMX75MM</t>
  </si>
  <si>
    <t>32D-PU-FOAM-36X115MMX75MM</t>
  </si>
  <si>
    <t>32D-PU-FOAM-42X115MMX75MM</t>
  </si>
  <si>
    <t>32D-PU-FOAM-54X115MMX75MM</t>
  </si>
  <si>
    <t>32D-PU-FOAM-60X115MMX75MM</t>
  </si>
  <si>
    <t>32D-PU-FOAM-66X115MMX75MM</t>
  </si>
  <si>
    <t>32D-PU-FOAM-24X165MMX75MM</t>
  </si>
  <si>
    <t>32D-PU-FOAM-30X165MMX75MM</t>
  </si>
  <si>
    <t>32D-PU-FOAM-36X165MMX75MM</t>
  </si>
  <si>
    <t>32D-PU-FOAM-42X165MMX75MM</t>
  </si>
  <si>
    <t>32D-PU-FOAM-54X165MMX75MM</t>
  </si>
  <si>
    <t>32D-PU-FOAM-60X165MMX75MM</t>
  </si>
  <si>
    <t>32D-PU-FOAM-66X165MMX75MM</t>
  </si>
  <si>
    <t>40D-PU-FOAM-12.50X145MMX40MM</t>
  </si>
  <si>
    <t>40D-PU-FOAM-12.50X165MMX40MM</t>
  </si>
  <si>
    <t>40D-PU-FOAM-12.50X135MMX75MM</t>
  </si>
  <si>
    <t>40D-PU-FOAM-12.50X165MMX75MM</t>
  </si>
  <si>
    <t>40D-PU-FOAM-12.50X145MMX75MM</t>
  </si>
  <si>
    <t>40D-PU-FOAM-12.50X115MMX75MM</t>
  </si>
  <si>
    <t>32D-PU-FOAM-19.50X19.50X20MM</t>
  </si>
  <si>
    <t>32D-PU-FOAM-12.50X12.50X20MM</t>
  </si>
  <si>
    <t>32D-PU-FOAM-12.50X12.50X10MM</t>
  </si>
  <si>
    <t>32D-PU-FOAM-19.50X19.50X30MM</t>
  </si>
  <si>
    <t>100D-RB-FOAM-71.50X29.50X40MM</t>
  </si>
  <si>
    <t>100D-RB-FOAM-71.50X35.50X40MM</t>
  </si>
  <si>
    <t>100D-RB-FOAM-71.50X41.50X40MM</t>
  </si>
  <si>
    <t>100D-RB-FOAM-71.50X47.50X40MM</t>
  </si>
  <si>
    <t>100D-RB-FOAM-71.50X59.50X40MM</t>
  </si>
  <si>
    <t>100D-RB-FOAM-71.50X65.50X40MM</t>
  </si>
  <si>
    <t>100D-RB-FOAM-71.50X71.50X40MM</t>
  </si>
  <si>
    <t>100D-RB-FOAM-74.50X29.50X40MM</t>
  </si>
  <si>
    <t>100D-RB-FOAM-74.50X35.50X40MM</t>
  </si>
  <si>
    <t>100D-RB-FOAM-74.50X41.50X40MM</t>
  </si>
  <si>
    <t>100D-RB-FOAM-74.50X47.50X40MM</t>
  </si>
  <si>
    <t>100D-RB-FOAM-74.50X59.50X40MM</t>
  </si>
  <si>
    <t>100D-RB-FOAM-74.50X65.50X40MM</t>
  </si>
  <si>
    <t>100D-RB-FOAM-74.50X71.50X40MM</t>
  </si>
  <si>
    <t>100D-RB-FOAM-77.50X29.50X40MM</t>
  </si>
  <si>
    <t>100D-RB-FOAM-77.50X35.50X40MM</t>
  </si>
  <si>
    <t>100D-RB-FOAM-77.50X41.50X40MM</t>
  </si>
  <si>
    <t>100D-RB-FOAM-77.50X47.50X40MM</t>
  </si>
  <si>
    <t>100D-RB-FOAM-77.50X59.50X40MM</t>
  </si>
  <si>
    <t>100D-RB-FOAM-77.50X65.50X40MM</t>
  </si>
  <si>
    <t>100D-RB-FOAM-77.50X71.50X40MM</t>
  </si>
  <si>
    <t>100D-RB-FOAM-79.50X29.50X40MM</t>
  </si>
  <si>
    <t>100D-RB-FOAM-79.50X35.50X40MM</t>
  </si>
  <si>
    <t>100D-RB-FOAM-79.50X41.50X40MM</t>
  </si>
  <si>
    <t>100D-RB-FOAM-79.50X47.50X40MM</t>
  </si>
  <si>
    <t>100D-RB-FOAM-79.50X59.50X40MM</t>
  </si>
  <si>
    <t>100D-RB-FOAM-79.50X65.50X40MM</t>
  </si>
  <si>
    <t>100D-RB-FOAM-79.50X71.50X40MM</t>
  </si>
  <si>
    <t>100D-RB-FOAM-83.50X29.50X40MM</t>
  </si>
  <si>
    <t>100D-RB-FOAM-83.50X35.50X40MM</t>
  </si>
  <si>
    <t>100D-RB-FOAM-83.50X41.50X40MM</t>
  </si>
  <si>
    <t>100D-RB-FOAM-83.50X47.50X40MM</t>
  </si>
  <si>
    <t>100D-RB-FOAM-83.50X59.50X40MM</t>
  </si>
  <si>
    <t>100D-RB-FOAM-83.50X65.50X40MM</t>
  </si>
  <si>
    <t>100D-RB-FOAM-83.50X71.50X40MM</t>
  </si>
  <si>
    <t>100D-RB-FOAM-12.50X12.50X40MM</t>
  </si>
  <si>
    <t>MINIGP08</t>
  </si>
  <si>
    <t>MINIGP10</t>
  </si>
  <si>
    <t>MINISPG08</t>
  </si>
  <si>
    <t>MINICRYSTAL08</t>
  </si>
  <si>
    <t>MINIORGANIGA08</t>
  </si>
  <si>
    <t>MINIORGANIGA06</t>
  </si>
  <si>
    <t>MINIGP06</t>
  </si>
  <si>
    <t>MINIVIVAH12</t>
  </si>
  <si>
    <t>MINIVIVAH10</t>
  </si>
  <si>
    <t>MINIORGANIGA10</t>
  </si>
  <si>
    <t>MINISPG10</t>
  </si>
  <si>
    <t>MINICAMEO06</t>
  </si>
  <si>
    <t>MINICAMEO08</t>
  </si>
  <si>
    <t>PEPSITICOPKFT</t>
  </si>
  <si>
    <t>ITFT</t>
  </si>
  <si>
    <t>PEPSITBEPKFT</t>
  </si>
  <si>
    <t>PEPSITSTPKCT</t>
  </si>
  <si>
    <t>ITCT</t>
  </si>
  <si>
    <t>RTPKCLPTPLCR</t>
  </si>
  <si>
    <t>CARPTPL</t>
  </si>
  <si>
    <t>RTPKCLETPLCR</t>
  </si>
  <si>
    <t>CARETPL</t>
  </si>
  <si>
    <t>RTPKARETPLLB</t>
  </si>
  <si>
    <t>ARDETPL</t>
  </si>
  <si>
    <t>PEPSZENPKNLDB</t>
  </si>
  <si>
    <t>ZENNL</t>
  </si>
  <si>
    <t>PEPSZENPKPTDB</t>
  </si>
  <si>
    <t>ZENPT</t>
  </si>
  <si>
    <t>PEPSZENPKFTDB</t>
  </si>
  <si>
    <t>ZENFT</t>
  </si>
  <si>
    <t>PEPSITSTPKNL</t>
  </si>
  <si>
    <t>SERNL</t>
  </si>
  <si>
    <t>PEPSITETPKET</t>
  </si>
  <si>
    <t>ENCET</t>
  </si>
  <si>
    <t>PEPSITETPKNL</t>
  </si>
  <si>
    <t>ENCNL</t>
  </si>
  <si>
    <t>PEPSITICOPKCT</t>
  </si>
  <si>
    <t>ICOCT</t>
  </si>
  <si>
    <t>PEPSITMGPKFT</t>
  </si>
  <si>
    <t>MGNFT</t>
  </si>
  <si>
    <t>PEPSBNCOMNLBG</t>
  </si>
  <si>
    <t>COMNL</t>
  </si>
  <si>
    <t>PEPSBNCOMNLPK</t>
  </si>
  <si>
    <t>PEPSPKSUPNLBG</t>
  </si>
  <si>
    <t>SUPNL</t>
  </si>
  <si>
    <t>PEPSPKSUPNLGR</t>
  </si>
  <si>
    <t>RTPKARPLMFETGR</t>
  </si>
  <si>
    <t>ARDMEMET</t>
  </si>
  <si>
    <t>RTPKARPLMFPTGR</t>
  </si>
  <si>
    <t>ARDMEMPT</t>
  </si>
  <si>
    <t>RTBNSNPLMFNLPR</t>
  </si>
  <si>
    <t>SANNL</t>
  </si>
  <si>
    <t>RTBNSNPLMFETPR</t>
  </si>
  <si>
    <t>SANET</t>
  </si>
  <si>
    <t>RTBNSNPLMFPTPR</t>
  </si>
  <si>
    <t>SANPT</t>
  </si>
  <si>
    <t>RTPKARPLMFNLGR</t>
  </si>
  <si>
    <t>ARDMEMNL</t>
  </si>
  <si>
    <t>18D-PU-FOAM-71.50X29.50X06MM</t>
  </si>
  <si>
    <t>18D-Pure Foam Sheet-71.50X29.50X06MM</t>
  </si>
  <si>
    <t>HYP-EXT-PURE-18D</t>
  </si>
  <si>
    <t>18D-PU-FOAM-71.50X32.50X06MM</t>
  </si>
  <si>
    <t>18D-Pure Foam Sheet-71.50X32.50X06MM</t>
  </si>
  <si>
    <t>18D-PU-FOAM-71.50X35.50X06MM</t>
  </si>
  <si>
    <t>18D-Pure Foam Sheet-71.50X35.50X06MM</t>
  </si>
  <si>
    <t>18D-PU-FOAM-71.50X38.50X06MM</t>
  </si>
  <si>
    <t>18D-Pure Foam Sheet-71.50X38.50X06MM</t>
  </si>
  <si>
    <t>18D-PU-FOAM-71.50X41.50X06MM</t>
  </si>
  <si>
    <t>18D-Pure Foam Sheet-71.50X41.50X06MM</t>
  </si>
  <si>
    <t>18D-PU-FOAM-71.50X44.50X06MM</t>
  </si>
  <si>
    <t>18D-Pure Foam Sheet-71.50X44.50X06MM</t>
  </si>
  <si>
    <t>18D-PU-FOAM-71.50X47.50X06MM</t>
  </si>
  <si>
    <t>18D-Pure Foam Sheet-71.50X47.50X06MM</t>
  </si>
  <si>
    <t>18D-PU-FOAM-71.50X50.50X06MM</t>
  </si>
  <si>
    <t>18D-Pure Foam Sheet-71.50X50.50X06MM</t>
  </si>
  <si>
    <t>18D-PU-FOAM-71.50X53.50X06MM</t>
  </si>
  <si>
    <t>18D-Pure Foam Sheet-71.50X53.50X06MM</t>
  </si>
  <si>
    <t>18D-PU-FOAM-71.50X56.50X06MM</t>
  </si>
  <si>
    <t>18D-Pure Foam Sheet-71.50X56.50X06MM</t>
  </si>
  <si>
    <t>18D-PU-FOAM-71.50X59.50X06MM</t>
  </si>
  <si>
    <t>18D-Pure Foam Sheet-71.50X59.50X06MM</t>
  </si>
  <si>
    <t>18D-PU-FOAM-71.50X62.50X06MM</t>
  </si>
  <si>
    <t>18D-Pure Foam Sheet-71.50X62.50X06MM</t>
  </si>
  <si>
    <t>18D-PU-FOAM-71.50X65.50X06MM</t>
  </si>
  <si>
    <t>18D-Pure Foam Sheet-71.50X65.50X06MM</t>
  </si>
  <si>
    <t>18D-PU-FOAM-71.50X68.50X06MM</t>
  </si>
  <si>
    <t>18D-Pure Foam Sheet-71.50X68.50X06MM</t>
  </si>
  <si>
    <t>18D-PU-FOAM-71.50X71.50X06MM</t>
  </si>
  <si>
    <t>18D-Pure Foam Sheet-71.50X71.50X06MM</t>
  </si>
  <si>
    <t>18D-PU-FOAM-74.50X29.50X06MM</t>
  </si>
  <si>
    <t>18D-Pure Foam Sheet-74.50X29.50X06MM</t>
  </si>
  <si>
    <t>18D-PU-FOAM-74.50X32.50X06MM</t>
  </si>
  <si>
    <t>18D-Pure Foam Sheet-74.50X32.50X06MM</t>
  </si>
  <si>
    <t>18D-PU-FOAM-74.50X35.50X06MM</t>
  </si>
  <si>
    <t>18D-Pure Foam Sheet-74.50X35.50X06MM</t>
  </si>
  <si>
    <t>18D-PU-FOAM-74.50X38.50X06MM</t>
  </si>
  <si>
    <t>18D-Pure Foam Sheet-74.50X38.50X06MM</t>
  </si>
  <si>
    <t>18D-PU-FOAM-74.50X41.50X06MM</t>
  </si>
  <si>
    <t>18D-Pure Foam Sheet-74.50X41.50X06MM</t>
  </si>
  <si>
    <t>18D-PU-FOAM-74.50X44.50X06MM</t>
  </si>
  <si>
    <t>18D-Pure Foam Sheet-74.50X44.50X06MM</t>
  </si>
  <si>
    <t>18D-PU-FOAM-74.50X47.50X06MM</t>
  </si>
  <si>
    <t>18D-Pure Foam Sheet-74.50X47.50X06MM</t>
  </si>
  <si>
    <t>18D-PU-FOAM-74.50X50.50X06MM</t>
  </si>
  <si>
    <t>18D-Pure Foam Sheet-74.50X50.50X06MM</t>
  </si>
  <si>
    <t>18D-PU-FOAM-74.50X53.50X06MM</t>
  </si>
  <si>
    <t>18D-Pure Foam Sheet-74.50X53.50X06MM</t>
  </si>
  <si>
    <t>18D-PU-FOAM-74.50X56.50X06MM</t>
  </si>
  <si>
    <t>18D-Pure Foam Sheet-74.50X56.50X06MM</t>
  </si>
  <si>
    <t>18D-PU-FOAM-74.50X59.50X06MM</t>
  </si>
  <si>
    <t>18D-Pure Foam Sheet-74.50X59.50X06MM</t>
  </si>
  <si>
    <t>18D-PU-FOAM-74.50X62.50X06MM</t>
  </si>
  <si>
    <t>18D-Pure Foam Sheet-74.50X62.50X06MM</t>
  </si>
  <si>
    <t>18D-PU-FOAM-74.50X65.50X06MM</t>
  </si>
  <si>
    <t>18D-Pure Foam Sheet-74.50X65.50X06MM</t>
  </si>
  <si>
    <t>18D-PU-FOAM-74.50X68.50X06MM</t>
  </si>
  <si>
    <t>18D-Pure Foam Sheet-74.50X68.50X06MM</t>
  </si>
  <si>
    <t>18D-PU-FOAM-74.50X71.50X06MM</t>
  </si>
  <si>
    <t>18D-Pure Foam Sheet-74.50X71.50X06MM</t>
  </si>
  <si>
    <t>18D-PU-FOAM-77.50X29.50X06MM</t>
  </si>
  <si>
    <t>18D-Pure Foam Sheet-77.50X29.50X06MM</t>
  </si>
  <si>
    <t>18D-PU-FOAM-77.50X32.50X06MM</t>
  </si>
  <si>
    <t>18D-Pure Foam Sheet-77.50X32.50X06MM</t>
  </si>
  <si>
    <t>18D-PU-FOAM-77.50X35.50X06MM</t>
  </si>
  <si>
    <t>18D-Pure Foam Sheet-77.50X35.50X06MM</t>
  </si>
  <si>
    <t>18D-PU-FOAM-77.50X38.50X06MM</t>
  </si>
  <si>
    <t>18D-Pure Foam Sheet-77.50X38.50X06MM</t>
  </si>
  <si>
    <t>18D-PU-FOAM-77.50X41.50X06MM</t>
  </si>
  <si>
    <t>18D-Pure Foam Sheet-77.50X41.50X06MM</t>
  </si>
  <si>
    <t>18D-PU-FOAM-77.50X44.50X06MM</t>
  </si>
  <si>
    <t>18D-Pure Foam Sheet-77.50X44.50X06MM</t>
  </si>
  <si>
    <t>18D-PU-FOAM-77.50X47.50X06MM</t>
  </si>
  <si>
    <t>18D-Pure Foam Sheet-77.50X47.50X06MM</t>
  </si>
  <si>
    <t>18D-PU-FOAM-77.50X50.50X06MM</t>
  </si>
  <si>
    <t>18D-Pure Foam Sheet-77.50X50.50X06MM</t>
  </si>
  <si>
    <t>18D-PU-FOAM-77.50X53.50X06MM</t>
  </si>
  <si>
    <t>18D-Pure Foam Sheet-77.50X53.50X06MM</t>
  </si>
  <si>
    <t>18D-PU-FOAM-77.50X56.50X06MM</t>
  </si>
  <si>
    <t>18D-Pure Foam Sheet-77.50X56.50X06MM</t>
  </si>
  <si>
    <t>18D-PU-FOAM-77.50X59.50X06MM</t>
  </si>
  <si>
    <t>18D-Pure Foam Sheet-77.50X59.50X06MM</t>
  </si>
  <si>
    <t>18D-PU-FOAM-77.50X62.50X06MM</t>
  </si>
  <si>
    <t>18D-Pure Foam Sheet-77.50X62.50X06MM</t>
  </si>
  <si>
    <t>18D-PU-FOAM-77.50X65.50X06MM</t>
  </si>
  <si>
    <t>18D-Pure Foam Sheet-77.50X65.50X06MM</t>
  </si>
  <si>
    <t>18D-PU-FOAM-77.50X68.50X06MM</t>
  </si>
  <si>
    <t>18D-Pure Foam Sheet-77.50X68.50X06MM</t>
  </si>
  <si>
    <t>18D-PU-FOAM-77.50X71.50X06MM</t>
  </si>
  <si>
    <t>18D-Pure Foam Sheet-77.50X71.50X06MM</t>
  </si>
  <si>
    <t>18D-PU-FOAM-79.50X29.50X06MM</t>
  </si>
  <si>
    <t>18D-Pure Foam Sheet-79.50X29.50X06MM</t>
  </si>
  <si>
    <t>18D-PU-FOAM-79.50X32.50X06MM</t>
  </si>
  <si>
    <t>18D-Pure Foam Sheet-79.50X32.50X06MM</t>
  </si>
  <si>
    <t>18D-PU-FOAM-79.50X35.50X06MM</t>
  </si>
  <si>
    <t>18D-Pure Foam Sheet-79.50X35.50X06MM</t>
  </si>
  <si>
    <t>18D-PU-FOAM-79.50X38.50X06MM</t>
  </si>
  <si>
    <t>18D-Pure Foam Sheet-79.50X38.50X06MM</t>
  </si>
  <si>
    <t>18D-PU-FOAM-79.50X41.50X06MM</t>
  </si>
  <si>
    <t>18D-Pure Foam Sheet-79.50X41.50X06MM</t>
  </si>
  <si>
    <t>18D-PU-FOAM-79.50X44.50X06MM</t>
  </si>
  <si>
    <t>18D-Pure Foam Sheet-79.50X44.50X06MM</t>
  </si>
  <si>
    <t>18D-PU-FOAM-79.50X47.50X06MM</t>
  </si>
  <si>
    <t>18D-Pure Foam Sheet-79.50X47.50X06MM</t>
  </si>
  <si>
    <t>18D-PU-FOAM-79.50X50.50X06MM</t>
  </si>
  <si>
    <t>18D-Pure Foam Sheet-79.50X50.50X06MM</t>
  </si>
  <si>
    <t>18D-PU-FOAM-79.50X53.50X06MM</t>
  </si>
  <si>
    <t>18D-Pure Foam Sheet-79.50X53.50X06MM</t>
  </si>
  <si>
    <t>18D-PU-FOAM-79.50X56.50X06MM</t>
  </si>
  <si>
    <t>18D-Pure Foam Sheet-79.50X56.50X06MM</t>
  </si>
  <si>
    <t>18D-PU-FOAM-79.50X59.50X06MM</t>
  </si>
  <si>
    <t>18D-Pure Foam Sheet-79.50X59.50X06MM</t>
  </si>
  <si>
    <t>18D-PU-FOAM-79.50X62.50X06MM</t>
  </si>
  <si>
    <t>18D-Pure Foam Sheet-79.50X62.50X06MM</t>
  </si>
  <si>
    <t>18D-PU-FOAM-79.50X65.50X06MM</t>
  </si>
  <si>
    <t>18D-Pure Foam Sheet-79.50X65.50X06MM</t>
  </si>
  <si>
    <t>18D-PU-FOAM-79.50X68.50X06MM</t>
  </si>
  <si>
    <t>18D-Pure Foam Sheet-79.50X68.50X06MM</t>
  </si>
  <si>
    <t>18D-PU-FOAM-79.50X71.50X06MM</t>
  </si>
  <si>
    <t>18D-Pure Foam Sheet-79.50X71.50X06MM</t>
  </si>
  <si>
    <t>18D-PU-FOAM-83.50X29.50X06MM</t>
  </si>
  <si>
    <t>18D-Pure Foam Sheet-83.50X29.50X06MM</t>
  </si>
  <si>
    <t>18D-PU-FOAM-83.50X32.50X06MM</t>
  </si>
  <si>
    <t>18D-Pure Foam Sheet-83.50X32.50X06MM</t>
  </si>
  <si>
    <t>18D-PU-FOAM-83.50X35.50X06MM</t>
  </si>
  <si>
    <t>18D-Pure Foam Sheet-83.50X35.50X06MM</t>
  </si>
  <si>
    <t>18D-PU-FOAM-83.50X38.50X06MM</t>
  </si>
  <si>
    <t>18D-Pure Foam Sheet-83.50X38.50X06MM</t>
  </si>
  <si>
    <t>18D-PU-FOAM-83.50X41.50X06MM</t>
  </si>
  <si>
    <t>18D-Pure Foam Sheet-83.50X41.50X06MM</t>
  </si>
  <si>
    <t>18D-PU-FOAM-83.50X44.50X06MM</t>
  </si>
  <si>
    <t>18D-Pure Foam Sheet-83.50X44.50X06MM</t>
  </si>
  <si>
    <t>18D-PU-FOAM-83.50X47.50X06MM</t>
  </si>
  <si>
    <t>18D-Pure Foam Sheet-83.50X47.50X06MM</t>
  </si>
  <si>
    <t>18D-PU-FOAM-83.50X50.50X06MM</t>
  </si>
  <si>
    <t>18D-Pure Foam Sheet-83.50X50.50X06MM</t>
  </si>
  <si>
    <t>18D-PU-FOAM-83.50X53.50X06MM</t>
  </si>
  <si>
    <t>18D-Pure Foam Sheet-83.50X53.50X06MM</t>
  </si>
  <si>
    <t>18D-PU-FOAM-83.50X56.50X06MM</t>
  </si>
  <si>
    <t>18D-Pure Foam Sheet-83.50X56.50X06MM</t>
  </si>
  <si>
    <t>18D-PU-FOAM-83.50X59.50X06MM</t>
  </si>
  <si>
    <t>18D-Pure Foam Sheet-83.50X59.50X06MM</t>
  </si>
  <si>
    <t>18D-PU-FOAM-83.50X62.50X06MM</t>
  </si>
  <si>
    <t>18D-Pure Foam Sheet-83.50X62.50X06MM</t>
  </si>
  <si>
    <t>18D-PU-FOAM-83.50X65.50X06MM</t>
  </si>
  <si>
    <t>18D-Pure Foam Sheet-83.50X65.50X06MM</t>
  </si>
  <si>
    <t>18D-PU-FOAM-83.50X68.50X06MM</t>
  </si>
  <si>
    <t>18D-Pure Foam Sheet-83.50X68.50X06MM</t>
  </si>
  <si>
    <t>18D-PU-FOAM-83.50X71.50X06MM</t>
  </si>
  <si>
    <t>18D-Pure Foam Sheet-83.50X71.50X06MM</t>
  </si>
  <si>
    <t>18D-PU-FOAM-19.50X17.50X06MM</t>
  </si>
  <si>
    <t>18D-Pure Foam Sheet-19.50X17.50X06MM</t>
  </si>
  <si>
    <t>18D-PU-FOAM-12.50X12.50X06MM</t>
  </si>
  <si>
    <t>18D-Pure Foam Sheet-12.50X12.50X06MM</t>
  </si>
  <si>
    <t>LENGTH</t>
  </si>
  <si>
    <t>FOAM SIZE</t>
  </si>
  <si>
    <t>40D-PU-FOAM-71.50X115MMX40MM</t>
  </si>
  <si>
    <t>40D-PU-FOAM-74.50X115MMX40MM</t>
  </si>
  <si>
    <t>40D-PU-FOAM-77.50X115MMX40MM</t>
  </si>
  <si>
    <t>40D-PU-FOAM-79.50X115MMX40MM</t>
  </si>
  <si>
    <t>40D-PU-FOAM-83.50X115MMX40MM</t>
  </si>
  <si>
    <t>40D-PU-FOAM-12.50X115MMX40MM</t>
  </si>
  <si>
    <t>40D-PU-FOAM-19.50X115MMX40MM</t>
  </si>
  <si>
    <t>40D-PU-FOAM-71.50X135MMX40MM</t>
  </si>
  <si>
    <t>40D-PU-FOAM-74.50X135MMX40MM</t>
  </si>
  <si>
    <t>40D-PU-FOAM-77.50X135MMX40MM</t>
  </si>
  <si>
    <t>40D-PU-FOAM-79.50X135MMX40MM</t>
  </si>
  <si>
    <t>40D-PU-FOAM-83.50X135MMX40MM</t>
  </si>
  <si>
    <t>40D-PU-FOAM-12.50X135MMX40MM</t>
  </si>
  <si>
    <t>40D-PU-FOAM-19.50X135MMX40MM</t>
  </si>
  <si>
    <t>40D-PU-FOAM-71.50X155MMX40MM</t>
  </si>
  <si>
    <t>40D-PU-FOAM-74.50X155MMX40MM</t>
  </si>
  <si>
    <t>40D-PU-FOAM-77.50X155MMX40MM</t>
  </si>
  <si>
    <t>40D-PU-FOAM-79.50X155MMX40MM</t>
  </si>
  <si>
    <t>40D-PU-FOAM-83.50X155MMX40MM</t>
  </si>
  <si>
    <t>40D-PU-FOAM-12.50X155MMX40MM</t>
  </si>
  <si>
    <t>40D-PU-FOAM-19.50X155MMX40MM</t>
  </si>
  <si>
    <t>40D-PU-FOAM-71.50X175MMX40MM</t>
  </si>
  <si>
    <t>40D-PU-FOAM-74.50X175MMX40MM</t>
  </si>
  <si>
    <t>40D-PU-FOAM-77.50X175MMX40MM</t>
  </si>
  <si>
    <t>40D-PU-FOAM-79.50X175MMX40MM</t>
  </si>
  <si>
    <t>40D-PU-FOAM-83.50X175MMX40MM</t>
  </si>
  <si>
    <t>40D-PU-FOAM-12.50X175MMX40MM</t>
  </si>
  <si>
    <t>40D-PU-FOAM-19.50X175MMX40MM</t>
  </si>
  <si>
    <t>40D-PU-FOAM-71.50X205MMX40MM</t>
  </si>
  <si>
    <t>40D-PU-FOAM-74.50X205MMX40MM</t>
  </si>
  <si>
    <t>40D-PU-FOAM-77.50X205MMX40MM</t>
  </si>
  <si>
    <t>40D-PU-FOAM-79.50X205MMX40MM</t>
  </si>
  <si>
    <t>40D-PU-FOAM-83.50X205MMX40MM</t>
  </si>
  <si>
    <t>40D-PU-FOAM-12.50X205MMX40MM</t>
  </si>
  <si>
    <t>40D-PU-FOAM-19.50X205MMX40MM</t>
  </si>
  <si>
    <t>40D-PU-FOAM-19.50X115MMX75MM</t>
  </si>
  <si>
    <t>40D-PU-FOAM-19.50X135MMX75MM</t>
  </si>
  <si>
    <t>40D-PU-FOAM-12.50X155MMX75MM</t>
  </si>
  <si>
    <t>40D-PU-FOAM-19.50X155MMX75MM</t>
  </si>
  <si>
    <t>40D-PU-FOAM-71.50X175MMX75MM</t>
  </si>
  <si>
    <t>40D-PU-FOAM-74.50X175MMX75MM</t>
  </si>
  <si>
    <t>40D-PU-FOAM-77.50X175MMX75MM</t>
  </si>
  <si>
    <t>40D-PU-FOAM-79.50X175MMX75MM</t>
  </si>
  <si>
    <t>40D-PU-FOAM-83.50X175MMX75MM</t>
  </si>
  <si>
    <t>40D-PU-FOAM-12.50X175MMX75MM</t>
  </si>
  <si>
    <t>40D-PU-FOAM-19.50X175MMX75MM</t>
  </si>
  <si>
    <t>40D-PU-FOAM-71.50X205MMX75MM</t>
  </si>
  <si>
    <t>40D-PU-FOAM-74.50X205MMX75MM</t>
  </si>
  <si>
    <t>40D-PU-FOAM-77.50X205MMX75MM</t>
  </si>
  <si>
    <t>40D-PU-FOAM-79.50X205MMX75MM</t>
  </si>
  <si>
    <t>40D-PU-FOAM-83.50X205MMX75MM</t>
  </si>
  <si>
    <t>40D-PU-FOAM-12.50X205MMX75MM</t>
  </si>
  <si>
    <t>40D-PU-FOAM-19.50X205MMX75MM</t>
  </si>
  <si>
    <t>32D-PU-FOAM-71.50X115MMX75MM</t>
  </si>
  <si>
    <t>32D-PU-FOAM-74.50X115MMX75MM</t>
  </si>
  <si>
    <t>32D-PU-FOAM-77.50X115MMX75MM</t>
  </si>
  <si>
    <t>32D-PU-FOAM-79.50X115MMX75MM</t>
  </si>
  <si>
    <t>32D-PU-FOAM-83.50X115MMX75MM</t>
  </si>
  <si>
    <t>32D-PU-FOAM-12.50X115MMX75MM</t>
  </si>
  <si>
    <t>32D-PU-FOAM-19.50X115MMX75MM</t>
  </si>
  <si>
    <t>32D-PU-FOAM-71.50X155MMX75MM</t>
  </si>
  <si>
    <t>32D-PU-FOAM-74.50X155MMX75MM</t>
  </si>
  <si>
    <t>32D-PU-FOAM-77.50X155MMX75MM</t>
  </si>
  <si>
    <t>32D-PU-FOAM-79.50X155MMX75MM</t>
  </si>
  <si>
    <t>32D-PU-FOAM-83.50X155MMX75MM</t>
  </si>
  <si>
    <t>32D-PU-FOAM-12.50X155MMX75MM</t>
  </si>
  <si>
    <t>32D-PU-FOAM-19.50X155MMX75MM</t>
  </si>
  <si>
    <t>40D-PU-FOAM-26.50X115MMX40MM</t>
  </si>
  <si>
    <t>40D-PU-FOAM-29.50X115MMX40MM</t>
  </si>
  <si>
    <t>40D-PU-FOAM-35.50X115MMX40MM</t>
  </si>
  <si>
    <t>40D-PU-FOAM-41.50X115MMX40MM</t>
  </si>
  <si>
    <t>40D-PU-FOAM-47.50X115MMX40MM</t>
  </si>
  <si>
    <t>40D-PU-FOAM-50.50X115MMX40MM</t>
  </si>
  <si>
    <t>40D-PU-FOAM-53.50X115MMX40MM</t>
  </si>
  <si>
    <t>40D-PU-FOAM-59.50X115MMX40MM</t>
  </si>
  <si>
    <t>40D-PU-FOAM-65.50X115MMX40MM</t>
  </si>
  <si>
    <t>40D-PU-FOAM-9.50X115MMX40MM</t>
  </si>
  <si>
    <t>40D-PU-FOAM-26.50X135MMX40MM</t>
  </si>
  <si>
    <t>40D-PU-FOAM-35.50X135MMX40MM</t>
  </si>
  <si>
    <t>40D-PU-FOAM-38.50X135MMX40MM</t>
  </si>
  <si>
    <t>40D-PU-FOAM-41.50X135MMX40MM</t>
  </si>
  <si>
    <t>40D-PU-FOAM-44.50X135MMX40MM</t>
  </si>
  <si>
    <t>40D-PU-FOAM-47.50X135MMX40MM</t>
  </si>
  <si>
    <t>40D-PU-FOAM-50.50X135MMX40MM</t>
  </si>
  <si>
    <t>40D-PU-FOAM-53.50X135MMX40MM</t>
  </si>
  <si>
    <t>40D-PU-FOAM-56.50X135MMX40MM</t>
  </si>
  <si>
    <t>40D-PU-FOAM-59.50X135MMX40MM</t>
  </si>
  <si>
    <t>40D-PU-FOAM-62.50X135MMX40MM</t>
  </si>
  <si>
    <t>40D-PU-FOAM-65.50X135MMX40MM</t>
  </si>
  <si>
    <t>40D-PU-FOAM-68.50X135MMX40MM</t>
  </si>
  <si>
    <t>40D-PU-FOAM-9.50X135MMX40MM</t>
  </si>
  <si>
    <t>40D-PU-FOAM-14.50X135MMX40MM</t>
  </si>
  <si>
    <t>40D-PU-FOAM-26.50X155MMX40MM</t>
  </si>
  <si>
    <t>40D-PU-FOAM-35.50X155MMX40MM</t>
  </si>
  <si>
    <t>40D-PU-FOAM-38.50X155MMX40MM</t>
  </si>
  <si>
    <t>40D-PU-FOAM-41.50X155MMX40MM</t>
  </si>
  <si>
    <t>40D-PU-FOAM-44.50X155MMX40MM</t>
  </si>
  <si>
    <t>40D-PU-FOAM-47.50X155MMX40MM</t>
  </si>
  <si>
    <t>40D-PU-FOAM-50.50X155MMX40MM</t>
  </si>
  <si>
    <t>40D-PU-FOAM-53.50X155MMX40MM</t>
  </si>
  <si>
    <t>40D-PU-FOAM-56.50X155MMX40MM</t>
  </si>
  <si>
    <t>40D-PU-FOAM-59.50X155MMX40MM</t>
  </si>
  <si>
    <t>40D-PU-FOAM-62.50X155MMX40MM</t>
  </si>
  <si>
    <t>40D-PU-FOAM-65.50X155MMX40MM</t>
  </si>
  <si>
    <t>40D-PU-FOAM-68.50X155MMX40MM</t>
  </si>
  <si>
    <t>40D-PU-FOAM-9.50X155MMX40MM</t>
  </si>
  <si>
    <t>40D-PU-FOAM-14.50X155MMX40MM</t>
  </si>
  <si>
    <t>40D-PU-FOAM-26.50X175MMX40MM</t>
  </si>
  <si>
    <t>40D-PU-FOAM-35.50X175MMX40MM</t>
  </si>
  <si>
    <t>40D-PU-FOAM-38.50X175MMX40MM</t>
  </si>
  <si>
    <t>40D-PU-FOAM-41.50X175MMX40MM</t>
  </si>
  <si>
    <t>40D-PU-FOAM-44.50X175MMX40MM</t>
  </si>
  <si>
    <t>40D-PU-FOAM-47.50X175MMX40MM</t>
  </si>
  <si>
    <t>40D-PU-FOAM-50.50X175MMX40MM</t>
  </si>
  <si>
    <t>40D-PU-FOAM-53.50X175MMX40MM</t>
  </si>
  <si>
    <t>40D-PU-FOAM-56.50X175MMX40MM</t>
  </si>
  <si>
    <t>40D-PU-FOAM-59.50X175MMX40MM</t>
  </si>
  <si>
    <t>40D-PU-FOAM-62.50X175MMX40MM</t>
  </si>
  <si>
    <t>40D-PU-FOAM-65.50X175MMX40MM</t>
  </si>
  <si>
    <t>40D-PU-FOAM-68.50X175MMX40MM</t>
  </si>
  <si>
    <t>40D-PU-FOAM-9.50X175MMX40MM</t>
  </si>
  <si>
    <t>40D-PU-FOAM-14.50X175MMX40MM</t>
  </si>
  <si>
    <t>40D-PU-FOAM-26.50X205MMX40MM</t>
  </si>
  <si>
    <t>40D-PU-FOAM-35.50X205MMX40MM</t>
  </si>
  <si>
    <t>40D-PU-FOAM-38.50X205MMX40MM</t>
  </si>
  <si>
    <t>40D-PU-FOAM-41.50X205MMX40MM</t>
  </si>
  <si>
    <t>40D-PU-FOAM-44.50X205MMX40MM</t>
  </si>
  <si>
    <t>40D-PU-FOAM-47.50X205MMX40MM</t>
  </si>
  <si>
    <t>40D-PU-FOAM-50.50X205MMX40MM</t>
  </si>
  <si>
    <t>40D-PU-FOAM-53.50X205MMX40MM</t>
  </si>
  <si>
    <t>40D-PU-FOAM-56.50X205MMX40MM</t>
  </si>
  <si>
    <t>40D-PU-FOAM-59.50X205MMX40MM</t>
  </si>
  <si>
    <t>40D-PU-FOAM-62.50X205MMX40MM</t>
  </si>
  <si>
    <t>40D-PU-FOAM-65.50X205MMX40MM</t>
  </si>
  <si>
    <t>40D-PU-FOAM-68.50X205MMX40MM</t>
  </si>
  <si>
    <t>40D-PU-FOAM-9.50X205MMX40MM</t>
  </si>
  <si>
    <t>40D-PU-FOAM-14.50X205MMX40MM</t>
  </si>
  <si>
    <t>40D-PU-FOAM-27X115MMX75MM</t>
  </si>
  <si>
    <t>40D-PU-FOAM-33X115MMX75MM</t>
  </si>
  <si>
    <t>40D-PU-FOAM-39X115MMX75MM</t>
  </si>
  <si>
    <t>40D-PU-FOAM-45X115MMX75MM</t>
  </si>
  <si>
    <t>40D-PU-FOAM-48X115MMX75MM</t>
  </si>
  <si>
    <t>40D-PU-FOAM-51X115MMX75MM</t>
  </si>
  <si>
    <t>40D-PU-FOAM-57X115MMX75MM</t>
  </si>
  <si>
    <t>40D-PU-FOAM-63X115MMX75MM</t>
  </si>
  <si>
    <t>40D-PU-FOAM-9.50X115MMX75MM</t>
  </si>
  <si>
    <t>40D-PU-FOAM-27X135MMX75MM</t>
  </si>
  <si>
    <t>40D-PU-FOAM-33X135MMX75MM</t>
  </si>
  <si>
    <t>40D-PU-FOAM-39X135MMX75MM</t>
  </si>
  <si>
    <t>40D-PU-FOAM-45X135MMX75MM</t>
  </si>
  <si>
    <t>40D-PU-FOAM-48X135MMX75MM</t>
  </si>
  <si>
    <t>40D-PU-FOAM-51X135MMX75MM</t>
  </si>
  <si>
    <t>40D-PU-FOAM-57X135MMX75MM</t>
  </si>
  <si>
    <t>40D-PU-FOAM-63X135MMX75MM</t>
  </si>
  <si>
    <t>40D-PU-FOAM-9.50X135MMX75MM</t>
  </si>
  <si>
    <t>40D-PU-FOAM-27X155MMX75MM</t>
  </si>
  <si>
    <t>40D-PU-FOAM-33X155MMX75MM</t>
  </si>
  <si>
    <t>40D-PU-FOAM-39X155MMX75MM</t>
  </si>
  <si>
    <t>40D-PU-FOAM-45X155MMX75MM</t>
  </si>
  <si>
    <t>40D-PU-FOAM-48X155MMX75MM</t>
  </si>
  <si>
    <t>40D-PU-FOAM-51X155MMX75MM</t>
  </si>
  <si>
    <t>40D-PU-FOAM-57X155MMX75MM</t>
  </si>
  <si>
    <t>40D-PU-FOAM-63X155MMX75MM</t>
  </si>
  <si>
    <t>40D-PU-FOAM-9.50X155MMX75MM</t>
  </si>
  <si>
    <t>40D-PU-FOAM-24X175MMX75MM</t>
  </si>
  <si>
    <t>40D-PU-FOAM-27X175MMX75MM</t>
  </si>
  <si>
    <t>40D-PU-FOAM-30X175MMX75MM</t>
  </si>
  <si>
    <t>40D-PU-FOAM-33X175MMX75MM</t>
  </si>
  <si>
    <t>40D-PU-FOAM-36X175MMX75MM</t>
  </si>
  <si>
    <t>40D-PU-FOAM-39X175MMX75MM</t>
  </si>
  <si>
    <t>40D-PU-FOAM-42X175MMX75MM</t>
  </si>
  <si>
    <t>40D-PU-FOAM-45X175MMX75MM</t>
  </si>
  <si>
    <t>40D-PU-FOAM-48X175MMX75MM</t>
  </si>
  <si>
    <t>40D-PU-FOAM-51X175MMX75MM</t>
  </si>
  <si>
    <t>40D-PU-FOAM-54X175MMX75MM</t>
  </si>
  <si>
    <t>40D-PU-FOAM-57X175MMX75MM</t>
  </si>
  <si>
    <t>40D-PU-FOAM-60X175MMX75MM</t>
  </si>
  <si>
    <t>40D-PU-FOAM-63X175MMX75MM</t>
  </si>
  <si>
    <t>40D-PU-FOAM-66X175MMX75MM</t>
  </si>
  <si>
    <t>40D-PU-FOAM-9.50X175MMX75MM</t>
  </si>
  <si>
    <t>40D-PU-FOAM-12X175MMX75MM</t>
  </si>
  <si>
    <t>40D-PU-FOAM-24X205MMX75MM</t>
  </si>
  <si>
    <t>40D-PU-FOAM-27X205MMX75MM</t>
  </si>
  <si>
    <t>40D-PU-FOAM-30X205MMX75MM</t>
  </si>
  <si>
    <t>40D-PU-FOAM-33X205MMX75MM</t>
  </si>
  <si>
    <t>40D-PU-FOAM-36X205MMX75MM</t>
  </si>
  <si>
    <t>40D-PU-FOAM-39X205MMX75MM</t>
  </si>
  <si>
    <t>40D-PU-FOAM-42X205MMX75MM</t>
  </si>
  <si>
    <t>40D-PU-FOAM-45X205MMX75MM</t>
  </si>
  <si>
    <t>40D-PU-FOAM-48X205MMX75MM</t>
  </si>
  <si>
    <t>40D-PU-FOAM-51X205MMX75MM</t>
  </si>
  <si>
    <t>40D-PU-FOAM-54X205MMX75MM</t>
  </si>
  <si>
    <t>40D-PU-FOAM-57X205MMX75MM</t>
  </si>
  <si>
    <t>40D-PU-FOAM-60X205MMX75MM</t>
  </si>
  <si>
    <t>40D-PU-FOAM-63X205MMX75MM</t>
  </si>
  <si>
    <t>40D-PU-FOAM-66X205MMX75MM</t>
  </si>
  <si>
    <t>40D-PU-FOAM-9.50X205MMX75MM</t>
  </si>
  <si>
    <t>40D-PU-FOAM-12X205MMX75MM</t>
  </si>
  <si>
    <t>32D-PU-FOAM-27X115MMX75MM</t>
  </si>
  <si>
    <t>32D-PU-FOAM-33X115MMX75MM</t>
  </si>
  <si>
    <t>32D-PU-FOAM-39X115MMX75MM</t>
  </si>
  <si>
    <t>32D-PU-FOAM-45X115MMX75MM</t>
  </si>
  <si>
    <t>32D-PU-FOAM-48X115MMX75MM</t>
  </si>
  <si>
    <t>32D-PU-FOAM-51X115MMX75MM</t>
  </si>
  <si>
    <t>32D-PU-FOAM-57X115MMX75MM</t>
  </si>
  <si>
    <t>32D-PU-FOAM-63X115MMX75MM</t>
  </si>
  <si>
    <t>32D-PU-FOAM-9.50X115MMX75MM</t>
  </si>
  <si>
    <t>32D-PU-FOAM-12X115MMX75MM</t>
  </si>
  <si>
    <t>32D-PU-FOAM-24X155MMX75MM</t>
  </si>
  <si>
    <t>32D-PU-FOAM-27X155MMX75MM</t>
  </si>
  <si>
    <t>32D-PU-FOAM-30X155MMX75MM</t>
  </si>
  <si>
    <t>32D-PU-FOAM-33X155MMX75MM</t>
  </si>
  <si>
    <t>32D-PU-FOAM-36X155MMX75MM</t>
  </si>
  <si>
    <t>32D-PU-FOAM-39X155MMX75MM</t>
  </si>
  <si>
    <t>32D-PU-FOAM-42X155MMX75MM</t>
  </si>
  <si>
    <t>32D-PU-FOAM-45X155MMX75MM</t>
  </si>
  <si>
    <t>32D-PU-FOAM-48X155MMX75MM</t>
  </si>
  <si>
    <t>32D-PU-FOAM-51X155MMX75MM</t>
  </si>
  <si>
    <t>32D-PU-FOAM-54X155MMX75MM</t>
  </si>
  <si>
    <t>32D-PU-FOAM-57X155MMX75MM</t>
  </si>
  <si>
    <t>32D-PU-FOAM-60X155MMX75MM</t>
  </si>
  <si>
    <t>32D-PU-FOAM-63X155MMX75MM</t>
  </si>
  <si>
    <t>32D-PU-FOAM-66X155MMX75MM</t>
  </si>
  <si>
    <t>32D-PU-FOAM-9.50X155MMX75MM</t>
  </si>
  <si>
    <t>32D-PU-FOAM-12X155MMX75MM</t>
  </si>
  <si>
    <t>32D-PU-FOAM-71.50X135MMX75MM</t>
  </si>
  <si>
    <t>32D-PU-FOAM-74.50X135MMX75MM</t>
  </si>
  <si>
    <t>32D-PU-FOAM-77.50X135MMX75MM</t>
  </si>
  <si>
    <t>32D-PU-FOAM-79.50X135MMX75MM</t>
  </si>
  <si>
    <t>32D-PU-FOAM-83.50X135MMX75MM</t>
  </si>
  <si>
    <t>32D-PU-FOAM-12.50X135MMX75MM</t>
  </si>
  <si>
    <t>32D-PU-FOAM-19.50X135MMX75MM</t>
  </si>
  <si>
    <t>32D-PU-FOAM-71.50X205MMX75MM</t>
  </si>
  <si>
    <t>32D-PU-FOAM-74.50X205MMX75MM</t>
  </si>
  <si>
    <t>32D-PU-FOAM-77.50X205MMX75MM</t>
  </si>
  <si>
    <t>32D-PU-FOAM-79.50X205MMX75MM</t>
  </si>
  <si>
    <t>32D-PU-FOAM-83.50X205MMX75MM</t>
  </si>
  <si>
    <t>32D-PU-FOAM-12.50X205MMX75MM</t>
  </si>
  <si>
    <t>32D-PU-FOAM-19.50X205MMX75MM</t>
  </si>
  <si>
    <t>40D-PU-FOAM-71.50X95MMX75MM</t>
  </si>
  <si>
    <t>40D-PU-FOAM-74.50X95MMX75MM</t>
  </si>
  <si>
    <t>40D-PU-FOAM-77.50X95MMX75MM</t>
  </si>
  <si>
    <t>40D-PU-FOAM-79.50X95MMX75MM</t>
  </si>
  <si>
    <t>40D-PU-FOAM-83.50X95MMX75MM</t>
  </si>
  <si>
    <t>40D-PU-FOAM-12.50X95MMX75MM</t>
  </si>
  <si>
    <t>40D-PU-FOAM-19.50X95MMX75MM</t>
  </si>
  <si>
    <t>32D-PU-FOAM-24X135MMX75MM</t>
  </si>
  <si>
    <t>32D-PU-FOAM-27X135MMX75MM</t>
  </si>
  <si>
    <t>32D-PU-FOAM-30X135MMX75MM</t>
  </si>
  <si>
    <t>32D-PU-FOAM-33X135MMX75MM</t>
  </si>
  <si>
    <t>32D-PU-FOAM-36X135MMX75MM</t>
  </si>
  <si>
    <t>32D-PU-FOAM-39X135MMX75MM</t>
  </si>
  <si>
    <t>32D-PU-FOAM-42X135MMX75MM</t>
  </si>
  <si>
    <t>32D-PU-FOAM-45X135MMX75MM</t>
  </si>
  <si>
    <t>32D-PU-FOAM-48X135MMX75MM</t>
  </si>
  <si>
    <t>32D-PU-FOAM-51X135MMX75MM</t>
  </si>
  <si>
    <t>32D-PU-FOAM-54X135MMX75MM</t>
  </si>
  <si>
    <t>32D-PU-FOAM-57X135MMX75MM</t>
  </si>
  <si>
    <t>32D-PU-FOAM-60X135MMX75MM</t>
  </si>
  <si>
    <t>32D-PU-FOAM-63X135MMX75MM</t>
  </si>
  <si>
    <t>32D-PU-FOAM-66X135MMX75MM</t>
  </si>
  <si>
    <t>32D-PU-FOAM-9.50X135MMX75MM</t>
  </si>
  <si>
    <t>32D-PU-FOAM-12X135MMX75MM</t>
  </si>
  <si>
    <t>32D-PU-FOAM-24X205MMX75MM</t>
  </si>
  <si>
    <t>32D-PU-FOAM-27X205MMX75MM</t>
  </si>
  <si>
    <t>32D-PU-FOAM-30X205MMX75MM</t>
  </si>
  <si>
    <t>32D-PU-FOAM-33X205MMX75MM</t>
  </si>
  <si>
    <t>32D-PU-FOAM-36X205MMX75MM</t>
  </si>
  <si>
    <t>32D-PU-FOAM-39X205MMX75MM</t>
  </si>
  <si>
    <t>32D-PU-FOAM-42X205MMX75MM</t>
  </si>
  <si>
    <t>32D-PU-FOAM-45X205MMX75MM</t>
  </si>
  <si>
    <t>32D-PU-FOAM-48X205MMX75MM</t>
  </si>
  <si>
    <t>32D-PU-FOAM-51X205MMX75MM</t>
  </si>
  <si>
    <t>32D-PU-FOAM-54X205MMX75MM</t>
  </si>
  <si>
    <t>32D-PU-FOAM-57X205MMX75MM</t>
  </si>
  <si>
    <t>32D-PU-FOAM-60X205MMX75MM</t>
  </si>
  <si>
    <t>32D-PU-FOAM-63X205MMX75MM</t>
  </si>
  <si>
    <t>32D-PU-FOAM-66X205MMX75MM</t>
  </si>
  <si>
    <t>32D-PU-FOAM-9.50X205MMX75MM</t>
  </si>
  <si>
    <t>32D-PU-FOAM-12X205MMX75MM</t>
  </si>
  <si>
    <t>40D-PU-FOAM-24X95MMX75MM</t>
  </si>
  <si>
    <t>40D-PU-FOAM-27X95MMX75MM</t>
  </si>
  <si>
    <t>40D-PU-FOAM-30X95MMX75MM</t>
  </si>
  <si>
    <t>40D-PU-FOAM-33X95MMX75MM</t>
  </si>
  <si>
    <t>40D-PU-FOAM-36X95MMX75MM</t>
  </si>
  <si>
    <t>40D-PU-FOAM-39X95MMX75MM</t>
  </si>
  <si>
    <t>40D-PU-FOAM-42X95MMX75MM</t>
  </si>
  <si>
    <t>40D-PU-FOAM-45X95MMX75MM</t>
  </si>
  <si>
    <t>40D-PU-FOAM-48X95MMX75MM</t>
  </si>
  <si>
    <t>40D-PU-FOAM-51X95MMX75MM</t>
  </si>
  <si>
    <t>40D-PU-FOAM-54X95MMX75MM</t>
  </si>
  <si>
    <t>40D-PU-FOAM-57X95MMX75MM</t>
  </si>
  <si>
    <t>40D-PU-FOAM-60X95MMX75MM</t>
  </si>
  <si>
    <t>40D-PU-FOAM-63X95MMX75MM</t>
  </si>
  <si>
    <t>40D-PU-FOAM-66X95MMX75MM</t>
  </si>
  <si>
    <t>40D-PU-FOAM-9.50X95MMX75MM</t>
  </si>
  <si>
    <t>40D-PU-FOAM-12X95MMX75MM</t>
  </si>
  <si>
    <t>32D-PU-FOAM-71.50X32.50X10MM</t>
  </si>
  <si>
    <t>32D-PU-FOAM-71.50X38.50X10MM</t>
  </si>
  <si>
    <t>32D-PU-FOAM-71.50X44.50X10MM</t>
  </si>
  <si>
    <t>32D-PU-FOAM-71.50X50.50X10MM</t>
  </si>
  <si>
    <t>32D-PU-FOAM-71.50X53.50X10MM</t>
  </si>
  <si>
    <t>32D-PU-FOAM-71.50X56.50X10MM</t>
  </si>
  <si>
    <t>32D-PU-FOAM-71.50X62.50X10MM</t>
  </si>
  <si>
    <t>32D-PU-FOAM-71.50X68.50X10MM</t>
  </si>
  <si>
    <t>32D-PU-FOAM-74.50X32.50X10MM</t>
  </si>
  <si>
    <t>32D-PU-FOAM-74.50X38.50X10MM</t>
  </si>
  <si>
    <t>32D-PU-FOAM-74.50X44.50X10MM</t>
  </si>
  <si>
    <t>32D-PU-FOAM-74.50X50.50X10MM</t>
  </si>
  <si>
    <t>32D-PU-FOAM-74.50X53.50X10MM</t>
  </si>
  <si>
    <t>32D-PU-FOAM-74.50X56.50X10MM</t>
  </si>
  <si>
    <t>32D-PU-FOAM-74.50X62.50X10MM</t>
  </si>
  <si>
    <t>32D-PU-FOAM-74.50X68.50X10MM</t>
  </si>
  <si>
    <t>32D-PU-FOAM-77.50X32.50X10MM</t>
  </si>
  <si>
    <t>32D-PU-FOAM-77.50X38.50X10MM</t>
  </si>
  <si>
    <t>32D-PU-FOAM-77.50X44.50X10MM</t>
  </si>
  <si>
    <t>32D-PU-FOAM-77.50X50.50X10MM</t>
  </si>
  <si>
    <t>32D-PU-FOAM-77.50X53.50X10MM</t>
  </si>
  <si>
    <t>32D-PU-FOAM-77.50X56.50X10MM</t>
  </si>
  <si>
    <t>32D-PU-FOAM-77.50X62.50X10MM</t>
  </si>
  <si>
    <t>32D-PU-FOAM-77.50X68.50X10MM</t>
  </si>
  <si>
    <t>32D-PU-FOAM-79.50X32.50X10MM</t>
  </si>
  <si>
    <t>32D-PU-FOAM-79.50X38.50X10MM</t>
  </si>
  <si>
    <t>32D-PU-FOAM-79.50X44.50X10MM</t>
  </si>
  <si>
    <t>32D-PU-FOAM-79.50X50.50X10MM</t>
  </si>
  <si>
    <t>32D-PU-FOAM-79.50X53.50X10MM</t>
  </si>
  <si>
    <t>32D-PU-FOAM-79.50X56.50X10MM</t>
  </si>
  <si>
    <t>32D-PU-FOAM-79.50X62.50X10MM</t>
  </si>
  <si>
    <t>32D-PU-FOAM-79.50X68.50X10MM</t>
  </si>
  <si>
    <t>32D-PU-FOAM-83.50X32.50X10MM</t>
  </si>
  <si>
    <t>32D-PU-FOAM-83.50X38.50X10MM</t>
  </si>
  <si>
    <t>32D-PU-FOAM-83.50X44.50X10MM</t>
  </si>
  <si>
    <t>32D-PU-FOAM-83.50X50.50X10MM</t>
  </si>
  <si>
    <t>32D-PU-FOAM-83.50X53.50X10MM</t>
  </si>
  <si>
    <t>32D-PU-FOAM-83.50X56.50X10MM</t>
  </si>
  <si>
    <t>32D-PU-FOAM-83.50X62.50X10MM</t>
  </si>
  <si>
    <t>32D-PU-FOAM-83.50X68.50X10MM</t>
  </si>
  <si>
    <t>18D-PU-FOAM-71.50X29.50X10MM</t>
  </si>
  <si>
    <t>18D-PU-FOAM-71.50X32.50X10MM</t>
  </si>
  <si>
    <t>18D-PU-FOAM-71.50X35.50X10MM</t>
  </si>
  <si>
    <t>18D-PU-FOAM-71.50X38.50X10MM</t>
  </si>
  <si>
    <t>18D-PU-FOAM-71.50X41.50X10MM</t>
  </si>
  <si>
    <t>18D-PU-FOAM-71.50X44.50X10MM</t>
  </si>
  <si>
    <t>18D-PU-FOAM-71.50X47.50X10MM</t>
  </si>
  <si>
    <t>18D-PU-FOAM-71.50X50.50X10MM</t>
  </si>
  <si>
    <t>18D-PU-FOAM-71.50X53.50X10MM</t>
  </si>
  <si>
    <t>18D-PU-FOAM-71.50X56.50X10MM</t>
  </si>
  <si>
    <t>18D-PU-FOAM-71.50X59.50X10MM</t>
  </si>
  <si>
    <t>18D-PU-FOAM-71.50X62.50X10MM</t>
  </si>
  <si>
    <t>18D-PU-FOAM-71.50X65.50X10MM</t>
  </si>
  <si>
    <t>18D-PU-FOAM-71.50X68.50X10MM</t>
  </si>
  <si>
    <t>18D-PU-FOAM-71.50X71.50X10MM</t>
  </si>
  <si>
    <t>18D-PU-FOAM-74.50X29.50X10MM</t>
  </si>
  <si>
    <t>18D-PU-FOAM-74.50X32.50X10MM</t>
  </si>
  <si>
    <t>18D-PU-FOAM-74.50X35.50X10MM</t>
  </si>
  <si>
    <t>18D-PU-FOAM-74.50X38.50X10MM</t>
  </si>
  <si>
    <t>18D-PU-FOAM-74.50X41.50X10MM</t>
  </si>
  <si>
    <t>18D-PU-FOAM-74.50X44.50X10MM</t>
  </si>
  <si>
    <t>18D-PU-FOAM-74.50X47.50X10MM</t>
  </si>
  <si>
    <t>18D-PU-FOAM-74.50X50.50X10MM</t>
  </si>
  <si>
    <t>18D-PU-FOAM-74.50X53.50X10MM</t>
  </si>
  <si>
    <t>18D-PU-FOAM-74.50X56.50X10MM</t>
  </si>
  <si>
    <t>18D-PU-FOAM-74.50X59.50X10MM</t>
  </si>
  <si>
    <t>18D-PU-FOAM-74.50X62.50X10MM</t>
  </si>
  <si>
    <t>18D-PU-FOAM-74.50X65.50X10MM</t>
  </si>
  <si>
    <t>18D-PU-FOAM-74.50X68.50X10MM</t>
  </si>
  <si>
    <t>18D-PU-FOAM-74.50X71.50X10MM</t>
  </si>
  <si>
    <t>18D-PU-FOAM-77.50X29.50X10MM</t>
  </si>
  <si>
    <t>18D-PU-FOAM-77.50X32.50X10MM</t>
  </si>
  <si>
    <t>18D-PU-FOAM-77.50X35.50X10MM</t>
  </si>
  <si>
    <t>18D-PU-FOAM-77.50X38.50X10MM</t>
  </si>
  <si>
    <t>18D-PU-FOAM-77.50X41.50X10MM</t>
  </si>
  <si>
    <t>18D-PU-FOAM-77.50X44.50X10MM</t>
  </si>
  <si>
    <t>18D-PU-FOAM-77.50X47.50X10MM</t>
  </si>
  <si>
    <t>18D-PU-FOAM-77.50X50.50X10MM</t>
  </si>
  <si>
    <t>18D-PU-FOAM-77.50X53.50X10MM</t>
  </si>
  <si>
    <t>18D-PU-FOAM-77.50X56.50X10MM</t>
  </si>
  <si>
    <t>18D-PU-FOAM-77.50X59.50X10MM</t>
  </si>
  <si>
    <t>18D-PU-FOAM-77.50X62.50X10MM</t>
  </si>
  <si>
    <t>18D-PU-FOAM-77.50X65.50X10MM</t>
  </si>
  <si>
    <t>18D-PU-FOAM-77.50X68.50X10MM</t>
  </si>
  <si>
    <t>18D-PU-FOAM-77.50X71.50X10MM</t>
  </si>
  <si>
    <t>18D-PU-FOAM-79.50X29.50X10MM</t>
  </si>
  <si>
    <t>18D-PU-FOAM-79.50X32.50X10MM</t>
  </si>
  <si>
    <t>18D-PU-FOAM-79.50X35.50X10MM</t>
  </si>
  <si>
    <t>18D-PU-FOAM-79.50X38.50X10MM</t>
  </si>
  <si>
    <t>18D-PU-FOAM-79.50X41.50X10MM</t>
  </si>
  <si>
    <t>18D-PU-FOAM-79.50X44.50X10MM</t>
  </si>
  <si>
    <t>18D-PU-FOAM-79.50X47.50X10MM</t>
  </si>
  <si>
    <t>18D-PU-FOAM-79.50X50.50X10MM</t>
  </si>
  <si>
    <t>18D-PU-FOAM-79.50X53.50X10MM</t>
  </si>
  <si>
    <t>18D-PU-FOAM-79.50X56.50X10MM</t>
  </si>
  <si>
    <t>18D-PU-FOAM-79.50X59.50X10MM</t>
  </si>
  <si>
    <t>18D-PU-FOAM-79.50X62.50X10MM</t>
  </si>
  <si>
    <t>18D-PU-FOAM-79.50X65.50X10MM</t>
  </si>
  <si>
    <t>18D-PU-FOAM-79.50X68.50X10MM</t>
  </si>
  <si>
    <t>18D-PU-FOAM-79.50X71.50X10MM</t>
  </si>
  <si>
    <t>18D-PU-FOAM-83.50X29.50X10MM</t>
  </si>
  <si>
    <t>18D-PU-FOAM-83.50X32.50X10MM</t>
  </si>
  <si>
    <t>18D-PU-FOAM-83.50X35.50X10MM</t>
  </si>
  <si>
    <t>18D-PU-FOAM-83.50X38.50X10MM</t>
  </si>
  <si>
    <t>18D-PU-FOAM-83.50X41.50X10MM</t>
  </si>
  <si>
    <t>18D-PU-FOAM-83.50X44.50X10MM</t>
  </si>
  <si>
    <t>18D-PU-FOAM-83.50X47.50X10MM</t>
  </si>
  <si>
    <t>18D-PU-FOAM-83.50X50.50X10MM</t>
  </si>
  <si>
    <t>18D-PU-FOAM-83.50X53.50X10MM</t>
  </si>
  <si>
    <t>18D-PU-FOAM-83.50X56.50X10MM</t>
  </si>
  <si>
    <t>18D-PU-FOAM-83.50X59.50X10MM</t>
  </si>
  <si>
    <t>18D-PU-FOAM-83.50X62.50X10MM</t>
  </si>
  <si>
    <t>18D-PU-FOAM-83.50X65.50X10MM</t>
  </si>
  <si>
    <t>18D-PU-FOAM-83.50X68.50X10MM</t>
  </si>
  <si>
    <t>18D-PU-FOAM-83.50X71.50X10MM</t>
  </si>
  <si>
    <t>18D-PU-FOAM-12.50X12.50X10MM</t>
  </si>
  <si>
    <t>18D-PU-FOAM-19.50X17.50X10MM</t>
  </si>
  <si>
    <t>23D-PU-FOAM-71.50X29.50X15MM</t>
  </si>
  <si>
    <t>23D-PU-FOAM-71.50X32.50X15MM</t>
  </si>
  <si>
    <t>23D-PU-FOAM-71.50X35.50X15MM</t>
  </si>
  <si>
    <t>23D-PU-FOAM-71.50X38.50X15MM</t>
  </si>
  <si>
    <t>23D-PU-FOAM-71.50X41.50X15MM</t>
  </si>
  <si>
    <t>23D-PU-FOAM-71.50X44.50X15MM</t>
  </si>
  <si>
    <t>23D-PU-FOAM-71.50X47.50X15MM</t>
  </si>
  <si>
    <t>23D-PU-FOAM-71.50X50.50X15MM</t>
  </si>
  <si>
    <t>23D-PU-FOAM-71.50X53.50X15MM</t>
  </si>
  <si>
    <t>23D-PU-FOAM-71.50X56.50X15MM</t>
  </si>
  <si>
    <t>23D-PU-FOAM-71.50X59.50X15MM</t>
  </si>
  <si>
    <t>23D-PU-FOAM-71.50X62.50X15MM</t>
  </si>
  <si>
    <t>23D-PU-FOAM-71.50X65.50X15MM</t>
  </si>
  <si>
    <t>23D-PU-FOAM-71.50X68.50X15MM</t>
  </si>
  <si>
    <t>23D-PU-FOAM-71.50X71.50X15MM</t>
  </si>
  <si>
    <t>23D-PU-FOAM-74.50X29.50X15MM</t>
  </si>
  <si>
    <t>23D-PU-FOAM-74.50X32.50X15MM</t>
  </si>
  <si>
    <t>23D-PU-FOAM-74.50X35.50X15MM</t>
  </si>
  <si>
    <t>23D-PU-FOAM-74.50X38.50X15MM</t>
  </si>
  <si>
    <t>23D-PU-FOAM-74.50X41.50X15MM</t>
  </si>
  <si>
    <t>23D-PU-FOAM-74.50X44.50X15MM</t>
  </si>
  <si>
    <t>23D-PU-FOAM-74.50X47.50X15MM</t>
  </si>
  <si>
    <t>23D-PU-FOAM-74.50X50.50X15MM</t>
  </si>
  <si>
    <t>23D-PU-FOAM-74.50X53.50X15MM</t>
  </si>
  <si>
    <t>23D-PU-FOAM-74.50X56.50X15MM</t>
  </si>
  <si>
    <t>23D-PU-FOAM-74.50X59.50X15MM</t>
  </si>
  <si>
    <t>23D-PU-FOAM-74.50X62.50X15MM</t>
  </si>
  <si>
    <t>23D-PU-FOAM-74.50X65.50X15MM</t>
  </si>
  <si>
    <t>23D-PU-FOAM-74.50X68.50X15MM</t>
  </si>
  <si>
    <t>23D-PU-FOAM-74.50X71.50X15MM</t>
  </si>
  <si>
    <t>23D-PU-FOAM-77.50X29.50X15MM</t>
  </si>
  <si>
    <t>23D-PU-FOAM-77.50X32.50X15MM</t>
  </si>
  <si>
    <t>23D-PU-FOAM-77.50X35.50X15MM</t>
  </si>
  <si>
    <t>23D-PU-FOAM-77.50X38.50X15MM</t>
  </si>
  <si>
    <t>23D-PU-FOAM-77.50X41.50X15MM</t>
  </si>
  <si>
    <t>23D-PU-FOAM-77.50X44.50X15MM</t>
  </si>
  <si>
    <t>23D-PU-FOAM-77.50X47.50X15MM</t>
  </si>
  <si>
    <t>23D-PU-FOAM-77.50X50.50X15MM</t>
  </si>
  <si>
    <t>23D-PU-FOAM-77.50X53.50X15MM</t>
  </si>
  <si>
    <t>23D-PU-FOAM-77.50X56.50X15MM</t>
  </si>
  <si>
    <t>23D-PU-FOAM-77.50X59.50X15MM</t>
  </si>
  <si>
    <t>23D-PU-FOAM-77.50X62.50X15MM</t>
  </si>
  <si>
    <t>23D-PU-FOAM-77.50X65.50X15MM</t>
  </si>
  <si>
    <t>23D-PU-FOAM-77.50X68.50X15MM</t>
  </si>
  <si>
    <t>23D-PU-FOAM-77.50X71.50X15MM</t>
  </si>
  <si>
    <t>23D-PU-FOAM-79.50X29.50X15MM</t>
  </si>
  <si>
    <t>23D-PU-FOAM-79.50X32.50X15MM</t>
  </si>
  <si>
    <t>23D-PU-FOAM-79.50X35.50X15MM</t>
  </si>
  <si>
    <t>23D-PU-FOAM-79.50X38.50X15MM</t>
  </si>
  <si>
    <t>23D-PU-FOAM-79.50X41.50X15MM</t>
  </si>
  <si>
    <t>23D-PU-FOAM-79.50X44.50X15MM</t>
  </si>
  <si>
    <t>23D-PU-FOAM-79.50X47.50X15MM</t>
  </si>
  <si>
    <t>23D-PU-FOAM-79.50X50.50X15MM</t>
  </si>
  <si>
    <t>23D-PU-FOAM-79.50X53.50X15MM</t>
  </si>
  <si>
    <t>23D-PU-FOAM-79.50X56.50X15MM</t>
  </si>
  <si>
    <t>23D-PU-FOAM-79.50X59.50X15MM</t>
  </si>
  <si>
    <t>23D-PU-FOAM-79.50X62.50X15MM</t>
  </si>
  <si>
    <t>23D-PU-FOAM-79.50X65.50X15MM</t>
  </si>
  <si>
    <t>23D-PU-FOAM-79.50X68.50X15MM</t>
  </si>
  <si>
    <t>23D-PU-FOAM-79.50X71.50X15MM</t>
  </si>
  <si>
    <t>23D-PU-FOAM-83.50X29.50X15MM</t>
  </si>
  <si>
    <t>23D-PU-FOAM-83.50X32.50X15MM</t>
  </si>
  <si>
    <t>23D-PU-FOAM-83.50X35.50X15MM</t>
  </si>
  <si>
    <t>23D-PU-FOAM-83.50X38.50X15MM</t>
  </si>
  <si>
    <t>23D-PU-FOAM-83.50X41.50X15MM</t>
  </si>
  <si>
    <t>23D-PU-FOAM-83.50X44.50X15MM</t>
  </si>
  <si>
    <t>23D-PU-FOAM-83.50X47.50X15MM</t>
  </si>
  <si>
    <t>23D-PU-FOAM-83.50X50.50X15MM</t>
  </si>
  <si>
    <t>23D-PU-FOAM-83.50X53.50X15MM</t>
  </si>
  <si>
    <t>23D-PU-FOAM-83.50X56.50X15MM</t>
  </si>
  <si>
    <t>23D-PU-FOAM-83.50X59.50X15MM</t>
  </si>
  <si>
    <t>23D-PU-FOAM-83.50X62.50X15MM</t>
  </si>
  <si>
    <t>23D-PU-FOAM-83.50X65.50X15MM</t>
  </si>
  <si>
    <t>23D-PU-FOAM-83.50X68.50X15MM</t>
  </si>
  <si>
    <t>23D-PU-FOAM-83.50X71.50X15MM</t>
  </si>
  <si>
    <t>23D-PU-FOAM-12.50X12.50X15MM</t>
  </si>
  <si>
    <t>23D-PU-FOAM-19.50X17.50X15MM</t>
  </si>
  <si>
    <t>25D-HELIXA-FOAM-71.50X29.50X15MM</t>
  </si>
  <si>
    <t>25D-HELIXA-FOAM-71.50X32.50X15MM</t>
  </si>
  <si>
    <t>25D-HELIXA-FOAM-71.50X35.50X15MM</t>
  </si>
  <si>
    <t>25D-HELIXA-FOAM-71.50X38.50X15MM</t>
  </si>
  <si>
    <t>25D-HELIXA-FOAM-71.50X41.50X15MM</t>
  </si>
  <si>
    <t>25D-HELIXA-FOAM-71.50X44.50X15MM</t>
  </si>
  <si>
    <t>25D-HELIXA-FOAM-71.50X47.50X15MM</t>
  </si>
  <si>
    <t>25D-HELIXA-FOAM-71.50X50.50X15MM</t>
  </si>
  <si>
    <t>25D-HELIXA-FOAM-71.50X53.50X15MM</t>
  </si>
  <si>
    <t>25D-HELIXA-FOAM-71.50X56.50X15MM</t>
  </si>
  <si>
    <t>25D-HELIXA-FOAM-71.50X59.50X15MM</t>
  </si>
  <si>
    <t>25D-HELIXA-FOAM-71.50X62.50X15MM</t>
  </si>
  <si>
    <t>25D-HELIXA-FOAM-71.50X65.50X15MM</t>
  </si>
  <si>
    <t>25D-HELIXA-FOAM-71.50X68.50X15MM</t>
  </si>
  <si>
    <t>25D-HELIXA-FOAM-71.50X71.50X15MM</t>
  </si>
  <si>
    <t>25D-HELIXA-FOAM-74.50X29.50X15MM</t>
  </si>
  <si>
    <t>25D-HELIXA-FOAM-74.50X32.50X15MM</t>
  </si>
  <si>
    <t>25D-HELIXA-FOAM-74.50X35.50X15MM</t>
  </si>
  <si>
    <t>25D-HELIXA-FOAM-74.50X38.50X15MM</t>
  </si>
  <si>
    <t>25D-HELIXA-FOAM-74.50X41.50X15MM</t>
  </si>
  <si>
    <t>25D-HELIXA-FOAM-74.50X44.50X15MM</t>
  </si>
  <si>
    <t>25D-HELIXA-FOAM-74.50X47.50X15MM</t>
  </si>
  <si>
    <t>25D-HELIXA-FOAM-74.50X50.50X15MM</t>
  </si>
  <si>
    <t>25D-HELIXA-FOAM-74.50X53.50X15MM</t>
  </si>
  <si>
    <t>25D-HELIXA-FOAM-74.50X56.50X15MM</t>
  </si>
  <si>
    <t>25D-HELIXA-FOAM-74.50X59.50X15MM</t>
  </si>
  <si>
    <t>25D-HELIXA-FOAM-74.50X62.50X15MM</t>
  </si>
  <si>
    <t>25D-HELIXA-FOAM-74.50X65.50X15MM</t>
  </si>
  <si>
    <t>25D-HELIXA-FOAM-74.50X68.50X15MM</t>
  </si>
  <si>
    <t>25D-HELIXA-FOAM-74.50X71.50X15MM</t>
  </si>
  <si>
    <t>25D-HELIXA-FOAM-77.50X29.50X15MM</t>
  </si>
  <si>
    <t>25D-HELIXA-FOAM-77.50X32.50X15MM</t>
  </si>
  <si>
    <t>25D-HELIXA-FOAM-77.50X35.50X15MM</t>
  </si>
  <si>
    <t>25D-HELIXA-FOAM-77.50X38.50X15MM</t>
  </si>
  <si>
    <t>25D-HELIXA-FOAM-77.50X41.50X15MM</t>
  </si>
  <si>
    <t>25D-HELIXA-FOAM-77.50X44.50X15MM</t>
  </si>
  <si>
    <t>25D-HELIXA-FOAM-77.50X47.50X15MM</t>
  </si>
  <si>
    <t>25D-HELIXA-FOAM-77.50X50.50X15MM</t>
  </si>
  <si>
    <t>25D-HELIXA-FOAM-77.50X53.50X15MM</t>
  </si>
  <si>
    <t>25D-HELIXA-FOAM-77.50X56.50X15MM</t>
  </si>
  <si>
    <t>25D-HELIXA-FOAM-77.50X59.50X15MM</t>
  </si>
  <si>
    <t>25D-HELIXA-FOAM-77.50X62.50X15MM</t>
  </si>
  <si>
    <t>25D-HELIXA-FOAM-77.50X65.50X15MM</t>
  </si>
  <si>
    <t>25D-HELIXA-FOAM-77.50X68.50X15MM</t>
  </si>
  <si>
    <t>25D-HELIXA-FOAM-77.50X71.50X15MM</t>
  </si>
  <si>
    <t>25D-HELIXA-FOAM-79.50X29.50X15MM</t>
  </si>
  <si>
    <t>25D-HELIXA-FOAM-79.50X32.50X15MM</t>
  </si>
  <si>
    <t>25D-HELIXA-FOAM-79.50X35.50X15MM</t>
  </si>
  <si>
    <t>25D-HELIXA-FOAM-79.50X38.50X15MM</t>
  </si>
  <si>
    <t>25D-HELIXA-FOAM-79.50X41.50X15MM</t>
  </si>
  <si>
    <t>25D-HELIXA-FOAM-79.50X44.50X15MM</t>
  </si>
  <si>
    <t>25D-HELIXA-FOAM-79.50X47.50X15MM</t>
  </si>
  <si>
    <t>25D-HELIXA-FOAM-79.50X50.50X15MM</t>
  </si>
  <si>
    <t>25D-HELIXA-FOAM-79.50X53.50X15MM</t>
  </si>
  <si>
    <t>25D-HELIXA-FOAM-79.50X56.50X15MM</t>
  </si>
  <si>
    <t>25D-HELIXA-FOAM-79.50X59.50X15MM</t>
  </si>
  <si>
    <t>25D-HELIXA-FOAM-79.50X62.50X15MM</t>
  </si>
  <si>
    <t>25D-HELIXA-FOAM-79.50X65.50X15MM</t>
  </si>
  <si>
    <t>25D-HELIXA-FOAM-79.50X68.50X15MM</t>
  </si>
  <si>
    <t>25D-HELIXA-FOAM-79.50X71.50X15MM</t>
  </si>
  <si>
    <t>25D-HELIXA-FOAM-83.50X29.50X15MM</t>
  </si>
  <si>
    <t>25D-HELIXA-FOAM-83.50X32.50X15MM</t>
  </si>
  <si>
    <t>25D-HELIXA-FOAM-83.50X35.50X15MM</t>
  </si>
  <si>
    <t>25D-HELIXA-FOAM-83.50X38.50X15MM</t>
  </si>
  <si>
    <t>25D-HELIXA-FOAM-83.50X41.50X15MM</t>
  </si>
  <si>
    <t>25D-HELIXA-FOAM-83.50X44.50X15MM</t>
  </si>
  <si>
    <t>25D-HELIXA-FOAM-83.50X47.50X15MM</t>
  </si>
  <si>
    <t>25D-HELIXA-FOAM-83.50X50.50X15MM</t>
  </si>
  <si>
    <t>25D-HELIXA-FOAM-83.50X53.50X15MM</t>
  </si>
  <si>
    <t>25D-HELIXA-FOAM-83.50X56.50X15MM</t>
  </si>
  <si>
    <t>25D-HELIXA-FOAM-83.50X59.50X15MM</t>
  </si>
  <si>
    <t>25D-HELIXA-FOAM-83.50X62.50X15MM</t>
  </si>
  <si>
    <t>25D-HELIXA-FOAM-83.50X65.50X15MM</t>
  </si>
  <si>
    <t>25D-HELIXA-FOAM-83.50X68.50X15MM</t>
  </si>
  <si>
    <t>25D-HELIXA-FOAM-83.50X71.50X15MM</t>
  </si>
  <si>
    <t>25D-HELIXA-FOAM-12.50X12.50X15MM</t>
  </si>
  <si>
    <t>25D-HELIXA-FOAM-19.50X17.50X15MM</t>
  </si>
  <si>
    <t>100D-RB-FOAM-71.50X32.50X20MM</t>
  </si>
  <si>
    <t>100D-RB-FOAM-71.50X38.50X20MM</t>
  </si>
  <si>
    <t>100D-RB-FOAM-71.50X44.50X20MM</t>
  </si>
  <si>
    <t>100D-RB-FOAM-71.50X50.50X20MM</t>
  </si>
  <si>
    <t>100D-RB-FOAM-71.50X53.50X20MM</t>
  </si>
  <si>
    <t>100D-RB-FOAM-71.50X56.50X20MM</t>
  </si>
  <si>
    <t>100D-RB-FOAM-71.50X62.50X20MM</t>
  </si>
  <si>
    <t>100D-RB-FOAM-71.50X68.50X20MM</t>
  </si>
  <si>
    <t>100D-RB-FOAM-74.50X32.50X20MM</t>
  </si>
  <si>
    <t>100D-RB-FOAM-74.50X38.50X20MM</t>
  </si>
  <si>
    <t>100D-RB-FOAM-74.50X44.50X20MM</t>
  </si>
  <si>
    <t>100D-RB-FOAM-74.50X50.50X20MM</t>
  </si>
  <si>
    <t>100D-RB-FOAM-74.50X53.50X20MM</t>
  </si>
  <si>
    <t>100D-RB-FOAM-74.50X56.50X20MM</t>
  </si>
  <si>
    <t>100D-RB-FOAM-74.50X62.50X20MM</t>
  </si>
  <si>
    <t>100D-RB-FOAM-74.50X68.50X20MM</t>
  </si>
  <si>
    <t>100D-RB-FOAM-77.50X32.50X20MM</t>
  </si>
  <si>
    <t>100D-RB-FOAM-77.50X38.50X20MM</t>
  </si>
  <si>
    <t>100D-RB-FOAM-77.50X44.50X20MM</t>
  </si>
  <si>
    <t>100D-RB-FOAM-77.50X50.50X20MM</t>
  </si>
  <si>
    <t>100D-RB-FOAM-77.50X53.50X20MM</t>
  </si>
  <si>
    <t>100D-RB-FOAM-77.50X56.50X20MM</t>
  </si>
  <si>
    <t>100D-RB-FOAM-77.50X62.50X20MM</t>
  </si>
  <si>
    <t>100D-RB-FOAM-77.50X68.50X20MM</t>
  </si>
  <si>
    <t>100D-RB-FOAM-79.50X32.50X20MM</t>
  </si>
  <si>
    <t>100D-RB-FOAM-79.50X38.50X20MM</t>
  </si>
  <si>
    <t>100D-RB-FOAM-79.50X44.50X20MM</t>
  </si>
  <si>
    <t>100D-RB-FOAM-79.50X50.50X20MM</t>
  </si>
  <si>
    <t>100D-RB-FOAM-79.50X53.50X20MM</t>
  </si>
  <si>
    <t>100D-RB-FOAM-79.50X56.50X20MM</t>
  </si>
  <si>
    <t>100D-RB-FOAM-79.50X62.50X20MM</t>
  </si>
  <si>
    <t>100D-RB-FOAM-79.50X68.50X20MM</t>
  </si>
  <si>
    <t>100D-RB-FOAM-83.50X32.50X20MM</t>
  </si>
  <si>
    <t>100D-RB-FOAM-83.50X38.50X20MM</t>
  </si>
  <si>
    <t>100D-RB-FOAM-83.50X44.50X20MM</t>
  </si>
  <si>
    <t>100D-RB-FOAM-83.50X50.50X20MM</t>
  </si>
  <si>
    <t>100D-RB-FOAM-83.50X53.50X20MM</t>
  </si>
  <si>
    <t>100D-RB-FOAM-83.50X56.50X20MM</t>
  </si>
  <si>
    <t>100D-RB-FOAM-83.50X62.50X20MM</t>
  </si>
  <si>
    <t>100D-RB-FOAM-83.50X68.50X20MM</t>
  </si>
  <si>
    <t>25D-HELIXA-FOAM-71.50X29.50X25MM</t>
  </si>
  <si>
    <t>25D-HELIXA-FOAM-71.50X32.50X25MM</t>
  </si>
  <si>
    <t>25D-HELIXA-FOAM-71.50X35.50X25MM</t>
  </si>
  <si>
    <t>25D-HELIXA-FOAM-71.50X38.50X25MM</t>
  </si>
  <si>
    <t>25D-HELIXA-FOAM-71.50X41.50X25MM</t>
  </si>
  <si>
    <t>25D-HELIXA-FOAM-71.50X44.50X25MM</t>
  </si>
  <si>
    <t>25D-HELIXA-FOAM-71.50X47.50X25MM</t>
  </si>
  <si>
    <t>25D-HELIXA-FOAM-71.50X50.50X25MM</t>
  </si>
  <si>
    <t>25D-HELIXA-FOAM-71.50X53.50X25MM</t>
  </si>
  <si>
    <t>25D-HELIXA-FOAM-71.50X56.50X25MM</t>
  </si>
  <si>
    <t>25D-HELIXA-FOAM-71.50X59.50X25MM</t>
  </si>
  <si>
    <t>25D-HELIXA-FOAM-71.50X62.50X25MM</t>
  </si>
  <si>
    <t>25D-HELIXA-FOAM-71.50X65.50X25MM</t>
  </si>
  <si>
    <t>25D-HELIXA-FOAM-71.50X68.50X25MM</t>
  </si>
  <si>
    <t>25D-HELIXA-FOAM-71.50X71.50X25MM</t>
  </si>
  <si>
    <t>25D-HELIXA-FOAM-74.50X29.50X25MM</t>
  </si>
  <si>
    <t>25D-HELIXA-FOAM-74.50X32.50X25MM</t>
  </si>
  <si>
    <t>25D-HELIXA-FOAM-74.50X35.50X25MM</t>
  </si>
  <si>
    <t>25D-HELIXA-FOAM-74.50X38.50X25MM</t>
  </si>
  <si>
    <t>25D-HELIXA-FOAM-74.50X41.50X25MM</t>
  </si>
  <si>
    <t>25D-HELIXA-FOAM-74.50X44.50X25MM</t>
  </si>
  <si>
    <t>25D-HELIXA-FOAM-74.50X47.50X25MM</t>
  </si>
  <si>
    <t>25D-HELIXA-FOAM-74.50X50.50X25MM</t>
  </si>
  <si>
    <t>25D-HELIXA-FOAM-74.50X53.50X25MM</t>
  </si>
  <si>
    <t>25D-HELIXA-FOAM-74.50X56.50X25MM</t>
  </si>
  <si>
    <t>25D-HELIXA-FOAM-74.50X59.50X25MM</t>
  </si>
  <si>
    <t>25D-HELIXA-FOAM-74.50X62.50X25MM</t>
  </si>
  <si>
    <t>25D-HELIXA-FOAM-74.50X65.50X25MM</t>
  </si>
  <si>
    <t>25D-HELIXA-FOAM-74.50X68.50X25MM</t>
  </si>
  <si>
    <t>25D-HELIXA-FOAM-74.50X71.50X25MM</t>
  </si>
  <si>
    <t>25D-HELIXA-FOAM-77.50X29.50X25MM</t>
  </si>
  <si>
    <t>25D-HELIXA-FOAM-77.50X32.50X25MM</t>
  </si>
  <si>
    <t>25D-HELIXA-FOAM-77.50X35.50X25MM</t>
  </si>
  <si>
    <t>25D-HELIXA-FOAM-77.50X38.50X25MM</t>
  </si>
  <si>
    <t>25D-HELIXA-FOAM-77.50X41.50X25MM</t>
  </si>
  <si>
    <t>25D-HELIXA-FOAM-77.50X44.50X25MM</t>
  </si>
  <si>
    <t>25D-HELIXA-FOAM-77.50X47.50X25MM</t>
  </si>
  <si>
    <t>25D-HELIXA-FOAM-77.50X50.50X25MM</t>
  </si>
  <si>
    <t>25D-HELIXA-FOAM-77.50X53.50X25MM</t>
  </si>
  <si>
    <t>25D-HELIXA-FOAM-77.50X56.50X25MM</t>
  </si>
  <si>
    <t>25D-HELIXA-FOAM-77.50X59.50X25MM</t>
  </si>
  <si>
    <t>25D-HELIXA-FOAM-77.50X62.50X25MM</t>
  </si>
  <si>
    <t>25D-HELIXA-FOAM-77.50X65.50X25MM</t>
  </si>
  <si>
    <t>25D-HELIXA-FOAM-77.50X68.50X25MM</t>
  </si>
  <si>
    <t>25D-HELIXA-FOAM-77.50X71.50X25MM</t>
  </si>
  <si>
    <t>25D-HELIXA-FOAM-79.50X29.50X25MM</t>
  </si>
  <si>
    <t>25D-HELIXA-FOAM-79.50X32.50X25MM</t>
  </si>
  <si>
    <t>25D-HELIXA-FOAM-79.50X35.50X25MM</t>
  </si>
  <si>
    <t>25D-HELIXA-FOAM-79.50X38.50X25MM</t>
  </si>
  <si>
    <t>25D-HELIXA-FOAM-79.50X41.50X25MM</t>
  </si>
  <si>
    <t>25D-HELIXA-FOAM-79.50X44.50X25MM</t>
  </si>
  <si>
    <t>25D-HELIXA-FOAM-79.50X47.50X25MM</t>
  </si>
  <si>
    <t>25D-HELIXA-FOAM-79.50X50.50X25MM</t>
  </si>
  <si>
    <t>25D-HELIXA-FOAM-79.50X53.50X25MM</t>
  </si>
  <si>
    <t>25D-HELIXA-FOAM-79.50X56.50X25MM</t>
  </si>
  <si>
    <t>25D-HELIXA-FOAM-79.50X59.50X25MM</t>
  </si>
  <si>
    <t>25D-HELIXA-FOAM-79.50X62.50X25MM</t>
  </si>
  <si>
    <t>25D-HELIXA-FOAM-79.50X65.50X25MM</t>
  </si>
  <si>
    <t>25D-HELIXA-FOAM-79.50X68.50X25MM</t>
  </si>
  <si>
    <t>25D-HELIXA-FOAM-79.50X71.50X25MM</t>
  </si>
  <si>
    <t>25D-HELIXA-FOAM-83.50X29.50X25MM</t>
  </si>
  <si>
    <t>25D-HELIXA-FOAM-83.50X32.50X25MM</t>
  </si>
  <si>
    <t>25D-HELIXA-FOAM-83.50X35.50X25MM</t>
  </si>
  <si>
    <t>25D-HELIXA-FOAM-83.50X38.50X25MM</t>
  </si>
  <si>
    <t>25D-HELIXA-FOAM-83.50X41.50X25MM</t>
  </si>
  <si>
    <t>25D-HELIXA-FOAM-83.50X44.50X25MM</t>
  </si>
  <si>
    <t>25D-HELIXA-FOAM-83.50X47.50X25MM</t>
  </si>
  <si>
    <t>25D-HELIXA-FOAM-83.50X50.50X25MM</t>
  </si>
  <si>
    <t>25D-HELIXA-FOAM-83.50X53.50X25MM</t>
  </si>
  <si>
    <t>25D-HELIXA-FOAM-83.50X56.50X25MM</t>
  </si>
  <si>
    <t>25D-HELIXA-FOAM-83.50X59.50X25MM</t>
  </si>
  <si>
    <t>25D-HELIXA-FOAM-83.50X62.50X25MM</t>
  </si>
  <si>
    <t>25D-HELIXA-FOAM-83.50X65.50X25MM</t>
  </si>
  <si>
    <t>25D-HELIXA-FOAM-83.50X68.50X25MM</t>
  </si>
  <si>
    <t>25D-HELIXA-FOAM-83.50X71.50X25MM</t>
  </si>
  <si>
    <t>25D-HELIXA-FOAM-12.50X12.50X25MM</t>
  </si>
  <si>
    <t>25D-HELIXA-FOAM-19.50X17.50X25MM</t>
  </si>
  <si>
    <t>25D-HELIXA-FOAM-71.50X29.50X50MM</t>
  </si>
  <si>
    <t>25D-HELIXA-FOAM-71.50X32.50X50MM</t>
  </si>
  <si>
    <t>25D-HELIXA-FOAM-71.50X35.50X50MM</t>
  </si>
  <si>
    <t>25D-HELIXA-FOAM-71.50X38.50X50MM</t>
  </si>
  <si>
    <t>25D-HELIXA-FOAM-71.50X41.50X50MM</t>
  </si>
  <si>
    <t>25D-HELIXA-FOAM-71.50X44.50X50MM</t>
  </si>
  <si>
    <t>25D-HELIXA-FOAM-71.50X47.50X50MM</t>
  </si>
  <si>
    <t>25D-HELIXA-FOAM-71.50X50.50X50MM</t>
  </si>
  <si>
    <t>25D-HELIXA-FOAM-71.50X53.50X50MM</t>
  </si>
  <si>
    <t>25D-HELIXA-FOAM-71.50X56.50X50MM</t>
  </si>
  <si>
    <t>25D-HELIXA-FOAM-71.50X59.50X50MM</t>
  </si>
  <si>
    <t>25D-HELIXA-FOAM-71.50X62.50X50MM</t>
  </si>
  <si>
    <t>25D-HELIXA-FOAM-71.50X65.50X50MM</t>
  </si>
  <si>
    <t>25D-HELIXA-FOAM-71.50X68.50X50MM</t>
  </si>
  <si>
    <t>25D-HELIXA-FOAM-71.50X71.50X50MM</t>
  </si>
  <si>
    <t>25D-HELIXA-FOAM-74.50X29.50X50MM</t>
  </si>
  <si>
    <t>25D-HELIXA-FOAM-74.50X32.50X50MM</t>
  </si>
  <si>
    <t>25D-HELIXA-FOAM-74.50X35.50X50MM</t>
  </si>
  <si>
    <t>25D-HELIXA-FOAM-74.50X38.50X50MM</t>
  </si>
  <si>
    <t>25D-HELIXA-FOAM-74.50X41.50X50MM</t>
  </si>
  <si>
    <t>25D-HELIXA-FOAM-74.50X44.50X50MM</t>
  </si>
  <si>
    <t>25D-HELIXA-FOAM-74.50X47.50X50MM</t>
  </si>
  <si>
    <t>25D-HELIXA-FOAM-74.50X50.50X50MM</t>
  </si>
  <si>
    <t>25D-HELIXA-FOAM-74.50X53.50X50MM</t>
  </si>
  <si>
    <t>25D-HELIXA-FOAM-74.50X56.50X50MM</t>
  </si>
  <si>
    <t>25D-HELIXA-FOAM-74.50X59.50X50MM</t>
  </si>
  <si>
    <t>25D-HELIXA-FOAM-74.50X62.50X50MM</t>
  </si>
  <si>
    <t>25D-HELIXA-FOAM-74.50X65.50X50MM</t>
  </si>
  <si>
    <t>25D-HELIXA-FOAM-74.50X68.50X50MM</t>
  </si>
  <si>
    <t>25D-HELIXA-FOAM-74.50X71.50X50MM</t>
  </si>
  <si>
    <t>25D-HELIXA-FOAM-77.50X29.50X50MM</t>
  </si>
  <si>
    <t>25D-HELIXA-FOAM-77.50X32.50X50MM</t>
  </si>
  <si>
    <t>25D-HELIXA-FOAM-77.50X35.50X50MM</t>
  </si>
  <si>
    <t>25D-HELIXA-FOAM-77.50X38.50X50MM</t>
  </si>
  <si>
    <t>25D-HELIXA-FOAM-77.50X41.50X50MM</t>
  </si>
  <si>
    <t>25D-HELIXA-FOAM-77.50X44.50X50MM</t>
  </si>
  <si>
    <t>25D-HELIXA-FOAM-77.50X47.50X50MM</t>
  </si>
  <si>
    <t>25D-HELIXA-FOAM-77.50X50.50X50MM</t>
  </si>
  <si>
    <t>25D-HELIXA-FOAM-77.50X53.50X50MM</t>
  </si>
  <si>
    <t>25D-HELIXA-FOAM-77.50X56.50X50MM</t>
  </si>
  <si>
    <t>25D-HELIXA-FOAM-77.50X59.50X50MM</t>
  </si>
  <si>
    <t>25D-HELIXA-FOAM-77.50X62.50X50MM</t>
  </si>
  <si>
    <t>25D-HELIXA-FOAM-77.50X65.50X50MM</t>
  </si>
  <si>
    <t>25D-HELIXA-FOAM-77.50X68.50X50MM</t>
  </si>
  <si>
    <t>25D-HELIXA-FOAM-77.50X71.50X50MM</t>
  </si>
  <si>
    <t>25D-HELIXA-FOAM-79.50X29.50X50MM</t>
  </si>
  <si>
    <t>25D-HELIXA-FOAM-79.50X32.50X50MM</t>
  </si>
  <si>
    <t>25D-HELIXA-FOAM-79.50X35.50X50MM</t>
  </si>
  <si>
    <t>25D-HELIXA-FOAM-79.50X38.50X50MM</t>
  </si>
  <si>
    <t>25D-HELIXA-FOAM-79.50X41.50X50MM</t>
  </si>
  <si>
    <t>25D-HELIXA-FOAM-79.50X44.50X50MM</t>
  </si>
  <si>
    <t>25D-HELIXA-FOAM-79.50X47.50X50MM</t>
  </si>
  <si>
    <t>25D-HELIXA-FOAM-79.50X50.50X50MM</t>
  </si>
  <si>
    <t>25D-HELIXA-FOAM-79.50X53.50X50MM</t>
  </si>
  <si>
    <t>25D-HELIXA-FOAM-79.50X56.50X50MM</t>
  </si>
  <si>
    <t>25D-HELIXA-FOAM-79.50X59.50X50MM</t>
  </si>
  <si>
    <t>25D-HELIXA-FOAM-79.50X62.50X50MM</t>
  </si>
  <si>
    <t>25D-HELIXA-FOAM-79.50X65.50X50MM</t>
  </si>
  <si>
    <t>25D-HELIXA-FOAM-79.50X68.50X50MM</t>
  </si>
  <si>
    <t>25D-HELIXA-FOAM-79.50X71.50X50MM</t>
  </si>
  <si>
    <t>25D-HELIXA-FOAM-83.50X29.50X50MM</t>
  </si>
  <si>
    <t>25D-HELIXA-FOAM-83.50X32.50X50MM</t>
  </si>
  <si>
    <t>25D-HELIXA-FOAM-83.50X35.50X50MM</t>
  </si>
  <si>
    <t>25D-HELIXA-FOAM-83.50X38.50X50MM</t>
  </si>
  <si>
    <t>25D-HELIXA-FOAM-83.50X41.50X50MM</t>
  </si>
  <si>
    <t>25D-HELIXA-FOAM-83.50X44.50X50MM</t>
  </si>
  <si>
    <t>25D-HELIXA-FOAM-83.50X47.50X50MM</t>
  </si>
  <si>
    <t>25D-HELIXA-FOAM-83.50X50.50X50MM</t>
  </si>
  <si>
    <t>25D-HELIXA-FOAM-83.50X53.50X50MM</t>
  </si>
  <si>
    <t>25D-HELIXA-FOAM-83.50X56.50X50MM</t>
  </si>
  <si>
    <t>25D-HELIXA-FOAM-83.50X59.50X50MM</t>
  </si>
  <si>
    <t>25D-HELIXA-FOAM-83.50X62.50X50MM</t>
  </si>
  <si>
    <t>25D-HELIXA-FOAM-83.50X65.50X50MM</t>
  </si>
  <si>
    <t>25D-HELIXA-FOAM-83.50X68.50X50MM</t>
  </si>
  <si>
    <t>25D-HELIXA-FOAM-83.50X71.50X50MM</t>
  </si>
  <si>
    <t>25D-HELIXA-FOAM-12.50X12.50X50MM</t>
  </si>
  <si>
    <t>25D-HELIXA-FOAM-19.50X17.50X50MM</t>
  </si>
  <si>
    <t>32D-PU-FOAM-71.50X175MMX75MM</t>
  </si>
  <si>
    <t>32D-PU-FOAM-74.50X175MMX75MM</t>
  </si>
  <si>
    <t>32D-PU-FOAM-77.50X175MMX75MM</t>
  </si>
  <si>
    <t>32D-PU-FOAM-79.50X175MMX75MM</t>
  </si>
  <si>
    <t>32D-PU-FOAM-83.50X175MMX75MM</t>
  </si>
  <si>
    <t>32D-PU-FOAM-24X175MMX75MM</t>
  </si>
  <si>
    <t>32D-PU-FOAM-27X175MMX75MM</t>
  </si>
  <si>
    <t>32D-PU-FOAM-30X175MMX75MM</t>
  </si>
  <si>
    <t>32D-PU-FOAM-33X175MMX75MM</t>
  </si>
  <si>
    <t>32D-PU-FOAM-36X175MMX75MM</t>
  </si>
  <si>
    <t>32D-PU-FOAM-39X175MMX75MM</t>
  </si>
  <si>
    <t>32D-PU-FOAM-42X175MMX75MM</t>
  </si>
  <si>
    <t>32D-PU-FOAM-45X175MMX75MM</t>
  </si>
  <si>
    <t>32D-PU-FOAM-48X175MMX75MM</t>
  </si>
  <si>
    <t>32D-PU-FOAM-51X175MMX75MM</t>
  </si>
  <si>
    <t>32D-PU-FOAM-54X175MMX75MM</t>
  </si>
  <si>
    <t>32D-PU-FOAM-57X175MMX75MM</t>
  </si>
  <si>
    <t>32D-PU-FOAM-60X175MMX75MM</t>
  </si>
  <si>
    <t>32D-PU-FOAM-63X175MMX75MM</t>
  </si>
  <si>
    <t>32D-PU-FOAM-66X175MMX75MM</t>
  </si>
  <si>
    <t>32D-PU-FOAM-12.50X175MMX75MM</t>
  </si>
  <si>
    <t>32D-PU-FOAM-19.50X175MMX75MM</t>
  </si>
  <si>
    <t>32D-PU-FOAM-12X175MMX75MM</t>
  </si>
  <si>
    <t>32D-PU-FOAM-07X175MMX75MM</t>
  </si>
  <si>
    <t>LENGTH  /WIDTH FOAM SIDEWALL WEIGHT  FORMULA</t>
  </si>
  <si>
    <t>ROUND(DENSITY*LENGTH*0.0254*FOAM HEIGHT/1000*FOAM SIZE/1000,3)</t>
  </si>
  <si>
    <t>EXAMPLE:</t>
  </si>
  <si>
    <t>40MM SIDEWALL ,40 DENSITY, LENGTH SIZE -74.5 , HEIGHT-155</t>
  </si>
  <si>
    <t>ROUND(40*74.5*0.0254*155/1000*40/1000,3)</t>
  </si>
  <si>
    <t>TOP FOAM   /REBOUND   WEIGHT  FORMULA</t>
  </si>
  <si>
    <t>ROUND((DENSITY*LENGTH*0.0254*WIDTH*0.0254*(THICKNESS/1000)),3)</t>
  </si>
  <si>
    <t>100 DENSITY, LENGTH SIZE -74.5 , WIDTH SIZE-59.5 THICKNESS-20MM</t>
  </si>
  <si>
    <t>ROUND((100*74.5*0.0254*59.5*0.0254*(20/1000)),3)</t>
  </si>
  <si>
    <t>SNO</t>
  </si>
  <si>
    <t>ITEM</t>
  </si>
  <si>
    <t>VAREITY NAME</t>
  </si>
  <si>
    <t>HIGHT</t>
  </si>
  <si>
    <t>SIDEWALL MM</t>
  </si>
  <si>
    <t>TOPFOAM DENSITY</t>
  </si>
  <si>
    <t>TOPFOAM &amp; REBOUND 1 MM</t>
  </si>
  <si>
    <t>TOPFOAM &amp; REBOUND 2         MM</t>
  </si>
  <si>
    <t>TOP FOAM/ REBOUND</t>
  </si>
  <si>
    <t>HYPALRPKNLBLOR06</t>
  </si>
  <si>
    <t xml:space="preserve">ALLURA </t>
  </si>
  <si>
    <t>135MM</t>
  </si>
  <si>
    <t>25D-HELIXA-FOAM-</t>
  </si>
  <si>
    <t>HYPALRPKNLBLOR08</t>
  </si>
  <si>
    <t>155MM</t>
  </si>
  <si>
    <t>25MM</t>
  </si>
  <si>
    <t>HYPALRPKNLSTGR06</t>
  </si>
  <si>
    <t>HYPALRPKNLSTGR08</t>
  </si>
  <si>
    <t>HYPALRPKNLBLOR10</t>
  </si>
  <si>
    <t>175MM</t>
  </si>
  <si>
    <t>50MM</t>
  </si>
  <si>
    <t>HYPALRPKNLSTGR10</t>
  </si>
  <si>
    <t>SKPKLTGN06</t>
  </si>
  <si>
    <t>SPK POCKETED LATEX</t>
  </si>
  <si>
    <t>SKPKLTGN08</t>
  </si>
  <si>
    <t>SKPKLTGN10</t>
  </si>
  <si>
    <t>SKPKMFBL06</t>
  </si>
  <si>
    <t>SPK POCKETED MEMORY</t>
  </si>
  <si>
    <t>SKPKMFBL08</t>
  </si>
  <si>
    <t>SKPKMFBL10</t>
  </si>
  <si>
    <t>PEPSPKORGBW06</t>
  </si>
  <si>
    <t>115MM</t>
  </si>
  <si>
    <t>PEPSPKORGBW08</t>
  </si>
  <si>
    <t>PEPSPKORGBW10</t>
  </si>
  <si>
    <t>PEPSZENPKNLDB06</t>
  </si>
  <si>
    <t>ZENIMO NORMAL</t>
  </si>
  <si>
    <t>PEPSZENPKNLDB08</t>
  </si>
  <si>
    <t>RTHTMTPKMFRG06</t>
  </si>
  <si>
    <t>POCKETED FR MEMORY FOAM  REGULAR</t>
  </si>
  <si>
    <t>RTHTMTPKMFRG08</t>
  </si>
  <si>
    <t>RTHTMTPKMFRG10</t>
  </si>
  <si>
    <t>RTHTMTPKMFRG12</t>
  </si>
  <si>
    <t>RTHTMTPKRG06</t>
  </si>
  <si>
    <t>POCKETED FR   REGULAR</t>
  </si>
  <si>
    <t>RTHTMTPKRG08</t>
  </si>
  <si>
    <t>RTHTMTPKRG10</t>
  </si>
  <si>
    <t>RTHTMTPKRG12</t>
  </si>
  <si>
    <t>PEPSITETPKNL08</t>
  </si>
  <si>
    <t>SERNITO NORMAL</t>
  </si>
  <si>
    <t>PEPSITSTPKNL06</t>
  </si>
  <si>
    <t>PEPSPKSUPNLGR06</t>
  </si>
  <si>
    <t>SUPREME</t>
  </si>
  <si>
    <t>PEPSPKSUPNLGR08</t>
  </si>
  <si>
    <t>PEPSPKSUPNLGR10</t>
  </si>
  <si>
    <t>PEPSPKSUPNLBG06</t>
  </si>
  <si>
    <t>PEPSPKSUPNLBG08</t>
  </si>
  <si>
    <t>PEPSPKSUPNLBG10</t>
  </si>
  <si>
    <t>RTPKARPLMFNLBL06</t>
  </si>
  <si>
    <t>ARDENE MEMORY PLUS NORMAL</t>
  </si>
  <si>
    <t>RTPKARPLMFNLBL08</t>
  </si>
  <si>
    <t>RTPKARPLMFNLBL10</t>
  </si>
  <si>
    <t>RTPKARPLMFNLGR06</t>
  </si>
  <si>
    <t>RTPKARPLMFNLGR08</t>
  </si>
  <si>
    <t>RTPKARPLMFNLGR10</t>
  </si>
  <si>
    <t>RTPKARPLMFNLPR06</t>
  </si>
  <si>
    <t>RTPKARPLMFNLPR08</t>
  </si>
  <si>
    <t>RTPKARPLMFNLPR10</t>
  </si>
  <si>
    <t>RTPKARNLBW08</t>
  </si>
  <si>
    <t>ARDENE NORMAL</t>
  </si>
  <si>
    <t>RTPKARNLGR08</t>
  </si>
  <si>
    <t>RTPKCLNLCR06</t>
  </si>
  <si>
    <t>CAROUSEL NORMAL</t>
  </si>
  <si>
    <t>RTPKCLNLLB06</t>
  </si>
  <si>
    <t>RTPKFTNLBW10</t>
  </si>
  <si>
    <t>FONTAINE NORMAL</t>
  </si>
  <si>
    <t>RTPKFTNLLB10</t>
  </si>
  <si>
    <t>PEPSTRTPKDB06</t>
  </si>
  <si>
    <t>TARTANIA</t>
  </si>
  <si>
    <t>PEPSTRTPKDB08</t>
  </si>
  <si>
    <t>PEPSTRTPKGR06</t>
  </si>
  <si>
    <t>PEPSTRTPKGR08</t>
  </si>
  <si>
    <t>PEPSTRTPKMR06</t>
  </si>
  <si>
    <t>PEPSTRTPKMR08</t>
  </si>
  <si>
    <t>RTPKARNLCR06</t>
  </si>
  <si>
    <t>RTPKARNLLB06</t>
  </si>
  <si>
    <t>.</t>
  </si>
  <si>
    <t>RTPKFTETBW10</t>
  </si>
  <si>
    <t>FONTAINE EURO TOP</t>
  </si>
  <si>
    <t>RTPKFTETLB10</t>
  </si>
  <si>
    <t>RTPKCLETCR06</t>
  </si>
  <si>
    <t>CAROUSEL EURO TOP</t>
  </si>
  <si>
    <t>RTPKCLETLB06</t>
  </si>
  <si>
    <t>RTPKARETBW08</t>
  </si>
  <si>
    <t>ARDENE EURO TOP</t>
  </si>
  <si>
    <t>RTPKARETGR08</t>
  </si>
  <si>
    <t>RTHTMTPKPT06</t>
  </si>
  <si>
    <t>POCKETED FR PILLOW TOP</t>
  </si>
  <si>
    <t>RTHTMTPKPT08</t>
  </si>
  <si>
    <t>RTHTMTPKPT10</t>
  </si>
  <si>
    <t>RTHTMTPKPT12</t>
  </si>
  <si>
    <t>RTHTMTPKET06</t>
  </si>
  <si>
    <t>POCKETED FR EURO  TOP</t>
  </si>
  <si>
    <t>RTHTMTPKET08</t>
  </si>
  <si>
    <t>RTHTMTPKET10</t>
  </si>
  <si>
    <t>RTHTMTPKET12</t>
  </si>
  <si>
    <t>RTHTMTPKMFET06</t>
  </si>
  <si>
    <t>POCKETED FR  MEMORY FOAM EURO  TOP</t>
  </si>
  <si>
    <t>RTHTMTPKMFET08</t>
  </si>
  <si>
    <t>RTHTMTPKMFET10</t>
  </si>
  <si>
    <t>RTHTMTPKMFET12</t>
  </si>
  <si>
    <t>PEPSZENPKFTDB08</t>
  </si>
  <si>
    <t>ZENIMO FAUXTOP</t>
  </si>
  <si>
    <t>PEPSZENPKPTDB06</t>
  </si>
  <si>
    <t>ZENIMO PILLOW TOP</t>
  </si>
  <si>
    <t>PEPSZENPKPTDB08</t>
  </si>
  <si>
    <t>RTGPCSBG08</t>
  </si>
  <si>
    <t xml:space="preserve">CRYSTAL </t>
  </si>
  <si>
    <t>RTGPCSPW08</t>
  </si>
  <si>
    <t>RTGPCSBG06</t>
  </si>
  <si>
    <t>RTGPCSPW06</t>
  </si>
  <si>
    <t>RTGPCSBG10</t>
  </si>
  <si>
    <t>RTGPCSPW10</t>
  </si>
  <si>
    <t>RTPKARETPLLB08</t>
  </si>
  <si>
    <t>ARDENE EURO TOP PLUSH</t>
  </si>
  <si>
    <t>RTPKCLETPLCR06</t>
  </si>
  <si>
    <t>CAROUSEL  EURO TOP PLUSH</t>
  </si>
  <si>
    <t>RTPKCLETPLLB06</t>
  </si>
  <si>
    <t>RTPKCLPTPLCR06</t>
  </si>
  <si>
    <t>RTPKCLPTPLLB06</t>
  </si>
  <si>
    <t>RTPKCMSTCS06</t>
  </si>
  <si>
    <t>18D-PU-FOAM-</t>
  </si>
  <si>
    <t>RTPKCMSTHS06</t>
  </si>
  <si>
    <t>RTUPGPBW10</t>
  </si>
  <si>
    <t>GRAND PALAIS</t>
  </si>
  <si>
    <t>RTUPGPGR10</t>
  </si>
  <si>
    <t>RTUPGPBW08</t>
  </si>
  <si>
    <t>RTUPGPGR08</t>
  </si>
  <si>
    <t>RTUPGPBW06</t>
  </si>
  <si>
    <t>RTUPGPGR06</t>
  </si>
  <si>
    <t>RTUPGPBW12</t>
  </si>
  <si>
    <t>RTUPGPGR12</t>
  </si>
  <si>
    <t>RTVHETPT08</t>
  </si>
  <si>
    <t>RTVHETPT10</t>
  </si>
  <si>
    <t>RTVHETPT12</t>
  </si>
  <si>
    <t>RTVHETET08</t>
  </si>
  <si>
    <t>RTVHETET10</t>
  </si>
  <si>
    <t>RTVHETET12</t>
  </si>
  <si>
    <t>PEPSITETPKET08</t>
  </si>
  <si>
    <t>ENCHANTO EURO TOP</t>
  </si>
  <si>
    <t>RTPKARPLMFETBL06</t>
  </si>
  <si>
    <t>ARDENE MEMORY PLUS EUROTOP</t>
  </si>
  <si>
    <t>RTPKARPLMFETBL08</t>
  </si>
  <si>
    <t>RTPKARPLMFETBL10</t>
  </si>
  <si>
    <t>RTPKARPLMFETGR06</t>
  </si>
  <si>
    <t>RTPKARPLMFETGR08</t>
  </si>
  <si>
    <t>RTPKARPLMFETGR10</t>
  </si>
  <si>
    <t>RTPKARPLMFETPR06</t>
  </si>
  <si>
    <t>RTPKARPLMFETPR08</t>
  </si>
  <si>
    <t>RTPKARPLMFETPR10</t>
  </si>
  <si>
    <t>RTPKARPLMFPTBL06</t>
  </si>
  <si>
    <t>ARDENE MEMORY PLUS PILLOWTOP</t>
  </si>
  <si>
    <t>RTPKARPLMFPTBL08</t>
  </si>
  <si>
    <t>RTPKARPLMFPTBL10</t>
  </si>
  <si>
    <t>RTPKARPLMFPTGR06</t>
  </si>
  <si>
    <t>RTPKARPLMFPTGR08</t>
  </si>
  <si>
    <t>RTPKARPLMFPTGR10</t>
  </si>
  <si>
    <t>RTPKARPLMFPTPR06</t>
  </si>
  <si>
    <t>RTPKARPLMFPTPR08</t>
  </si>
  <si>
    <t>RTPKARPLMFPTPR10</t>
  </si>
  <si>
    <t>RTPKCMULTSTCS06</t>
  </si>
  <si>
    <t>RTPKCMULTSTCS08</t>
  </si>
  <si>
    <t>PEPSITICOPKCT08</t>
  </si>
  <si>
    <t>ICONA CROWN TOP</t>
  </si>
  <si>
    <t>PEPSITICOPKCT10</t>
  </si>
  <si>
    <t>PEPSITICOPKCT12</t>
  </si>
  <si>
    <t>PEPSITMGPKFT08</t>
  </si>
  <si>
    <t>MAGNIFICO FAUXTOP</t>
  </si>
  <si>
    <t>PEPSITMGPKFT10</t>
  </si>
  <si>
    <t>PEPSITMGPKFT12</t>
  </si>
  <si>
    <t>SKSGSR08</t>
  </si>
  <si>
    <t>SPINE GUARD</t>
  </si>
  <si>
    <t>100D-RB-FOAM-</t>
  </si>
  <si>
    <t>SKSGSR10</t>
  </si>
  <si>
    <t>HYPCASBNNLMR10</t>
  </si>
  <si>
    <t>CASPIA</t>
  </si>
  <si>
    <t>HYPCASBNNLMR06</t>
  </si>
  <si>
    <t>HYPCASBNNLMR08</t>
  </si>
  <si>
    <t>HYPCASBNNLNB10</t>
  </si>
  <si>
    <t>HYPCASBNNLNB06</t>
  </si>
  <si>
    <t>HYPCASBNNLNB08</t>
  </si>
  <si>
    <t>RTBNGVBG08</t>
  </si>
  <si>
    <t>GENEVA NORMAL</t>
  </si>
  <si>
    <t>RTBNGVETBG08</t>
  </si>
  <si>
    <t>GENEVA EURO TOP</t>
  </si>
  <si>
    <t>RTBNGVETLB08</t>
  </si>
  <si>
    <t>RTBNGVLB08</t>
  </si>
  <si>
    <t>RTBNGVPTBG08</t>
  </si>
  <si>
    <t>GENEVA PILLOW TOP</t>
  </si>
  <si>
    <t>RTBNGVPTLB08</t>
  </si>
  <si>
    <t>RTBNOPBG10</t>
  </si>
  <si>
    <t>OPULENCE NORMAL</t>
  </si>
  <si>
    <t>RTBNOPETBG10</t>
  </si>
  <si>
    <t>OPULENCE EUROTOP</t>
  </si>
  <si>
    <t>RTBNOPETLB10</t>
  </si>
  <si>
    <t>RTBNOPLB10</t>
  </si>
  <si>
    <t>RTBNOPPTBG10</t>
  </si>
  <si>
    <t>OPULENCE PILLOW TOP</t>
  </si>
  <si>
    <t>RTBNOPPTLB10</t>
  </si>
  <si>
    <t>RTBNSNBG06</t>
  </si>
  <si>
    <t>SANIBEL NORMAL</t>
  </si>
  <si>
    <t>RTBNSNETBG06</t>
  </si>
  <si>
    <t>SANIBEL EURO TOP</t>
  </si>
  <si>
    <t>RTBNSNETGR06</t>
  </si>
  <si>
    <t>RTBNSNETMR06</t>
  </si>
  <si>
    <t>RTBNSNGR06</t>
  </si>
  <si>
    <t>RTBNSNMR06</t>
  </si>
  <si>
    <t>RTBNSNPTBG06</t>
  </si>
  <si>
    <t>SANIBEL PILLOW TOP</t>
  </si>
  <si>
    <t>RTBNSNPTGR06</t>
  </si>
  <si>
    <t>RTBNSNPTMR06</t>
  </si>
  <si>
    <t>RTHTMTBNET06</t>
  </si>
  <si>
    <t>BONNELL FR EURO TOP</t>
  </si>
  <si>
    <t>RTHTMTBNET08</t>
  </si>
  <si>
    <t>RTHTMTBNET10</t>
  </si>
  <si>
    <t>RTHTMTBNET12</t>
  </si>
  <si>
    <t>RTHTMTBNMFET06</t>
  </si>
  <si>
    <t>BONNELL FR EURO TOP WITH MEMORY FOAM</t>
  </si>
  <si>
    <t>RTHTMTBNMFET08</t>
  </si>
  <si>
    <t>RTHTMTBNMFET10</t>
  </si>
  <si>
    <t>RTHTMTBNMFET12</t>
  </si>
  <si>
    <t>RTHTMTBNMFRG06</t>
  </si>
  <si>
    <t>BONNELL FR REGULAR WITH MEMORY FOAM</t>
  </si>
  <si>
    <t>RTHTMTBNMFRG08</t>
  </si>
  <si>
    <t>RTHTMTBNMFRG10</t>
  </si>
  <si>
    <t>RTHTMTBNMFRG12</t>
  </si>
  <si>
    <t>RTHTMTBNPT06</t>
  </si>
  <si>
    <t>BONNELL FR PILLOW TOP</t>
  </si>
  <si>
    <t>RTHTMTBNPT08</t>
  </si>
  <si>
    <t>RTHTMTBNPT10</t>
  </si>
  <si>
    <t>RTHTMTBNPT12</t>
  </si>
  <si>
    <t>RTHTMTBNRG06</t>
  </si>
  <si>
    <t>BONNELL FR REGULAR</t>
  </si>
  <si>
    <t>RTHTMTBNRG08</t>
  </si>
  <si>
    <t>RTHTMTBNRG10</t>
  </si>
  <si>
    <t>RTHTMTBNRG12</t>
  </si>
  <si>
    <t>SKBNNLBW05</t>
  </si>
  <si>
    <t>SPK MORMAL</t>
  </si>
  <si>
    <t>SKBNNLBW06</t>
  </si>
  <si>
    <t>SKBNNLBW08</t>
  </si>
  <si>
    <t>SKBNNLBW10</t>
  </si>
  <si>
    <t>SKBNNLCR10</t>
  </si>
  <si>
    <t>SKBNNLCR05</t>
  </si>
  <si>
    <t>SKBNNLCR06</t>
  </si>
  <si>
    <t>SKBNNLCR08</t>
  </si>
  <si>
    <t>SKBNNLDB10</t>
  </si>
  <si>
    <t>SKBNNLDB05</t>
  </si>
  <si>
    <t>SKBNNLDB06</t>
  </si>
  <si>
    <t>SKBNNLDB08</t>
  </si>
  <si>
    <t>SKBNNLMR10</t>
  </si>
  <si>
    <t>SKBNNLMR05</t>
  </si>
  <si>
    <t>SKBNNLMR06</t>
  </si>
  <si>
    <t>SKBNNLMR08</t>
  </si>
  <si>
    <t>SKBNPTBW10</t>
  </si>
  <si>
    <t>SPK PILLOW TOP</t>
  </si>
  <si>
    <t>SKBNPTBW06</t>
  </si>
  <si>
    <t>SKBNPTBW08</t>
  </si>
  <si>
    <t>SKBNPTCR10</t>
  </si>
  <si>
    <t>SKBNPTCR06</t>
  </si>
  <si>
    <t>SKBNPTCR08</t>
  </si>
  <si>
    <t>SKBNPTDB10</t>
  </si>
  <si>
    <t>SKBNPTDB06</t>
  </si>
  <si>
    <t>SKBNPTDB08</t>
  </si>
  <si>
    <t>SKBNPTMR10</t>
  </si>
  <si>
    <t>SKBNPTMR06</t>
  </si>
  <si>
    <t>SKBNPTMR08</t>
  </si>
  <si>
    <t>SKSGSR05</t>
  </si>
  <si>
    <t>95MM</t>
  </si>
  <si>
    <t>SKSGSR06</t>
  </si>
  <si>
    <t>SKBNNLKFDB05</t>
  </si>
  <si>
    <t>SPK-KNIT</t>
  </si>
  <si>
    <t>SKBNNLKFDB06</t>
  </si>
  <si>
    <t>SKBNNLKFDB08</t>
  </si>
  <si>
    <t>SKBNNLKFDB10</t>
  </si>
  <si>
    <t>SKBNNLKFBG05</t>
  </si>
  <si>
    <t>SKBNNLKFBG06</t>
  </si>
  <si>
    <t>SKBNNLKFBG08</t>
  </si>
  <si>
    <t>SKBNNLKFBG10</t>
  </si>
  <si>
    <t>SKBNNLKFCR05</t>
  </si>
  <si>
    <t>SKBNNLKFCR06</t>
  </si>
  <si>
    <t>SKBNNLKFCR08</t>
  </si>
  <si>
    <t>SKBNNLKFCR10</t>
  </si>
  <si>
    <t>SKBNNLKFLG05</t>
  </si>
  <si>
    <t>SKBNNLKFLG06</t>
  </si>
  <si>
    <t>SKBNNLKFLG08</t>
  </si>
  <si>
    <t>SKBNNLKFLG10</t>
  </si>
  <si>
    <t>SKBNNLKFBW05</t>
  </si>
  <si>
    <t>SKBNNLKFBW06</t>
  </si>
  <si>
    <t>SKBNNLKFBW08</t>
  </si>
  <si>
    <t>SKBNNLKFBW10</t>
  </si>
  <si>
    <t>SKBNNLKFMR05</t>
  </si>
  <si>
    <t>SKBNNLKFMR06</t>
  </si>
  <si>
    <t>SKBNNLKFMR08</t>
  </si>
  <si>
    <t>SKBNNLKFMR10</t>
  </si>
  <si>
    <t>SKBNCTGR06</t>
  </si>
  <si>
    <t>SPK CROWN TOP</t>
  </si>
  <si>
    <t>SKBNCTGR08</t>
  </si>
  <si>
    <t>SKBNCTGR10</t>
  </si>
  <si>
    <t>SKBNCTDB06</t>
  </si>
  <si>
    <t>SKBNCTDB08</t>
  </si>
  <si>
    <t>SKBNCTDB10</t>
  </si>
  <si>
    <t>SKBNCTMR06</t>
  </si>
  <si>
    <t>SKBNCTMR08</t>
  </si>
  <si>
    <t>SKBNCTMR10</t>
  </si>
  <si>
    <t>PEPSBNCOMNLBG06</t>
  </si>
  <si>
    <t>COMFORT</t>
  </si>
  <si>
    <t>PEPSBNCOMNLBG08</t>
  </si>
  <si>
    <t>PEPSBNCOMNLBG10</t>
  </si>
  <si>
    <t>PEPSBNCOMNLGR06</t>
  </si>
  <si>
    <t>PEPSBNCOMNLGR08</t>
  </si>
  <si>
    <t>PEPSBNCOMNLGR10</t>
  </si>
  <si>
    <t>PEPSBNCOMNLPK06</t>
  </si>
  <si>
    <t>PEPSBNCOMNLPK08</t>
  </si>
  <si>
    <t>PEPSBNCOMNLPK10</t>
  </si>
  <si>
    <t>RTBNSNPLMFNLGR06</t>
  </si>
  <si>
    <t>SANIBEL MEMORY PLUS NORMAL</t>
  </si>
  <si>
    <t>RTBNSNPLMFNLGR08</t>
  </si>
  <si>
    <t>RTBNSNPLMFNLGR10</t>
  </si>
  <si>
    <t>RTBNSNPLMFNLPR06</t>
  </si>
  <si>
    <t>RTBNSNPLMFNLPR08</t>
  </si>
  <si>
    <t>RTBNSNPLMFNLPR10</t>
  </si>
  <si>
    <t>RTBNSNPLMFPTPR06</t>
  </si>
  <si>
    <t>SANIBEL MEMORY PLUS PILLOW TOP</t>
  </si>
  <si>
    <t>RTBNSNPLMFPTPR08</t>
  </si>
  <si>
    <t>RTBNSNPLMFPTPR10</t>
  </si>
  <si>
    <t>RTBNSNPLMFPTGR06</t>
  </si>
  <si>
    <t>RTBNSNPLMFPTGR08</t>
  </si>
  <si>
    <t>RTBNSNPLMFPTGR10</t>
  </si>
  <si>
    <t>RTBNSNPLMFETGR06</t>
  </si>
  <si>
    <t>RTBNSNPLMFETGR08</t>
  </si>
  <si>
    <t>RTBNSNPLMFETGR10</t>
  </si>
  <si>
    <t>RTBNSNPLMFETPR06</t>
  </si>
  <si>
    <t>RTBNSNPLMFETPR08</t>
  </si>
  <si>
    <t>RTBNSNPLMFETPR10</t>
  </si>
  <si>
    <t>RTHTMTBNOPT06</t>
  </si>
  <si>
    <t>SPK ONE SIDE PILLOW TOP</t>
  </si>
  <si>
    <t>RTHTMTBNOPT08</t>
  </si>
  <si>
    <t>RTHTMTBNOPT10</t>
  </si>
  <si>
    <t xml:space="preserve">UNIT SIZE </t>
  </si>
  <si>
    <t>TOTAL WEIGHT</t>
  </si>
  <si>
    <t>THICKNESS</t>
  </si>
  <si>
    <t>72X30</t>
  </si>
  <si>
    <t>72X33</t>
  </si>
  <si>
    <t>72X36</t>
  </si>
  <si>
    <t>72X39</t>
  </si>
  <si>
    <t>72X42</t>
  </si>
  <si>
    <t>72X45</t>
  </si>
  <si>
    <t>72X48</t>
  </si>
  <si>
    <t>72X51</t>
  </si>
  <si>
    <t>72X54</t>
  </si>
  <si>
    <t>72X57</t>
  </si>
  <si>
    <t>72X60</t>
  </si>
  <si>
    <t>72X63</t>
  </si>
  <si>
    <t>72X66</t>
  </si>
  <si>
    <t>72X69</t>
  </si>
  <si>
    <t>72X72</t>
  </si>
  <si>
    <t>75X30</t>
  </si>
  <si>
    <t>75X33</t>
  </si>
  <si>
    <t>75X36</t>
  </si>
  <si>
    <t>40D-PU-FOAM-29.5.50X135MMX40MM</t>
  </si>
  <si>
    <t>75X39</t>
  </si>
  <si>
    <t>40D-PU-FOAM-32.5.50X135MMX40MM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</si>
  <si>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</si>
  <si>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</si>
  <si>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</si>
  <si>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</si>
  <si>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</si>
  <si>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</si>
  <si>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</si>
  <si>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</si>
  <si>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</si>
  <si>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</si>
  <si>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</si>
  <si>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</si>
  <si>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</si>
  <si>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</si>
  <si>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</si>
  <si>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</si>
  <si>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40D-PU-FOAM-29.5.50X155MMX40MM</t>
  </si>
  <si>
    <t>78X45</t>
  </si>
  <si>
    <t>40D-PU-FOAM-32.5.50X155MMX40MM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</si>
  <si>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</si>
  <si>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</si>
  <si>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</si>
  <si>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</si>
  <si>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</si>
  <si>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</si>
  <si>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</si>
  <si>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</si>
  <si>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</si>
  <si>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</si>
  <si>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</si>
  <si>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</si>
  <si>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</si>
  <si>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</si>
  <si>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</si>
  <si>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</si>
  <si>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40D-PU-FOAM-29.5.50X175MMX40MM</t>
  </si>
  <si>
    <t>80X51</t>
  </si>
  <si>
    <t>40D-PU-FOAM-32.5.50X175MMX40MM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</si>
  <si>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</si>
  <si>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</si>
  <si>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</si>
  <si>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</si>
  <si>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</si>
  <si>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</si>
  <si>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</si>
  <si>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</si>
  <si>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</si>
  <si>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</si>
  <si>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</si>
  <si>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</si>
  <si>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</si>
  <si>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</si>
  <si>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</si>
  <si>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</si>
  <si>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40D-PU-FOAM-29.5.50X205MMX40MM</t>
  </si>
  <si>
    <t>84X57</t>
  </si>
  <si>
    <t>40D-PU-FOAM-32.5.50X205MMX40MM</t>
  </si>
  <si>
    <t>84X60</t>
  </si>
  <si>
    <t>84X63</t>
  </si>
  <si>
    <t>84X66</t>
  </si>
  <si>
    <t>84X69</t>
  </si>
  <si>
    <t>84X72</t>
  </si>
  <si>
    <t>13X13</t>
  </si>
  <si>
    <t>20X18</t>
  </si>
  <si>
    <t>MATTRESS VARIETY</t>
  </si>
  <si>
    <t>INCH</t>
  </si>
  <si>
    <t>MATRESS SIZE</t>
  </si>
  <si>
    <t>BONNELL</t>
  </si>
  <si>
    <t>06"</t>
  </si>
  <si>
    <t>SKSGSR80X60X06</t>
  </si>
  <si>
    <t>08"</t>
  </si>
  <si>
    <t>10"</t>
  </si>
  <si>
    <t>HYPCASBNNLMR80X60X06</t>
  </si>
  <si>
    <t>HYPCASBNNLMR80X60X08</t>
  </si>
  <si>
    <t>HYPCASBNNLMR80X60X10</t>
  </si>
  <si>
    <t>RTBNGVBG80X60X08</t>
  </si>
  <si>
    <t>RTBNOPBG80X60X10</t>
  </si>
  <si>
    <t>OPULENCE EURO TOP</t>
  </si>
  <si>
    <t>RTBNOPETBG80X60X10</t>
  </si>
  <si>
    <t>RTBNOPPTBG80X60X10</t>
  </si>
  <si>
    <t>RTBNSNBG80X60X06</t>
  </si>
  <si>
    <t>RTBNSNETBG80X60X06</t>
  </si>
  <si>
    <t>SANIBEL PILLOW TOP TOP</t>
  </si>
  <si>
    <t>RTBNSNPTBG80X60X06</t>
  </si>
  <si>
    <t>RTHTMTBNET80X60X06</t>
  </si>
  <si>
    <t>RTHTMTBNET80X60X08</t>
  </si>
  <si>
    <t>RTHTMTBNET80X60X10</t>
  </si>
  <si>
    <t>12"</t>
  </si>
  <si>
    <t>RTHTMTBNET80X60X12</t>
  </si>
  <si>
    <t>BONNELL FR  MEMOERY EURO TOP</t>
  </si>
  <si>
    <t>BONNELL FR  REGULAR</t>
  </si>
  <si>
    <t>RTHTMTBNMFRG80X60X06</t>
  </si>
  <si>
    <t>RTHTMTBNMFRG80X60X08</t>
  </si>
  <si>
    <t>RTHTMTBNMFRG80X60X10</t>
  </si>
  <si>
    <t>RTHTMTBNMFRG80X60X12</t>
  </si>
  <si>
    <t>BONNELL FR  PILLOW TOP</t>
  </si>
  <si>
    <t>RTHTMTBNPT80X60X06</t>
  </si>
  <si>
    <t>RTHTMTBNPT80X60X08</t>
  </si>
  <si>
    <t>RTHTMTBNPT80X60X10</t>
  </si>
  <si>
    <t>RTHTMTBNPT80X60X12</t>
  </si>
  <si>
    <t>SPK -NORMAL</t>
  </si>
  <si>
    <t>05"</t>
  </si>
  <si>
    <t>SKBNNLBW80X60X05</t>
  </si>
  <si>
    <t>SKBNNLBW80X60X06</t>
  </si>
  <si>
    <t>SKBNNLBW80X60X08</t>
  </si>
  <si>
    <t>SKBNNLBW80X60X10</t>
  </si>
  <si>
    <t>SKBNNLKFDB80X60X05</t>
  </si>
  <si>
    <t>SKBNNLKFDB80X60X06</t>
  </si>
  <si>
    <t>SKBNNLKFDB80X60X08</t>
  </si>
  <si>
    <t>SKBNNLKFDB80X60X10</t>
  </si>
  <si>
    <t>SPK-PILLOW TOP</t>
  </si>
  <si>
    <t>SKBNPTBW80X60X06</t>
  </si>
  <si>
    <t>SKBNPTBW80X60X08</t>
  </si>
  <si>
    <t>SKBNPTBW80X60X10</t>
  </si>
  <si>
    <t>SPK-CROWN TOP</t>
  </si>
  <si>
    <t>SKBNCTGR80X60X06</t>
  </si>
  <si>
    <t>SKBNCTGR80X60X08</t>
  </si>
  <si>
    <t>SKBNCTGR80X60X10</t>
  </si>
  <si>
    <t xml:space="preserve">COMFORT </t>
  </si>
  <si>
    <t>PEPSBNCOMNLBG80X60X06</t>
  </si>
  <si>
    <t>PEPSBNCOMNLBG80X60X08</t>
  </si>
  <si>
    <t>PEPSBNCOMNLBG80X60X10</t>
  </si>
  <si>
    <t>RTBNSNPLMFNLGR80X60X06</t>
  </si>
  <si>
    <t>RTBNSNPLMFNLGR80X60X08</t>
  </si>
  <si>
    <t>RTBNSNPLMFNLGR80X60X10</t>
  </si>
  <si>
    <t>RTBNSNPLMFPTPR80X60X06</t>
  </si>
  <si>
    <t>RTBNSNPLMFPTPR80X60X08</t>
  </si>
  <si>
    <t>RTBNSNPLMFPTPR80X60X10</t>
  </si>
  <si>
    <t>SANIBEL MEMORY PLUS EURO TOP</t>
  </si>
  <si>
    <t>RTBNSNPLMFETGR80X60X06</t>
  </si>
  <si>
    <t>RTBNSNPLMFETGR80X60X08</t>
  </si>
  <si>
    <t>RTBNSNPLMFETGR80X60X10</t>
  </si>
  <si>
    <t>ONESIDE PILLOW TOP</t>
  </si>
  <si>
    <t>RTHTMTBNOPT80X60X06</t>
  </si>
  <si>
    <t>RTHTMTBNOPT80X60X08</t>
  </si>
  <si>
    <t>RTHTMTBNOPT80X60X10</t>
  </si>
  <si>
    <t>POC</t>
  </si>
  <si>
    <t>HYPALRPKNLBLOR80X60X10</t>
  </si>
  <si>
    <t>SKPKLTGN80X60X06</t>
  </si>
  <si>
    <t>SKPKLTGN80X60X08</t>
  </si>
  <si>
    <t>SKPKLTGN80X60X10</t>
  </si>
  <si>
    <t>SKPKMFBL80X60X06</t>
  </si>
  <si>
    <t>SKPKMFBL80X60X08</t>
  </si>
  <si>
    <t>SKPKMFBL80X60X10</t>
  </si>
  <si>
    <t>PEPSZENPKNLDB80X60X06</t>
  </si>
  <si>
    <t>PEPSZENPKNLDB80X60X08</t>
  </si>
  <si>
    <t>POC FR REGULAR</t>
  </si>
  <si>
    <t>RTHTMTPKMFRG80X60X06</t>
  </si>
  <si>
    <t>RTHTMTPKMFRG80X60X08</t>
  </si>
  <si>
    <t>RTHTMTPKMFRG80X60X10</t>
  </si>
  <si>
    <t>RTHTMTPKMFRG80X60X12</t>
  </si>
  <si>
    <t>SL.NO</t>
  </si>
  <si>
    <t>1</t>
  </si>
  <si>
    <t>2</t>
  </si>
  <si>
    <t>3</t>
  </si>
  <si>
    <t>4</t>
  </si>
  <si>
    <t>5</t>
  </si>
  <si>
    <t>L</t>
  </si>
  <si>
    <t>W</t>
  </si>
  <si>
    <t>H</t>
  </si>
  <si>
    <t>L1</t>
  </si>
  <si>
    <t>W1</t>
  </si>
  <si>
    <t>STD-L</t>
  </si>
  <si>
    <t>STD-W</t>
  </si>
  <si>
    <t>UNIT SIZE</t>
  </si>
  <si>
    <t>STD ITEMCODE</t>
  </si>
  <si>
    <t xml:space="preserve">VARIETY </t>
  </si>
  <si>
    <t>ACTUAL  LENGTH</t>
  </si>
  <si>
    <t>ACTUAL WIDTH</t>
  </si>
  <si>
    <t>TOP FOAM/REBOUND LENGTH</t>
  </si>
  <si>
    <t>TOP FOAM / REBOUND WIDTH</t>
  </si>
  <si>
    <t>Column1</t>
  </si>
  <si>
    <t>LENGTHSIZE</t>
  </si>
  <si>
    <t>WIDTHSIZE</t>
  </si>
  <si>
    <t>QTY2</t>
  </si>
  <si>
    <t>TOPFOAM/REBOUND1</t>
  </si>
  <si>
    <t>QTY3</t>
  </si>
  <si>
    <t>TOPFOAM/REBOUND14</t>
  </si>
  <si>
    <t>QTY5</t>
  </si>
  <si>
    <t>QTY4</t>
  </si>
  <si>
    <t>Row Labels</t>
  </si>
  <si>
    <t>Sum of QTY</t>
  </si>
  <si>
    <t>(blank)</t>
  </si>
  <si>
    <t>Grand Total</t>
  </si>
  <si>
    <t>item code</t>
  </si>
  <si>
    <t>T1</t>
  </si>
  <si>
    <t>FOAM HEIGHT</t>
  </si>
  <si>
    <t>ITEMCODE</t>
  </si>
  <si>
    <t/>
  </si>
  <si>
    <t>Total</t>
  </si>
  <si>
    <t>PEPSPKSUPNLBL06</t>
  </si>
  <si>
    <t>PEPSPKSUPNLBL08</t>
  </si>
  <si>
    <t>PEPSPKSUPNLBL10</t>
  </si>
  <si>
    <t>PEPSBNCOMNLDB06</t>
  </si>
  <si>
    <t>PEPSBNCOMNLDB08</t>
  </si>
  <si>
    <t>PEPSBNCOMNLDB10</t>
  </si>
  <si>
    <t>URGENCY</t>
  </si>
  <si>
    <t>32D-HARD-FOAM-71.50X115MMX40MM</t>
  </si>
  <si>
    <t>32D-HARD-FOAM-74.50X115MMX40MM</t>
  </si>
  <si>
    <t>32D-HARD-FOAM-77.50X115MMX40MM</t>
  </si>
  <si>
    <t>32D-HARD-FOAM-79.50X115MMX40MM</t>
  </si>
  <si>
    <t>32D-HARD-FOAM-83.50X115MMX40MM</t>
  </si>
  <si>
    <t>32D-HARD-FOAM-12.50X115MMX40MM</t>
  </si>
  <si>
    <t>32D-HARD-FOAM-19.50X115MMX40MM</t>
  </si>
  <si>
    <t>32D-HARD-FOAM-71.50X135MMX40MM</t>
  </si>
  <si>
    <t>32D-HARD-FOAM-74.50X135MMX40MM</t>
  </si>
  <si>
    <t>32D-HARD-FOAM-77.50X135MMX40MM</t>
  </si>
  <si>
    <t>32D-HARD-FOAM-79.50X135MMX40MM</t>
  </si>
  <si>
    <t>32D-HARD-FOAM-83.50X135MMX40MM</t>
  </si>
  <si>
    <t>32D-HARD-FOAM-12.50X135MMX40MM</t>
  </si>
  <si>
    <t>32D-HARD-FOAM-19.50X135MMX40MM</t>
  </si>
  <si>
    <t>32D-HARD-FOAM-71.50X155MMX40MM</t>
  </si>
  <si>
    <t>32D-HARD-FOAM-74.50X155MMX40MM</t>
  </si>
  <si>
    <t>32D-HARD-FOAM-77.50X155MMX40MM</t>
  </si>
  <si>
    <t>32D-HARD-FOAM-79.50X155MMX40MM</t>
  </si>
  <si>
    <t>32D-HARD-FOAM-83.50X155MMX40MM</t>
  </si>
  <si>
    <t>32D-HARD-FOAM-12.50X155MMX40MM</t>
  </si>
  <si>
    <t>32D-HARD-FOAM-19.50X155MMX40MM</t>
  </si>
  <si>
    <t>32D-HARD-FOAM-71.50X175MMX40MM</t>
  </si>
  <si>
    <t>32D-HARD-FOAM-74.50X175MMX40MM</t>
  </si>
  <si>
    <t>32D-HARD-FOAM-77.50X175MMX40MM</t>
  </si>
  <si>
    <t>32D-HARD-FOAM-79.50X175MMX40MM</t>
  </si>
  <si>
    <t>32D-HARD-FOAM-83.50X175MMX40MM</t>
  </si>
  <si>
    <t>32D-HARD-FOAM-12.50X175MMX40MM</t>
  </si>
  <si>
    <t>32D-HARD-FOAM-19.50X175MMX40MM</t>
  </si>
  <si>
    <t>32D-HARD-FOAM-71.50X205MMX40MM</t>
  </si>
  <si>
    <t>32D-HARD-FOAM-74.50X205MMX40MM</t>
  </si>
  <si>
    <t>32D-HARD-FOAM-77.50X205MMX40MM</t>
  </si>
  <si>
    <t>32D-HARD-FOAM-79.50X205MMX40MM</t>
  </si>
  <si>
    <t>32D-HARD-FOAM-83.50X205MMX40MM</t>
  </si>
  <si>
    <t>32D-HARD-FOAM-12.50X205MMX40MM</t>
  </si>
  <si>
    <t>32D-HARD-FOAM-19.50X205MMX40MM</t>
  </si>
  <si>
    <t>32D-HARD-FOAM-71.50X175MMX75MM</t>
  </si>
  <si>
    <t>32D-HARD-FOAM-74.50X175MMX75MM</t>
  </si>
  <si>
    <t>32D-HARD-FOAM-77.50X175MMX75MM</t>
  </si>
  <si>
    <t>32D-HARD-FOAM-79.50X175MMX75MM</t>
  </si>
  <si>
    <t>32D-HARD-FOAM-83.50X175MMX75MM</t>
  </si>
  <si>
    <t>32D-HARD-FOAM-12.50X175MMX75MM</t>
  </si>
  <si>
    <t>32D-HARD-FOAM-19.50X175MMX75MM</t>
  </si>
  <si>
    <t>32D-HARD-FOAM-26.50X115MMX40MM</t>
  </si>
  <si>
    <t>32D-HARD-FOAM-29.50X115MMX40MM</t>
  </si>
  <si>
    <t>32D-HARD-FOAM-32.50X115MMX40MM</t>
  </si>
  <si>
    <t>32D-HARD-FOAM-35.50X115MMX40MM</t>
  </si>
  <si>
    <t>32D-HARD-FOAM-38.50X115MMX40MM</t>
  </si>
  <si>
    <t>32D-HARD-FOAM-41.50X115MMX40MM</t>
  </si>
  <si>
    <t>32D-HARD-FOAM-44.50X115MMX40MM</t>
  </si>
  <si>
    <t>32D-HARD-FOAM-47.50X115MMX40MM</t>
  </si>
  <si>
    <t>32D-HARD-FOAM-50.50X115MMX40MM</t>
  </si>
  <si>
    <t>32D-HARD-FOAM-53.50X115MMX40MM</t>
  </si>
  <si>
    <t>32D-HARD-FOAM-56.50X115MMX40MM</t>
  </si>
  <si>
    <t>32D-HARD-FOAM-59.50X115MMX40MM</t>
  </si>
  <si>
    <t>32D-HARD-FOAM-62.50X115MMX40MM</t>
  </si>
  <si>
    <t>32D-HARD-FOAM-65.50X115MMX40MM</t>
  </si>
  <si>
    <t>32D-HARD-FOAM-68.50X115MMX40MM</t>
  </si>
  <si>
    <t>32D-HARD-FOAM-14.50X115MMX40MM</t>
  </si>
  <si>
    <t>32D-HARD-FOAM-26.50X135MMX40MM</t>
  </si>
  <si>
    <t>32D-HARD-FOAM-29.50X135MMX40MM</t>
  </si>
  <si>
    <t>32D-HARD-FOAM-32.50X135MMX40MM</t>
  </si>
  <si>
    <t>32D-HARD-FOAM-35.50X135MMX40MM</t>
  </si>
  <si>
    <t>32D-HARD-FOAM-38.50X135MMX40MM</t>
  </si>
  <si>
    <t>32D-HARD-FOAM-41.50X135MMX40MM</t>
  </si>
  <si>
    <t>32D-HARD-FOAM-44.50X135MMX40MM</t>
  </si>
  <si>
    <t>32D-HARD-FOAM-47.50X135MMX40MM</t>
  </si>
  <si>
    <t>32D-HARD-FOAM-50.50X135MMX40MM</t>
  </si>
  <si>
    <t>32D-HARD-FOAM-53.50X135MMX40MM</t>
  </si>
  <si>
    <t>32D-HARD-FOAM-56.50X135MMX40MM</t>
  </si>
  <si>
    <t>32D-HARD-FOAM-59.50X135MMX40MM</t>
  </si>
  <si>
    <t>32D-HARD-FOAM-62.50X135MMX40MM</t>
  </si>
  <si>
    <t>32D-HARD-FOAM-65.50X135MMX40MM</t>
  </si>
  <si>
    <t>32D-HARD-FOAM-68.50X135MMX40MM</t>
  </si>
  <si>
    <t>32D-HARD-FOAM-14.50X135MMX40MM</t>
  </si>
  <si>
    <t>32D-HARD-FOAM-26.50X155MMX40MM</t>
  </si>
  <si>
    <t>32D-HARD-FOAM-29.50X155MMX40MM</t>
  </si>
  <si>
    <t>32D-HARD-FOAM-32.50X155MMX40MM</t>
  </si>
  <si>
    <t>32D-HARD-FOAM-35.50X155MMX40MM</t>
  </si>
  <si>
    <t>32D-HARD-FOAM-38.50X155MMX40MM</t>
  </si>
  <si>
    <t>32D-HARD-FOAM-41.50X155MMX40MM</t>
  </si>
  <si>
    <t>32D-HARD-FOAM-44.50X155MMX40MM</t>
  </si>
  <si>
    <t>32D-HARD-FOAM-47.50X155MMX40MM</t>
  </si>
  <si>
    <t>32D-HARD-FOAM-50.50X155MMX40MM</t>
  </si>
  <si>
    <t>32D-HARD-FOAM-53.50X155MMX40MM</t>
  </si>
  <si>
    <t>32D-HARD-FOAM-56.50X155MMX40MM</t>
  </si>
  <si>
    <t>32D-HARD-FOAM-59.50X155MMX40MM</t>
  </si>
  <si>
    <t>32D-HARD-FOAM-62.50X155MMX40MM</t>
  </si>
  <si>
    <t>32D-HARD-FOAM-65.50X155MMX40MM</t>
  </si>
  <si>
    <t>32D-HARD-FOAM-68.50X155MMX40MM</t>
  </si>
  <si>
    <t>32D-HARD-FOAM-14.50X155MMX40MM</t>
  </si>
  <si>
    <t>32D-HARD-FOAM-26.50X175MMX40MM</t>
  </si>
  <si>
    <t>32D-HARD-FOAM-29.50X175MMX40MM</t>
  </si>
  <si>
    <t>32D-HARD-FOAM-32.50X175MMX40MM</t>
  </si>
  <si>
    <t>32D-HARD-FOAM-35.50X175MMX40MM</t>
  </si>
  <si>
    <t>32D-HARD-FOAM-38.50X175MMX40MM</t>
  </si>
  <si>
    <t>32D-HARD-FOAM-41.50X175MMX40MM</t>
  </si>
  <si>
    <t>32D-HARD-FOAM-44.50X175MMX40MM</t>
  </si>
  <si>
    <t>32D-HARD-FOAM-47.50X175MMX40MM</t>
  </si>
  <si>
    <t>32D-HARD-FOAM-50.50X175MMX40MM</t>
  </si>
  <si>
    <t>32D-HARD-FOAM-53.50X175MMX40MM</t>
  </si>
  <si>
    <t>32D-HARD-FOAM-56.50X175MMX40MM</t>
  </si>
  <si>
    <t>32D-HARD-FOAM-59.50X175MMX40MM</t>
  </si>
  <si>
    <t>32D-HARD-FOAM-62.50X175MMX40MM</t>
  </si>
  <si>
    <t>32D-HARD-FOAM-65.50X175MMX40MM</t>
  </si>
  <si>
    <t>32D-HARD-FOAM-68.50X175MMX40MM</t>
  </si>
  <si>
    <t>32D-HARD-FOAM-14.50X175MMX40MM</t>
  </si>
  <si>
    <t>32D-HARD-FOAM-26.50X205MMX40MM</t>
  </si>
  <si>
    <t>32D-HARD-FOAM-29.50X205MMX40MM</t>
  </si>
  <si>
    <t>32D-HARD-FOAM-32.50X205MMX40MM</t>
  </si>
  <si>
    <t>32D-HARD-FOAM-35.50X205MMX40MM</t>
  </si>
  <si>
    <t>32D-HARD-FOAM-38.50X205MMX40MM</t>
  </si>
  <si>
    <t>32D-HARD-FOAM-41.50X205MMX40MM</t>
  </si>
  <si>
    <t>32D-HARD-FOAM-44.50X205MMX40MM</t>
  </si>
  <si>
    <t>32D-HARD-FOAM-47.50X205MMX40MM</t>
  </si>
  <si>
    <t>32D-HARD-FOAM-50.50X205MMX40MM</t>
  </si>
  <si>
    <t>32D-HARD-FOAM-53.50X205MMX40MM</t>
  </si>
  <si>
    <t>32D-HARD-FOAM-56.50X205MMX40MM</t>
  </si>
  <si>
    <t>32D-HARD-FOAM-59.50X205MMX40MM</t>
  </si>
  <si>
    <t>32D-HARD-FOAM-62.50X205MMX40MM</t>
  </si>
  <si>
    <t>32D-HARD-FOAM-65.50X205MMX40MM</t>
  </si>
  <si>
    <t>32D-HARD-FOAM-68.50X205MMX40MM</t>
  </si>
  <si>
    <t>32D-HARD-FOAM-14.50X205MMX40MM</t>
  </si>
  <si>
    <t>32D-HARD-FOAM-24X175MMX75MM</t>
  </si>
  <si>
    <t>32D-HARD-FOAM-27X175MMX75MM</t>
  </si>
  <si>
    <t>32D-HARD-FOAM-30X175MMX75MM</t>
  </si>
  <si>
    <t>32D-HARD-FOAM-33X175MMX75MM</t>
  </si>
  <si>
    <t>32D-HARD-FOAM-36X175MMX75MM</t>
  </si>
  <si>
    <t>32D-HARD-FOAM-39X175MMX75MM</t>
  </si>
  <si>
    <t>32D-HARD-FOAM-42X175MMX75MM</t>
  </si>
  <si>
    <t>32D-HARD-FOAM-45X175MMX75MM</t>
  </si>
  <si>
    <t>32D-HARD-FOAM-48X175MMX75MM</t>
  </si>
  <si>
    <t>32D-HARD-FOAM-51X175MMX75MM</t>
  </si>
  <si>
    <t>32D-HARD-FOAM-54X175MMX75MM</t>
  </si>
  <si>
    <t>32D-HARD-FOAM-57X175MMX75MM</t>
  </si>
  <si>
    <t>32D-HARD-FOAM-60X175MMX75MM</t>
  </si>
  <si>
    <t>32D-HARD-FOAM-63X175MMX75MM</t>
  </si>
  <si>
    <t>32D-HARD-FOAM-66X175MMX75MM</t>
  </si>
  <si>
    <t>32D-HARD-FOAM-12X175MMX75MM</t>
  </si>
  <si>
    <t>32D-HARD-FOAM-</t>
  </si>
  <si>
    <t>RTPKDD10</t>
  </si>
  <si>
    <t>RTPKDD12</t>
  </si>
  <si>
    <t>RTPKDD16</t>
  </si>
  <si>
    <t>DOUBLE DECKER</t>
  </si>
  <si>
    <t>32D-HARD-FOAM-07X175MMX75MM</t>
  </si>
  <si>
    <t>32D-HARD-FOAM-09.50X115MMX40MM</t>
  </si>
  <si>
    <t>32D-HARD-FOAM-09.50X135MMX40MM</t>
  </si>
  <si>
    <t>32D-HARD-FOAM-09.50X155MMX40MM</t>
  </si>
  <si>
    <t>32D-HARD-FOAM-09.50X175MMX40MM</t>
  </si>
  <si>
    <t>32D-HARD-FOAM-09.50X205MMX40MM</t>
  </si>
  <si>
    <t>32D-HARD-FOAM-71.50X225MMX40MM</t>
  </si>
  <si>
    <t>32D-HARD-FOAM-74.50X225MMX40MM</t>
  </si>
  <si>
    <t>32D-HARD-FOAM-77.50X225MMX40MM</t>
  </si>
  <si>
    <t>32D-HARD-FOAM-79.50X225MMX40MM</t>
  </si>
  <si>
    <t>32D-HARD-FOAM-83.50X225MMX40MM</t>
  </si>
  <si>
    <t>32D-HARD-FOAM-12.50X225MMX40MM</t>
  </si>
  <si>
    <t>32D-HARD-FOAM-19.50X225MMX40MM</t>
  </si>
  <si>
    <t>32D-HARD-FOAM-26.50X225MMX40MM</t>
  </si>
  <si>
    <t>32D-HARD-FOAM-29.50X225MMX40MM</t>
  </si>
  <si>
    <t>32D-HARD-FOAM-32.50X225MMX40MM</t>
  </si>
  <si>
    <t>32D-HARD-FOAM-35.50X225MMX40MM</t>
  </si>
  <si>
    <t>32D-HARD-FOAM-38.50X225MMX40MM</t>
  </si>
  <si>
    <t>32D-HARD-FOAM-41.50X225MMX40MM</t>
  </si>
  <si>
    <t>32D-HARD-FOAM-44.50X225MMX40MM</t>
  </si>
  <si>
    <t>32D-HARD-FOAM-47.50X225MMX40MM</t>
  </si>
  <si>
    <t>32D-HARD-FOAM-50.50X225MMX40MM</t>
  </si>
  <si>
    <t>32D-HARD-FOAM-53.50X225MMX40MM</t>
  </si>
  <si>
    <t>32D-HARD-FOAM-56.50X225MMX40MM</t>
  </si>
  <si>
    <t>32D-HARD-FOAM-59.50X225MMX40MM</t>
  </si>
  <si>
    <t>32D-HARD-FOAM-62.50X225MMX40MM</t>
  </si>
  <si>
    <t>32D-HARD-FOAM-65.50X225MMX40MM</t>
  </si>
  <si>
    <t>32D-HARD-FOAM-68.50X225MMX40MM</t>
  </si>
  <si>
    <t>32D-HARD-FOAM-09.50X225MMX40MM</t>
  </si>
  <si>
    <t>32D-HARD-FOAM-14.50X225MMX40MM</t>
  </si>
  <si>
    <t>32D-HARD-FOAM-71.50X225MMX75MM</t>
  </si>
  <si>
    <t>32D-HARD-FOAM-74.50X225MMX75MM</t>
  </si>
  <si>
    <t>32D-HARD-FOAM-77.50X225MMX75MM</t>
  </si>
  <si>
    <t>32D-HARD-FOAM-79.50X225MMX75MM</t>
  </si>
  <si>
    <t>32D-HARD-FOAM-83.50X225MMX75MM</t>
  </si>
  <si>
    <t>32D-HARD-FOAM-12.50X225MMX75MM</t>
  </si>
  <si>
    <t>32D-HARD-FOAM-19.50X225MMX75MM</t>
  </si>
  <si>
    <t>DATE</t>
  </si>
  <si>
    <t>TIME</t>
  </si>
  <si>
    <t>MR NO</t>
  </si>
  <si>
    <t>STATUS</t>
  </si>
  <si>
    <t>REMARKS</t>
  </si>
  <si>
    <t>FOAM MR</t>
  </si>
  <si>
    <t>ORDER NO</t>
  </si>
  <si>
    <t>SESSION</t>
  </si>
  <si>
    <t>CO-156</t>
  </si>
  <si>
    <t>EVENING</t>
  </si>
  <si>
    <t>INVST/12678/25-26</t>
  </si>
  <si>
    <t>OPEN</t>
  </si>
  <si>
    <t>BUFFER</t>
  </si>
  <si>
    <t>STORE</t>
  </si>
  <si>
    <t>MORNING</t>
  </si>
  <si>
    <t>INVST/12694/25-26</t>
  </si>
  <si>
    <t>9.15AM</t>
  </si>
  <si>
    <t>INVST/12697/25-26</t>
  </si>
  <si>
    <t>09.32AM</t>
  </si>
  <si>
    <t>INVST/12707/25-26</t>
  </si>
  <si>
    <t>ECOM</t>
  </si>
  <si>
    <t>11.13AM</t>
  </si>
  <si>
    <t>CLOSED</t>
  </si>
  <si>
    <t>INVST/12714/25-26</t>
  </si>
  <si>
    <t>AFTER</t>
  </si>
  <si>
    <t>02-13PM</t>
  </si>
  <si>
    <t>INVST/12718/25-26</t>
  </si>
  <si>
    <t>03-05PM</t>
  </si>
  <si>
    <t>CO-160</t>
  </si>
  <si>
    <t>INVST/12721/25-26</t>
  </si>
  <si>
    <t>03.19PM</t>
  </si>
  <si>
    <t>INVST/12747/25-26</t>
  </si>
  <si>
    <t>CO-163</t>
  </si>
  <si>
    <t>INVST/12758/25-26</t>
  </si>
  <si>
    <t>9.13AM</t>
  </si>
  <si>
    <t>INVST/12762/25-26</t>
  </si>
  <si>
    <t>9.26AM</t>
  </si>
  <si>
    <t>INVST/12909/25-26</t>
  </si>
  <si>
    <t>NIGHT</t>
  </si>
  <si>
    <t>08.52PM</t>
  </si>
  <si>
    <t>INVST/12928/25-26</t>
  </si>
  <si>
    <t>05.13AM</t>
  </si>
  <si>
    <t>INVST/12978/25-26</t>
  </si>
  <si>
    <t>08.47PM</t>
  </si>
  <si>
    <t>INVST/12981/25-26</t>
  </si>
  <si>
    <t>INVST/12982/25-26</t>
  </si>
  <si>
    <t>INVST/12983/25-26</t>
  </si>
  <si>
    <t>INVST/12985/25-26</t>
  </si>
  <si>
    <t>INVST/12986/25-26</t>
  </si>
  <si>
    <t>INVST/12990/25-26</t>
  </si>
  <si>
    <t>INVST/12991/25-26</t>
  </si>
  <si>
    <t>INVST/13061/25-26</t>
  </si>
  <si>
    <t>INVST/13063/25-26</t>
  </si>
  <si>
    <t>INVST/13065/25-26</t>
  </si>
  <si>
    <t>INVST/13067/25-26</t>
  </si>
  <si>
    <t>INVST/13134/25-26</t>
  </si>
  <si>
    <t>INVST/13144/25-26</t>
  </si>
  <si>
    <t>INVST/13145/25-26</t>
  </si>
  <si>
    <t>INVST/13146/25-26</t>
  </si>
  <si>
    <t>BON ORDER</t>
  </si>
  <si>
    <t>INVST/13149/25-26</t>
  </si>
  <si>
    <t>INVST/13151/25-26</t>
  </si>
  <si>
    <t>POC ORDER</t>
  </si>
  <si>
    <t>INVST/13152/25-26</t>
  </si>
  <si>
    <t>INVST/13154/25-26</t>
  </si>
  <si>
    <t>INVST/13155/25-26</t>
  </si>
  <si>
    <t>INVST/13215/25-26</t>
  </si>
  <si>
    <t>INVST/13216/25-26</t>
  </si>
  <si>
    <t>INVST/13218/25-26</t>
  </si>
  <si>
    <t>INVST/13219/25-26</t>
  </si>
  <si>
    <t>INVST/13276/25-26</t>
  </si>
  <si>
    <t>INVST/13319/25-26</t>
  </si>
  <si>
    <t>INVST/13321/25-26</t>
  </si>
  <si>
    <t>INVST/13333/25-26</t>
  </si>
  <si>
    <t>INVST/13354/25-26</t>
  </si>
  <si>
    <t>INVST/13360/25-26</t>
  </si>
  <si>
    <t>INVST/13361/25-26</t>
  </si>
  <si>
    <t>INVST/13375/25-26</t>
  </si>
  <si>
    <t>INVST/13367/25-26</t>
  </si>
  <si>
    <t>INVST/13379/25-26</t>
  </si>
  <si>
    <t>INVST/13407/25-26</t>
  </si>
  <si>
    <t>INVST/13415/25-26</t>
  </si>
  <si>
    <t>INVST/13417/25-26</t>
  </si>
  <si>
    <t>INVST/13421/25-26</t>
  </si>
  <si>
    <t>INVST/13422/25-26</t>
  </si>
  <si>
    <t>INVST/13424/25-26</t>
  </si>
  <si>
    <t>INVST/13425/25-26</t>
  </si>
  <si>
    <t>INVST/13438/25-26</t>
  </si>
  <si>
    <t>INVST/13446/25-26</t>
  </si>
  <si>
    <t>INVST/13447/25-26</t>
  </si>
  <si>
    <t>INVST/13497/25-26</t>
  </si>
  <si>
    <t>INVST/13555/25-26</t>
  </si>
  <si>
    <t>INVST/13554/25-26</t>
  </si>
  <si>
    <t>INVST/13562/25-26</t>
  </si>
  <si>
    <t>INVST/13565/25-26</t>
  </si>
  <si>
    <t>INVST/13586/25-26</t>
  </si>
  <si>
    <t>INVST/13587/25-26</t>
  </si>
  <si>
    <t>INVST/13589/25-26</t>
  </si>
  <si>
    <t>INVST/13611/25-26</t>
  </si>
  <si>
    <t>INVST/13623/25-26</t>
  </si>
  <si>
    <t>INVST/13629/25-26</t>
  </si>
  <si>
    <t>INVST/13651/25-26</t>
  </si>
  <si>
    <t>INVST/13662/25-26</t>
  </si>
  <si>
    <t>INVST/13668/25-26</t>
  </si>
  <si>
    <t>32D-HARD-FOAM-66X155MMX70MM</t>
  </si>
  <si>
    <t>32D-HARD-FOAM-54X155MMX70MM</t>
  </si>
  <si>
    <t>32D-HARD-FOAM-30X155MMX70MM</t>
  </si>
  <si>
    <t>32D-HARD-FOAM-60X155MMX70MM</t>
  </si>
  <si>
    <t>32D-HARD-FOAM-54X135MMX70MM</t>
  </si>
  <si>
    <t>32D-HARD-FOAM-66X135MMX70MM</t>
  </si>
  <si>
    <t>32D-HARD-FOAM-42X135MMX70MM</t>
  </si>
  <si>
    <t>32D-HARD-FOAM-60X135MMX70MM</t>
  </si>
  <si>
    <t>32D-HARD-FOAM-30X135MMX70MM</t>
  </si>
  <si>
    <t>32D-HARD-FOAM-36X135MMX70MM</t>
  </si>
  <si>
    <t>32D-HARD-FOAM-24X115MMX70MM</t>
  </si>
  <si>
    <t>32D-HARD-FOAM-42X155MMX70MM</t>
  </si>
  <si>
    <t>32D-HARD-FOAM-24X135MMX70MM</t>
  </si>
  <si>
    <t>32D-HARD-FOAM-54X115MMX70MM</t>
  </si>
  <si>
    <t>32D-HARD-FOAM-66X115MMX70MM</t>
  </si>
  <si>
    <t>32D-HARD-FOAM-42X175MMX70MM</t>
  </si>
  <si>
    <t>32D-HARD-FOAM-66X175MMX70MM</t>
  </si>
  <si>
    <t>70MM</t>
  </si>
  <si>
    <t>32D-HARD-FOAM-71.50X115MMX70MM</t>
  </si>
  <si>
    <t>32D-HARD-FOAM-74.50X115MMX70MM</t>
  </si>
  <si>
    <t>32D-HARD-FOAM-77.50X115MMX70MM</t>
  </si>
  <si>
    <t>32D-HARD-FOAM-79.50X115MMX70MM</t>
  </si>
  <si>
    <t>32D-HARD-FOAM-83.50X115MMX70MM</t>
  </si>
  <si>
    <t>32D-HARD-FOAM-12.50X115MMX70MM</t>
  </si>
  <si>
    <t>32D-HARD-FOAM-19.50X115MMX70MM</t>
  </si>
  <si>
    <t>32D-HARD-FOAM-71.50X135MMX70MM</t>
  </si>
  <si>
    <t>32D-HARD-FOAM-74.50X135MMX70MM</t>
  </si>
  <si>
    <t>32D-HARD-FOAM-77.50X135MMX70MM</t>
  </si>
  <si>
    <t>32D-HARD-FOAM-79.50X135MMX70MM</t>
  </si>
  <si>
    <t>32D-HARD-FOAM-83.50X135MMX70MM</t>
  </si>
  <si>
    <t>32D-HARD-FOAM-12.50X135MMX70MM</t>
  </si>
  <si>
    <t>32D-HARD-FOAM-19.50X135MMX70MM</t>
  </si>
  <si>
    <t>32D-HARD-FOAM-71.50X155MMX70MM</t>
  </si>
  <si>
    <t>32D-HARD-FOAM-74.50X155MMX70MM</t>
  </si>
  <si>
    <t>32D-HARD-FOAM-77.50X155MMX70MM</t>
  </si>
  <si>
    <t>32D-HARD-FOAM-79.50X155MMX70MM</t>
  </si>
  <si>
    <t>32D-HARD-FOAM-83.50X155MMX70MM</t>
  </si>
  <si>
    <t>32D-HARD-FOAM-12.50X155MMX70MM</t>
  </si>
  <si>
    <t>32D-HARD-FOAM-19.50X155MMX70MM</t>
  </si>
  <si>
    <t>32D-HARD-FOAM-71.50X175MMX70MM</t>
  </si>
  <si>
    <t>32D-HARD-FOAM-74.50X175MMX70MM</t>
  </si>
  <si>
    <t>32D-HARD-FOAM-77.50X175MMX70MM</t>
  </si>
  <si>
    <t>32D-HARD-FOAM-79.50X175MMX70MM</t>
  </si>
  <si>
    <t>32D-HARD-FOAM-83.50X175MMX70MM</t>
  </si>
  <si>
    <t>32D-HARD-FOAM-12.50X175MMX70MM</t>
  </si>
  <si>
    <t>32D-HARD-FOAM-19.50X175MMX70MM</t>
  </si>
  <si>
    <t>32D-HARD-FOAM-71.50X205MMX70MM</t>
  </si>
  <si>
    <t>32D-HARD-FOAM-74.50X205MMX70MM</t>
  </si>
  <si>
    <t>32D-HARD-FOAM-77.50X205MMX70MM</t>
  </si>
  <si>
    <t>32D-HARD-FOAM-79.50X205MMX70MM</t>
  </si>
  <si>
    <t>32D-HARD-FOAM-83.50X205MMX70MM</t>
  </si>
  <si>
    <t>32D-HARD-FOAM-12.50X205MMX70MM</t>
  </si>
  <si>
    <t>32D-HARD-FOAM-19.50X205MMX70MM</t>
  </si>
  <si>
    <t>32D-HARD-FOAM-27X115MMX70MM</t>
  </si>
  <si>
    <t>32D-HARD-FOAM-30X115MMX70MM</t>
  </si>
  <si>
    <t>32D-HARD-FOAM-33X115MMX70MM</t>
  </si>
  <si>
    <t>32D-HARD-FOAM-36X115MMX70MM</t>
  </si>
  <si>
    <t>32D-HARD-FOAM-39X115MMX70MM</t>
  </si>
  <si>
    <t>32D-HARD-FOAM-42X115MMX70MM</t>
  </si>
  <si>
    <t>32D-HARD-FOAM-45X115MMX70MM</t>
  </si>
  <si>
    <t>32D-HARD-FOAM-48X115MMX70MM</t>
  </si>
  <si>
    <t>32D-HARD-FOAM-51X115MMX70MM</t>
  </si>
  <si>
    <t>32D-HARD-FOAM-57X115MMX70MM</t>
  </si>
  <si>
    <t>32D-HARD-FOAM-60X115MMX70MM</t>
  </si>
  <si>
    <t>32D-HARD-FOAM-63X115MMX70MM</t>
  </si>
  <si>
    <t>32D-HARD-FOAM-07X115MMX70MM</t>
  </si>
  <si>
    <t>32D-HARD-FOAM-12X115MMX70MM</t>
  </si>
  <si>
    <t>32D-HARD-FOAM-27X135MMX70MM</t>
  </si>
  <si>
    <t>32D-HARD-FOAM-33X135MMX70MM</t>
  </si>
  <si>
    <t>32D-HARD-FOAM-39X135MMX70MM</t>
  </si>
  <si>
    <t>32D-HARD-FOAM-45X135MMX70MM</t>
  </si>
  <si>
    <t>32D-HARD-FOAM-48X135MMX70MM</t>
  </si>
  <si>
    <t>32D-HARD-FOAM-51X135MMX70MM</t>
  </si>
  <si>
    <t>32D-HARD-FOAM-57X135MMX70MM</t>
  </si>
  <si>
    <t>32D-HARD-FOAM-63X135MMX70MM</t>
  </si>
  <si>
    <t>32D-HARD-FOAM-07X135MMX70MM</t>
  </si>
  <si>
    <t>32D-HARD-FOAM-12X135MMX70MM</t>
  </si>
  <si>
    <t>32D-HARD-FOAM-24X155MMX70MM</t>
  </si>
  <si>
    <t>32D-HARD-FOAM-27X155MMX70MM</t>
  </si>
  <si>
    <t>32D-HARD-FOAM-33X155MMX70MM</t>
  </si>
  <si>
    <t>32D-HARD-FOAM-36X155MMX70MM</t>
  </si>
  <si>
    <t>32D-HARD-FOAM-39X155MMX70MM</t>
  </si>
  <si>
    <t>32D-HARD-FOAM-45X155MMX70MM</t>
  </si>
  <si>
    <t>32D-HARD-FOAM-48X155MMX70MM</t>
  </si>
  <si>
    <t>32D-HARD-FOAM-51X155MMX70MM</t>
  </si>
  <si>
    <t>32D-HARD-FOAM-57X155MMX70MM</t>
  </si>
  <si>
    <t>32D-HARD-FOAM-63X155MMX70MM</t>
  </si>
  <si>
    <t>32D-HARD-FOAM-07X155MMX70MM</t>
  </si>
  <si>
    <t>32D-HARD-FOAM-12X155MMX70MM</t>
  </si>
  <si>
    <t>32D-HARD-FOAM-24X175MMX70MM</t>
  </si>
  <si>
    <t>32D-HARD-FOAM-27X175MMX70MM</t>
  </si>
  <si>
    <t>32D-HARD-FOAM-30X175MMX70MM</t>
  </si>
  <si>
    <t>32D-HARD-FOAM-33X175MMX70MM</t>
  </si>
  <si>
    <t>32D-HARD-FOAM-36X175MMX70MM</t>
  </si>
  <si>
    <t>32D-HARD-FOAM-39X175MMX70MM</t>
  </si>
  <si>
    <t>32D-HARD-FOAM-45X175MMX70MM</t>
  </si>
  <si>
    <t>32D-HARD-FOAM-48X175MMX70MM</t>
  </si>
  <si>
    <t>32D-HARD-FOAM-51X175MMX70MM</t>
  </si>
  <si>
    <t>32D-HARD-FOAM-54X175MMX70MM</t>
  </si>
  <si>
    <t>32D-HARD-FOAM-57X175MMX70MM</t>
  </si>
  <si>
    <t>32D-HARD-FOAM-60X175MMX70MM</t>
  </si>
  <si>
    <t>32D-HARD-FOAM-63X175MMX70MM</t>
  </si>
  <si>
    <t>32D-HARD-FOAM-07X175MMX70MM</t>
  </si>
  <si>
    <t>32D-HARD-FOAM-12X175MMX70MM</t>
  </si>
  <si>
    <t>32D-HARD-FOAM-24X205MMX70MM</t>
  </si>
  <si>
    <t>32D-HARD-FOAM-27X205MMX70MM</t>
  </si>
  <si>
    <t>32D-HARD-FOAM-30X205MMX70MM</t>
  </si>
  <si>
    <t>32D-HARD-FOAM-33X205MMX70MM</t>
  </si>
  <si>
    <t>32D-HARD-FOAM-36X205MMX70MM</t>
  </si>
  <si>
    <t>32D-HARD-FOAM-39X205MMX70MM</t>
  </si>
  <si>
    <t>32D-HARD-FOAM-42X205MMX70MM</t>
  </si>
  <si>
    <t>32D-HARD-FOAM-45X205MMX70MM</t>
  </si>
  <si>
    <t>32D-HARD-FOAM-48X205MMX70MM</t>
  </si>
  <si>
    <t>32D-HARD-FOAM-51X205MMX70MM</t>
  </si>
  <si>
    <t>32D-HARD-FOAM-54X205MMX70MM</t>
  </si>
  <si>
    <t>32D-HARD-FOAM-57X205MMX70MM</t>
  </si>
  <si>
    <t>32D-HARD-FOAM-60X205MMX70MM</t>
  </si>
  <si>
    <t>32D-HARD-FOAM-63X205MMX70MM</t>
  </si>
  <si>
    <t>32D-HARD-FOAM-66X205MMX70MM</t>
  </si>
  <si>
    <t>32D-HARD-FOAM-07X205MMX70MM</t>
  </si>
  <si>
    <t>32D-HARD-FOAM-12X205MMX70MM</t>
  </si>
  <si>
    <t>32D-HARD-FOAM-71.50X95MMX70MM</t>
  </si>
  <si>
    <t>32D-HARD-FOAM-74.50X95MMX70MM</t>
  </si>
  <si>
    <t>32D-HARD-FOAM-77.50X95MMX70MM</t>
  </si>
  <si>
    <t>32D-HARD-FOAM-79.50X95MMX70MM</t>
  </si>
  <si>
    <t>32D-HARD-FOAM-83.50X95MMX70MM</t>
  </si>
  <si>
    <t>32D-HARD-FOAM-12.50X95MMX70MM</t>
  </si>
  <si>
    <t>32D-HARD-FOAM-19.50X95MMX70MM</t>
  </si>
  <si>
    <t>32D-HARD-FOAM-24X95MMX70MM</t>
  </si>
  <si>
    <t>32D-HARD-FOAM-27X95MMX70MM</t>
  </si>
  <si>
    <t>32D-HARD-FOAM-30X95MMX70MM</t>
  </si>
  <si>
    <t>32D-HARD-FOAM-33X95MMX70MM</t>
  </si>
  <si>
    <t>32D-HARD-FOAM-36X95MMX70MM</t>
  </si>
  <si>
    <t>32D-HARD-FOAM-39X95MMX70MM</t>
  </si>
  <si>
    <t>32D-HARD-FOAM-42X95MMX70MM</t>
  </si>
  <si>
    <t>32D-HARD-FOAM-45X95MMX70MM</t>
  </si>
  <si>
    <t>32D-HARD-FOAM-48X95MMX70MM</t>
  </si>
  <si>
    <t>32D-HARD-FOAM-51X95MMX70MM</t>
  </si>
  <si>
    <t>32D-HARD-FOAM-54X95MMX70MM</t>
  </si>
  <si>
    <t>32D-HARD-FOAM-57X95MMX70MM</t>
  </si>
  <si>
    <t>32D-HARD-FOAM-60X95MMX70MM</t>
  </si>
  <si>
    <t>32D-HARD-FOAM-63X95MMX70MM</t>
  </si>
  <si>
    <t>32D-HARD-FOAM-66X95MMX70MM</t>
  </si>
  <si>
    <t>32D-HARD-FOAM-07X95MMX70MM</t>
  </si>
  <si>
    <t>32D-HARD-FOAM-12X95MMX70MM</t>
  </si>
  <si>
    <t>32D-HARD-FOAM-77.5X115MMX70MM</t>
  </si>
  <si>
    <t>32D-HARD-FOAM-74.5X175MMX70MM</t>
  </si>
  <si>
    <t>INVST/14434/25-26</t>
  </si>
  <si>
    <t>ORDER</t>
  </si>
  <si>
    <t>32D-HARD-FOAM-74.5X155MMX70MM</t>
  </si>
  <si>
    <t>32D-HARD-FOAM-68.5X135MMX40MM</t>
  </si>
  <si>
    <t>32D-HARD-FOAM-71.5X135MMX70MM</t>
  </si>
  <si>
    <t>32D-HARD-FOAM-77X135MMX70MM</t>
  </si>
  <si>
    <t>32D-HARD-FOAM-74.5X115MMX70MM</t>
  </si>
  <si>
    <t>INVST/14436/25-26</t>
  </si>
  <si>
    <t>32D-HARD-FOAM-77.5X155MMX70MM</t>
  </si>
  <si>
    <t>32D-HARD-FOAM-74.5X135MMX70MM</t>
  </si>
  <si>
    <t>32D-HARD-FOAM-77.5X135MMX70MM</t>
  </si>
  <si>
    <t>32D-HARD-FOAM-71.5X175MMX70MM</t>
  </si>
  <si>
    <t>32D-HARD-FOAM-65.5X135MMX70MM</t>
  </si>
  <si>
    <t>INVST/14438/25-26</t>
  </si>
  <si>
    <t>INVST/14441/25-26</t>
  </si>
  <si>
    <t>32D-HARD-FOAM-79.5X115MMX70MM</t>
  </si>
  <si>
    <t>32D-HARD-FOAM-76.75X135MMX70MM</t>
  </si>
  <si>
    <t xml:space="preserve"> Spine Guard </t>
  </si>
  <si>
    <t>32D-HARD-FOAM-71.5X155MMX70MM</t>
  </si>
  <si>
    <t>32D-HARD-FOAM-77.25X135MMX70MM</t>
  </si>
  <si>
    <t xml:space="preserve"> Pocketed Supreme</t>
  </si>
  <si>
    <t>INVST/14444/25-26</t>
  </si>
  <si>
    <t>INVST/14445/25-26</t>
  </si>
  <si>
    <t>32D-HARD-FOAM-64.5X135MMX70MM</t>
  </si>
  <si>
    <t>32D-HARD-FOAM-83.5X135MMX70MM</t>
  </si>
  <si>
    <t>32D-HARD-FOAM-71.5X115MMX70MM</t>
  </si>
  <si>
    <t>32D-HARD-FOAM-75.5X115MMX70MM</t>
  </si>
  <si>
    <t>32D-HARD-FOAM-77.5X135MMX40MM</t>
  </si>
  <si>
    <t xml:space="preserve"> Organica</t>
  </si>
  <si>
    <t>INVST/14446/25-26</t>
  </si>
  <si>
    <t>32D-HARD-FOAM-69X135MMX70MM</t>
  </si>
  <si>
    <t>32D-HARD-FOAM-83.5X115MMX70MM</t>
  </si>
  <si>
    <t>INVST/14447/25-26</t>
  </si>
  <si>
    <t>32D-HARD-FOAM-67.5X135MMX70MM</t>
  </si>
  <si>
    <t>32D-HARD-FOAM-75.5X135MMX70MM</t>
  </si>
  <si>
    <t>32D-HARD-FOAM-74.5X135MMX40MM</t>
  </si>
  <si>
    <t>INVST/14449/25-26</t>
  </si>
  <si>
    <t>INVST/14508/25-26</t>
  </si>
  <si>
    <t>INVST/14510/25-26</t>
  </si>
  <si>
    <t>32D-HARD-FOAM-72X135MMX70MM</t>
  </si>
  <si>
    <t xml:space="preserve"> Bonnell Crown Top</t>
  </si>
  <si>
    <t>Spine Guard</t>
  </si>
  <si>
    <t>INVST/14514/25-26</t>
  </si>
  <si>
    <t>INVST/14515/25-26</t>
  </si>
  <si>
    <t>INVST/14516/25-26</t>
  </si>
  <si>
    <t>INVST/14522/25-26</t>
  </si>
  <si>
    <t>INVST/14526/25-26</t>
  </si>
  <si>
    <t>INVST/14527/25-26</t>
  </si>
  <si>
    <t>INVST/14528/25-26</t>
  </si>
  <si>
    <t>32D-HARD-FOAM-76.5X135MMX70MM</t>
  </si>
  <si>
    <t>INVST/14530/25-26</t>
  </si>
  <si>
    <t>100D-RB-FOAM-74.5X71.5X20MM</t>
  </si>
  <si>
    <t>BUFFER PLAN  19-02-2026    NIGHT</t>
  </si>
  <si>
    <t>INVST/14579/25-26</t>
  </si>
  <si>
    <t>SO   Customer Work Order - 474- 19.02.2026 -Evening Order BON</t>
  </si>
  <si>
    <t>32D-HARD-FOAM-69X155MMX70MM</t>
  </si>
  <si>
    <t>32D-HARD-FOAM-26.5X135MMX70MM</t>
  </si>
  <si>
    <t>SO  Customer Work Order - 472- 19.02.2026 -Evening Order</t>
  </si>
  <si>
    <t>32D-HARD-FOAM-76.5X115MMX70MM</t>
  </si>
  <si>
    <t>32D-HARD-FOAM-65.5X115MMX70MM</t>
  </si>
  <si>
    <t>Ardene Plush Memory ET,PT</t>
  </si>
  <si>
    <t>32D-HARD-FOAM-95.5X155MMX70MM</t>
  </si>
  <si>
    <t>32D-HARD-FOAM-72X155MMX70MM</t>
  </si>
  <si>
    <t>Ardene Plush Memory NL</t>
  </si>
  <si>
    <t>32D-HARD-FOAM-70X135MMX40MM</t>
  </si>
  <si>
    <t>Vivah, Italiano Serenita</t>
  </si>
  <si>
    <t>INVST/14580/25-26</t>
  </si>
  <si>
    <t xml:space="preserve"> Bonnell Comfort</t>
  </si>
  <si>
    <t>STO,SO    Customer Work Order - 478- 19.02.2026 -Night Order</t>
  </si>
  <si>
    <t xml:space="preserve"> Caspio Ortho Bonnell Normal  ECOM</t>
  </si>
  <si>
    <t xml:space="preserve"> Bonnell Sanibel Normal, Sanibel Plush Memory NL</t>
  </si>
  <si>
    <t xml:space="preserve"> Double Decker</t>
  </si>
  <si>
    <t>32D-HARD-FOAM-56X115MMX70MM</t>
  </si>
  <si>
    <t>100D-RB-FOAM-71.5X41.5X20MM</t>
  </si>
  <si>
    <t>100D-RB-FOAM-74.5X41.5X20MM</t>
  </si>
  <si>
    <t>100D-RB-FOAM-74.5X65.5X20MM</t>
  </si>
  <si>
    <t>Spine Guard  ECOM</t>
  </si>
  <si>
    <t>32D-HARD-FOAM-59X135MMX70MM</t>
  </si>
  <si>
    <t>32D-HARD-FOAM-78.5X135MMX70MM</t>
  </si>
  <si>
    <t>32D-HARD-FOAM-81.5X115MMX70MM</t>
  </si>
  <si>
    <t>Springkoil Bonnell Normal  ECOM</t>
  </si>
  <si>
    <t xml:space="preserve"> Springkoil Bonnell Pillow Top</t>
  </si>
  <si>
    <t>INVST/14586/25-26</t>
  </si>
  <si>
    <t>INVST/14588/25-26</t>
  </si>
  <si>
    <t>Organica</t>
  </si>
  <si>
    <t xml:space="preserve">Pocketed Supreme </t>
  </si>
  <si>
    <t>32D-HARD-FOAM-80.5X135MMX70MM</t>
  </si>
  <si>
    <t>32D-HARD-FOAM-58X135MMX70MM</t>
  </si>
  <si>
    <t>Pocketed Ardene Plush Memory ET,PT</t>
  </si>
  <si>
    <t>32D-HARD-FOAM-68X135MMX40MM</t>
  </si>
  <si>
    <t>GrandPalais Crystal</t>
  </si>
  <si>
    <t>INVST/14589/25-26</t>
  </si>
  <si>
    <t>SO  Customer Work Order - 480- 19.02.2026 -Night Order</t>
  </si>
  <si>
    <t>Bonnell Sanibel Plush Memory NL,PT,C.T</t>
  </si>
  <si>
    <t>32D-HARD-FOAM-40X115MMX70MM</t>
  </si>
  <si>
    <t>100D-RB-FOAM-83.5X74.5X20MM</t>
  </si>
  <si>
    <t>INVST/14596/25-26</t>
  </si>
  <si>
    <t xml:space="preserve"> Zenimo Pocketed PillowTop</t>
  </si>
  <si>
    <t xml:space="preserve"> Pocketed Ardene Plush Memory ET</t>
  </si>
  <si>
    <t>NVST/14598/25-26</t>
  </si>
  <si>
    <t>Replacement of the Mattress</t>
  </si>
  <si>
    <t>Customer Work Order - 482- 19.02.2026 -Night Order  BON</t>
  </si>
  <si>
    <t>Upgrade of the Mattress  BON</t>
  </si>
  <si>
    <t>INVST/14599/25-26</t>
  </si>
  <si>
    <t>32D-HARD-FOAM-59.25X135MMX70MM</t>
  </si>
  <si>
    <t>Customer Work Order - 482- 19.02.2026 -Night Order POC</t>
  </si>
  <si>
    <t>32D-HARD-FOAM-65.75X135MMX70MM</t>
  </si>
  <si>
    <t>Service of the Mattress  POC</t>
  </si>
  <si>
    <t>Replacement of the Mattress  BON</t>
  </si>
  <si>
    <t>Upgrade of the Mattress  POC</t>
  </si>
  <si>
    <t>INVST/14600/25-26</t>
  </si>
  <si>
    <t>INVST/14602/25-26</t>
  </si>
  <si>
    <t>32D-PU-FOAM-79.5X155MMX75MM</t>
  </si>
  <si>
    <t>25D-HELIXA-FOAM-79.5X71.5X25MM</t>
  </si>
  <si>
    <t>25D-HELIXA-FOAM-79.5X71.5X15MM</t>
  </si>
  <si>
    <t>TOP MOST URGENCY BON,POC 20-02-26</t>
  </si>
  <si>
    <t>INVST/14654/25-26</t>
  </si>
  <si>
    <t>32D-HARD-FOAM-62X135MMX70MM</t>
  </si>
  <si>
    <t>32D-HARD-FOAM-49X175MMX70MM</t>
  </si>
  <si>
    <t xml:space="preserve"> Bonnell Comfort </t>
  </si>
  <si>
    <t>STO,SOCustomer Work Order - 484,485,BASE-548- 20.02.2026 -Evening Order</t>
  </si>
  <si>
    <t>INVST/14655/25-26</t>
  </si>
  <si>
    <t>32D-HARD-FOAM-74.5X155MMX40MM</t>
  </si>
  <si>
    <t>32D-HARD-FOAM-56.5X155MMX40MM</t>
  </si>
  <si>
    <t>32D-HARD-FOAM-56.5X135MMX40MM</t>
  </si>
  <si>
    <t>32D-HARD-FOAM-68.5X135MMX70MM</t>
  </si>
  <si>
    <t>32D-HARD-FOAM-59.5X135MMX70MM</t>
  </si>
  <si>
    <t>32D-HARD-FOAM-72.7X135MMX70MM</t>
  </si>
  <si>
    <t>32D-HARD-FOAM-71.5X115MMX40MM</t>
  </si>
  <si>
    <t>32D-HARD-FOAM-32.5X115MMX40MM</t>
  </si>
  <si>
    <t>FM SIR URGENCY NIGHT 20-02-26</t>
  </si>
  <si>
    <t>INVST/14657/25-26</t>
  </si>
  <si>
    <t>STO,SO  Customer Work Order - 487,488,490 - 20.02.2026 -Night Order</t>
  </si>
  <si>
    <t>INVST/14660/25-26</t>
  </si>
  <si>
    <t>Bonnell Comfort</t>
  </si>
  <si>
    <t>INVST/14661/25-26</t>
  </si>
  <si>
    <t>32D-HARD-FOAM-66.5X155MMX70MM</t>
  </si>
  <si>
    <t>32D-HARD-FOAM-14X155MMX70MM</t>
  </si>
  <si>
    <t>32D-HARD-FOAM-23X135MMX70MM</t>
  </si>
  <si>
    <t>32D-HARD-FOAM-28X135MMX70MM</t>
  </si>
  <si>
    <t>20-02-2026 SUPREME DAY  TO NIGHT</t>
  </si>
  <si>
    <t>POCKETED</t>
  </si>
  <si>
    <t>INVST/14665/25-26</t>
  </si>
  <si>
    <t>20-02-2026 BONNELL  DAY  TO NIGHT</t>
  </si>
  <si>
    <t>Sanibel Plush Memory NL,PT</t>
  </si>
  <si>
    <t>32D-HARD-FOAM-72X115MMX70MM</t>
  </si>
  <si>
    <t xml:space="preserve">Springkoil Bonnell Normal </t>
  </si>
  <si>
    <t>32D-HARD-FOAM-76X135MMX70MM</t>
  </si>
  <si>
    <t>32D-HARD-FOAM-64X135MMX70MM</t>
  </si>
  <si>
    <t>100D-RB-FOAM-71.5X59.5X20MM</t>
  </si>
  <si>
    <t>100D-RB-FOAM-77.5X71.5X20MM</t>
  </si>
  <si>
    <t>100D-RB-FOAM-76X71.5X20MM</t>
  </si>
  <si>
    <t>100D-RB-FOAM-74.5X69.5X20MM</t>
  </si>
  <si>
    <t xml:space="preserve">Spine Guard </t>
  </si>
  <si>
    <t>INVST/14666/25-26</t>
  </si>
  <si>
    <t>STO,SCM Customer Work Order - 493- 20.02.2026 -Night Order</t>
  </si>
  <si>
    <t>INVST/14668/25-26</t>
  </si>
  <si>
    <t>32D-HARD-FOAM-74.5X115MMX40MM</t>
  </si>
  <si>
    <t>URGENCY CYSTAL</t>
  </si>
  <si>
    <t>INVST/14669/25-26</t>
  </si>
  <si>
    <t>32D-HARD-FOAM-77.5X175MMX40MM</t>
  </si>
  <si>
    <t>32D-HARD-FOAM-56.5X175MMX40MM</t>
  </si>
  <si>
    <t>INVST/14671/25-26</t>
  </si>
  <si>
    <t>32D-PU-FOAM-74.5X155MMX75MM</t>
  </si>
  <si>
    <t>32D-PU-FOAM-83.5X155MMX75MM</t>
  </si>
  <si>
    <t>32D-PU-FOAM-74.5X135MMX75MM</t>
  </si>
  <si>
    <t>32D-HARD-FOAM-79.5X135MMX70MM</t>
  </si>
  <si>
    <t>25D-HELIXA-FOAM-74.5X47.5X15MM</t>
  </si>
  <si>
    <t>25D-HELIXA-FOAM-77.5X59.5X25MM</t>
  </si>
  <si>
    <t>25D-HELIXA-FOAM-77.5X59.5X50MM</t>
  </si>
  <si>
    <t>25D-HELIXA-FOAM-83.5X59.5X25MM</t>
  </si>
  <si>
    <t>25D-HELIXA-FOAM-83.5X59.5X15MM</t>
  </si>
  <si>
    <t>32D-PU-FOAM-77.5X175MMX75MM</t>
  </si>
  <si>
    <t>25D-HELIXA-FOAM-74.5X71.5X25MM</t>
  </si>
  <si>
    <t>25D-HELIXA-FOAM-74.5X71.5X15MM</t>
  </si>
  <si>
    <t>ECOM URGENCY</t>
  </si>
  <si>
    <t>32D-HARD-FOAM-79X155MMX40MM</t>
  </si>
  <si>
    <t>32D-HARD-FOAM-77X155MMX40MM</t>
  </si>
  <si>
    <t>32D-HARD-FOAM-68X155MMX40MM</t>
  </si>
  <si>
    <t>32D-HARD-FOAM-83X155MMX40MM</t>
  </si>
  <si>
    <t>32D-HARD-FOAM-70X155MMX40MM</t>
  </si>
  <si>
    <t>32D-HARD-FOAM-75.5X155MMX40MM</t>
  </si>
  <si>
    <t>32D-HARD-FOAM-76X175MMX40MM</t>
  </si>
  <si>
    <t>32D-HARD-FOAM-68X175MMX40MM</t>
  </si>
  <si>
    <t>18D-PU-FOAM-75.5X71X10MM</t>
  </si>
  <si>
    <t>18D-PU-FOAM-83X80X10MM</t>
  </si>
  <si>
    <t>18D-PU-FOAM-79X73X10MM</t>
  </si>
  <si>
    <t>URGENCY 21-02-2026</t>
  </si>
  <si>
    <t>URGENCY FOAM MR</t>
  </si>
  <si>
    <t>URGENCY 2</t>
  </si>
  <si>
    <t>COMFORT 21-02-26</t>
  </si>
  <si>
    <t>32D-HARD-FOAM-77.5X155MMX40MM</t>
  </si>
  <si>
    <t>32D-HARD-FOAM-68.5X155MMX40MM</t>
  </si>
  <si>
    <t>32D-HARD-FOAM-82.5X155MMX70MM</t>
  </si>
  <si>
    <t>32D-HARD-FOAM-71.5X135MMX40MM</t>
  </si>
  <si>
    <t>32D-HARD-FOAM-56X135MMX40MM</t>
  </si>
  <si>
    <t>32D-HARD-FOAM-52X135MMX70MM</t>
  </si>
  <si>
    <t>32D-HARD-FOAM-82X135MMX70MM</t>
  </si>
  <si>
    <t>32D-HARD-FOAM-86.5X135MMX70MM</t>
  </si>
  <si>
    <t>32D-HARD-FOAM-50X135MMX70MM</t>
  </si>
  <si>
    <t>32D-HARD-FOAM-56.5X115MMX40MM</t>
  </si>
  <si>
    <t>32D-HARD-FOAM-57.5X115MMX70MM</t>
  </si>
  <si>
    <t>18D-PU-FOAM-77.5X59X10MM</t>
  </si>
  <si>
    <t>POC 20TH ALL VARIETY</t>
  </si>
  <si>
    <t>32D-HARD-FOAM-77.5X175MMX70MM</t>
  </si>
  <si>
    <t>POC 21st supreme</t>
  </si>
  <si>
    <t>21st supree</t>
  </si>
  <si>
    <t>32D-HARD-FOAM-73X135MMX70MM</t>
  </si>
  <si>
    <t>32D-HARD-FOAM-35.5X135MMX70MM</t>
  </si>
  <si>
    <t>CWO - 495,497,499,501 &amp; 503 (SO) : 21-02-2026</t>
  </si>
  <si>
    <t xml:space="preserve"> Bonnell Sanibel Plush Memory NL,PT</t>
  </si>
  <si>
    <t xml:space="preserve"> Spine Guard</t>
  </si>
  <si>
    <t>INVST/14775/25-26</t>
  </si>
  <si>
    <t>32D-HARD-FOAM-74.14X135MMX70MM</t>
  </si>
  <si>
    <t>32D-HARD-FOAM-55.45X135MMX70MM</t>
  </si>
  <si>
    <t>32D-HARD-FOAM-74.3X135MMX70MM</t>
  </si>
  <si>
    <t>32D-HARD-FOAM-55.61X135MMX70MM</t>
  </si>
  <si>
    <t>32D-HARD-FOAM-70.36X205MMX70MM</t>
  </si>
  <si>
    <t>32D-HARD-FOAM-67.36X205MMX70MM</t>
  </si>
  <si>
    <t>WO - 702 TO 708 (SO &amp; STO) : 17-02-2026</t>
  </si>
  <si>
    <t>25D-HELIXA-FOAM-71.5X47.5X25MM</t>
  </si>
  <si>
    <t>25D-HELIXA-FOAM-71.5X47.5X50MM</t>
  </si>
  <si>
    <t>32D-PU-FOAM-71.5X175MMX75MM</t>
  </si>
  <si>
    <t>INVST/14796/25-26</t>
  </si>
  <si>
    <t>32D-PU-FOAM-77.5X155MMX75MM</t>
  </si>
  <si>
    <t>25D-HELIXA-FOAM-77.5X71.5X25MM</t>
  </si>
  <si>
    <t>25D-HELIXA-FOAM-77.5X71.5X15MM</t>
  </si>
  <si>
    <t>ECOM ORDER</t>
  </si>
  <si>
    <t>32D-HARD-FOAM-44.5X135MMX40MM</t>
  </si>
  <si>
    <t>32D-HARD-FOAM-70.4X135MMX40MM</t>
  </si>
  <si>
    <t>18D-PU-FOAM-70.4X47.5X10MM</t>
  </si>
  <si>
    <t>MD SIR ORDER URGENT</t>
  </si>
  <si>
    <t>INVST/14815/25-26</t>
  </si>
  <si>
    <t>32D-HARD-FOAM-71.5X155MMX40MM</t>
  </si>
  <si>
    <t>32D-HARD-FOAM-44.5X155MMX40MM</t>
  </si>
  <si>
    <t>32D-HARD-FOAM-78X155MMX70MM</t>
  </si>
  <si>
    <t>32D-HARD-FOAM-64.5X155MMX70MM</t>
  </si>
  <si>
    <t>32D-HARD-FOAM-79.5X135MMX40MM</t>
  </si>
  <si>
    <t>32D-HARD-FOAM-65X135MMX70MM</t>
  </si>
  <si>
    <t>32D-HARD-FOAM-76.75X115MMX40MM</t>
  </si>
  <si>
    <t>32D-HARD-FOAM-31X115MMX40MM</t>
  </si>
  <si>
    <t>32D-HARD-FOAM-76.5X155MMX70MM</t>
  </si>
  <si>
    <t>32D-HARD-FOAM-47X115MMX70MM</t>
  </si>
  <si>
    <t>32D-HARD-FOAM-68.5X115MMX70MM</t>
  </si>
  <si>
    <t>SANIBEL  23-02-2026</t>
  </si>
  <si>
    <t>COMFORT 23-06-2026  CO-517</t>
  </si>
  <si>
    <t xml:space="preserve">SUPREME CO-517 </t>
  </si>
  <si>
    <t>TOP MOST URGENT</t>
  </si>
  <si>
    <t xml:space="preserve">ECOM ORDER </t>
  </si>
  <si>
    <t>POCKETED  SUPREME  PLAN-1</t>
  </si>
  <si>
    <t>32D-HARD-FOAM-62.5X175MMX40MM</t>
  </si>
  <si>
    <t>18D-PU-FOAM-77.5X65.5X10MM</t>
  </si>
  <si>
    <t>18D-PU-FOAM-77.5X65.5X15MM</t>
  </si>
  <si>
    <t>Italiano Icona Pocketed Crown Top</t>
  </si>
  <si>
    <t>SPRING STO : 23-02-2026-POCKETED</t>
  </si>
  <si>
    <t xml:space="preserve"> Zenimo Pocketed PillowTop </t>
  </si>
  <si>
    <t>32D-HARD-FOAM-52X155MMX70MM</t>
  </si>
  <si>
    <t>32D-HARD-FOAM-69X175MMX70MM</t>
  </si>
  <si>
    <t xml:space="preserve"> Organica,SUPREME</t>
  </si>
  <si>
    <t xml:space="preserve"> Ardene Plush Memory NL,ET </t>
  </si>
  <si>
    <t>PLAN-2</t>
  </si>
  <si>
    <t xml:space="preserve"> Pocketed Supreme  PLAN-3</t>
  </si>
  <si>
    <t>32D-HARD-FOAM-73.25X135MMX70MM</t>
  </si>
  <si>
    <t>32D-HARD-FOAM-41.25X135MMX70MM</t>
  </si>
  <si>
    <t>32D-HARD-FOAM-73.5X135MMX70MM</t>
  </si>
  <si>
    <t>SO   Pocketed Supreme  PLAN-4</t>
  </si>
  <si>
    <t>INVST/14875/25-26</t>
  </si>
  <si>
    <t>INVST/14877/25-26</t>
  </si>
  <si>
    <t>32D-HARD-FOAM-72.5X155MMX70MM</t>
  </si>
  <si>
    <t>32D-HARD-FOAM-38.5X155MMX70MM</t>
  </si>
  <si>
    <t>32D-HARD-FOAM-32X135MMX70MM</t>
  </si>
  <si>
    <t>SPRING NIGHT CWO-517(SO&amp;STO)-23-02-2026:POCKETED</t>
  </si>
  <si>
    <t>32D-PU-FOAM-77.5X135MMX75MM</t>
  </si>
  <si>
    <t>25D-HELIXA-FOAM-77.5X59.5X15MM</t>
  </si>
  <si>
    <t>ECOM   ORDER</t>
  </si>
  <si>
    <t>INVST/14882/25-26</t>
  </si>
  <si>
    <t>INVST/14887/25-26</t>
  </si>
  <si>
    <t>TOP MOST URGENCY</t>
  </si>
  <si>
    <t>INVST/14890/25-26</t>
  </si>
  <si>
    <t xml:space="preserve">BUFFER </t>
  </si>
  <si>
    <t>32D-HARD-FOAM-74.1X155MMX70MM</t>
  </si>
  <si>
    <t>32D-HARD-FOAM-52.85X155MMX70MM</t>
  </si>
  <si>
    <t>32D-HARD-FOAM-76.07X155MMX70MM</t>
  </si>
  <si>
    <t>32D-HARD-FOAM-53X135MMX70MM</t>
  </si>
  <si>
    <t>32D-HARD-FOAM-28.5X115MMX70MM</t>
  </si>
  <si>
    <t>BONNELL PLAN  25-02-2026</t>
  </si>
  <si>
    <t>SPRING STO:24-02-2026:POCKETED</t>
  </si>
  <si>
    <t>Ardene Plush Memory ET, Vivah</t>
  </si>
  <si>
    <t>32D-HARD-FOAM-78X135MMX70MM</t>
  </si>
  <si>
    <t>32D-HARD-FOAM-66.5X135MMX70MM</t>
  </si>
  <si>
    <t>32D-HARD-FOAM-62.5X135MMX70MM</t>
  </si>
  <si>
    <t>32D-HARD-FOAM-77.5X115MMX40MM</t>
  </si>
  <si>
    <t>32D-HARD-FOAM-68.5X115MMX40MM</t>
  </si>
  <si>
    <t>SO - POCKETED 23-02-2026</t>
  </si>
  <si>
    <t>INVST/14945/25-26</t>
  </si>
  <si>
    <t>32D-HARD-FOAM-81.5X155MMX70MM</t>
  </si>
  <si>
    <t>32D-HARD-FOAM-65X155MMX70MM</t>
  </si>
  <si>
    <t>32D-HARD-FOAM-69.5X135MMX70MM</t>
  </si>
  <si>
    <t>32D-HARD-FOAM-68X115MMX70MM</t>
  </si>
  <si>
    <t>SPRING STO:24-02-2026:BONNELL</t>
  </si>
  <si>
    <t>SPRING SO:24-02-2026:BONNELL</t>
  </si>
  <si>
    <t>100D-RB-FOAM-77.5X59.5X20MM</t>
  </si>
  <si>
    <t>100D-RB-FOAM-83.5X71.5X20MM</t>
  </si>
  <si>
    <t>100D-RB-FOAM-77.5X65.5X20MM</t>
  </si>
  <si>
    <t>23-02-2026:BONNELL</t>
  </si>
  <si>
    <t>CROWNTOP,SPG</t>
  </si>
  <si>
    <t>INVST/14949/25-26</t>
  </si>
  <si>
    <t>INVST/14950/25-26</t>
  </si>
  <si>
    <t>BONNEL ECOM ORDER URGENT</t>
  </si>
  <si>
    <t>INVST/14951/25-26</t>
  </si>
  <si>
    <t>32D-HARD-FOAM-57.5X115MMX40MM</t>
  </si>
  <si>
    <t>TOP MOST URGENCY 25-02-2026</t>
  </si>
  <si>
    <t>INVST/14956/25-26</t>
  </si>
  <si>
    <t>32D-HARD-FOAM-82.5X135MMX70MM</t>
  </si>
  <si>
    <t>32D-HARD-FOAM-68X135MMX70MM</t>
  </si>
  <si>
    <t>POCKETED URGENT  25-02-2026</t>
  </si>
  <si>
    <t>INVST/14973/25-26</t>
  </si>
  <si>
    <t>STO,SO  Customer Work Order - 528 - 25.02.2026 - Afternoon Order</t>
  </si>
  <si>
    <t>INVST/14974/25-26</t>
  </si>
  <si>
    <t>32D-HARD-FOAM-79.5X155MMX70MM</t>
  </si>
  <si>
    <t>32D-HARD-FOAM-49X155MMX70MM</t>
  </si>
  <si>
    <t>32D-HARD-FOAM-70.5X135MMX70MM</t>
  </si>
  <si>
    <t>SPRING SO:24-02-2026:POCKETED</t>
  </si>
  <si>
    <t>INVST/14975/25-26</t>
  </si>
  <si>
    <t>INVST/14989/25-26</t>
  </si>
  <si>
    <t>32D-HARD-FOAM-32.5X135MMX40MM</t>
  </si>
  <si>
    <t>18D-PU-FOAM-77.5X59.5X10MM</t>
  </si>
  <si>
    <t>32D-HARD-FOAM-74.5X175MMX40MM</t>
  </si>
  <si>
    <t>ZP.T,GPCY,GP,VIVAH,ITALIANO,LT,MF</t>
  </si>
  <si>
    <t>32D-HARD-FOAM-83.5X155MMX70MM</t>
  </si>
  <si>
    <t>ARDENE-NL,ARDENE PLUSH-ET,ARDENE PLUSH-NL</t>
  </si>
  <si>
    <t>INVST/15018/25-26</t>
  </si>
  <si>
    <t>Restonic Hotel Motel Pocketed Regular</t>
  </si>
  <si>
    <t>WO-721-724(SO)-24-02-2026</t>
  </si>
  <si>
    <t>SPRING NIGHT(CWO-534):25-02-2026</t>
  </si>
  <si>
    <t xml:space="preserve">Bonnell Comfort </t>
  </si>
  <si>
    <t>INVST/15026/25-26</t>
  </si>
  <si>
    <t>SANIBEL-NL,SPK-NL</t>
  </si>
  <si>
    <t>INVST/15030/25-26</t>
  </si>
  <si>
    <t>32D-HARD-FOAM-61X115MMX70MM</t>
  </si>
  <si>
    <t>32D-HARD-FOAM-53X115MMX70MM</t>
  </si>
  <si>
    <t>32D-HARD-FOAM-55X115MMX70MM</t>
  </si>
  <si>
    <t>SANIBEL-NL,SANIBEL PLUSH-NL,SANIBEL PLUSH-PT,SPK-CT,SPK-NL,SPK-PT,SPG</t>
  </si>
  <si>
    <t>INVST/15034/25-26</t>
  </si>
  <si>
    <t>32D-HARD-FOAM-74.5X155MMX75MM</t>
  </si>
  <si>
    <t>32D-HARD-FOAM-66X155MMX75MM</t>
  </si>
  <si>
    <t>32D-HARD-FOAM-71.5X135MMX75MM</t>
  </si>
  <si>
    <t>32D-HARD-FOAM-42X135MMX75MM</t>
  </si>
  <si>
    <t>25D-HELIXA-FOAM-74.5X47.5X25MM</t>
  </si>
  <si>
    <t>25D-HELIXA-FOAM-71.5X47.5X15MM</t>
  </si>
  <si>
    <t>25D-HELIXA-FOAM-74.5X47.5X50MM</t>
  </si>
  <si>
    <t>32D-HARD-FOAM-74.5X175MMX75MM</t>
  </si>
  <si>
    <t xml:space="preserve">POCKETED ECOM ORDER </t>
  </si>
  <si>
    <t>32D-HARD-FOAM-24X115MMX75MM</t>
  </si>
  <si>
    <t>32D-HARD-FOAM-27X115MMX75MM</t>
  </si>
  <si>
    <t>32D-HARD-FOAM-30X115MMX75MM</t>
  </si>
  <si>
    <t>32D-HARD-FOAM-33X115MMX75MM</t>
  </si>
  <si>
    <t>32D-HARD-FOAM-36X115MMX75MM</t>
  </si>
  <si>
    <t>32D-HARD-FOAM-39X115MMX75MM</t>
  </si>
  <si>
    <t>32D-HARD-FOAM-42X115MMX75MM</t>
  </si>
  <si>
    <t>32D-HARD-FOAM-45X115MMX75MM</t>
  </si>
  <si>
    <t>32D-HARD-FOAM-48X115MMX75MM</t>
  </si>
  <si>
    <t>32D-HARD-FOAM-51X115MMX75MM</t>
  </si>
  <si>
    <t>32D-HARD-FOAM-54X115MMX75MM</t>
  </si>
  <si>
    <t>32D-HARD-FOAM-57X115MMX75MM</t>
  </si>
  <si>
    <t>32D-HARD-FOAM-60X115MMX75MM</t>
  </si>
  <si>
    <t>32D-HARD-FOAM-63X115MMX75MM</t>
  </si>
  <si>
    <t>32D-HARD-FOAM-66X115MMX75MM</t>
  </si>
  <si>
    <t>32D-HARD-FOAM-07X115MMX75MM</t>
  </si>
  <si>
    <t>32D-HARD-FOAM-12X115MMX75MM</t>
  </si>
  <si>
    <t>32D-HARD-FOAM-24X155MMX75MM</t>
  </si>
  <si>
    <t>32D-HARD-FOAM-27X155MMX75MM</t>
  </si>
  <si>
    <t>32D-HARD-FOAM-30X155MMX75MM</t>
  </si>
  <si>
    <t>32D-HARD-FOAM-33X155MMX75MM</t>
  </si>
  <si>
    <t>32D-HARD-FOAM-36X155MMX75MM</t>
  </si>
  <si>
    <t>32D-HARD-FOAM-39X155MMX75MM</t>
  </si>
  <si>
    <t>32D-HARD-FOAM-42X155MMX75MM</t>
  </si>
  <si>
    <t>32D-HARD-FOAM-45X155MMX75MM</t>
  </si>
  <si>
    <t>32D-HARD-FOAM-48X155MMX75MM</t>
  </si>
  <si>
    <t>32D-HARD-FOAM-51X155MMX75MM</t>
  </si>
  <si>
    <t>32D-HARD-FOAM-54X155MMX75MM</t>
  </si>
  <si>
    <t>32D-HARD-FOAM-57X155MMX75MM</t>
  </si>
  <si>
    <t>32D-HARD-FOAM-60X155MMX75MM</t>
  </si>
  <si>
    <t>32D-HARD-FOAM-63X155MMX75MM</t>
  </si>
  <si>
    <t>32D-HARD-FOAM-07X155MMX75MM</t>
  </si>
  <si>
    <t>32D-HARD-FOAM-12X155MMX75MM</t>
  </si>
  <si>
    <t>32D-HARD-FOAM-71.50X135MMX75MM</t>
  </si>
  <si>
    <t>32D-HARD-FOAM-74.50X135MMX75MM</t>
  </si>
  <si>
    <t>32D-HARD-FOAM-77.50X135MMX75MM</t>
  </si>
  <si>
    <t>32D-HARD-FOAM-79.50X135MMX75MM</t>
  </si>
  <si>
    <t>32D-HARD-FOAM-83.50X135MMX75MM</t>
  </si>
  <si>
    <t>32D-HARD-FOAM-12.50X135MMX75MM</t>
  </si>
  <si>
    <t>32D-HARD-FOAM-19.50X135MMX75MM</t>
  </si>
  <si>
    <t>32D-HARD-FOAM-71.50X205MMX75MM</t>
  </si>
  <si>
    <t>32D-HARD-FOAM-74.50X205MMX75MM</t>
  </si>
  <si>
    <t>32D-HARD-FOAM-77.50X205MMX75MM</t>
  </si>
  <si>
    <t>32D-HARD-FOAM-79.50X205MMX75MM</t>
  </si>
  <si>
    <t>32D-HARD-FOAM-83.50X205MMX75MM</t>
  </si>
  <si>
    <t>32D-HARD-FOAM-12.50X205MMX75MM</t>
  </si>
  <si>
    <t>32D-HARD-FOAM-19.50X205MMX75MM</t>
  </si>
  <si>
    <t>32D-HARD-FOAM-24X135MMX75MM</t>
  </si>
  <si>
    <t>32D-HARD-FOAM-27X135MMX75MM</t>
  </si>
  <si>
    <t>32D-HARD-FOAM-30X135MMX75MM</t>
  </si>
  <si>
    <t>32D-HARD-FOAM-33X135MMX75MM</t>
  </si>
  <si>
    <t>32D-HARD-FOAM-36X135MMX75MM</t>
  </si>
  <si>
    <t>32D-HARD-FOAM-39X135MMX75MM</t>
  </si>
  <si>
    <t>32D-HARD-FOAM-45X135MMX75MM</t>
  </si>
  <si>
    <t>32D-HARD-FOAM-48X135MMX75MM</t>
  </si>
  <si>
    <t>32D-HARD-FOAM-51X135MMX75MM</t>
  </si>
  <si>
    <t>32D-HARD-FOAM-54X135MMX75MM</t>
  </si>
  <si>
    <t>32D-HARD-FOAM-57X135MMX75MM</t>
  </si>
  <si>
    <t>32D-HARD-FOAM-60X135MMX75MM</t>
  </si>
  <si>
    <t>32D-HARD-FOAM-63X135MMX75MM</t>
  </si>
  <si>
    <t>32D-HARD-FOAM-66X135MMX75MM</t>
  </si>
  <si>
    <t>32D-HARD-FOAM-07X135MMX75MM</t>
  </si>
  <si>
    <t>32D-HARD-FOAM-12X135MMX75MM</t>
  </si>
  <si>
    <t>32D-HARD-FOAM-24X205MMX75MM</t>
  </si>
  <si>
    <t>32D-HARD-FOAM-27X205MMX75MM</t>
  </si>
  <si>
    <t>32D-HARD-FOAM-30X205MMX75MM</t>
  </si>
  <si>
    <t>32D-HARD-FOAM-33X205MMX75MM</t>
  </si>
  <si>
    <t>32D-HARD-FOAM-36X205MMX75MM</t>
  </si>
  <si>
    <t>32D-HARD-FOAM-39X205MMX75MM</t>
  </si>
  <si>
    <t>32D-HARD-FOAM-42X205MMX75MM</t>
  </si>
  <si>
    <t>32D-HARD-FOAM-45X205MMX75MM</t>
  </si>
  <si>
    <t>32D-HARD-FOAM-48X205MMX75MM</t>
  </si>
  <si>
    <t>32D-HARD-FOAM-51X205MMX75MM</t>
  </si>
  <si>
    <t>32D-HARD-FOAM-54X205MMX75MM</t>
  </si>
  <si>
    <t>32D-HARD-FOAM-57X205MMX75MM</t>
  </si>
  <si>
    <t>32D-HARD-FOAM-60X205MMX75MM</t>
  </si>
  <si>
    <t>32D-HARD-FOAM-63X205MMX75MM</t>
  </si>
  <si>
    <t>32D-HARD-FOAM-66X205MMX75MM</t>
  </si>
  <si>
    <t>32D-HARD-FOAM-9.50X205MMX75MM</t>
  </si>
  <si>
    <t>32D-HARD-FOAM-12X205MMX75MM</t>
  </si>
  <si>
    <t>32D-HARD-FOAM-71.50X155MMX75MM</t>
  </si>
  <si>
    <t>32D-HARD-FOAM-74.50X155MMX75MM</t>
  </si>
  <si>
    <t>32D-HARD-FOAM-77.50X155MMX75MM</t>
  </si>
  <si>
    <t>32D-HARD-FOAM-79.50X155MMX75MM</t>
  </si>
  <si>
    <t>32D-HARD-FOAM-83.50X155MMX75MM</t>
  </si>
  <si>
    <t>32D-HARD-FOAM-12.50X155MMX75MM</t>
  </si>
  <si>
    <t>32D-HARD-FOAM-19.50X155MMX75MM</t>
  </si>
  <si>
    <t>INVST/15036/25-26</t>
  </si>
  <si>
    <t>Customer Work Order - 518- 23.02.2026 -Night Order</t>
  </si>
  <si>
    <t>BONNELL,POCKETED</t>
  </si>
  <si>
    <t>INVST/15040/25-26</t>
  </si>
  <si>
    <t>32D-HARD-FOAM-52.5X135MMX70MM</t>
  </si>
  <si>
    <t xml:space="preserve"> Bonnell Sanibel Plush Memory NL</t>
  </si>
  <si>
    <t>STO,SO     Customer Work Order - 539- 26.02.2026 -Evening Order</t>
  </si>
  <si>
    <t>INVST/15056/25-26</t>
  </si>
  <si>
    <t>INVST/15059/25-26</t>
  </si>
  <si>
    <t>COTFELT</t>
  </si>
  <si>
    <t>32D-HARD-FOAM-78.24X225MMX70MM</t>
  </si>
  <si>
    <t>32D-HARD-FOAM-79.50X225MMX70MM</t>
  </si>
  <si>
    <t>32D-HARD-FOAM-50.50X225MMX70MM</t>
  </si>
  <si>
    <t>32D-HARD-FOAM-68.50X225MMX70MM</t>
  </si>
  <si>
    <t>32D-HARD-FOAM-47.14X225MMX70MM</t>
  </si>
  <si>
    <t>32D-HARD-FOAM-64.86X225MMX70MM</t>
  </si>
  <si>
    <t>32D-HARD-FOAM-72.74X225MMX70MM</t>
  </si>
  <si>
    <t>32D-HARD-FOAM-68.50X255MMX70MM</t>
  </si>
  <si>
    <t>INVST/15064/25-26</t>
  </si>
  <si>
    <t>32D-HARD-FOAM-77.45X135MMX70MM</t>
  </si>
  <si>
    <t>32D-HARD-FOAM-66.04X135MMX70MM</t>
  </si>
  <si>
    <t>32D-HARD-FOAM-54.03X135MMX70MM</t>
  </si>
  <si>
    <t>32D-HARD-FOAM-76.46X135MMX70MM</t>
  </si>
  <si>
    <t>32D-HARD-FOAM-27.66X135MMX70MM</t>
  </si>
  <si>
    <t>32D-HARD-FOAM-72.13X135MMX70MM</t>
  </si>
  <si>
    <t xml:space="preserve">WO - 728- 26.02.2026 -Evening Order </t>
  </si>
  <si>
    <t>FM SIR TOP MOST URGENT</t>
  </si>
  <si>
    <t>INVST/15065/25-26</t>
  </si>
  <si>
    <t xml:space="preserve"> Bonnell Comfort Normal</t>
  </si>
  <si>
    <t>SPRING SO : 26-02-2026</t>
  </si>
  <si>
    <t>INVST/15090/25-26</t>
  </si>
  <si>
    <t xml:space="preserve">C.W.O-542  TOP MOST URGENT  </t>
  </si>
  <si>
    <t>32D-SOFOMA-FOAM-54X155MMX70MM</t>
  </si>
  <si>
    <t>32D-SOFOMA-FOAM-77.5X155MMX70MM</t>
  </si>
  <si>
    <t>32D-SOFOMA-FOAM-77.5X225MMX70MM</t>
  </si>
  <si>
    <t>32D-SOFOMA-FOAM-54X225MMX70MM</t>
  </si>
  <si>
    <t>COMFORT - 1</t>
  </si>
  <si>
    <t>POCKETED MEMORY FOAM - 2</t>
  </si>
  <si>
    <t>POCKETED LATEX FOAM - 3</t>
  </si>
  <si>
    <t>Pocketed Ardene Plush Memory ET - 4</t>
  </si>
  <si>
    <t>INVST/15106/25-26</t>
  </si>
  <si>
    <t>32D-HARD-FOAM-83.5X135MMX75MM</t>
  </si>
  <si>
    <t>25D-HELIXA-FOAM-83.5X71.5X15MM</t>
  </si>
  <si>
    <t>ECOM ORDER BON &amp; POC 27-2-26</t>
  </si>
  <si>
    <t>INVST/15110/25-26</t>
  </si>
  <si>
    <t>32D-HARD-FOAM-70X115MMX70MM</t>
  </si>
  <si>
    <t>32D-HARD-FOAM-22.5X115MMX70MM</t>
  </si>
  <si>
    <t>27-02-2026 STO ORDER  SPG</t>
  </si>
  <si>
    <t>INVST/15113/25-26</t>
  </si>
  <si>
    <t>BON BUFFER PLAN</t>
  </si>
  <si>
    <t>INVST/15117/25-26</t>
  </si>
  <si>
    <t>Customer Work Order - 546- 27.02.2026 Afternoon Order</t>
  </si>
  <si>
    <t>Qty</t>
  </si>
  <si>
    <t>INVST/15120/25-26</t>
  </si>
  <si>
    <t>INVST/15125/25-26</t>
  </si>
  <si>
    <t>32D-HARD-FOAM-53.5X135MMX70MM</t>
  </si>
  <si>
    <t>32D-HARD-FOAM-116.5X135MMX70MM</t>
  </si>
  <si>
    <t>32D-HARD-FOAM-46.5X135MMX70MM</t>
  </si>
  <si>
    <t>100D-RB-FOAM-83.5X65.5X20MM</t>
  </si>
  <si>
    <t>FM SIR URGENT  27-02-2026</t>
  </si>
  <si>
    <t>INVST/15131/25-26</t>
  </si>
  <si>
    <t>INVST/15132/25-26</t>
  </si>
  <si>
    <t>INVST/15133/25-26</t>
  </si>
  <si>
    <t>supreme</t>
  </si>
  <si>
    <t>qty</t>
  </si>
  <si>
    <t>SUPREME 27-06-2026</t>
  </si>
  <si>
    <t>INVST/15148/25-26</t>
  </si>
  <si>
    <t>Bonnell Sanibel Plush</t>
  </si>
  <si>
    <t>SPRING SO : 27-02-2026</t>
  </si>
  <si>
    <t>INVST/15156/25-26</t>
  </si>
  <si>
    <t>25D-HELIXA-FOAM-71.5X59.5X50MM</t>
  </si>
  <si>
    <t>25D-HELIXA-FOAM-71.5X59.5X25MM</t>
  </si>
  <si>
    <t>25D-HELIXA-FOAM-77.5X35.5X15MM</t>
  </si>
  <si>
    <t>Column2</t>
  </si>
  <si>
    <t>RTUPGPBW72X30X06</t>
  </si>
  <si>
    <t>RTUPGPBW72X36X06</t>
  </si>
  <si>
    <t>ECOM ORDER URGENCY</t>
  </si>
  <si>
    <t>INVST/15163/25-26</t>
  </si>
  <si>
    <t>BUFFER PLAN</t>
  </si>
  <si>
    <t>INVST/15164/25-26</t>
  </si>
  <si>
    <t>100D-RB-FOAM-74.5X59.5X20MM</t>
  </si>
  <si>
    <t>32D HARD</t>
  </si>
  <si>
    <t>95,115,135,155,175, 225</t>
  </si>
  <si>
    <t>SIDE WALL FOAM CUTTING SIZE</t>
  </si>
  <si>
    <t>FINISHING SIZE</t>
  </si>
  <si>
    <t>LENGTH CUTTING SIZE / INCHS</t>
  </si>
  <si>
    <t>WIDTH /MM</t>
  </si>
  <si>
    <t>HEIGHT /MM</t>
  </si>
  <si>
    <t>BONNELL CROWNTOP,SPG,SPKN</t>
  </si>
  <si>
    <t>INVST/15171/25-26</t>
  </si>
  <si>
    <t>INVST/15172/25-26</t>
  </si>
  <si>
    <t>32D-HARD-FOAM-83.5X155MMX40MM</t>
  </si>
  <si>
    <t>18D-PU-FOAM-83.5X71.5X10MM</t>
  </si>
  <si>
    <t>27-02-2026 AFTERNOON ORDER POC</t>
  </si>
  <si>
    <t>italiano  icona</t>
  </si>
  <si>
    <t>32D-HARD-FOAM-75X135MMX70MM</t>
  </si>
  <si>
    <t xml:space="preserve">WO-734-28-02-2026-Evening order </t>
  </si>
  <si>
    <t>27,28 AFTERNOON POC SUPREME</t>
  </si>
  <si>
    <t>PLAN-1</t>
  </si>
  <si>
    <t>PLAN-3</t>
  </si>
  <si>
    <t>PLAN-4</t>
  </si>
  <si>
    <t>INVST/15196/25-26</t>
  </si>
  <si>
    <t>32D-HARD-FOAM-56X135MMX70MM</t>
  </si>
  <si>
    <t>SO   Customer Work Order - 557- 28.02.2026 afternoon Order</t>
  </si>
  <si>
    <t>INVST/15198/25-26</t>
  </si>
  <si>
    <t>PLAN-5</t>
  </si>
  <si>
    <t>SUPREME &amp; COM 01-03-2026</t>
  </si>
  <si>
    <t>32D-HARD-FOAM-77.5X225MMX70MM</t>
  </si>
  <si>
    <t>32D-HARD-FOAM-54X225MMX70MM</t>
  </si>
  <si>
    <t>32D-HARD-FOAM-19.5X225MMX70MM</t>
  </si>
  <si>
    <t>32D-HARD-FOAM-12X225MMX70MM</t>
  </si>
  <si>
    <t>BONNELL BUFFER</t>
  </si>
  <si>
    <t>DAY SHIFT PLAN</t>
  </si>
  <si>
    <t>PLAN-1 COMFORT</t>
  </si>
  <si>
    <t>32D-HARD-FOAM-73.5X155MMX70MM</t>
  </si>
  <si>
    <t>32D-HARD-FOAM-59X155MMX70MM</t>
  </si>
  <si>
    <t>32D-HARD-FOAM-47X135MMX70MM</t>
  </si>
  <si>
    <t>32D-HARD-FOAM-81.5X135MMX70MM</t>
  </si>
  <si>
    <t>SANIBEL  NORMAL 28-02-2026</t>
  </si>
  <si>
    <t>32D-HARD-FOAM-73.5X115MMX70MM</t>
  </si>
  <si>
    <t>SPK-CT 28-02-2026</t>
  </si>
  <si>
    <t>25D-HELIXA-FOAM-71.5X29.5X15MM</t>
  </si>
  <si>
    <t>25D-HELIXA-FOAM-74.5X59.5X25MM</t>
  </si>
  <si>
    <t>25D-HELIXA-FOAM-74.5X59.5X15MM</t>
  </si>
  <si>
    <t>32D-SOFOMA-FOAM-77.5X155X70MM</t>
  </si>
  <si>
    <t>32D-SOFOMA-FOAM-54X155X70MM</t>
  </si>
  <si>
    <t>25D-HELIXA-77.5X59.5X15MM</t>
  </si>
  <si>
    <t>32D-SOFOMA-FOAM-77.5X225X70MM</t>
  </si>
  <si>
    <t>32D-SOFOMA-FOAM-54X225X70MM</t>
  </si>
  <si>
    <t>30D-MDI-MEMORY-FOAM-77.5X59.5X15MM</t>
  </si>
  <si>
    <t>65D-LATEX-FOAM-77.5X59.5X10MM</t>
  </si>
  <si>
    <t>SAMPLE FOAM</t>
  </si>
  <si>
    <t>32D-HARD-FOAM-74X115MMX70MM</t>
  </si>
  <si>
    <t>32D-HARD-FOAM-29X115MMX70MM</t>
  </si>
  <si>
    <t>24TH &amp; 25TH ARDENE NORMAL</t>
  </si>
  <si>
    <t>32D-HARD-FOAM-75.5X155MMX70MM</t>
  </si>
  <si>
    <t>32D-HARD-FOAM-64X155MMX70MM</t>
  </si>
  <si>
    <t>32D-HARD-FOAM-78.5X115MMX70MM</t>
  </si>
  <si>
    <t>32D-HARD-FOAM-52X115MMX70MM</t>
  </si>
  <si>
    <t>ARDENE ET&amp; PT</t>
  </si>
  <si>
    <t>32D-HARD-FOAM-32.5X175MMX40MM</t>
  </si>
  <si>
    <t>ITALINO &amp; CRYSTAL &amp; GRAND PALAIS, ZENINO PT,VIVAH</t>
  </si>
  <si>
    <t>Sum of CC</t>
  </si>
  <si>
    <t>PEPSBNCOMNLBG75X60X06</t>
  </si>
  <si>
    <t>BUFFER PLAN 02-03-2026</t>
  </si>
  <si>
    <t>INVST/15252/25-26</t>
  </si>
  <si>
    <t>32D-HARD-FOAM-81.5X135MMX40MM</t>
  </si>
  <si>
    <t>18D-PU-FOAM-77.5X71.5X10MM</t>
  </si>
  <si>
    <t>32D-HARD-FOAM-77X115MMX70MM</t>
  </si>
  <si>
    <t>32D-HARD-FOAM-771X115MMX70MM</t>
  </si>
  <si>
    <t>32D-HARD-FOAM-68.5X175MMX40MM</t>
  </si>
  <si>
    <t>18D-PU-FOAM-77.5X71.5X15MM</t>
  </si>
  <si>
    <t>INVST/15253/25-26</t>
  </si>
  <si>
    <t>INVST/15257/25-26</t>
  </si>
  <si>
    <t>POCKETED SUPREME</t>
  </si>
  <si>
    <t>INVST/15259/25-26</t>
  </si>
  <si>
    <t>32D-HARD-FOAM-73X155MMX70MM</t>
  </si>
  <si>
    <t>INVST/15260/25-26</t>
  </si>
  <si>
    <t>INVST/15262/25-26</t>
  </si>
  <si>
    <t>PEPSBNCOMNLBG78X60X06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</si>
</sst>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&quot;0&quot;#"/>
  </numFmts>
  <fonts count="8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24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sz val="16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rgb="FF000000"/>
      <name val="Bookman Old Style"/>
      <family val="1"/>
    </font>
    <font>
      <b/>
      <sz val="16"/>
      <name val="Calibri"/>
      <family val="2"/>
      <scheme val="minor"/>
    </font>
    <font>
      <b/>
      <sz val="14"/>
      <color indexed="9"/>
      <name val="Bookman Old Style"/>
      <family val="1"/>
    </font>
    <font>
      <sz val="14"/>
      <name val="Bookman Old Style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rgb="FF000000"/>
      <name val="Bookman Old Style"/>
      <family val="1"/>
    </font>
    <font>
      <sz val="16"/>
      <color theme="1"/>
      <name val="Bookman Old Style"/>
      <family val="1"/>
    </font>
    <font>
      <sz val="12"/>
      <color rgb="FF000000"/>
      <name val="Bookman Old Style"/>
      <family val="1"/>
    </font>
    <font>
      <sz val="14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28"/>
      <color theme="1"/>
      <name val="Bookman Old Style"/>
      <family val="1"/>
    </font>
    <font>
      <sz val="11"/>
      <name val="Calibri"/>
      <family val="2"/>
    </font>
    <font>
      <sz val="16"/>
      <color theme="1"/>
      <name val="Bookman Old Style"/>
      <family val="1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6"/>
      <color theme="1"/>
      <name val="Bookman Old Style"/>
      <family val="1"/>
    </font>
    <font>
      <sz val="14"/>
      <color theme="1"/>
      <name val="Bookman Old Style"/>
      <family val="1"/>
    </font>
    <font>
      <sz val="11"/>
      <color rgb="FF9C57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Bookman Old Style"/>
      <family val="1"/>
    </font>
    <font>
      <b/>
      <sz val="24"/>
      <color theme="1"/>
      <name val="Bookman Old Style"/>
      <family val="1"/>
    </font>
    <font>
      <b/>
      <sz val="18"/>
      <color theme="1"/>
      <name val="Bookman Old Style"/>
      <family val="1"/>
    </font>
    <font>
      <b/>
      <sz val="26"/>
      <color theme="1"/>
      <name val="Calibri"/>
      <family val="2"/>
      <scheme val="minor"/>
    </font>
    <font>
      <sz val="20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Bookman Old Style"/>
      <family val="1"/>
    </font>
    <font>
      <b/>
      <sz val="2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Bookman Old Style"/>
      <family val="1"/>
    </font>
  </fonts>
  <fills count="54">
    <fill>
      <patternFill patternType="none"/>
    </fill>
    <fill>
      <patternFill patternType="gray125"/>
    </fill>
    <fill>
      <patternFill patternType="solid">
        <fgColor rgb="FFFFC000"/>
        <bgColor theme="4" tint="0.79995117038483843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79995117038483843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120">
    <xf numFmtId="0" fontId="0" fillId="0" borderId="0"/>
    <xf numFmtId="0" fontId="19" fillId="0" borderId="0"/>
    <xf numFmtId="0" fontId="31" fillId="0" borderId="0"/>
    <xf numFmtId="0" fontId="40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42" fillId="0" borderId="0"/>
    <xf numFmtId="0" fontId="44" fillId="0" borderId="0" applyNumberFormat="0" applyFill="0" applyBorder="0" applyAlignment="0" applyProtection="0"/>
    <xf numFmtId="0" fontId="46" fillId="0" borderId="71" applyNumberFormat="0" applyFill="0" applyAlignment="0" applyProtection="0"/>
    <xf numFmtId="0" fontId="47" fillId="0" borderId="72" applyNumberFormat="0" applyFill="0" applyAlignment="0" applyProtection="0"/>
    <xf numFmtId="0" fontId="48" fillId="0" borderId="73" applyNumberFormat="0" applyFill="0" applyAlignment="0" applyProtection="0"/>
    <xf numFmtId="0" fontId="48" fillId="0" borderId="0" applyNumberFormat="0" applyFill="0" applyBorder="0" applyAlignment="0" applyProtection="0"/>
    <xf numFmtId="0" fontId="49" fillId="21" borderId="0" applyNumberFormat="0" applyBorder="0" applyAlignment="0" applyProtection="0"/>
    <xf numFmtId="0" fontId="50" fillId="22" borderId="0" applyNumberFormat="0" applyBorder="0" applyAlignment="0" applyProtection="0"/>
    <xf numFmtId="0" fontId="51" fillId="23" borderId="0" applyNumberFormat="0" applyBorder="0" applyAlignment="0" applyProtection="0"/>
    <xf numFmtId="0" fontId="52" fillId="24" borderId="74" applyNumberFormat="0" applyAlignment="0" applyProtection="0"/>
    <xf numFmtId="0" fontId="53" fillId="25" borderId="75" applyNumberFormat="0" applyAlignment="0" applyProtection="0"/>
    <xf numFmtId="0" fontId="54" fillId="25" borderId="74" applyNumberFormat="0" applyAlignment="0" applyProtection="0"/>
    <xf numFmtId="0" fontId="55" fillId="0" borderId="76" applyNumberFormat="0" applyFill="0" applyAlignment="0" applyProtection="0"/>
    <xf numFmtId="0" fontId="56" fillId="26" borderId="77" applyNumberFormat="0" applyAlignment="0" applyProtection="0"/>
    <xf numFmtId="0" fontId="57" fillId="0" borderId="0" applyNumberFormat="0" applyFill="0" applyBorder="0" applyAlignment="0" applyProtection="0"/>
    <xf numFmtId="0" fontId="16" fillId="27" borderId="78" applyNumberFormat="0" applyFont="0" applyAlignment="0" applyProtection="0"/>
    <xf numFmtId="0" fontId="58" fillId="0" borderId="0" applyNumberFormat="0" applyFill="0" applyBorder="0" applyAlignment="0" applyProtection="0"/>
    <xf numFmtId="0" fontId="30" fillId="0" borderId="79" applyNumberFormat="0" applyFill="0" applyAlignment="0" applyProtection="0"/>
    <xf numFmtId="0" fontId="4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50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71" applyNumberFormat="0" applyFill="0" applyAlignment="0" applyProtection="0"/>
    <xf numFmtId="0" fontId="47" fillId="0" borderId="72" applyNumberFormat="0" applyFill="0" applyAlignment="0" applyProtection="0"/>
    <xf numFmtId="0" fontId="48" fillId="0" borderId="73" applyNumberFormat="0" applyFill="0" applyAlignment="0" applyProtection="0"/>
    <xf numFmtId="0" fontId="48" fillId="0" borderId="0" applyNumberFormat="0" applyFill="0" applyBorder="0" applyAlignment="0" applyProtection="0"/>
    <xf numFmtId="0" fontId="49" fillId="21" borderId="0" applyNumberFormat="0" applyBorder="0" applyAlignment="0" applyProtection="0"/>
    <xf numFmtId="0" fontId="50" fillId="22" borderId="0" applyNumberFormat="0" applyBorder="0" applyAlignment="0" applyProtection="0"/>
    <xf numFmtId="0" fontId="52" fillId="24" borderId="74" applyNumberFormat="0" applyAlignment="0" applyProtection="0"/>
    <xf numFmtId="0" fontId="53" fillId="25" borderId="75" applyNumberFormat="0" applyAlignment="0" applyProtection="0"/>
    <xf numFmtId="0" fontId="54" fillId="25" borderId="74" applyNumberFormat="0" applyAlignment="0" applyProtection="0"/>
    <xf numFmtId="0" fontId="55" fillId="0" borderId="76" applyNumberFormat="0" applyFill="0" applyAlignment="0" applyProtection="0"/>
    <xf numFmtId="0" fontId="56" fillId="26" borderId="77" applyNumberFormat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0" fillId="0" borderId="79" applyNumberFormat="0" applyFill="0" applyAlignment="0" applyProtection="0"/>
    <xf numFmtId="0" fontId="4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4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4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4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2" borderId="0" applyNumberFormat="0" applyBorder="0" applyAlignment="0" applyProtection="0"/>
    <xf numFmtId="0" fontId="4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4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0" borderId="0"/>
    <xf numFmtId="0" fontId="15" fillId="27" borderId="78" applyNumberFormat="0" applyFont="0" applyAlignment="0" applyProtection="0"/>
    <xf numFmtId="0" fontId="61" fillId="23" borderId="0" applyNumberFormat="0" applyBorder="0" applyAlignment="0" applyProtection="0"/>
    <xf numFmtId="0" fontId="15" fillId="31" borderId="0" applyNumberFormat="0" applyBorder="0" applyAlignment="0" applyProtection="0"/>
    <xf numFmtId="0" fontId="15" fillId="35" borderId="0" applyNumberFormat="0" applyBorder="0" applyAlignment="0" applyProtection="0"/>
    <xf numFmtId="0" fontId="15" fillId="39" borderId="0" applyNumberFormat="0" applyBorder="0" applyAlignment="0" applyProtection="0"/>
    <xf numFmtId="0" fontId="15" fillId="43" borderId="0" applyNumberFormat="0" applyBorder="0" applyAlignment="0" applyProtection="0"/>
    <xf numFmtId="0" fontId="15" fillId="47" borderId="0" applyNumberFormat="0" applyBorder="0" applyAlignment="0" applyProtection="0"/>
    <xf numFmtId="0" fontId="15" fillId="51" borderId="0" applyNumberFormat="0" applyBorder="0" applyAlignment="0" applyProtection="0"/>
    <xf numFmtId="0" fontId="14" fillId="0" borderId="0"/>
    <xf numFmtId="0" fontId="13" fillId="0" borderId="0"/>
    <xf numFmtId="0" fontId="12" fillId="0" borderId="0"/>
    <xf numFmtId="0" fontId="10" fillId="0" borderId="0"/>
    <xf numFmtId="0" fontId="9" fillId="0" borderId="0"/>
    <xf numFmtId="0" fontId="51" fillId="23" borderId="0" applyNumberFormat="0" applyBorder="0" applyAlignment="0" applyProtection="0"/>
    <xf numFmtId="0" fontId="45" fillId="31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7" fillId="0" borderId="0"/>
    <xf numFmtId="0" fontId="7" fillId="27" borderId="78" applyNumberFormat="0" applyFon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6" fillId="0" borderId="0"/>
    <xf numFmtId="0" fontId="3" fillId="0" borderId="0"/>
    <xf numFmtId="0" fontId="2" fillId="0" borderId="0"/>
  </cellStyleXfs>
  <cellXfs count="525">
    <xf numFmtId="0" fontId="0" fillId="0" borderId="0" xfId="0"/>
    <xf numFmtId="0" fontId="20" fillId="0" borderId="0" xfId="0" applyFont="1"/>
    <xf numFmtId="0" fontId="0" fillId="0" borderId="0" xfId="0" applyNumberFormat="1"/>
    <xf numFmtId="0" fontId="21" fillId="3" borderId="18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2" fontId="22" fillId="2" borderId="15" xfId="0" applyNumberFormat="1" applyFont="1" applyFill="1" applyBorder="1" applyAlignment="1">
      <alignment horizontal="center" vertical="center"/>
    </xf>
    <xf numFmtId="164" fontId="22" fillId="2" borderId="15" xfId="0" applyNumberFormat="1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164" fontId="22" fillId="2" borderId="13" xfId="0" applyNumberFormat="1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164" fontId="22" fillId="2" borderId="16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23" xfId="0" applyBorder="1"/>
    <xf numFmtId="0" fontId="0" fillId="0" borderId="24" xfId="0" applyBorder="1"/>
    <xf numFmtId="164" fontId="23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1" fillId="3" borderId="26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0" fillId="0" borderId="30" xfId="0" applyBorder="1"/>
    <xf numFmtId="0" fontId="22" fillId="2" borderId="3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0" fillId="0" borderId="6" xfId="0" applyBorder="1"/>
    <xf numFmtId="0" fontId="22" fillId="2" borderId="31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0" fillId="0" borderId="10" xfId="0" applyBorder="1"/>
    <xf numFmtId="0" fontId="22" fillId="2" borderId="3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/>
    </xf>
    <xf numFmtId="0" fontId="0" fillId="0" borderId="34" xfId="0" applyBorder="1"/>
    <xf numFmtId="0" fontId="22" fillId="2" borderId="35" xfId="0" applyFont="1" applyFill="1" applyBorder="1" applyAlignment="1">
      <alignment horizontal="center" vertical="center"/>
    </xf>
    <xf numFmtId="0" fontId="22" fillId="3" borderId="36" xfId="0" applyFont="1" applyFill="1" applyBorder="1" applyAlignment="1">
      <alignment horizontal="center" vertical="center"/>
    </xf>
    <xf numFmtId="0" fontId="22" fillId="3" borderId="37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0" fillId="0" borderId="39" xfId="0" applyBorder="1"/>
    <xf numFmtId="0" fontId="22" fillId="2" borderId="37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6" borderId="41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2" fontId="24" fillId="0" borderId="5" xfId="0" applyNumberFormat="1" applyFont="1" applyBorder="1" applyAlignment="1">
      <alignment horizontal="center" vertical="center"/>
    </xf>
    <xf numFmtId="2" fontId="24" fillId="0" borderId="6" xfId="0" applyNumberFormat="1" applyFont="1" applyBorder="1" applyAlignment="1">
      <alignment horizontal="center" vertical="center"/>
    </xf>
    <xf numFmtId="2" fontId="24" fillId="0" borderId="43" xfId="0" applyNumberFormat="1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7" borderId="41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0" fontId="24" fillId="7" borderId="39" xfId="0" applyFont="1" applyFill="1" applyBorder="1" applyAlignment="1">
      <alignment horizontal="center" vertical="center"/>
    </xf>
    <xf numFmtId="2" fontId="24" fillId="7" borderId="41" xfId="0" applyNumberFormat="1" applyFont="1" applyFill="1" applyBorder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0" fillId="8" borderId="0" xfId="0" applyFill="1"/>
    <xf numFmtId="0" fontId="28" fillId="11" borderId="5" xfId="0" applyFont="1" applyFill="1" applyBorder="1" applyAlignment="1" applyProtection="1">
      <alignment horizontal="center" vertical="center" wrapText="1"/>
      <protection locked="0"/>
    </xf>
    <xf numFmtId="0" fontId="22" fillId="4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left" vertical="center"/>
    </xf>
    <xf numFmtId="0" fontId="22" fillId="3" borderId="5" xfId="0" applyNumberFormat="1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left" vertical="center"/>
    </xf>
    <xf numFmtId="0" fontId="22" fillId="6" borderId="5" xfId="0" applyNumberFormat="1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left" vertical="center"/>
    </xf>
    <xf numFmtId="0" fontId="22" fillId="12" borderId="5" xfId="0" applyNumberFormat="1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left" vertical="center"/>
    </xf>
    <xf numFmtId="0" fontId="22" fillId="9" borderId="5" xfId="0" applyNumberFormat="1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left" vertical="center"/>
    </xf>
    <xf numFmtId="0" fontId="22" fillId="13" borderId="5" xfId="0" applyNumberFormat="1" applyFont="1" applyFill="1" applyBorder="1" applyAlignment="1">
      <alignment horizontal="center" vertical="center"/>
    </xf>
    <xf numFmtId="0" fontId="29" fillId="13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center"/>
    </xf>
    <xf numFmtId="0" fontId="22" fillId="14" borderId="5" xfId="0" applyNumberFormat="1" applyFont="1" applyFill="1" applyBorder="1" applyAlignment="1">
      <alignment horizontal="center" vertical="center"/>
    </xf>
    <xf numFmtId="0" fontId="22" fillId="14" borderId="5" xfId="0" applyNumberFormat="1" applyFont="1" applyFill="1" applyBorder="1" applyAlignment="1">
      <alignment horizontal="left" vertical="center"/>
    </xf>
    <xf numFmtId="0" fontId="22" fillId="4" borderId="5" xfId="0" applyNumberFormat="1" applyFont="1" applyFill="1" applyBorder="1" applyAlignment="1">
      <alignment horizontal="left" vertical="center"/>
    </xf>
    <xf numFmtId="0" fontId="22" fillId="10" borderId="5" xfId="0" applyFont="1" applyFill="1" applyBorder="1" applyAlignment="1">
      <alignment horizontal="left" vertical="center"/>
    </xf>
    <xf numFmtId="0" fontId="22" fillId="10" borderId="5" xfId="0" applyNumberFormat="1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left" vertical="center"/>
    </xf>
    <xf numFmtId="0" fontId="22" fillId="15" borderId="5" xfId="0" applyNumberFormat="1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left" vertical="center"/>
    </xf>
    <xf numFmtId="0" fontId="22" fillId="16" borderId="5" xfId="0" applyNumberFormat="1" applyFont="1" applyFill="1" applyBorder="1" applyAlignment="1">
      <alignment horizontal="center" vertical="center"/>
    </xf>
    <xf numFmtId="0" fontId="21" fillId="17" borderId="18" xfId="0" applyFont="1" applyFill="1" applyBorder="1" applyAlignment="1">
      <alignment horizontal="center" vertical="center"/>
    </xf>
    <xf numFmtId="0" fontId="21" fillId="17" borderId="45" xfId="0" applyFont="1" applyFill="1" applyBorder="1" applyAlignment="1">
      <alignment horizontal="center" vertical="center" wrapText="1"/>
    </xf>
    <xf numFmtId="0" fontId="21" fillId="17" borderId="48" xfId="0" applyFont="1" applyFill="1" applyBorder="1" applyAlignment="1">
      <alignment horizontal="center" vertical="center"/>
    </xf>
    <xf numFmtId="0" fontId="21" fillId="17" borderId="49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4" borderId="50" xfId="0" applyFont="1" applyFill="1" applyBorder="1" applyAlignment="1">
      <alignment horizontal="center" vertical="center"/>
    </xf>
    <xf numFmtId="0" fontId="21" fillId="4" borderId="43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center" vertical="center"/>
    </xf>
    <xf numFmtId="0" fontId="21" fillId="12" borderId="36" xfId="0" applyFont="1" applyFill="1" applyBorder="1" applyAlignment="1">
      <alignment horizontal="center" vertical="center"/>
    </xf>
    <xf numFmtId="0" fontId="21" fillId="12" borderId="51" xfId="0" applyFont="1" applyFill="1" applyBorder="1" applyAlignment="1">
      <alignment horizontal="center" vertical="center"/>
    </xf>
    <xf numFmtId="0" fontId="21" fillId="12" borderId="44" xfId="0" applyFont="1" applyFill="1" applyBorder="1" applyAlignment="1">
      <alignment horizontal="center" vertical="center"/>
    </xf>
    <xf numFmtId="0" fontId="21" fillId="12" borderId="39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52" xfId="0" applyFont="1" applyFill="1" applyBorder="1" applyAlignment="1">
      <alignment horizontal="center" vertical="center"/>
    </xf>
    <xf numFmtId="0" fontId="21" fillId="18" borderId="53" xfId="0" applyFont="1" applyFill="1" applyBorder="1" applyAlignment="1">
      <alignment horizontal="center" vertical="center"/>
    </xf>
    <xf numFmtId="0" fontId="21" fillId="18" borderId="30" xfId="0" applyFont="1" applyFill="1" applyBorder="1" applyAlignment="1">
      <alignment horizontal="center" vertical="center"/>
    </xf>
    <xf numFmtId="0" fontId="21" fillId="18" borderId="21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/>
    </xf>
    <xf numFmtId="0" fontId="21" fillId="18" borderId="22" xfId="0" applyFont="1" applyFill="1" applyBorder="1" applyAlignment="1">
      <alignment horizontal="center" vertical="center"/>
    </xf>
    <xf numFmtId="0" fontId="21" fillId="18" borderId="8" xfId="0" applyFont="1" applyFill="1" applyBorder="1" applyAlignment="1">
      <alignment horizontal="center" vertical="center"/>
    </xf>
    <xf numFmtId="0" fontId="21" fillId="18" borderId="9" xfId="0" applyFont="1" applyFill="1" applyBorder="1" applyAlignment="1">
      <alignment horizontal="center" vertical="center"/>
    </xf>
    <xf numFmtId="0" fontId="21" fillId="18" borderId="10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52" xfId="0" applyFont="1" applyFill="1" applyBorder="1" applyAlignment="1">
      <alignment horizontal="center" vertical="center"/>
    </xf>
    <xf numFmtId="0" fontId="21" fillId="4" borderId="53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2" xfId="0" applyFont="1" applyFill="1" applyBorder="1" applyAlignment="1">
      <alignment horizontal="center" vertical="center"/>
    </xf>
    <xf numFmtId="0" fontId="21" fillId="3" borderId="53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2" borderId="52" xfId="0" applyFont="1" applyFill="1" applyBorder="1" applyAlignment="1">
      <alignment horizontal="center" vertical="center"/>
    </xf>
    <xf numFmtId="0" fontId="21" fillId="12" borderId="53" xfId="0" applyFont="1" applyFill="1" applyBorder="1" applyAlignment="1">
      <alignment horizontal="center" vertical="center"/>
    </xf>
    <xf numFmtId="0" fontId="21" fillId="12" borderId="30" xfId="0" applyFont="1" applyFill="1" applyBorder="1" applyAlignment="1">
      <alignment horizontal="center" vertical="center"/>
    </xf>
    <xf numFmtId="0" fontId="21" fillId="12" borderId="22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7" borderId="54" xfId="0" applyFont="1" applyFill="1" applyBorder="1" applyAlignment="1">
      <alignment horizontal="center" vertical="center"/>
    </xf>
    <xf numFmtId="164" fontId="22" fillId="4" borderId="34" xfId="0" applyNumberFormat="1" applyFont="1" applyFill="1" applyBorder="1" applyAlignment="1">
      <alignment horizontal="center" vertical="center"/>
    </xf>
    <xf numFmtId="164" fontId="21" fillId="4" borderId="55" xfId="0" applyNumberFormat="1" applyFont="1" applyFill="1" applyBorder="1" applyAlignment="1">
      <alignment horizontal="center" vertical="center"/>
    </xf>
    <xf numFmtId="0" fontId="21" fillId="4" borderId="36" xfId="0" applyFont="1" applyFill="1" applyBorder="1" applyAlignment="1">
      <alignment horizontal="center" vertical="center"/>
    </xf>
    <xf numFmtId="0" fontId="21" fillId="4" borderId="51" xfId="0" applyFont="1" applyFill="1" applyBorder="1" applyAlignment="1">
      <alignment horizontal="center" vertical="center"/>
    </xf>
    <xf numFmtId="0" fontId="21" fillId="4" borderId="44" xfId="0" applyFont="1" applyFill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21" fillId="6" borderId="5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1" fillId="17" borderId="56" xfId="0" applyFont="1" applyFill="1" applyBorder="1" applyAlignment="1">
      <alignment horizontal="center" vertical="center" wrapText="1"/>
    </xf>
    <xf numFmtId="164" fontId="22" fillId="4" borderId="30" xfId="0" applyNumberFormat="1" applyFont="1" applyFill="1" applyBorder="1" applyAlignment="1">
      <alignment horizontal="center" vertical="center"/>
    </xf>
    <xf numFmtId="164" fontId="21" fillId="4" borderId="57" xfId="0" applyNumberFormat="1" applyFont="1" applyFill="1" applyBorder="1" applyAlignment="1">
      <alignment horizontal="center" vertical="center"/>
    </xf>
    <xf numFmtId="0" fontId="21" fillId="4" borderId="58" xfId="0" applyFont="1" applyFill="1" applyBorder="1" applyAlignment="1">
      <alignment horizontal="center" vertical="center"/>
    </xf>
    <xf numFmtId="164" fontId="21" fillId="4" borderId="59" xfId="0" applyNumberFormat="1" applyFont="1" applyFill="1" applyBorder="1" applyAlignment="1">
      <alignment horizontal="center" vertical="center"/>
    </xf>
    <xf numFmtId="164" fontId="21" fillId="3" borderId="57" xfId="0" applyNumberFormat="1" applyFont="1" applyFill="1" applyBorder="1" applyAlignment="1">
      <alignment horizontal="center" vertical="center"/>
    </xf>
    <xf numFmtId="164" fontId="21" fillId="3" borderId="7" xfId="0" applyNumberFormat="1" applyFont="1" applyFill="1" applyBorder="1" applyAlignment="1">
      <alignment horizontal="center" vertical="center"/>
    </xf>
    <xf numFmtId="164" fontId="21" fillId="3" borderId="11" xfId="0" applyNumberFormat="1" applyFont="1" applyFill="1" applyBorder="1" applyAlignment="1">
      <alignment horizontal="center" vertical="center"/>
    </xf>
    <xf numFmtId="164" fontId="21" fillId="6" borderId="57" xfId="0" applyNumberFormat="1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 vertical="center"/>
    </xf>
    <xf numFmtId="164" fontId="21" fillId="6" borderId="55" xfId="0" applyNumberFormat="1" applyFont="1" applyFill="1" applyBorder="1" applyAlignment="1">
      <alignment horizontal="center" vertical="center"/>
    </xf>
    <xf numFmtId="0" fontId="21" fillId="6" borderId="58" xfId="0" applyFont="1" applyFill="1" applyBorder="1" applyAlignment="1">
      <alignment horizontal="center" vertical="center"/>
    </xf>
    <xf numFmtId="164" fontId="21" fillId="6" borderId="59" xfId="0" applyNumberFormat="1" applyFont="1" applyFill="1" applyBorder="1" applyAlignment="1">
      <alignment horizontal="center" vertical="center"/>
    </xf>
    <xf numFmtId="164" fontId="21" fillId="12" borderId="57" xfId="0" applyNumberFormat="1" applyFont="1" applyFill="1" applyBorder="1" applyAlignment="1">
      <alignment horizontal="center" vertical="center"/>
    </xf>
    <xf numFmtId="164" fontId="21" fillId="12" borderId="7" xfId="0" applyNumberFormat="1" applyFont="1" applyFill="1" applyBorder="1" applyAlignment="1">
      <alignment horizontal="center" vertical="center"/>
    </xf>
    <xf numFmtId="0" fontId="21" fillId="17" borderId="60" xfId="0" applyFont="1" applyFill="1" applyBorder="1" applyAlignment="1">
      <alignment horizontal="center" vertical="center"/>
    </xf>
    <xf numFmtId="0" fontId="21" fillId="17" borderId="61" xfId="0" applyFont="1" applyFill="1" applyBorder="1" applyAlignment="1">
      <alignment horizontal="center" vertical="center"/>
    </xf>
    <xf numFmtId="0" fontId="21" fillId="17" borderId="47" xfId="0" applyFont="1" applyFill="1" applyBorder="1" applyAlignment="1">
      <alignment horizontal="center" vertical="center"/>
    </xf>
    <xf numFmtId="164" fontId="22" fillId="4" borderId="53" xfId="0" applyNumberFormat="1" applyFont="1" applyFill="1" applyBorder="1" applyAlignment="1">
      <alignment horizontal="center" vertical="center"/>
    </xf>
    <xf numFmtId="164" fontId="21" fillId="4" borderId="7" xfId="0" applyNumberFormat="1" applyFont="1" applyFill="1" applyBorder="1" applyAlignment="1">
      <alignment horizontal="center" vertical="center"/>
    </xf>
    <xf numFmtId="0" fontId="21" fillId="18" borderId="33" xfId="0" applyFont="1" applyFill="1" applyBorder="1" applyAlignment="1">
      <alignment horizontal="center" vertical="center"/>
    </xf>
    <xf numFmtId="0" fontId="21" fillId="18" borderId="50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1" fillId="18" borderId="34" xfId="0" applyFont="1" applyFill="1" applyBorder="1" applyAlignment="1">
      <alignment horizontal="center" vertical="center"/>
    </xf>
    <xf numFmtId="0" fontId="21" fillId="18" borderId="36" xfId="0" applyFont="1" applyFill="1" applyBorder="1" applyAlignment="1">
      <alignment horizontal="center" vertical="center"/>
    </xf>
    <xf numFmtId="0" fontId="21" fillId="18" borderId="51" xfId="0" applyFont="1" applyFill="1" applyBorder="1" applyAlignment="1">
      <alignment horizontal="center" vertical="center"/>
    </xf>
    <xf numFmtId="0" fontId="21" fillId="18" borderId="44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9" borderId="52" xfId="0" applyFont="1" applyFill="1" applyBorder="1" applyAlignment="1">
      <alignment horizontal="center" vertical="center"/>
    </xf>
    <xf numFmtId="0" fontId="21" fillId="19" borderId="53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0" fontId="21" fillId="19" borderId="5" xfId="0" applyFont="1" applyFill="1" applyBorder="1" applyAlignment="1">
      <alignment horizontal="center" vertical="center"/>
    </xf>
    <xf numFmtId="0" fontId="21" fillId="19" borderId="8" xfId="0" applyFont="1" applyFill="1" applyBorder="1" applyAlignment="1">
      <alignment horizontal="center" vertical="center"/>
    </xf>
    <xf numFmtId="0" fontId="21" fillId="19" borderId="9" xfId="0" applyFont="1" applyFill="1" applyBorder="1" applyAlignment="1">
      <alignment horizontal="center" vertical="center"/>
    </xf>
    <xf numFmtId="164" fontId="21" fillId="12" borderId="11" xfId="0" applyNumberFormat="1" applyFont="1" applyFill="1" applyBorder="1" applyAlignment="1">
      <alignment horizontal="center" vertical="center"/>
    </xf>
    <xf numFmtId="164" fontId="21" fillId="19" borderId="57" xfId="0" applyNumberFormat="1" applyFont="1" applyFill="1" applyBorder="1" applyAlignment="1">
      <alignment horizontal="center" vertical="center"/>
    </xf>
    <xf numFmtId="164" fontId="21" fillId="19" borderId="7" xfId="0" applyNumberFormat="1" applyFont="1" applyFill="1" applyBorder="1" applyAlignment="1">
      <alignment horizontal="center" vertical="center"/>
    </xf>
    <xf numFmtId="164" fontId="21" fillId="19" borderId="11" xfId="0" applyNumberFormat="1" applyFont="1" applyFill="1" applyBorder="1" applyAlignment="1">
      <alignment horizontal="center" vertical="center"/>
    </xf>
    <xf numFmtId="164" fontId="21" fillId="4" borderId="11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164" fontId="21" fillId="8" borderId="63" xfId="0" applyNumberFormat="1" applyFont="1" applyFill="1" applyBorder="1" applyAlignment="1">
      <alignment horizontal="center" vertical="center"/>
    </xf>
    <xf numFmtId="164" fontId="21" fillId="6" borderId="7" xfId="0" applyNumberFormat="1" applyFont="1" applyFill="1" applyBorder="1" applyAlignment="1">
      <alignment horizontal="center" vertical="center"/>
    </xf>
    <xf numFmtId="164" fontId="21" fillId="6" borderId="11" xfId="0" applyNumberFormat="1" applyFont="1" applyFill="1" applyBorder="1" applyAlignment="1">
      <alignment horizontal="center" vertical="center"/>
    </xf>
    <xf numFmtId="164" fontId="22" fillId="6" borderId="53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2" fontId="22" fillId="8" borderId="5" xfId="0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21" fillId="17" borderId="48" xfId="0" applyNumberFormat="1" applyFont="1" applyFill="1" applyBorder="1" applyAlignment="1">
      <alignment horizontal="center" vertical="center"/>
    </xf>
    <xf numFmtId="164" fontId="21" fillId="4" borderId="43" xfId="0" applyNumberFormat="1" applyFont="1" applyFill="1" applyBorder="1" applyAlignment="1">
      <alignment horizontal="center" vertical="center"/>
    </xf>
    <xf numFmtId="164" fontId="21" fillId="4" borderId="5" xfId="0" applyNumberFormat="1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horizontal="center" vertical="center"/>
    </xf>
    <xf numFmtId="164" fontId="21" fillId="6" borderId="5" xfId="0" applyNumberFormat="1" applyFont="1" applyFill="1" applyBorder="1" applyAlignment="1">
      <alignment horizontal="center" vertical="center"/>
    </xf>
    <xf numFmtId="164" fontId="21" fillId="12" borderId="5" xfId="0" applyNumberFormat="1" applyFont="1" applyFill="1" applyBorder="1" applyAlignment="1">
      <alignment horizontal="center" vertical="center"/>
    </xf>
    <xf numFmtId="164" fontId="21" fillId="12" borderId="44" xfId="0" applyNumberFormat="1" applyFont="1" applyFill="1" applyBorder="1" applyAlignment="1">
      <alignment horizontal="center" vertical="center"/>
    </xf>
    <xf numFmtId="164" fontId="21" fillId="18" borderId="53" xfId="0" applyNumberFormat="1" applyFont="1" applyFill="1" applyBorder="1" applyAlignment="1">
      <alignment horizontal="center" vertical="center"/>
    </xf>
    <xf numFmtId="164" fontId="21" fillId="18" borderId="5" xfId="0" applyNumberFormat="1" applyFont="1" applyFill="1" applyBorder="1" applyAlignment="1">
      <alignment horizontal="center" vertical="center"/>
    </xf>
    <xf numFmtId="164" fontId="21" fillId="18" borderId="9" xfId="0" applyNumberFormat="1" applyFont="1" applyFill="1" applyBorder="1" applyAlignment="1">
      <alignment horizontal="center" vertical="center"/>
    </xf>
    <xf numFmtId="164" fontId="21" fillId="4" borderId="53" xfId="0" applyNumberFormat="1" applyFont="1" applyFill="1" applyBorder="1" applyAlignment="1">
      <alignment horizontal="center" vertical="center"/>
    </xf>
    <xf numFmtId="164" fontId="21" fillId="4" borderId="9" xfId="0" applyNumberFormat="1" applyFont="1" applyFill="1" applyBorder="1" applyAlignment="1">
      <alignment horizontal="center" vertical="center"/>
    </xf>
    <xf numFmtId="164" fontId="21" fillId="3" borderId="53" xfId="0" applyNumberFormat="1" applyFont="1" applyFill="1" applyBorder="1" applyAlignment="1">
      <alignment horizontal="center" vertical="center"/>
    </xf>
    <xf numFmtId="164" fontId="21" fillId="3" borderId="9" xfId="0" applyNumberFormat="1" applyFont="1" applyFill="1" applyBorder="1" applyAlignment="1">
      <alignment horizontal="center" vertical="center"/>
    </xf>
    <xf numFmtId="164" fontId="21" fillId="6" borderId="53" xfId="0" applyNumberFormat="1" applyFont="1" applyFill="1" applyBorder="1" applyAlignment="1">
      <alignment horizontal="center" vertical="center"/>
    </xf>
    <xf numFmtId="164" fontId="21" fillId="6" borderId="9" xfId="0" applyNumberFormat="1" applyFont="1" applyFill="1" applyBorder="1" applyAlignment="1">
      <alignment horizontal="center" vertical="center"/>
    </xf>
    <xf numFmtId="164" fontId="21" fillId="12" borderId="53" xfId="0" applyNumberFormat="1" applyFont="1" applyFill="1" applyBorder="1" applyAlignment="1">
      <alignment horizontal="center" vertical="center"/>
    </xf>
    <xf numFmtId="164" fontId="21" fillId="12" borderId="9" xfId="0" applyNumberFormat="1" applyFont="1" applyFill="1" applyBorder="1" applyAlignment="1">
      <alignment horizontal="center" vertical="center"/>
    </xf>
    <xf numFmtId="164" fontId="21" fillId="18" borderId="43" xfId="0" applyNumberFormat="1" applyFont="1" applyFill="1" applyBorder="1" applyAlignment="1">
      <alignment horizontal="center" vertical="center"/>
    </xf>
    <xf numFmtId="164" fontId="21" fillId="18" borderId="44" xfId="0" applyNumberFormat="1" applyFont="1" applyFill="1" applyBorder="1" applyAlignment="1">
      <alignment horizontal="center" vertical="center"/>
    </xf>
    <xf numFmtId="164" fontId="21" fillId="4" borderId="44" xfId="0" applyNumberFormat="1" applyFont="1" applyFill="1" applyBorder="1" applyAlignment="1">
      <alignment horizontal="center" vertical="center"/>
    </xf>
    <xf numFmtId="164" fontId="21" fillId="6" borderId="44" xfId="0" applyNumberFormat="1" applyFont="1" applyFill="1" applyBorder="1" applyAlignment="1">
      <alignment horizontal="center" vertical="center"/>
    </xf>
    <xf numFmtId="164" fontId="21" fillId="19" borderId="53" xfId="0" applyNumberFormat="1" applyFont="1" applyFill="1" applyBorder="1" applyAlignment="1">
      <alignment horizontal="center" vertical="center"/>
    </xf>
    <xf numFmtId="164" fontId="21" fillId="19" borderId="5" xfId="0" applyNumberFormat="1" applyFont="1" applyFill="1" applyBorder="1" applyAlignment="1">
      <alignment horizontal="center" vertical="center"/>
    </xf>
    <xf numFmtId="164" fontId="21" fillId="19" borderId="9" xfId="0" applyNumberFormat="1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164" fontId="21" fillId="3" borderId="44" xfId="0" applyNumberFormat="1" applyFont="1" applyFill="1" applyBorder="1" applyAlignment="1">
      <alignment horizontal="center" vertical="center"/>
    </xf>
    <xf numFmtId="164" fontId="21" fillId="3" borderId="65" xfId="0" applyNumberFormat="1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2" fillId="8" borderId="42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4" fontId="22" fillId="8" borderId="5" xfId="0" applyNumberFormat="1" applyFont="1" applyFill="1" applyBorder="1" applyAlignment="1">
      <alignment horizontal="center"/>
    </xf>
    <xf numFmtId="0" fontId="34" fillId="8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49" fontId="29" fillId="0" borderId="5" xfId="0" applyNumberFormat="1" applyFont="1" applyFill="1" applyBorder="1" applyAlignment="1" applyProtection="1">
      <alignment horizontal="left" vertical="center"/>
    </xf>
    <xf numFmtId="164" fontId="29" fillId="0" borderId="5" xfId="0" applyNumberFormat="1" applyFont="1" applyFill="1" applyBorder="1" applyAlignment="1" applyProtection="1">
      <alignment horizontal="center" vertical="center"/>
    </xf>
    <xf numFmtId="0" fontId="22" fillId="0" borderId="5" xfId="0" applyNumberFormat="1" applyFont="1" applyBorder="1" applyAlignment="1">
      <alignment vertical="center"/>
    </xf>
    <xf numFmtId="0" fontId="34" fillId="8" borderId="62" xfId="0" applyFont="1" applyFill="1" applyBorder="1" applyAlignment="1">
      <alignment horizontal="center" vertical="center"/>
    </xf>
    <xf numFmtId="0" fontId="22" fillId="0" borderId="0" xfId="0" applyFont="1"/>
    <xf numFmtId="164" fontId="22" fillId="0" borderId="5" xfId="0" applyNumberFormat="1" applyFont="1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21" fillId="0" borderId="5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66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9" fillId="0" borderId="6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9" fillId="0" borderId="66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39" fillId="0" borderId="57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6" fillId="8" borderId="43" xfId="0" applyFont="1" applyFill="1" applyBorder="1" applyAlignment="1">
      <alignment horizontal="center" vertical="center"/>
    </xf>
    <xf numFmtId="164" fontId="26" fillId="8" borderId="43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6" fillId="8" borderId="41" xfId="0" applyFont="1" applyFill="1" applyBorder="1" applyAlignment="1">
      <alignment horizontal="center" vertical="center"/>
    </xf>
    <xf numFmtId="165" fontId="26" fillId="8" borderId="5" xfId="0" applyNumberFormat="1" applyFont="1" applyFill="1" applyBorder="1" applyAlignment="1">
      <alignment horizontal="center" vertical="center"/>
    </xf>
    <xf numFmtId="164" fontId="22" fillId="0" borderId="5" xfId="0" applyNumberFormat="1" applyFont="1" applyBorder="1" applyAlignment="1">
      <alignment horizontal="center"/>
    </xf>
    <xf numFmtId="164" fontId="26" fillId="8" borderId="34" xfId="0" applyNumberFormat="1" applyFont="1" applyFill="1" applyBorder="1" applyAlignment="1">
      <alignment horizontal="center" vertical="center"/>
    </xf>
    <xf numFmtId="164" fontId="26" fillId="8" borderId="6" xfId="0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/>
    </xf>
    <xf numFmtId="164" fontId="22" fillId="0" borderId="44" xfId="0" applyNumberFormat="1" applyFont="1" applyBorder="1" applyAlignment="1">
      <alignment horizontal="center"/>
    </xf>
    <xf numFmtId="164" fontId="26" fillId="8" borderId="44" xfId="0" applyNumberFormat="1" applyFont="1" applyFill="1" applyBorder="1" applyAlignment="1">
      <alignment horizontal="center" vertical="center"/>
    </xf>
    <xf numFmtId="0" fontId="22" fillId="0" borderId="68" xfId="0" applyFont="1" applyBorder="1" applyAlignment="1">
      <alignment horizontal="center"/>
    </xf>
    <xf numFmtId="165" fontId="26" fillId="8" borderId="44" xfId="0" applyNumberFormat="1" applyFont="1" applyFill="1" applyBorder="1" applyAlignment="1">
      <alignment horizontal="center" vertical="center"/>
    </xf>
    <xf numFmtId="0" fontId="22" fillId="0" borderId="44" xfId="0" applyFont="1" applyBorder="1" applyAlignment="1">
      <alignment horizontal="center"/>
    </xf>
    <xf numFmtId="0" fontId="0" fillId="0" borderId="0" xfId="0" pivotButton="1"/>
    <xf numFmtId="0" fontId="22" fillId="0" borderId="6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3" fillId="4" borderId="41" xfId="0" applyFont="1" applyFill="1" applyBorder="1" applyAlignment="1">
      <alignment horizontal="center" vertical="center"/>
    </xf>
    <xf numFmtId="0" fontId="43" fillId="4" borderId="41" xfId="0" applyFont="1" applyFill="1" applyBorder="1" applyAlignment="1">
      <alignment horizontal="center" vertical="center"/>
    </xf>
    <xf numFmtId="0" fontId="59" fillId="4" borderId="41" xfId="0" applyFont="1" applyFill="1" applyBorder="1" applyAlignment="1">
      <alignment horizontal="center" vertical="center"/>
    </xf>
    <xf numFmtId="0" fontId="21" fillId="6" borderId="4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14" fontId="22" fillId="0" borderId="50" xfId="0" applyNumberFormat="1" applyFont="1" applyBorder="1" applyAlignment="1">
      <alignment horizontal="center" vertical="center"/>
    </xf>
    <xf numFmtId="18" fontId="22" fillId="0" borderId="43" xfId="0" applyNumberFormat="1" applyFont="1" applyBorder="1" applyAlignment="1">
      <alignment horizontal="center" vertical="center"/>
    </xf>
    <xf numFmtId="14" fontId="22" fillId="0" borderId="70" xfId="0" applyNumberFormat="1" applyFont="1" applyBorder="1" applyAlignment="1">
      <alignment horizontal="center" vertical="center"/>
    </xf>
    <xf numFmtId="18" fontId="22" fillId="0" borderId="69" xfId="0" applyNumberFormat="1" applyFont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0" fontId="22" fillId="4" borderId="69" xfId="0" applyFont="1" applyFill="1" applyBorder="1" applyAlignment="1">
      <alignment horizontal="center" vertical="center"/>
    </xf>
    <xf numFmtId="17" fontId="22" fillId="0" borderId="69" xfId="0" applyNumberFormat="1" applyFont="1" applyBorder="1" applyAlignment="1">
      <alignment horizontal="center" vertical="center"/>
    </xf>
    <xf numFmtId="0" fontId="22" fillId="10" borderId="69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27" fillId="9" borderId="46" xfId="0" applyFont="1" applyFill="1" applyBorder="1" applyAlignment="1">
      <alignment horizontal="center" vertical="center"/>
    </xf>
    <xf numFmtId="0" fontId="27" fillId="9" borderId="47" xfId="0" applyFont="1" applyFill="1" applyBorder="1" applyAlignment="1">
      <alignment horizontal="center" vertical="center"/>
    </xf>
    <xf numFmtId="49" fontId="60" fillId="8" borderId="69" xfId="0" applyNumberFormat="1" applyFont="1" applyFill="1" applyBorder="1" applyAlignment="1">
      <alignment horizontal="center" vertical="center"/>
    </xf>
    <xf numFmtId="0" fontId="60" fillId="8" borderId="69" xfId="0" applyNumberFormat="1" applyFont="1" applyFill="1" applyBorder="1" applyAlignment="1">
      <alignment horizontal="center" vertical="center"/>
    </xf>
    <xf numFmtId="49" fontId="22" fillId="8" borderId="69" xfId="0" applyNumberFormat="1" applyFont="1" applyFill="1" applyBorder="1" applyAlignment="1">
      <alignment horizontal="center" vertical="center"/>
    </xf>
    <xf numFmtId="0" fontId="22" fillId="8" borderId="69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22" fillId="4" borderId="80" xfId="0" applyFont="1" applyFill="1" applyBorder="1" applyAlignment="1">
      <alignment horizontal="center" vertical="center"/>
    </xf>
    <xf numFmtId="0" fontId="11" fillId="0" borderId="0" xfId="0" applyFont="1"/>
    <xf numFmtId="0" fontId="0" fillId="52" borderId="70" xfId="0" applyFont="1" applyFill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52" borderId="69" xfId="0" applyFont="1" applyFill="1" applyBorder="1" applyAlignment="1">
      <alignment horizontal="center" vertical="center"/>
    </xf>
    <xf numFmtId="0" fontId="62" fillId="0" borderId="69" xfId="0" applyFont="1" applyBorder="1" applyAlignment="1">
      <alignment horizontal="center"/>
    </xf>
    <xf numFmtId="0" fontId="62" fillId="0" borderId="69" xfId="0" applyNumberFormat="1" applyFont="1" applyBorder="1" applyAlignment="1">
      <alignment horizontal="center"/>
    </xf>
    <xf numFmtId="0" fontId="63" fillId="0" borderId="69" xfId="0" applyFont="1" applyBorder="1" applyAlignment="1">
      <alignment horizontal="center" vertical="center"/>
    </xf>
    <xf numFmtId="0" fontId="27" fillId="9" borderId="56" xfId="0" applyFont="1" applyFill="1" applyBorder="1" applyAlignment="1">
      <alignment horizontal="center" vertical="center"/>
    </xf>
    <xf numFmtId="0" fontId="37" fillId="0" borderId="69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2" fillId="0" borderId="51" xfId="0" applyNumberFormat="1" applyFont="1" applyBorder="1" applyAlignment="1">
      <alignment horizontal="center" vertical="center"/>
    </xf>
    <xf numFmtId="0" fontId="68" fillId="0" borderId="69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/>
    </xf>
    <xf numFmtId="0" fontId="67" fillId="0" borderId="0" xfId="0" applyFont="1"/>
    <xf numFmtId="0" fontId="67" fillId="0" borderId="0" xfId="0" applyFont="1" applyAlignment="1">
      <alignment horizontal="center" vertical="center"/>
    </xf>
    <xf numFmtId="0" fontId="69" fillId="0" borderId="69" xfId="0" applyFont="1" applyBorder="1" applyAlignment="1">
      <alignment horizontal="center"/>
    </xf>
    <xf numFmtId="0" fontId="70" fillId="0" borderId="69" xfId="0" applyFont="1" applyBorder="1" applyAlignment="1">
      <alignment horizontal="center"/>
    </xf>
    <xf numFmtId="0" fontId="71" fillId="0" borderId="69" xfId="0" applyFont="1" applyBorder="1" applyAlignment="1">
      <alignment horizontal="center" vertical="center"/>
    </xf>
    <xf numFmtId="0" fontId="72" fillId="0" borderId="69" xfId="0" applyFont="1" applyBorder="1" applyAlignment="1">
      <alignment horizontal="center" vertical="center"/>
    </xf>
    <xf numFmtId="0" fontId="35" fillId="52" borderId="69" xfId="0" applyFont="1" applyFill="1" applyBorder="1" applyAlignment="1">
      <alignment horizontal="center"/>
    </xf>
    <xf numFmtId="0" fontId="73" fillId="0" borderId="69" xfId="0" applyFont="1" applyBorder="1" applyAlignment="1">
      <alignment horizontal="center" vertical="center"/>
    </xf>
    <xf numFmtId="0" fontId="41" fillId="0" borderId="6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74" fillId="0" borderId="69" xfId="0" applyFont="1" applyBorder="1" applyAlignment="1">
      <alignment horizontal="center" vertical="center"/>
    </xf>
    <xf numFmtId="0" fontId="74" fillId="0" borderId="69" xfId="0" applyNumberFormat="1" applyFont="1" applyBorder="1" applyAlignment="1">
      <alignment horizontal="center" vertical="center"/>
    </xf>
    <xf numFmtId="0" fontId="75" fillId="0" borderId="69" xfId="0" applyFont="1" applyBorder="1" applyAlignment="1">
      <alignment horizontal="center" vertical="center"/>
    </xf>
    <xf numFmtId="0" fontId="75" fillId="0" borderId="69" xfId="0" applyNumberFormat="1" applyFont="1" applyBorder="1" applyAlignment="1">
      <alignment horizontal="center" vertical="center"/>
    </xf>
    <xf numFmtId="0" fontId="73" fillId="0" borderId="69" xfId="0" applyNumberFormat="1" applyFont="1" applyBorder="1" applyAlignment="1">
      <alignment horizontal="center" vertical="center"/>
    </xf>
    <xf numFmtId="0" fontId="73" fillId="4" borderId="69" xfId="0" applyFont="1" applyFill="1" applyBorder="1" applyAlignment="1">
      <alignment horizontal="center" vertical="center"/>
    </xf>
    <xf numFmtId="0" fontId="73" fillId="4" borderId="69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76" fillId="0" borderId="69" xfId="0" applyFont="1" applyBorder="1" applyAlignment="1">
      <alignment horizontal="center" vertical="center"/>
    </xf>
    <xf numFmtId="0" fontId="8" fillId="0" borderId="0" xfId="0" applyFont="1"/>
    <xf numFmtId="0" fontId="63" fillId="0" borderId="6" xfId="0" applyFont="1" applyBorder="1" applyAlignment="1">
      <alignment horizontal="center" vertical="center"/>
    </xf>
    <xf numFmtId="0" fontId="63" fillId="0" borderId="41" xfId="0" applyFont="1" applyBorder="1" applyAlignment="1">
      <alignment horizontal="center" vertical="center"/>
    </xf>
    <xf numFmtId="0" fontId="5" fillId="52" borderId="70" xfId="0" applyFont="1" applyFill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52" borderId="6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4" fontId="22" fillId="0" borderId="69" xfId="0" applyNumberFormat="1" applyFont="1" applyBorder="1" applyAlignment="1">
      <alignment horizontal="center" vertical="center"/>
    </xf>
    <xf numFmtId="0" fontId="63" fillId="6" borderId="69" xfId="0" applyFont="1" applyFill="1" applyBorder="1" applyAlignment="1">
      <alignment horizontal="center" vertical="center"/>
    </xf>
    <xf numFmtId="0" fontId="64" fillId="6" borderId="69" xfId="0" applyFont="1" applyFill="1" applyBorder="1" applyAlignment="1">
      <alignment horizontal="center" vertical="center"/>
    </xf>
    <xf numFmtId="0" fontId="62" fillId="6" borderId="69" xfId="0" applyFont="1" applyFill="1" applyBorder="1" applyAlignment="1">
      <alignment horizontal="center"/>
    </xf>
    <xf numFmtId="0" fontId="62" fillId="6" borderId="69" xfId="0" applyNumberFormat="1" applyFont="1" applyFill="1" applyBorder="1" applyAlignment="1">
      <alignment horizontal="center"/>
    </xf>
    <xf numFmtId="0" fontId="69" fillId="6" borderId="70" xfId="0" applyFont="1" applyFill="1" applyBorder="1" applyAlignment="1">
      <alignment horizontal="center" vertical="center"/>
    </xf>
    <xf numFmtId="0" fontId="64" fillId="6" borderId="69" xfId="0" applyFont="1" applyFill="1" applyBorder="1"/>
    <xf numFmtId="0" fontId="41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5" fillId="6" borderId="69" xfId="0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53" borderId="69" xfId="0" applyFont="1" applyFill="1" applyBorder="1" applyAlignment="1">
      <alignment horizontal="center" vertical="center"/>
    </xf>
    <xf numFmtId="0" fontId="69" fillId="6" borderId="69" xfId="0" applyFont="1" applyFill="1" applyBorder="1" applyAlignment="1">
      <alignment horizontal="center"/>
    </xf>
    <xf numFmtId="2" fontId="35" fillId="0" borderId="69" xfId="0" applyNumberFormat="1" applyFont="1" applyBorder="1" applyAlignment="1">
      <alignment horizontal="center" vertical="center"/>
    </xf>
    <xf numFmtId="0" fontId="20" fillId="20" borderId="69" xfId="0" applyFont="1" applyFill="1" applyBorder="1" applyAlignment="1">
      <alignment horizontal="center" vertical="center"/>
    </xf>
    <xf numFmtId="0" fontId="20" fillId="8" borderId="69" xfId="0" applyFont="1" applyFill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0" fontId="79" fillId="0" borderId="69" xfId="0" applyFont="1" applyBorder="1" applyAlignment="1">
      <alignment horizontal="center" vertical="center"/>
    </xf>
    <xf numFmtId="0" fontId="79" fillId="0" borderId="69" xfId="0" applyFont="1" applyBorder="1" applyAlignment="1">
      <alignment horizontal="center" vertical="center" wrapText="1"/>
    </xf>
    <xf numFmtId="0" fontId="30" fillId="0" borderId="0" xfId="0" applyFont="1"/>
    <xf numFmtId="0" fontId="80" fillId="0" borderId="69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79" fillId="3" borderId="69" xfId="0" applyFont="1" applyFill="1" applyBorder="1" applyAlignment="1">
      <alignment horizontal="center" vertical="center"/>
    </xf>
    <xf numFmtId="0" fontId="78" fillId="3" borderId="69" xfId="0" applyFont="1" applyFill="1" applyBorder="1" applyAlignment="1">
      <alignment horizontal="center" vertical="center"/>
    </xf>
    <xf numFmtId="0" fontId="20" fillId="8" borderId="0" xfId="0" applyFont="1" applyFill="1"/>
    <xf numFmtId="0" fontId="63" fillId="8" borderId="69" xfId="0" applyFont="1" applyFill="1" applyBorder="1" applyAlignment="1">
      <alignment horizontal="center" vertical="center"/>
    </xf>
    <xf numFmtId="0" fontId="64" fillId="8" borderId="69" xfId="0" applyFont="1" applyFill="1" applyBorder="1" applyAlignment="1">
      <alignment horizontal="center" vertical="center"/>
    </xf>
    <xf numFmtId="0" fontId="81" fillId="0" borderId="69" xfId="0" applyFont="1" applyBorder="1" applyAlignment="1">
      <alignment horizontal="center" vertical="center"/>
    </xf>
    <xf numFmtId="0" fontId="62" fillId="0" borderId="69" xfId="0" applyFont="1" applyBorder="1" applyAlignment="1">
      <alignment horizontal="center" vertical="center"/>
    </xf>
    <xf numFmtId="0" fontId="62" fillId="0" borderId="69" xfId="0" applyNumberFormat="1" applyFont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0" fontId="63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37" fillId="0" borderId="45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38" fillId="0" borderId="57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/>
    </xf>
    <xf numFmtId="0" fontId="69" fillId="0" borderId="14" xfId="0" applyFont="1" applyBorder="1" applyAlignment="1">
      <alignment horizontal="center" vertical="center"/>
    </xf>
    <xf numFmtId="0" fontId="69" fillId="0" borderId="41" xfId="0" applyFont="1" applyBorder="1" applyAlignment="1">
      <alignment horizontal="center" vertical="center"/>
    </xf>
    <xf numFmtId="3" fontId="73" fillId="0" borderId="44" xfId="0" applyNumberFormat="1" applyFont="1" applyBorder="1" applyAlignment="1">
      <alignment horizontal="center" vertical="center"/>
    </xf>
    <xf numFmtId="3" fontId="73" fillId="0" borderId="62" xfId="0" applyNumberFormat="1" applyFont="1" applyBorder="1" applyAlignment="1">
      <alignment horizontal="center" vertical="center"/>
    </xf>
    <xf numFmtId="3" fontId="73" fillId="0" borderId="43" xfId="0" applyNumberFormat="1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41" xfId="0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5" fillId="0" borderId="41" xfId="0" applyFont="1" applyBorder="1" applyAlignment="1">
      <alignment horizontal="center" vertical="center"/>
    </xf>
    <xf numFmtId="0" fontId="63" fillId="6" borderId="6" xfId="0" applyFont="1" applyFill="1" applyBorder="1" applyAlignment="1">
      <alignment horizontal="center" vertical="center"/>
    </xf>
    <xf numFmtId="0" fontId="63" fillId="6" borderId="41" xfId="0" applyFont="1" applyFill="1" applyBorder="1" applyAlignment="1">
      <alignment horizontal="center" vertical="center"/>
    </xf>
    <xf numFmtId="0" fontId="77" fillId="0" borderId="6" xfId="0" applyFont="1" applyBorder="1" applyAlignment="1">
      <alignment horizontal="center" vertical="center"/>
    </xf>
    <xf numFmtId="0" fontId="77" fillId="0" borderId="41" xfId="0" applyFont="1" applyBorder="1" applyAlignment="1">
      <alignment horizontal="center" vertical="center"/>
    </xf>
    <xf numFmtId="0" fontId="76" fillId="6" borderId="6" xfId="0" applyFont="1" applyFill="1" applyBorder="1" applyAlignment="1">
      <alignment horizontal="center" vertical="center"/>
    </xf>
    <xf numFmtId="0" fontId="76" fillId="6" borderId="41" xfId="0" applyFont="1" applyFill="1" applyBorder="1" applyAlignment="1">
      <alignment horizontal="center" vertical="center"/>
    </xf>
    <xf numFmtId="0" fontId="65" fillId="6" borderId="6" xfId="0" applyFont="1" applyFill="1" applyBorder="1" applyAlignment="1">
      <alignment horizontal="center" vertical="center"/>
    </xf>
    <xf numFmtId="0" fontId="65" fillId="6" borderId="41" xfId="0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/>
    </xf>
    <xf numFmtId="0" fontId="66" fillId="0" borderId="41" xfId="0" applyFont="1" applyBorder="1" applyAlignment="1">
      <alignment horizontal="center"/>
    </xf>
    <xf numFmtId="0" fontId="21" fillId="0" borderId="56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</cellXfs>
  <cellStyles count="120">
    <cellStyle name="20% - Accent1" xfId="65" builtinId="30" customBuiltin="1"/>
    <cellStyle name="20% - Accent1 2" xfId="27"/>
    <cellStyle name="20% - Accent1 3" xfId="105"/>
    <cellStyle name="20% - Accent2" xfId="68" builtinId="34" customBuiltin="1"/>
    <cellStyle name="20% - Accent2 2" xfId="31"/>
    <cellStyle name="20% - Accent2 3" xfId="107"/>
    <cellStyle name="20% - Accent3" xfId="71" builtinId="38" customBuiltin="1"/>
    <cellStyle name="20% - Accent3 2" xfId="35"/>
    <cellStyle name="20% - Accent3 3" xfId="109"/>
    <cellStyle name="20% - Accent4" xfId="74" builtinId="42" customBuiltin="1"/>
    <cellStyle name="20% - Accent4 2" xfId="39"/>
    <cellStyle name="20% - Accent4 3" xfId="111"/>
    <cellStyle name="20% - Accent5" xfId="77" builtinId="46" customBuiltin="1"/>
    <cellStyle name="20% - Accent5 2" xfId="43"/>
    <cellStyle name="20% - Accent5 3" xfId="113"/>
    <cellStyle name="20% - Accent6" xfId="80" builtinId="50" customBuiltin="1"/>
    <cellStyle name="20% - Accent6 2" xfId="47"/>
    <cellStyle name="20% - Accent6 3" xfId="115"/>
    <cellStyle name="40% - Accent1" xfId="66" builtinId="31" customBuiltin="1"/>
    <cellStyle name="40% - Accent1 2" xfId="28"/>
    <cellStyle name="40% - Accent1 3" xfId="106"/>
    <cellStyle name="40% - Accent2" xfId="69" builtinId="35" customBuiltin="1"/>
    <cellStyle name="40% - Accent2 2" xfId="32"/>
    <cellStyle name="40% - Accent2 3" xfId="108"/>
    <cellStyle name="40% - Accent3" xfId="72" builtinId="39" customBuiltin="1"/>
    <cellStyle name="40% - Accent3 2" xfId="36"/>
    <cellStyle name="40% - Accent3 3" xfId="110"/>
    <cellStyle name="40% - Accent4" xfId="75" builtinId="43" customBuiltin="1"/>
    <cellStyle name="40% - Accent4 2" xfId="40"/>
    <cellStyle name="40% - Accent4 3" xfId="112"/>
    <cellStyle name="40% - Accent5" xfId="78" builtinId="47" customBuiltin="1"/>
    <cellStyle name="40% - Accent5 2" xfId="44"/>
    <cellStyle name="40% - Accent5 3" xfId="114"/>
    <cellStyle name="40% - Accent6" xfId="81" builtinId="51" customBuiltin="1"/>
    <cellStyle name="40% - Accent6 2" xfId="48"/>
    <cellStyle name="40% - Accent6 3" xfId="116"/>
    <cellStyle name="60% - Accent1" xfId="97" builtinId="32" customBuiltin="1"/>
    <cellStyle name="60% - Accent1 2" xfId="29"/>
    <cellStyle name="60% - Accent1 2 2" xfId="85"/>
    <cellStyle name="60% - Accent2" xfId="98" builtinId="36" customBuiltin="1"/>
    <cellStyle name="60% - Accent2 2" xfId="33"/>
    <cellStyle name="60% - Accent2 2 2" xfId="86"/>
    <cellStyle name="60% - Accent3" xfId="99" builtinId="40" customBuiltin="1"/>
    <cellStyle name="60% - Accent3 2" xfId="37"/>
    <cellStyle name="60% - Accent3 2 2" xfId="87"/>
    <cellStyle name="60% - Accent4" xfId="100" builtinId="44" customBuiltin="1"/>
    <cellStyle name="60% - Accent4 2" xfId="41"/>
    <cellStyle name="60% - Accent4 2 2" xfId="88"/>
    <cellStyle name="60% - Accent5" xfId="101" builtinId="48" customBuiltin="1"/>
    <cellStyle name="60% - Accent5 2" xfId="45"/>
    <cellStyle name="60% - Accent5 2 2" xfId="89"/>
    <cellStyle name="60% - Accent6" xfId="102" builtinId="52" customBuiltin="1"/>
    <cellStyle name="60% - Accent6 2" xfId="49"/>
    <cellStyle name="60% - Accent6 2 2" xfId="90"/>
    <cellStyle name="Accent1" xfId="64" builtinId="29" customBuiltin="1"/>
    <cellStyle name="Accent1 2" xfId="26"/>
    <cellStyle name="Accent2" xfId="67" builtinId="33" customBuiltin="1"/>
    <cellStyle name="Accent2 2" xfId="30"/>
    <cellStyle name="Accent3" xfId="70" builtinId="37" customBuiltin="1"/>
    <cellStyle name="Accent3 2" xfId="34"/>
    <cellStyle name="Accent4" xfId="73" builtinId="41" customBuiltin="1"/>
    <cellStyle name="Accent4 2" xfId="38"/>
    <cellStyle name="Accent5" xfId="76" builtinId="45" customBuiltin="1"/>
    <cellStyle name="Accent5 2" xfId="42"/>
    <cellStyle name="Accent6" xfId="79" builtinId="49" customBuiltin="1"/>
    <cellStyle name="Accent6 2" xfId="46"/>
    <cellStyle name="Bad" xfId="55" builtinId="27" customBuiltin="1"/>
    <cellStyle name="Bad 2" xfId="15"/>
    <cellStyle name="Calculation" xfId="58" builtinId="22" customBuiltin="1"/>
    <cellStyle name="Calculation 2" xfId="19"/>
    <cellStyle name="Check Cell" xfId="60" builtinId="23" customBuiltin="1"/>
    <cellStyle name="Check Cell 2" xfId="21"/>
    <cellStyle name="Explanatory Text" xfId="62" builtinId="53" customBuiltin="1"/>
    <cellStyle name="Explanatory Text 2" xfId="24"/>
    <cellStyle name="Good" xfId="54" builtinId="26" customBuiltin="1"/>
    <cellStyle name="Good 2" xfId="14"/>
    <cellStyle name="Heading 1" xfId="50" builtinId="16" customBuiltin="1"/>
    <cellStyle name="Heading 1 2" xfId="10"/>
    <cellStyle name="Heading 2" xfId="51" builtinId="17" customBuiltin="1"/>
    <cellStyle name="Heading 2 2" xfId="11"/>
    <cellStyle name="Heading 3" xfId="52" builtinId="18" customBuiltin="1"/>
    <cellStyle name="Heading 3 2" xfId="12"/>
    <cellStyle name="Heading 4" xfId="53" builtinId="19" customBuiltin="1"/>
    <cellStyle name="Heading 4 2" xfId="13"/>
    <cellStyle name="Input" xfId="56" builtinId="20" customBuiltin="1"/>
    <cellStyle name="Input 2" xfId="17"/>
    <cellStyle name="Linked Cell" xfId="59" builtinId="24" customBuiltin="1"/>
    <cellStyle name="Linked Cell 2" xfId="20"/>
    <cellStyle name="Neutral" xfId="96" builtinId="28" customBuiltin="1"/>
    <cellStyle name="Neutral 2" xfId="16"/>
    <cellStyle name="Neutral 2 2" xfId="84"/>
    <cellStyle name="Normal" xfId="0" builtinId="0"/>
    <cellStyle name="Normal 10" xfId="92"/>
    <cellStyle name="Normal 11" xfId="93"/>
    <cellStyle name="Normal 12" xfId="94"/>
    <cellStyle name="Normal 13" xfId="95"/>
    <cellStyle name="Normal 14" xfId="103"/>
    <cellStyle name="Normal 15" xfId="117"/>
    <cellStyle name="Normal 16" xfId="118"/>
    <cellStyle name="Normal 17" xfId="119"/>
    <cellStyle name="Normal 2" xfId="1"/>
    <cellStyle name="Normal 2 2" xfId="2"/>
    <cellStyle name="Normal 3" xfId="3"/>
    <cellStyle name="Normal 3 2" xfId="5"/>
    <cellStyle name="Normal 4" xfId="4"/>
    <cellStyle name="Normal 5" xfId="6"/>
    <cellStyle name="Normal 6" xfId="7"/>
    <cellStyle name="Normal 7" xfId="8"/>
    <cellStyle name="Normal 8" xfId="82"/>
    <cellStyle name="Normal 9" xfId="91"/>
    <cellStyle name="Note 2" xfId="23"/>
    <cellStyle name="Note 3" xfId="83"/>
    <cellStyle name="Note 4" xfId="104"/>
    <cellStyle name="Output" xfId="57" builtinId="21" customBuiltin="1"/>
    <cellStyle name="Output 2" xfId="18"/>
    <cellStyle name="Title" xfId="9" builtinId="15" customBuiltin="1"/>
    <cellStyle name="Total" xfId="63" builtinId="25" customBuiltin="1"/>
    <cellStyle name="Total 2" xfId="25"/>
    <cellStyle name="Warning Text" xfId="61" builtinId="11" customBuiltin="1"/>
    <cellStyle name="Warning Text 2" xfId="22"/>
  </cellStyles>
  <dxfs count="7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2"/>
      </font>
    </dxf>
    <dxf>
      <font>
        <sz val="12"/>
      </font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Bookman Old Style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6"/>
        <color theme="1"/>
        <name val="Bookman Old Style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u val="none"/>
        <sz val="16"/>
        <name val="Bookman Old Style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6"/>
        <name val="Bookman Old Style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rgb="FF000000"/>
        <name val="Bookman Old Style"/>
        <scheme val="none"/>
      </font>
      <numFmt numFmtId="164" formatCode="0.000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rgb="FF000000"/>
        <name val="Bookman Old Style"/>
        <scheme val="none"/>
      </font>
      <numFmt numFmtId="164" formatCode="0.000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rgb="FF000000"/>
        <name val="Bookman Old Style"/>
        <scheme val="none"/>
      </font>
      <numFmt numFmtId="164" formatCode="0.000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numFmt numFmtId="164" formatCode="0.000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rgb="FF000000"/>
        <name val="Bookman Old Style"/>
        <scheme val="none"/>
      </font>
      <numFmt numFmtId="165" formatCode="&quot;0&quot;#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Bookman Old Style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6"/>
        <name val="Bookman Old Style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6"/>
        <name val="Bookman Old Style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83.827735648149" createdVersion="6" refreshedVersion="6" minRefreshableVersion="3" recordCount="38">
  <cacheSource type="worksheet">
    <worksheetSource ref="G1:H39" sheet="ERP MR PIVOT"/>
  </cacheSource>
  <cacheFields count="2">
    <cacheField name="C" numFmtId="0">
      <sharedItems count="31">
        <s v="32D-HARD-FOAM-66X135MMX70MM"/>
        <s v="32D-HARD-FOAM-71.50X155MMX70MM"/>
        <s v="32D-HARD-FOAM-54X155MMX70MM"/>
        <s v="32D-HARD-FOAM-74.50X155MMX70MM"/>
        <s v="32D-HARD-FOAM-77.50X135MMX70MM"/>
        <s v="32D-HARD-FOAM-54X135MMX70MM"/>
        <s v="32D-HARD-FOAM-71.50X135MMX70MM"/>
        <s v="32D-HARD-FOAM-42X135MMX70MM"/>
        <s v="32D-HARD-FOAM-74.50X135MMX70MM"/>
        <s v="32D-HARD-FOAM-66X155MMX70MM"/>
        <s v="32D-HARD-FOAM-83.50X135MMX70MM"/>
        <s v="32D-HARD-FOAM-83.50X155MMX70MM"/>
        <s v="32D-HARD-FOAM-77.50X115MMX70MM"/>
        <s v="32D-HARD-FOAM-74.50X115MMX70MM"/>
        <s v="32D-HARD-FOAM-54X115MMX70MM"/>
        <s v="32D-HARD-FOAM-77.50X155MMX70MM"/>
        <s v="32D-HARD-FOAM-79.50X115MMX70MM"/>
        <s v="32D-HARD-FOAM-66X115MMX70MM"/>
        <s v="18D-PU-FOAM-77.50X59.50X10MM"/>
        <s v="32D-HARD-FOAM-68.50X155MMX40MM"/>
        <s v="32D-HARD-FOAM-77.50X155MMX40MM"/>
        <s v="32D-HARD-FOAM-74.50X135MMX40MM"/>
        <s v="32D-HARD-FOAM-68.50X135MMX40MM"/>
        <s v="32D-HARD-FOAM-77.50X135MMX40MM"/>
        <s v="32D-HARD-FOAM-56.50X135MMX40MM"/>
        <s v="32D-HARD-FOAM-74.50X115MMX40MM"/>
        <s v="32D-HARD-FOAM-56.50X115MMX40MM"/>
        <s v="32D-HARD-FOAM-32.50X135MMX40MM"/>
        <s v="32D-HARD-FOAM-68.50X115MMX40MM"/>
        <s v="32D-HARD-FOAM-74.50X175MMX40MM"/>
        <s v="32D-HARD-FOAM-32.50X175MMX40MM"/>
      </sharedItems>
    </cacheField>
    <cacheField name="CC" numFmtId="0">
      <sharedItems containsSemiMixedTypes="0" containsString="0" containsNumber="1" minValue="0.28599999999999998" maxValue="8.007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84.090226736109" createdVersion="5" refreshedVersion="6" minRefreshableVersion="3" recordCount="202">
  <cacheSource type="worksheet">
    <worksheetSource ref="A1:F1048576" sheet="MANUAL MR"/>
  </cacheSource>
  <cacheFields count="6">
    <cacheField name="S.NO" numFmtId="0">
      <sharedItems containsString="0" containsBlank="1" containsNumber="1" containsInteger="1" minValue="1" maxValue="50"/>
    </cacheField>
    <cacheField name="item code" numFmtId="0">
      <sharedItems containsBlank="1" count="1372">
        <s v="32D-HARD-FOAM-74.5X135MMX70MM"/>
        <s v="32D-HARD-FOAM-54X135MMX70MM"/>
        <s v=""/>
        <m/>
        <s v="40D-PU-FOAM-67X175MMX40MM" u="1"/>
        <s v="40D-PU-FOAM-75X175MMX40MM" u="1"/>
        <s v="40D-PU-FOAM-76X175MMX40MM" u="1"/>
        <s v="40D-PU-FOAM-86X175MMX40MM" u="1"/>
        <s v="32D-HARD-FOAM-12X115MMX75MM" u="1"/>
        <s v="32D-HARD-FOAM-18X115MMX75MM" u="1"/>
        <s v="32D-HARD-FOAM-19X115MMX75MM" u="1"/>
        <s v="32D-HARD-FOAM-24X115MMX75MM" u="1"/>
        <s v="32D-HARD-FOAM-25X115MMX75MM" u="1"/>
        <s v="32D-HARD-FOAM-26X115MMX75MM" u="1"/>
        <s v="32D-HARD-FOAM-27X115MMX75MM" u="1"/>
        <s v="32D-HARD-FOAM-28X115MMX75MM" u="1"/>
        <s v="32D-HARD-FOAM-30X115MMX75MM" u="1"/>
        <s v="32D-HARD-FOAM-32X115MMX75MM" u="1"/>
        <s v="32D-HARD-FOAM-33X115MMX75MM" u="1"/>
        <s v="32D-HARD-FOAM-36X115MMX75MM" u="1"/>
        <s v="32D-HARD-FOAM-42X115MMX75MM" u="1"/>
        <s v="32D-HARD-FOAM-45X115MMX75MM" u="1"/>
        <s v="32D-HARD-FOAM-48X115MMX75MM" u="1"/>
        <s v="32D-HARD-FOAM-51X115MMX75MM" u="1"/>
        <s v="32D-HARD-FOAM-52X115MMX75MM" u="1"/>
        <s v="32D-HARD-FOAM-53X115MMX75MM" u="1"/>
        <s v="32D-HARD-FOAM-54X115MMX75MM" u="1"/>
        <s v="32D-HARD-FOAM-55X115MMX75MM" u="1"/>
        <s v="32D-HARD-FOAM-56X115MMX75MM" u="1"/>
        <s v="32D-HARD-FOAM-57X115MMX75MM" u="1"/>
        <s v="32D-HARD-FOAM-60X115MMX75MM" u="1"/>
        <s v="32D-HARD-FOAM-62X115MMX75MM" u="1"/>
        <s v="32D-HARD-FOAM-63X115MMX75MM" u="1"/>
        <s v="32D-HARD-FOAM-64X115MMX75MM" u="1"/>
        <s v="32D-HARD-FOAM-65X115MMX75MM" u="1"/>
        <s v="32D-HARD-FOAM-66X115MMX75MM" u="1"/>
        <s v="32D-HARD-FOAM-67X115MMX75MM" u="1"/>
        <s v="32D-HARD-FOAM-68X115MMX75MM" u="1"/>
        <s v="32D-HARD-FOAM-70X115MMX75MM" u="1"/>
        <s v="32D-HARD-FOAM-71X115MMX75MM" u="1"/>
        <s v="32D-HARD-FOAM-72X115MMX75MM" u="1"/>
        <s v="32D-HARD-FOAM-74X115MMX75MM" u="1"/>
        <s v="32D-HARD-FOAM-75X115MMX75MM" u="1"/>
        <s v="32D-HARD-FOAM-76X115MMX75MM" u="1"/>
        <s v="32D-HARD-FOAM-77X115MMX75MM" u="1"/>
        <s v="32D-HARD-FOAM-78X115MMX75MM" u="1"/>
        <s v="32D-HARD-FOAM-79X115MMX75MM" u="1"/>
        <s v="32D-HARD-FOAM-81X115MMX75MM" u="1"/>
        <s v="32D-HARD-FOAM-82X115MMX75MM" u="1"/>
        <s v="18D-PU-FOAM-74.5X66.75X10MM" u="1"/>
        <s v="40D-PU-FOAM-19.5X115MMX75MM" u="1"/>
        <s v="40D-PU-FOAM-21.5X115MMX75MM" u="1"/>
        <s v="40D-PU-FOAM-26.5X115MMX75MM" u="1"/>
        <s v="40D-PU-FOAM-28.5X115MMX75MM" u="1"/>
        <s v="40D-PU-FOAM-29.5X115MMX75MM" u="1"/>
        <s v="40D-PU-FOAM-40.5X115MMX75MM" u="1"/>
        <s v="40D-PU-FOAM-41.5X115MMX75MM" u="1"/>
        <s v="40D-PU-FOAM-46.7X115MMX75MM" u="1"/>
        <s v="40D-PU-FOAM-51.5X115MMX75MM" u="1"/>
        <s v="40D-PU-FOAM-52.5X115MMX75MM" u="1"/>
        <s v="40D-PU-FOAM-52.7X115MMX75MM" u="1"/>
        <s v="40D-PU-FOAM-53.5X115MMX75MM" u="1"/>
        <s v="40D-PU-FOAM-58.5X115MMX75MM" u="1"/>
        <s v="40D-PU-FOAM-59.2X115MMX75MM" u="1"/>
        <s v="40D-PU-FOAM-61.5X115MMX75MM" u="1"/>
        <s v="40D-PU-FOAM-63.5X115MMX75MM" u="1"/>
        <s v="40D-PU-FOAM-64.2X115MMX75MM" u="1"/>
        <s v="40D-PU-FOAM-64.5X115MMX75MM" u="1"/>
        <s v="40D-PU-FOAM-65.5X115MMX75MM" u="1"/>
        <s v="40D-PU-FOAM-68.5X115MMX75MM" u="1"/>
        <s v="40D-PU-FOAM-69.5X115MMX75MM" u="1"/>
        <s v="40D-PU-FOAM-70.5X115MMX75MM" u="1"/>
        <s v="40D-PU-FOAM-71.5X115MMX75MM" u="1"/>
        <s v="40D-PU-FOAM-72.5X115MMX75MM" u="1"/>
        <s v="40D-PU-FOAM-73.5X115MMX75MM" u="1"/>
        <s v="40D-PU-FOAM-74.5X115MMX75MM" u="1"/>
        <s v="40D-PU-FOAM-75.5X115MMX75MM" u="1"/>
        <s v="40D-PU-FOAM-76.5X115MMX75MM" u="1"/>
        <s v="40D-PU-FOAM-77.5X115MMX75MM" u="1"/>
        <s v="40D-PU-FOAM-78.5X115MMX75MM" u="1"/>
        <s v="40D-PU-FOAM-79.5X115MMX75MM" u="1"/>
        <s v="40D-PU-FOAM-80.2X115MMX75MM" u="1"/>
        <s v="40D-PU-FOAM-80.5X115MMX75MM" u="1"/>
        <s v="40D-PU-FOAM-81.5X115MMX75MM" u="1"/>
        <s v="40D-PU-FOAM-82.5X115MMX75MM" u="1"/>
        <s v="40D-PU-FOAM-83.5X115MMX75MM" u="1"/>
        <s v="40D-PU-FOAM-85.5X115MMX75MM" u="1"/>
        <s v="40D-PU-FOAM-92.5X115MMX75MM" u="1"/>
        <s v="40D-PU-FOAM-95.5X115MMX75MM" u="1"/>
        <s v="32D-HARD-FOAM-12X135MMX75MM" u="1"/>
        <s v="32D-HARD-FOAM-18X135MMX75MM" u="1"/>
        <s v="32D-HARD-FOAM-21X135MMX75MM" u="1"/>
        <s v="32D-HARD-FOAM-22X135MMX75MM" u="1"/>
        <s v="32D-HARD-FOAM-23X135MMX75MM" u="1"/>
        <s v="32D-HARD-FOAM-24X135MMX75MM" u="1"/>
        <s v="32D-HARD-FOAM-29X135MMX75MM" u="1"/>
        <s v="32D-HARD-FOAM-30X135MMX75MM" u="1"/>
        <s v="32D-HARD-FOAM-33X135MMX75MM" u="1"/>
        <s v="32D-HARD-FOAM-34X135MMX75MM" u="1"/>
        <s v="32D-HARD-FOAM-36X135MMX75MM" u="1"/>
        <s v="32D-HARD-FOAM-37X135MMX75MM" u="1"/>
        <s v="32D-HARD-FOAM-38X135MMX75MM" u="1"/>
        <s v="32D-HARD-FOAM-39X135MMX75MM" u="1"/>
        <s v="32D-HARD-FOAM-40X135MMX75MM" u="1"/>
        <s v="32D-HARD-FOAM-41X135MMX75MM" u="1"/>
        <s v="32D-HARD-FOAM-42X135MMX75MM" u="1"/>
        <s v="32D-HARD-FOAM-45X135MMX75MM" u="1"/>
        <s v="32D-HARD-FOAM-46X135MMX75MM" u="1"/>
        <s v="32D-HARD-FOAM-48X135MMX75MM" u="1"/>
        <s v="32D-HARD-FOAM-49X135MMX75MM" u="1"/>
        <s v="32D-HARD-FOAM-50X135MMX75MM" u="1"/>
        <s v="32D-HARD-FOAM-51X135MMX75MM" u="1"/>
        <s v="32D-HARD-FOAM-52X135MMX75MM" u="1"/>
        <s v="32D-HARD-FOAM-53X135MMX75MM" u="1"/>
        <s v="32D-HARD-FOAM-54X135MMX75MM" u="1"/>
        <s v="32D-HARD-FOAM-55X135MMX75MM" u="1"/>
        <s v="32D-HARD-FOAM-56X135MMX75MM" u="1"/>
        <s v="32D-HARD-FOAM-57X135MMX75MM" u="1"/>
        <s v="32D-HARD-FOAM-58X135MMX75MM" u="1"/>
        <s v="32D-HARD-FOAM-59X135MMX75MM" u="1"/>
        <s v="32D-HARD-FOAM-60X135MMX75MM" u="1"/>
        <s v="32D-HARD-FOAM-62X135MMX75MM" u="1"/>
        <s v="32D-HARD-FOAM-63X135MMX75MM" u="1"/>
        <s v="32D-HARD-FOAM-64X135MMX75MM" u="1"/>
        <s v="32D-HARD-FOAM-65X135MMX75MM" u="1"/>
        <s v="32D-HARD-FOAM-66X135MMX75MM" u="1"/>
        <s v="32D-HARD-FOAM-67X135MMX75MM" u="1"/>
        <s v="32D-HARD-FOAM-68X135MMX75MM" u="1"/>
        <s v="32D-HARD-FOAM-69X135MMX75MM" u="1"/>
        <s v="32D-HARD-FOAM-70X135MMX75MM" u="1"/>
        <s v="32D-HARD-FOAM-71X135MMX75MM" u="1"/>
        <s v="32D-HARD-FOAM-72X135MMX75MM" u="1"/>
        <s v="32D-HARD-FOAM-73X135MMX75MM" u="1"/>
        <s v="32D-HARD-FOAM-74X135MMX75MM" u="1"/>
        <s v="32D-HARD-FOAM-75X135MMX75MM" u="1"/>
        <s v="32D-HARD-FOAM-76X135MMX75MM" u="1"/>
        <s v="32D-HARD-FOAM-77X135MMX75MM" u="1"/>
        <s v="32D-HARD-FOAM-78X135MMX75MM" u="1"/>
        <s v="32D-HARD-FOAM-79X135MMX75MM" u="1"/>
        <s v="32D-HARD-FOAM-80X135MMX75MM" u="1"/>
        <s v="32D-HARD-FOAM-81X135MMX75MM" u="1"/>
        <s v="32D-HARD-FOAM-82X135MMX75MM" u="1"/>
        <s v="32D-HARD-FOAM-83X135MMX75MM" u="1"/>
        <s v="32D-HARD-FOAM-89X135MMX75MM" u="1"/>
        <s v="32D-HARD-FOAM-90X135MMX75MM" u="1"/>
        <s v="32D-PU-FOAM-71.5X135MMX75MM" u="1"/>
        <s v="32D-PU-FOAM-74.5X135MMX75MM" u="1"/>
        <s v="32D-PU-FOAM-77.5X135MMX75MM" u="1"/>
        <s v="18D-PU-FOAM-83X71.25X10MM" u="1"/>
        <s v="100D-RB-FOAM-19.5X17.5X20MM" u="1"/>
        <s v="100D-RB-FOAM-71.5X41.5X20MM" u="1"/>
        <s v="100D-RB-FOAM-74.5X41.5X20MM" u="1"/>
        <s v="100D-RB-FOAM-77.5X41.5X20MM" u="1"/>
        <s v="40D-PU-FOAM-19.5X135MMX75MM" u="1"/>
        <s v="40D-PU-FOAM-24.5X135MMX75MM" u="1"/>
        <s v="40D-PU-FOAM-25.5X135MMX75MM" u="1"/>
        <s v="40D-PU-FOAM-28.5X135MMX75MM" u="1"/>
        <s v="40D-PU-FOAM-29.5X135MMX75MM" u="1"/>
        <s v="40D-PU-FOAM-29.8X135MMX75MM" u="1"/>
        <s v="40D-PU-FOAM-3.75X135MMX75MM" u="1"/>
        <s v="40D-PU-FOAM-30.5X135MMX75MM" u="1"/>
        <s v="40D-PU-FOAM-31.5X135MMX75MM" u="1"/>
        <s v="40D-PU-FOAM-39.5X135MMX75MM" u="1"/>
        <s v="40D-PU-FOAM-40.7X135MMX75MM" u="1"/>
        <s v="40D-PU-FOAM-41.5X135MMX75MM" u="1"/>
        <s v="40D-PU-FOAM-45.5X135MMX75MM" u="1"/>
        <s v="40D-PU-FOAM-46.4X135MMX75MM" u="1"/>
        <s v="40D-PU-FOAM-48.5X135MMX75MM" u="1"/>
        <s v="40D-PU-FOAM-52.5X135MMX75MM" u="1"/>
        <s v="40D-PU-FOAM-53.5X135MMX75MM" u="1"/>
        <s v="40D-PU-FOAM-55.5X135MMX75MM" u="1"/>
        <s v="40D-PU-FOAM-56.5X135MMX75MM" u="1"/>
        <s v="40D-PU-FOAM-56.7X135MMX75MM" u="1"/>
        <s v="40D-PU-FOAM-57.5X135MMX75MM" u="1"/>
        <s v="40D-PU-FOAM-58.5X135MMX75MM" u="1"/>
        <s v="40D-PU-FOAM-59.5X135MMX75MM" u="1"/>
        <s v="40D-PU-FOAM-60.5X135MMX75MM" u="1"/>
        <s v="40D-PU-FOAM-61.5X135MMX75MM" u="1"/>
        <s v="40D-PU-FOAM-62.5X135MMX75MM" u="1"/>
        <s v="40D-PU-FOAM-63.5X135MMX75MM" u="1"/>
        <s v="40D-PU-FOAM-64.5X135MMX75MM" u="1"/>
        <s v="40D-PU-FOAM-64.8X135MMX75MM" u="1"/>
        <s v="40D-PU-FOAM-65.5X135MMX75MM" u="1"/>
        <s v="40D-PU-FOAM-66.5X135MMX75MM" u="1"/>
        <s v="40D-PU-FOAM-67.5X135MMX75MM" u="1"/>
        <s v="40D-PU-FOAM-68.5X135MMX75MM" u="1"/>
        <s v="40D-PU-FOAM-69.5X135MMX75MM" u="1"/>
        <s v="40D-PU-FOAM-70.5X135MMX75MM" u="1"/>
        <s v="40D-PU-FOAM-71.3X135MMX75MM" u="1"/>
        <s v="40D-PU-FOAM-71.5X135MMX75MM" u="1"/>
        <s v="40D-PU-FOAM-72.5X135MMX75MM" u="1"/>
        <s v="40D-PU-FOAM-73.5X135MMX75MM" u="1"/>
        <s v="40D-PU-FOAM-74.2X135MMX75MM" u="1"/>
        <s v="40D-PU-FOAM-74.3X135MMX75MM" u="1"/>
        <s v="40D-PU-FOAM-74.5X135MMX75MM" u="1"/>
        <s v="40D-PU-FOAM-75.1X135MMX75MM" u="1"/>
        <s v="40D-PU-FOAM-75.3X135MMX75MM" u="1"/>
        <s v="40D-PU-FOAM-75.5X135MMX75MM" u="1"/>
        <s v="40D-PU-FOAM-76.5X135MMX75MM" u="1"/>
        <s v="40D-PU-FOAM-77.4X135MMX75MM" u="1"/>
        <s v="40D-PU-FOAM-77.5X135MMX75MM" u="1"/>
        <s v="40D-PU-FOAM-78.5X135MMX75MM" u="1"/>
        <s v="40D-PU-FOAM-78.8X135MMX75MM" u="1"/>
        <s v="40D-PU-FOAM-79.5X135MMX75MM" u="1"/>
        <s v="40D-PU-FOAM-80.5X135MMX75MM" u="1"/>
        <s v="40D-PU-FOAM-81.5X135MMX75MM" u="1"/>
        <s v="40D-PU-FOAM-82.5X135MMX75MM" u="1"/>
        <s v="40D-PU-FOAM-83.5X135MMX75MM" u="1"/>
        <s v="40D-PU-FOAM-84.5X135MMX75MM" u="1"/>
        <s v="40D-PU-FOAM-84.7X135MMX75MM" u="1"/>
        <s v="40D-PU-FOAM-88.5X135MMX75MM" u="1"/>
        <s v="40D-PU-FOAM-89.5X135MMX75MM" u="1"/>
        <s v="40D-PU-FOAM-95.5X135MMX75MM" u="1"/>
        <s v="100D-RB-FOAM-71.5X35.5X20MM" u="1"/>
        <s v="100D-RB-FOAM-74.5X35.5X20MM" u="1"/>
        <s v="100D-RB-FOAM-77.5X35.5X20MM" u="1"/>
        <s v="32D-HARD-FOAM-12X155MMX75MM" u="1"/>
        <s v="32D-HARD-FOAM-23X155MMX75MM" u="1"/>
        <s v="32D-HARD-FOAM-24X155MMX75MM" u="1"/>
        <s v="32D-HARD-FOAM-26X155MMX75MM" u="1"/>
        <s v="32D-HARD-FOAM-30X155MMX75MM" u="1"/>
        <s v="32D-HARD-FOAM-34X155MMX75MM" u="1"/>
        <s v="32D-HARD-FOAM-35X155MMX75MM" u="1"/>
        <s v="32D-HARD-FOAM-36X155MMX75MM" u="1"/>
        <s v="32D-HARD-FOAM-40X155MMX75MM" u="1"/>
        <s v="32D-HARD-FOAM-41X155MMX75MM" u="1"/>
        <s v="32D-HARD-FOAM-42X155MMX75MM" u="1"/>
        <s v="32D-HARD-FOAM-44X155MMX75MM" u="1"/>
        <s v="32D-HARD-FOAM-45X155MMX75MM" u="1"/>
        <s v="32D-HARD-FOAM-47X155MMX75MM" u="1"/>
        <s v="32D-HARD-FOAM-48X155MMX75MM" u="1"/>
        <s v="32D-HARD-FOAM-49X155MMX75MM" u="1"/>
        <s v="32D-HARD-FOAM-50X155MMX75MM" u="1"/>
        <s v="32D-HARD-FOAM-51X155MMX75MM" u="1"/>
        <s v="32D-HARD-FOAM-52X155MMX75MM" u="1"/>
        <s v="32D-HARD-FOAM-53X155MMX75MM" u="1"/>
        <s v="32D-HARD-FOAM-54X155MMX75MM" u="1"/>
        <s v="32D-HARD-FOAM-57X155MMX75MM" u="1"/>
        <s v="32D-HARD-FOAM-58X155MMX75MM" u="1"/>
        <s v="32D-HARD-FOAM-60X155MMX75MM" u="1"/>
        <s v="32D-HARD-FOAM-62X155MMX75MM" u="1"/>
        <s v="32D-HARD-FOAM-63X155MMX75MM" u="1"/>
        <s v="32D-HARD-FOAM-64X155MMX75MM" u="1"/>
        <s v="32D-HARD-FOAM-65X155MMX75MM" u="1"/>
        <s v="32D-HARD-FOAM-66X155MMX75MM" u="1"/>
        <s v="32D-HARD-FOAM-67X155MMX75MM" u="1"/>
        <s v="32D-HARD-FOAM-69X155MMX75MM" u="1"/>
        <s v="32D-HARD-FOAM-71X155MMX75MM" u="1"/>
        <s v="32D-HARD-FOAM-72X155MMX75MM" u="1"/>
        <s v="32D-HARD-FOAM-73X155MMX75MM" u="1"/>
        <s v="32D-HARD-FOAM-74X155MMX75MM" u="1"/>
        <s v="32D-HARD-FOAM-75X155MMX75MM" u="1"/>
        <s v="32D-HARD-FOAM-76X155MMX75MM" u="1"/>
        <s v="32D-HARD-FOAM-77X155MMX75MM" u="1"/>
        <s v="32D-HARD-FOAM-78X155MMX75MM" u="1"/>
        <s v="32D-HARD-FOAM-79X155MMX75MM" u="1"/>
        <s v="32D-HARD-FOAM-83X155MMX75MM" u="1"/>
        <s v="32D-HARD-FOAM-86X155MMX75MM" u="1"/>
        <s v="32D-HARD-FOAM-87X155MMX75MM" u="1"/>
        <s v="32D-HARD-FOAM-90X155MMX75MM" u="1"/>
        <s v="32D-PU-FOAM-71.5X155MMX75MM" u="1"/>
        <s v="32D-PU-FOAM-74.5X155MMX75MM" u="1"/>
        <s v="32D-PU-FOAM-76.5X155MMX75MM" u="1"/>
        <s v="32D-PU-FOAM-77.5X155MMX75MM" u="1"/>
        <s v="32D-PU-FOAM-79.5X155MMX75MM" u="1"/>
        <s v="32D-PU-FOAM-83.5X155MMX75MM" u="1"/>
        <s v="100D-RB-FOAM-71.5X29.5X20MM" u="1"/>
        <s v="100D-RB-FOAM-75.5X61.5X20MM" u="1"/>
        <s v="40D-PU-FOAM-37.5X155MMX75MM" u="1"/>
        <s v="40D-PU-FOAM-47.5X155MMX75MM" u="1"/>
        <s v="40D-PU-FOAM-50.5X155MMX75MM" u="1"/>
        <s v="40D-PU-FOAM-51.5X155MMX75MM" u="1"/>
        <s v="40D-PU-FOAM-52.5X155MMX75MM" u="1"/>
        <s v="40D-PU-FOAM-53.5X155MMX75MM" u="1"/>
        <s v="40D-PU-FOAM-55.5X155MMX75MM" u="1"/>
        <s v="40D-PU-FOAM-56.5X155MMX75MM" u="1"/>
        <s v="40D-PU-FOAM-57.3X155MMX75MM" u="1"/>
        <s v="40D-PU-FOAM-57.5X155MMX75MM" u="1"/>
        <s v="40D-PU-FOAM-58.5X155MMX75MM" u="1"/>
        <s v="40D-PU-FOAM-59.5X155MMX75MM" u="1"/>
        <s v="40D-PU-FOAM-61.5X155MMX75MM" u="1"/>
        <s v="40D-PU-FOAM-62.5X155MMX75MM" u="1"/>
        <s v="40D-PU-FOAM-63.5X155MMX75MM" u="1"/>
        <s v="40D-PU-FOAM-64.5X155MMX75MM" u="1"/>
        <s v="40D-PU-FOAM-64.8X155MMX75MM" u="1"/>
        <s v="40D-PU-FOAM-65.5X155MMX75MM" u="1"/>
        <s v="40D-PU-FOAM-68.5X155MMX75MM" u="1"/>
        <s v="40D-PU-FOAM-68.8X155MMX75MM" u="1"/>
        <s v="40D-PU-FOAM-69.5X155MMX75MM" u="1"/>
        <s v="40D-PU-FOAM-70.5X155MMX75MM" u="1"/>
        <s v="40D-PU-FOAM-71.5X155MMX75MM" u="1"/>
        <s v="40D-PU-FOAM-72.5X155MMX75MM" u="1"/>
        <s v="40D-PU-FOAM-73.5X155MMX75MM" u="1"/>
        <s v="40D-PU-FOAM-73.9X155MMX75MM" u="1"/>
        <s v="40D-PU-FOAM-74.3X155MMX75MM" u="1"/>
        <s v="40D-PU-FOAM-74.5X155MMX75MM" u="1"/>
        <s v="40D-PU-FOAM-75.5X155MMX75MM" u="1"/>
        <s v="40D-PU-FOAM-76.5X155MMX75MM" u="1"/>
        <s v="40D-PU-FOAM-77.5X155MMX75MM" u="1"/>
        <s v="40D-PU-FOAM-78.5X155MMX75MM" u="1"/>
        <s v="40D-PU-FOAM-79.5X155MMX75MM" u="1"/>
        <s v="40D-PU-FOAM-80.5X155MMX75MM" u="1"/>
        <s v="40D-PU-FOAM-81.5X155MMX75MM" u="1"/>
        <s v="40D-PU-FOAM-82.5X155MMX75MM" u="1"/>
        <s v="40D-PU-FOAM-83.5X155MMX75MM" u="1"/>
        <s v="40D-PU-FOAM-84.5X155MMX75MM" u="1"/>
        <s v="100D-RB-FOAM-73.5X39.5X20MM" u="1"/>
        <s v="100D-RB-FOAM-69.5X47.5X20MM" u="1"/>
        <s v="100D-RB-FOAM-71.5X47.5X20MM" u="1"/>
        <s v="100D-RB-FOAM-74.5X47.5X20MM" u="1"/>
        <s v="100D-RB-FOAM-76.5X47.5X20MM" u="1"/>
        <s v="100D-RB-FOAM-77.5X47.5X20MM" u="1"/>
        <s v="100D-RB-FOAM-76.5X63.5X20MM" u="1"/>
        <s v="100D-RB-FOAM-77.5X63.5X20MM" u="1"/>
        <s v="100D-RB-FOAM-79.5X63.5X20MM" u="1"/>
        <s v="100D-RB-FOAM-71.5X71.5X20MM" u="1"/>
        <s v="100D-RB-FOAM-74.5X71.5X20MM" u="1"/>
        <s v="100D-RB-FOAM-77.4X71.5X20MM" u="1"/>
        <s v="100D-RB-FOAM-77.5X71.5X20MM" u="1"/>
        <s v="100D-RB-FOAM-78.5X71.5X20MM" u="1"/>
        <s v="100D-RB-FOAM-82.5X71.5X20MM" u="1"/>
        <s v="100D-RB-FOAM-83.5X71.5X20MM" u="1"/>
        <s v="32D-PU-FOAM-30X175MMX75MM" u="1"/>
        <s v="32D-PU-FOAM-42X175MMX75MM" u="1"/>
        <s v="32D-PU-FOAM-54X175MMX75MM" u="1"/>
        <s v="32D-PU-FOAM-66X175MMX75MM" u="1"/>
        <s v="32D-HARD-FOAM-24X175MMX75MM" u="1"/>
        <s v="32D-HARD-FOAM-30X175MMX75MM" u="1"/>
        <s v="32D-HARD-FOAM-42X175MMX75MM" u="1"/>
        <s v="32D-HARD-FOAM-52X175MMX75MM" u="1"/>
        <s v="32D-HARD-FOAM-54X175MMX75MM" u="1"/>
        <s v="32D-HARD-FOAM-60X175MMX75MM" u="1"/>
        <s v="32D-HARD-FOAM-66X175MMX75MM" u="1"/>
        <s v="32D-HARD-FOAM-78X175MMX75MM" u="1"/>
        <s v="32D-PU-FOAM-71.5X175MMX75MM" u="1"/>
        <s v="32D-PU-FOAM-74.5X175MMX75MM" u="1"/>
        <s v="32D-PU-FOAM-77.5X175MMX75MM" u="1"/>
        <s v="32D-PU-FOAM-83.5X175MMX75MM" u="1"/>
        <s v="100D-RB-FOAM-80.5X57.5X20MM" u="1"/>
        <s v="100D-RB-FOAM-71.5X65.5X20MM" u="1"/>
        <s v="100D-RB-FOAM-73.5X65.5X20MM" u="1"/>
        <s v="100D-RB-FOAM-74.5X65.5X20MM" u="1"/>
        <s v="100D-RB-FOAM-77.5X65.5X20MM" u="1"/>
        <s v="100D-RB-FOAM-83.5X65.5X20MM" u="1"/>
        <s v="100D-RB-FOAM-80.5X73.5X20MM" u="1"/>
        <s v="100D-RB-FOAM-75.5X81.5X20MM" u="1"/>
        <s v="18D-PU-FOAM-77X71X10MM" u="1"/>
        <s v="40D-PU-FOAM-24X175MMX75MM" u="1"/>
        <s v="40D-PU-FOAM-27X175MMX75MM" u="1"/>
        <s v="40D-PU-FOAM-30X175MMX75MM" u="1"/>
        <s v="40D-PU-FOAM-36X175MMX75MM" u="1"/>
        <s v="40D-PU-FOAM-41X175MMX75MM" u="1"/>
        <s v="40D-PU-FOAM-42X175MMX75MM" u="1"/>
        <s v="40D-PU-FOAM-54X175MMX75MM" u="1"/>
        <s v="40D-PU-FOAM-60X175MMX75MM" u="1"/>
        <s v="40D-PU-FOAM-62X175MMX75MM" u="1"/>
        <s v="40D-PU-FOAM-64X175MMX75MM" u="1"/>
        <s v="40D-PU-FOAM-65X175MMX75MM" u="1"/>
        <s v="40D-PU-FOAM-66X175MMX75MM" u="1"/>
        <s v="40D-PU-FOAM-70X175MMX75MM" u="1"/>
        <s v="40D-PU-FOAM-71X175MMX75MM" u="1"/>
        <s v="40D-PU-FOAM-72X175MMX75MM" u="1"/>
        <s v="40D-PU-FOAM-76X175MMX75MM" u="1"/>
        <s v="40D-PU-FOAM-78X175MMX75MM" u="1"/>
        <s v="40D-PU-FOAM-41.5X175MMX75MM" u="1"/>
        <s v="40D-PU-FOAM-52.5X175MMX75MM" u="1"/>
        <s v="40D-PU-FOAM-64.5X175MMX75MM" u="1"/>
        <s v="40D-PU-FOAM-68.5X175MMX75MM" u="1"/>
        <s v="40D-PU-FOAM-71.5X175MMX75MM" u="1"/>
        <s v="40D-PU-FOAM-72.5X175MMX75MM" u="1"/>
        <s v="40D-PU-FOAM-73.5X175MMX75MM" u="1"/>
        <s v="40D-PU-FOAM-74.3X175MMX75MM" u="1"/>
        <s v="40D-PU-FOAM-74.5X175MMX75MM" u="1"/>
        <s v="40D-PU-FOAM-74.7X175MMX75MM" u="1"/>
        <s v="40D-PU-FOAM-76.5X175MMX75MM" u="1"/>
        <s v="40D-PU-FOAM-77.5X175MMX75MM" u="1"/>
        <s v="40D-PU-FOAM-78.5X175MMX75MM" u="1"/>
        <s v="40D-PU-FOAM-79.5X175MMX75MM" u="1"/>
        <s v="40D-PU-FOAM-82.5X175MMX75MM" u="1"/>
        <s v="40D-PU-FOAM-83.5X175MMX75MM" u="1"/>
        <s v="100D-RB-FOAM-71.5X59.5X20MM" u="1"/>
        <s v="100D-RB-FOAM-73.5X59.5X20MM" u="1"/>
        <s v="100D-RB-FOAM-74.5X59.5X20MM" u="1"/>
        <s v="100D-RB-FOAM-76.5X59.5X20MM" u="1"/>
        <s v="100D-RB-FOAM-77.5X59.5X20MM" u="1"/>
        <s v="100D-RB-FOAM-79.5X59.5X20MM" u="1"/>
        <s v="100D-RB-FOAM-83.5X59.5X20MM" u="1"/>
        <s v="100D-RB-FOAM-73.5X67.5X20MM" u="1"/>
        <s v="100D-RB-FOAM-74.5X75.5X20MM" u="1"/>
        <s v="100D-RB-FOAM-79.5X75.5X20MM" u="1"/>
        <s v="100D-RB-FOAM-84.5X75.5X20MM" u="1"/>
        <s v="100D-RB-FOAM-74.5X83.5X20MM" u="1"/>
        <s v="100D-RB-FOAM-76.5X83.5X20MM" u="1"/>
        <s v="32D-HARD-FOAM-6X135MMX75MM" u="1"/>
        <s v="32D-HARD-FOAM-30X95MMX75MM" u="1"/>
        <s v="32D-HARD-FOAM-69X95MMX75MM" u="1"/>
        <s v="100D-RB-FOAM-73.5X69.5X20MM" u="1"/>
        <s v="100D-RB-FOAM-74.5X69.5X20MM" u="1"/>
        <s v="100D-RB-FOAM-75.5X69.5X20MM" u="1"/>
        <s v="100D-RB-FOAM-76.5X69.5X20MM" u="1"/>
        <s v="100D-RB-FOAM-82.5X69.5X20MM" u="1"/>
        <s v="100D-RB-FOAM-79.5X77.5X20MM" u="1"/>
        <s v="25D-HELIXA-FOAM-71.5X41.5X15MM" u="1"/>
        <s v="25D-HELIXA-FOAM-74.5X41.5X15MM" u="1"/>
        <s v="32D-HARD-FOAM-15.5X155MMX75MM" u="1"/>
        <s v="32D-HARD-FOAM-18.5X155MMX75MM" u="1"/>
        <s v="32D-HARD-FOAM-19.5X155MMX75MM" u="1"/>
        <s v="32D-HARD-FOAM-27.5X155MMX75MM" u="1"/>
        <s v="32D-HARD-FOAM-28.5X155MMX75MM" u="1"/>
        <s v="32D-HARD-FOAM-40.5X155MMX75MM" u="1"/>
        <s v="32D-HARD-FOAM-46.5X155MMX75MM" u="1"/>
        <s v="32D-HARD-FOAM-52.5X155MMX75MM" u="1"/>
        <s v="32D-HARD-FOAM-53.5X155MMX75MM" u="1"/>
        <s v="32D-HARD-FOAM-58.5X155MMX75MM" u="1"/>
        <s v="32D-HARD-FOAM-62.5X155MMX75MM" u="1"/>
        <s v="32D-HARD-FOAM-64.5X155MMX75MM" u="1"/>
        <s v="32D-HARD-FOAM-65.5X155MMX75MM" u="1"/>
        <s v="32D-HARD-FOAM-68.5X155MMX75MM" u="1"/>
        <s v="32D-HARD-FOAM-69.5X155MMX75MM" u="1"/>
        <s v="32D-HARD-FOAM-70.5X155MMX75MM" u="1"/>
        <s v="32D-HARD-FOAM-71.5X155MMX75MM" u="1"/>
        <s v="32D-HARD-FOAM-72.5X155MMX75MM" u="1"/>
        <s v="32D-HARD-FOAM-73.5X155MMX75MM" u="1"/>
        <s v="32D-HARD-FOAM-74.3X155MMX75MM" u="1"/>
        <s v="32D-HARD-FOAM-74.5X155MMX75MM" u="1"/>
        <s v="32D-HARD-FOAM-75.5X155MMX75MM" u="1"/>
        <s v="32D-HARD-FOAM-76.5X155MMX75MM" u="1"/>
        <s v="32D-HARD-FOAM-77.5X155MMX75MM" u="1"/>
        <s v="32D-HARD-FOAM-79.5X155MMX75MM" u="1"/>
        <s v="32D-HARD-FOAM-80.5X155MMX75MM" u="1"/>
        <s v="32D-HARD-FOAM-81.5X155MMX75MM" u="1"/>
        <s v="32D-HARD-FOAM-82.5X155MMX75MM" u="1"/>
        <s v="32D-HARD-FOAM-83.5X155MMX75MM" u="1"/>
        <s v="32D-HARD-FOAM-84.5X155MMX75MM" u="1"/>
        <s v="32D-HARD-FOAM-88.5X155MMX75MM" u="1"/>
        <s v="25D-HELIXA-FOAM-71.5X71.5X15MM" u="1"/>
        <s v="25D-HELIXA-FOAM-74.5X71.5X15MM" u="1"/>
        <s v="25D-HELIXA-FOAM-77.5X71.5X15MM" u="1"/>
        <s v="25D-HELIXA-FOAM-79.5X71.5X15MM" u="1"/>
        <s v="25D-HELIXA-FOAM-83.5X71.5X15MM" u="1"/>
        <s v="32D-HARD-FOAM-19.5X115MMX75MM" u="1"/>
        <s v="32D-HARD-FOAM-23.5X115MMX75MM" u="1"/>
        <s v="32D-HARD-FOAM-27.5X115MMX75MM" u="1"/>
        <s v="32D-HARD-FOAM-31.5X115MMX75MM" u="1"/>
        <s v="32D-HARD-FOAM-32.5X115MMX75MM" u="1"/>
        <s v="32D-HARD-FOAM-41.5X115MMX75MM" u="1"/>
        <s v="32D-HARD-FOAM-47.5X115MMX75MM" u="1"/>
        <s v="32D-HARD-FOAM-51.5X115MMX75MM" u="1"/>
        <s v="32D-HARD-FOAM-52.5X115MMX75MM" u="1"/>
        <s v="32D-HARD-FOAM-53.5X115MMX75MM" u="1"/>
        <s v="32D-HARD-FOAM-57.5X115MMX75MM" u="1"/>
        <s v="32D-HARD-FOAM-58.5X115MMX75MM" u="1"/>
        <s v="32D-HARD-FOAM-59.5X115MMX75MM" u="1"/>
        <s v="32D-HARD-FOAM-61.5X115MMX75MM" u="1"/>
        <s v="32D-HARD-FOAM-64.5X115MMX75MM" u="1"/>
        <s v="32D-HARD-FOAM-65.5X115MMX75MM" u="1"/>
        <s v="32D-HARD-FOAM-68.5X115MMX75MM" u="1"/>
        <s v="32D-HARD-FOAM-69.5X115MMX75MM" u="1"/>
        <s v="32D-HARD-FOAM-70.5X115MMX75MM" u="1"/>
        <s v="32D-HARD-FOAM-71.5X115MMX75MM" u="1"/>
        <s v="32D-HARD-FOAM-72.5X115MMX75MM" u="1"/>
        <s v="32D-HARD-FOAM-73.5X115MMX75MM" u="1"/>
        <s v="32D-HARD-FOAM-74.5X115MMX75MM" u="1"/>
        <s v="32D-HARD-FOAM-75.5X115MMX75MM" u="1"/>
        <s v="32D-HARD-FOAM-76.5X115MMX75MM" u="1"/>
        <s v="32D-HARD-FOAM-77.5X115MMX75MM" u="1"/>
        <s v="32D-HARD-FOAM-78.5X115MMX75MM" u="1"/>
        <s v="32D-HARD-FOAM-79.5X115MMX75MM" u="1"/>
        <s v="32D-HARD-FOAM-80.5X115MMX75MM" u="1"/>
        <s v="32D-HARD-FOAM-81.5X115MMX75MM" u="1"/>
        <s v="32D-HARD-FOAM-82.5X115MMX75MM" u="1"/>
        <s v="32D-HARD-FOAM-83.5X115MMX75MM" u="1"/>
        <s v="32D-HARD-FOAM-87.5X115MMX75MM" u="1"/>
        <s v="32D-HARD-FOAM-88.5X115MMX75MM" u="1"/>
        <s v="100D-RB-FOAM-77.45X72.72X20MM" u="1"/>
        <s v="25D-HELIXA-FOAM-74.5X41.5X25MM" u="1"/>
        <s v="25D-HELIXA-FOAM-71.5X71.5X25MM" u="1"/>
        <s v="25D-HELIXA-FOAM-74.5X71.5X25MM" u="1"/>
        <s v="25D-HELIXA-FOAM-77.5X71.5X25MM" u="1"/>
        <s v="25D-HELIXA-FOAM-79.5X71.5X25MM" u="1"/>
        <s v="25D-HELIXA-FOAM-83.5X71.5X25MM" u="1"/>
        <s v="40D-PU-FOAM-50X115MMX40MM" u="1"/>
        <s v="40D-PU-FOAM-55X115MMX40MM" u="1"/>
        <s v="40D-PU-FOAM-58X115MMX40MM" u="1"/>
        <s v="40D-PU-FOAM-62X115MMX40MM" u="1"/>
        <s v="40D-PU-FOAM-70X115MMX40MM" u="1"/>
        <s v="40D-PU-FOAM-71X115MMX40MM" u="1"/>
        <s v="40D-PU-FOAM-77X115MMX40MM" u="1"/>
        <s v="100D-RB-FOAM-77X59.5X20MM" u="1"/>
        <s v="25D-HELIXA-FOAM-76.5X44.5X15MM" u="1"/>
        <s v="25D-HELIXA-FOAM-71.5X71.5X50MM" u="1"/>
        <s v="25D-HELIXA-FOAM-74.5X71.5X50MM" u="1"/>
        <s v="25D-HELIXA-FOAM-83.5X71.5X50MM" u="1"/>
        <s v="25D-HELIXA-FOAM-75X47.5X15MM" u="1"/>
        <s v="25D-HELIXA-FOAM-74.5X35.5X15MM" u="1"/>
        <s v="25D-HELIXA-FOAM-77.5X35.5X15MM" u="1"/>
        <s v="18D-PU-FOAM-83X71.5X10MM" u="1"/>
        <s v="18D-PU-FOAM-79X73X10MM" u="1"/>
        <s v="25D-HELIXA-FOAM-76.5X44.5X25MM" u="1"/>
        <s v="40D-PU-FOAM-55.25X135MMX40MM" u="1"/>
        <s v="40D-PU-FOAM-61.55X135MMX40MM" u="1"/>
        <s v="40D-PU-FOAM-63.75X135MMX40MM" u="1"/>
        <s v="40D-PU-FOAM-76.35X135MMX40MM" u="1"/>
        <s v="100D-RB-FOAM-76X66X20MM" u="1"/>
        <s v="32D-HARD-FOAM-14.5X175MMX40MM" u="1"/>
        <s v="32D-HARD-FOAM-19.5X175MMX40MM" u="1"/>
        <s v="32D-HARD-FOAM-32.4X175MMX40MM" u="1"/>
        <s v="32D-HARD-FOAM-32.5X175MMX40MM" u="1"/>
        <s v="32D-HARD-FOAM-56.5X175MMX40MM" u="1"/>
        <s v="32D-HARD-FOAM-62.5X175MMX40MM" u="1"/>
        <s v="32D-HARD-FOAM-68.5X175MMX40MM" u="1"/>
        <s v="32D-HARD-FOAM-71.5X175MMX40MM" u="1"/>
        <s v="32D-HARD-FOAM-74.5X175MMX40MM" u="1"/>
        <s v="32D-HARD-FOAM-75.5X175MMX40MM" u="1"/>
        <s v="32D-HARD-FOAM-77.5X175MMX40MM" u="1"/>
        <s v="32D-HARD-FOAM-79.5X175MMX40MM" u="1"/>
        <s v="32D-HARD-FOAM-83.5X175MMX40MM" u="1"/>
        <s v="32D-HARD-FOAM-86.5X175MMX40MM" u="1"/>
        <s v="100D-RB-FOAM-75.5X35X20MM" u="1"/>
        <s v="32D-HARD-FOAM-71.5X175MMX70MM" u="1"/>
        <s v="32D-HARD-FOAM-74.5X175MMX70MM" u="1"/>
        <s v="32D-HARD-FOAM-77.5X175MMX70MM" u="1"/>
        <s v="40D-PU-FOAM-128.5X155MMX40MM" u="1"/>
        <s v="32D-HARD-FOAM-14.5X135MMX40MM" u="1"/>
        <s v="32D-HARD-FOAM-19.5X135MMX40MM" u="1"/>
        <s v="32D-HARD-FOAM-26.5X135MMX40MM" u="1"/>
        <s v="32D-HARD-FOAM-30.5X135MMX40MM" u="1"/>
        <s v="32D-HARD-FOAM-32.5X135MMX40MM" u="1"/>
        <s v="32D-HARD-FOAM-44.5X135MMX40MM" u="1"/>
        <s v="32D-HARD-FOAM-49.5X135MMX40MM" u="1"/>
        <s v="32D-HARD-FOAM-55.5X135MMX40MM" u="1"/>
        <s v="32D-HARD-FOAM-56.5X135MMX40MM" u="1"/>
        <s v="32D-HARD-FOAM-61.5X135MMX40MM" u="1"/>
        <s v="32D-HARD-FOAM-62.5X135MMX40MM" u="1"/>
        <s v="32D-HARD-FOAM-64.5X135MMX40MM" u="1"/>
        <s v="32D-HARD-FOAM-65.5X135MMX40MM" u="1"/>
        <s v="32D-HARD-FOAM-66.5X135MMX40MM" u="1"/>
        <s v="32D-HARD-FOAM-67.5X135MMX40MM" u="1"/>
        <s v="32D-HARD-FOAM-68.5X135MMX40MM" u="1"/>
        <s v="32D-HARD-FOAM-69.5X135MMX40MM" u="1"/>
        <s v="32D-HARD-FOAM-70.4X135MMX40MM" u="1"/>
        <s v="32D-HARD-FOAM-70.5X135MMX40MM" u="1"/>
        <s v="32D-HARD-FOAM-71.5X135MMX40MM" u="1"/>
        <s v="32D-HARD-FOAM-74.5X135MMX40MM" u="1"/>
        <s v="32D-HARD-FOAM-75.5X135MMX40MM" u="1"/>
        <s v="32D-HARD-FOAM-76.5X135MMX40MM" u="1"/>
        <s v="32D-HARD-FOAM-77.5X135MMX40MM" u="1"/>
        <s v="32D-HARD-FOAM-78.5X135MMX40MM" u="1"/>
        <s v="32D-HARD-FOAM-79.5X135MMX40MM" u="1"/>
        <s v="32D-HARD-FOAM-80.5X135MMX40MM" u="1"/>
        <s v="32D-HARD-FOAM-81.5X135MMX40MM" u="1"/>
        <s v="32D-HARD-FOAM-82.5X135MMX40MM" u="1"/>
        <s v="32D-HARD-FOAM-83.5X135MMX40MM" u="1"/>
        <s v="32D-HARD-FOAM-84.5X135MMX40MM" u="1"/>
        <s v="32D-HARD-FOAM-86.5X135MMX40MM" u="1"/>
        <s v="32D-HARD-FOAM-87.1X135MMX40MM" u="1"/>
        <s v="32D-HARD-FOAM-87.5X135MMX40MM" u="1"/>
        <s v="32D-HARD-FOAM-92.5X135MMX40MM" u="1"/>
        <s v="25D-HELIXA-FOAM-71.5X35.5X25MM" u="1"/>
        <s v="25D-HELIXA-FOAM-71.5X47.5X15MM" u="1"/>
        <s v="25D-HELIXA-FOAM-74.5X47.5X15MM" u="1"/>
        <s v="25D-HELIXA-FOAM-77.5X47.5X15MM" u="1"/>
        <s v="32D-HARD-FOAM-26.5X135MMX70MM" u="1"/>
        <s v="32D-HARD-FOAM-35.5X135MMX70MM" u="1"/>
        <s v="32D-HARD-FOAM-46.5X135MMX70MM" u="1"/>
        <s v="32D-HARD-FOAM-49.5X135MMX70MM" u="1"/>
        <s v="32D-HARD-FOAM-52.5X135MMX70MM" u="1"/>
        <s v="32D-HARD-FOAM-53.5X135MMX70MM" u="1"/>
        <s v="32D-HARD-FOAM-59.5X135MMX70MM" u="1"/>
        <s v="32D-HARD-FOAM-62.5X135MMX70MM" u="1"/>
        <s v="32D-HARD-FOAM-64.5X135MMX70MM" u="1"/>
        <s v="32D-HARD-FOAM-65.5X135MMX70MM" u="1"/>
        <s v="32D-HARD-FOAM-66.5X135MMX70MM" u="1"/>
        <s v="32D-HARD-FOAM-67.5X135MMX70MM" u="1"/>
        <s v="32D-HARD-FOAM-68.5X135MMX70MM" u="1"/>
        <s v="32D-HARD-FOAM-69.5X135MMX70MM" u="1"/>
        <s v="32D-HARD-FOAM-70.5X135MMX70MM" u="1"/>
        <s v="32D-HARD-FOAM-71.5X135MMX70MM" u="1"/>
        <s v="32D-HARD-FOAM-72.5X135MMX70MM" u="1"/>
        <s v="32D-HARD-FOAM-72.7X135MMX70MM" u="1"/>
        <s v="32D-HARD-FOAM-73.5X135MMX70MM" u="1"/>
        <s v="32D-HARD-FOAM-74.3X135MMX70MM" u="1"/>
        <s v="32D-HARD-FOAM-75.5X135MMX70MM" u="1"/>
        <s v="32D-HARD-FOAM-76.5X135MMX70MM" u="1"/>
        <s v="32D-HARD-FOAM-77.2X135MMX70MM" u="1"/>
        <s v="32D-HARD-FOAM-77.5X135MMX70MM" u="1"/>
        <s v="32D-HARD-FOAM-78.5X135MMX70MM" u="1"/>
        <s v="32D-HARD-FOAM-79.5X135MMX70MM" u="1"/>
        <s v="32D-HARD-FOAM-80.5X135MMX70MM" u="1"/>
        <s v="32D-HARD-FOAM-81.5X135MMX70MM" u="1"/>
        <s v="32D-HARD-FOAM-82.5X135MMX70MM" u="1"/>
        <s v="32D-HARD-FOAM-83.5X135MMX70MM" u="1"/>
        <s v="32D-HARD-FOAM-86.5X135MMX70MM" u="1"/>
        <s v="40D-PU-FOAM-67.25X175MMX40MM" u="1"/>
        <s v="40D-PU-FOAM-78.25X175MMX40MM" u="1"/>
        <s v="100D-RB-FOAM-79X65.5X20MM" u="1"/>
        <s v="100D-RB-FOAM-77X67.5X20MM" u="1"/>
        <s v="100D-RB-FOAM-75X69.5X20MM" u="1"/>
        <s v="100D-RB-FOAM-77.5X47X20MM" u="1"/>
        <s v="100D-RB-FOAM-74.5X63X20MM" u="1"/>
        <s v="100D-RB-FOAM-75.5X71X20MM" u="1"/>
        <s v="100D-RB-FOAM-76.5X71X20MM" u="1"/>
        <s v="32D-HARD-FOAM-76.75X115MMX40MM" u="1"/>
        <s v="32D-HARD-FOAM-65.55X135MMX40MM" u="1"/>
        <s v="32D-HARD-FOAM-68.25X135MMX40MM" u="1"/>
        <s v="32D-HARD-FOAM-77.41X135MMX40MM" u="1"/>
        <s v="32D-HARD-FOAM-51.25X155MMX40MM" u="1"/>
        <s v="32D-HARD-FOAM-78.45X175MMX40MM" u="1"/>
        <s v="25D-HELIXA-FOAM-71.5X35.5X50MM" u="1"/>
        <s v="18D-PU-FOAM-83X80X10MM" u="1"/>
        <s v="40D-PU-FOAM-12X115MMX75MM" u="1"/>
        <s v="40D-PU-FOAM-17X115MMX75MM" u="1"/>
        <s v="40D-PU-FOAM-22X115MMX75MM" u="1"/>
        <s v="40D-PU-FOAM-24X115MMX75MM" u="1"/>
        <s v="40D-PU-FOAM-28X115MMX75MM" u="1"/>
        <s v="40D-PU-FOAM-29X115MMX75MM" u="1"/>
        <s v="40D-PU-FOAM-30X115MMX75MM" u="1"/>
        <s v="40D-PU-FOAM-36X115MMX75MM" u="1"/>
        <s v="40D-PU-FOAM-38X115MMX75MM" u="1"/>
        <s v="40D-PU-FOAM-39X115MMX75MM" u="1"/>
        <s v="40D-PU-FOAM-40X115MMX75MM" u="1"/>
        <s v="40D-PU-FOAM-41X115MMX75MM" u="1"/>
        <s v="40D-PU-FOAM-42X115MMX75MM" u="1"/>
        <s v="40D-PU-FOAM-44X115MMX75MM" u="1"/>
        <s v="40D-PU-FOAM-46X115MMX75MM" u="1"/>
        <s v="40D-PU-FOAM-48X115MMX75MM" u="1"/>
        <s v="40D-PU-FOAM-50X115MMX75MM" u="1"/>
        <s v="40D-PU-FOAM-52X115MMX75MM" u="1"/>
        <s v="40D-PU-FOAM-53X115MMX75MM" u="1"/>
        <s v="40D-PU-FOAM-54X115MMX75MM" u="1"/>
        <s v="40D-PU-FOAM-55X115MMX75MM" u="1"/>
        <s v="40D-PU-FOAM-56X115MMX75MM" u="1"/>
        <s v="40D-PU-FOAM-57X115MMX75MM" u="1"/>
        <s v="40D-PU-FOAM-58X115MMX75MM" u="1"/>
        <s v="40D-PU-FOAM-59X115MMX75MM" u="1"/>
        <s v="40D-PU-FOAM-60X115MMX75MM" u="1"/>
        <s v="40D-PU-FOAM-61X115MMX75MM" u="1"/>
        <s v="40D-PU-FOAM-62X115MMX75MM" u="1"/>
        <s v="40D-PU-FOAM-63X115MMX75MM" u="1"/>
        <s v="40D-PU-FOAM-64X115MMX75MM" u="1"/>
        <s v="40D-PU-FOAM-65X115MMX75MM" u="1"/>
        <s v="40D-PU-FOAM-66X115MMX75MM" u="1"/>
        <s v="40D-PU-FOAM-68X115MMX75MM" u="1"/>
        <s v="40D-PU-FOAM-69X115MMX75MM" u="1"/>
        <s v="40D-PU-FOAM-70X115MMX75MM" u="1"/>
        <s v="40D-PU-FOAM-71X115MMX75MM" u="1"/>
        <s v="40D-PU-FOAM-72X115MMX75MM" u="1"/>
        <s v="40D-PU-FOAM-73X115MMX75MM" u="1"/>
        <s v="40D-PU-FOAM-74X115MMX75MM" u="1"/>
        <s v="40D-PU-FOAM-75X115MMX75MM" u="1"/>
        <s v="40D-PU-FOAM-76X115MMX75MM" u="1"/>
        <s v="40D-PU-FOAM-77X115MMX75MM" u="1"/>
        <s v="40D-PU-FOAM-78X115MMX75MM" u="1"/>
        <s v="40D-PU-FOAM-79X115MMX75MM" u="1"/>
        <s v="40D-PU-FOAM-80X115MMX75MM" u="1"/>
        <s v="40D-PU-FOAM-81X115MMX75MM" u="1"/>
        <s v="40D-PU-FOAM-82X115MMX75MM" u="1"/>
        <s v="40D-PU-FOAM-83X115MMX75MM" u="1"/>
        <s v="40D-PU-FOAM-87X115MMX75MM" u="1"/>
        <s v="40D-PU-FOAM-88X115MMX75MM" u="1"/>
        <s v="40D-PU-FOAM-89X115MMX75MM" u="1"/>
        <s v="100D-RB-FOAM-83.15X73.9X20MM" u="1"/>
        <s v="100D-RB-FOAM-81X73X20MM" u="1"/>
        <s v="25D-HELIXA-FOAM-71.5X29.5X15MM" u="1"/>
        <s v="100D-RB-FOAM-75.5X69X20MM" u="1"/>
        <s v="100D-RB-FOAM-76.5X69X20MM" u="1"/>
        <s v="25D-HELIXA-FOAM-71.5X47.5X25MM" u="1"/>
        <s v="25D-HELIXA-FOAM-74.5X47.5X25MM" u="1"/>
        <s v="25D-HELIXA-FOAM-77.5X47.5X25MM" u="1"/>
        <s v="25D-HELIXA-FOAM-71.5X59.5X15MM" u="1"/>
        <s v="25D-HELIXA-FOAM-74.5X59.5X15MM" u="1"/>
        <s v="25D-HELIXA-FOAM-77.5X59.5X15MM" u="1"/>
        <s v="25D-HELIXA-FOAM-79.5X59.5X15MM" u="1"/>
        <s v="25D-HELIXA-FOAM-83.5X59.5X15MM" u="1"/>
        <s v="25D-HELIXA-FOAM-71.5X69.5X15MM" u="1"/>
        <s v="100D-RB-FOAM-74X71X20MM" u="1"/>
        <s v="25D-HELIXA-FOAM-71.5X47.5X50MM" u="1"/>
        <s v="25D-HELIXA-FOAM-74.5X47.5X50MM" u="1"/>
        <s v="100D-RB-FOAM-79X71X20MM" u="1"/>
        <s v="25D-HELIXA-FOAM-71.5X29.5X25MM" u="1"/>
        <s v="25D-HELIXA-FOAM-71.5X59.5X25MM" u="1"/>
        <s v="25D-HELIXA-FOAM-74.5X59.5X25MM" u="1"/>
        <s v="25D-HELIXA-FOAM-77.5X59.5X25MM" u="1"/>
        <s v="25D-HELIXA-FOAM-79.5X59.5X25MM" u="1"/>
        <s v="25D-HELIXA-FOAM-83.5X59.5X25MM" u="1"/>
        <s v="25D-HELIXA-FOAM-71.5X69.5X25MM" u="1"/>
        <s v="100D-RB-FOAM-69X70.5X20MM" u="1"/>
        <s v="100D-RB-FOAM-74X71.5X20MM" u="1"/>
        <s v="100D-RB-FOAM-76X71.5X20MM" u="1"/>
        <s v="40D-PU-FOAM-44X135MMX40MM" u="1"/>
        <s v="40D-PU-FOAM-62X135MMX40MM" u="1"/>
        <s v="40D-PU-FOAM-66X135MMX40MM" u="1"/>
        <s v="40D-PU-FOAM-68X135MMX40MM" u="1"/>
        <s v="40D-PU-FOAM-72X135MMX40MM" u="1"/>
        <s v="40D-PU-FOAM-74X135MMX40MM" u="1"/>
        <s v="40D-PU-FOAM-76X135MMX40MM" u="1"/>
        <s v="40D-PU-FOAM-77X135MMX40MM" u="1"/>
        <s v="40D-PU-FOAM-78X135MMX40MM" u="1"/>
        <s v="40D-PU-FOAM-81X135MMX40MM" u="1"/>
        <s v="40D-PU-FOAM-84X135MMX40MM" u="1"/>
        <s v="100D-RB-FOAM-77X76.5X20MM" u="1"/>
        <s v="100D-RB-FOAM-76.5X70.75X20MM" u="1"/>
        <s v="25D-HELIXA-FOAM-71.5X59.5X50MM" u="1"/>
        <s v="25D-HELIXA-FOAM-77.5X59.5X50MM" u="1"/>
        <s v="32D-HARD-FOAM-31X115MMX40MM" u="1"/>
        <s v="18D-PU-FOAM-75.5X71X10MM" u="1"/>
        <s v="18D-PU-FOAM-77.5X71X10MM" u="1"/>
        <s v="18D-PU-FOAM-79.5X71X10MM" u="1"/>
        <s v="100D-RB-FOAM-76.75X70.5X20MM" u="1"/>
        <s v="40D-PU-FOAM-25.5X115MMX40MM" u="1"/>
        <s v="40D-PU-FOAM-31.5X115MMX40MM" u="1"/>
        <s v="40D-PU-FOAM-32.2X115MMX40MM" u="1"/>
        <s v="40D-PU-FOAM-32.5X115MMX40MM" u="1"/>
        <s v="40D-PU-FOAM-44.5X115MMX40MM" u="1"/>
        <s v="40D-PU-FOAM-48.5X115MMX40MM" u="1"/>
        <s v="40D-PU-FOAM-50.5X115MMX40MM" u="1"/>
        <s v="40D-PU-FOAM-56.5X115MMX40MM" u="1"/>
        <s v="40D-PU-FOAM-66.5X115MMX40MM" u="1"/>
        <s v="40D-PU-FOAM-67.5X115MMX40MM" u="1"/>
        <s v="40D-PU-FOAM-68.5X115MMX40MM" u="1"/>
        <s v="40D-PU-FOAM-71.5X115MMX40MM" u="1"/>
        <s v="40D-PU-FOAM-72.5X115MMX40MM" u="1"/>
        <s v="40D-PU-FOAM-73.5X115MMX40MM" u="1"/>
        <s v="40D-PU-FOAM-74.5X115MMX40MM" u="1"/>
        <s v="40D-PU-FOAM-75.5X115MMX40MM" u="1"/>
        <s v="40D-PU-FOAM-77.5X115MMX40MM" u="1"/>
        <s v="40D-PU-FOAM-80.5X115MMX40MM" u="1"/>
        <s v="32D-HARD-FOAM-44X135MMX40MM" u="1"/>
        <s v="32D-HARD-FOAM-56X135MMX40MM" u="1"/>
        <s v="32D-HARD-FOAM-62X135MMX40MM" u="1"/>
        <s v="32D-HARD-FOAM-65X135MMX40MM" u="1"/>
        <s v="32D-HARD-FOAM-66X135MMX40MM" u="1"/>
        <s v="32D-HARD-FOAM-68X135MMX40MM" u="1"/>
        <s v="32D-HARD-FOAM-70X135MMX40MM" u="1"/>
        <s v="32D-HARD-FOAM-71X135MMX40MM" u="1"/>
        <s v="32D-HARD-FOAM-74X135MMX40MM" u="1"/>
        <s v="32D-HARD-FOAM-76X135MMX40MM" u="1"/>
        <s v="32D-HARD-FOAM-77X135MMX40MM" u="1"/>
        <s v="32D-HARD-FOAM-78X135MMX40MM" u="1"/>
        <s v="32D-HARD-FOAM-82X135MMX40MM" u="1"/>
        <s v="32D-HARD-FOAM-83X135MMX40MM" u="1"/>
        <s v="32D-HARD-FOAM-85X135MMX40MM" u="1"/>
        <s v="32D-HARD-FOAM-116.5X135MMX70MM" u="1"/>
        <s v="32D-HARD-FOAM-27.66X135MMX70MM" u="1"/>
        <s v="32D-HARD-FOAM-41.25X135MMX70MM" u="1"/>
        <s v="32D-HARD-FOAM-53.75X135MMX70MM" u="1"/>
        <s v="32D-HARD-FOAM-54.03X135MMX70MM" u="1"/>
        <s v="32D-HARD-FOAM-55.45X135MMX70MM" u="1"/>
        <s v="32D-HARD-FOAM-55.61X135MMX70MM" u="1"/>
        <s v="32D-HARD-FOAM-59.25X135MMX70MM" u="1"/>
        <s v="32D-HARD-FOAM-65.75X135MMX70MM" u="1"/>
        <s v="32D-HARD-FOAM-66.04X135MMX70MM" u="1"/>
        <s v="32D-HARD-FOAM-72.13X135MMX70MM" u="1"/>
        <s v="32D-HARD-FOAM-73.25X135MMX70MM" u="1"/>
        <s v="32D-HARD-FOAM-74.14X135MMX70MM" u="1"/>
        <s v="32D-HARD-FOAM-76.46X135MMX70MM" u="1"/>
        <s v="32D-HARD-FOAM-76.75X135MMX70MM" u="1"/>
        <s v="32D-HARD-FOAM-77.25X135MMX70MM" u="1"/>
        <s v="32D-HARD-FOAM-77.45X135MMX70MM" u="1"/>
        <s v="32D-HARD-FOAM-52.85X155MMX70MM" u="1"/>
        <s v="32D-HARD-FOAM-76.07X155MMX70MM" u="1"/>
        <s v="32D-HARD-FOAM-67.36X175MMX70MM" u="1"/>
        <s v="32D-HARD-FOAM-70.36X175MMX70MM" u="1"/>
        <s v="32D-HARD-FOAM-24X115MMX70MM" u="1"/>
        <s v="32D-HARD-FOAM-29X115MMX70MM" u="1"/>
        <s v="32D-HARD-FOAM-30X115MMX70MM" u="1"/>
        <s v="32D-HARD-FOAM-36X115MMX70MM" u="1"/>
        <s v="32D-HARD-FOAM-39X115MMX70MM" u="1"/>
        <s v="32D-HARD-FOAM-40X115MMX70MM" u="1"/>
        <s v="32D-HARD-FOAM-42X115MMX70MM" u="1"/>
        <s v="32D-HARD-FOAM-47X115MMX70MM" u="1"/>
        <s v="32D-HARD-FOAM-48X115MMX70MM" u="1"/>
        <s v="32D-HARD-FOAM-49X115MMX70MM" u="1"/>
        <s v="32D-HARD-FOAM-50X115MMX70MM" u="1"/>
        <s v="32D-HARD-FOAM-52X115MMX70MM" u="1"/>
        <s v="32D-HARD-FOAM-53X115MMX70MM" u="1"/>
        <s v="32D-HARD-FOAM-54X115MMX70MM" u="1"/>
        <s v="32D-HARD-FOAM-55X115MMX70MM" u="1"/>
        <s v="32D-HARD-FOAM-56X115MMX70MM" u="1"/>
        <s v="32D-HARD-FOAM-60X115MMX70MM" u="1"/>
        <s v="32D-HARD-FOAM-61X115MMX70MM" u="1"/>
        <s v="32D-HARD-FOAM-66X115MMX70MM" u="1"/>
        <s v="32D-HARD-FOAM-67X115MMX70MM" u="1"/>
        <s v="32D-HARD-FOAM-68X115MMX70MM" u="1"/>
        <s v="32D-HARD-FOAM-70X115MMX70MM" u="1"/>
        <s v="32D-HARD-FOAM-72X115MMX70MM" u="1"/>
        <s v="32D-HARD-FOAM-73X115MMX70MM" u="1"/>
        <s v="32D-HARD-FOAM-74X115MMX70MM" u="1"/>
        <s v="32D-HARD-FOAM-77X115MMX70MM" u="1"/>
        <s v="32D-HARD-FOAM-85X115MMX70MM" u="1"/>
        <s v="32D-HARD-FOAM-86X115MMX70MM" u="1"/>
        <s v="40D-PU-FOAM-14.5X135MMX40MM" u="1"/>
        <s v="40D-PU-FOAM-19.5X135MMX40MM" u="1"/>
        <s v="40D-PU-FOAM-26.5X135MMX40MM" u="1"/>
        <s v="40D-PU-FOAM-31.5X135MMX40MM" u="1"/>
        <s v="40D-PU-FOAM-32.5X135MMX40MM" u="1"/>
        <s v="40D-PU-FOAM-33.6X135MMX40MM" u="1"/>
        <s v="40D-PU-FOAM-38.5X135MMX40MM" u="1"/>
        <s v="40D-PU-FOAM-41.5X135MMX40MM" u="1"/>
        <s v="40D-PU-FOAM-44.5X135MMX40MM" u="1"/>
        <s v="40D-PU-FOAM-54.5X135MMX40MM" u="1"/>
        <s v="40D-PU-FOAM-55.5X135MMX40MM" u="1"/>
        <s v="40D-PU-FOAM-55.8X135MMX40MM" u="1"/>
        <s v="40D-PU-FOAM-56.5X135MMX40MM" u="1"/>
        <s v="40D-PU-FOAM-57.5X135MMX40MM" u="1"/>
        <s v="40D-PU-FOAM-62.5X135MMX40MM" u="1"/>
        <s v="40D-PU-FOAM-65.5X135MMX40MM" u="1"/>
        <s v="40D-PU-FOAM-67.5X135MMX40MM" u="1"/>
        <s v="40D-PU-FOAM-68.5X135MMX40MM" u="1"/>
        <s v="40D-PU-FOAM-69.5X135MMX40MM" u="1"/>
        <s v="40D-PU-FOAM-71.5X135MMX40MM" u="1"/>
        <s v="40D-PU-FOAM-72.5X135MMX40MM" u="1"/>
        <s v="40D-PU-FOAM-73.5X135MMX40MM" u="1"/>
        <s v="40D-PU-FOAM-74.5X135MMX40MM" u="1"/>
        <s v="40D-PU-FOAM-75.5X135MMX40MM" u="1"/>
        <s v="40D-PU-FOAM-76.5X135MMX40MM" u="1"/>
        <s v="40D-PU-FOAM-77.5X135MMX40MM" u="1"/>
        <s v="40D-PU-FOAM-78.5X135MMX40MM" u="1"/>
        <s v="40D-PU-FOAM-79.5X135MMX40MM" u="1"/>
        <s v="40D-PU-FOAM-80.5X135MMX40MM" u="1"/>
        <s v="40D-PU-FOAM-81.1X135MMX40MM" u="1"/>
        <s v="40D-PU-FOAM-81.5X135MMX40MM" u="1"/>
        <s v="40D-PU-FOAM-82.5X135MMX40MM" u="1"/>
        <s v="40D-PU-FOAM-83.5X135MMX40MM" u="1"/>
        <s v="40D-PU-FOAM-84.5X135MMX40MM" u="1"/>
        <s v="100D-RB-FOAM-74.5X34.5X20MM" u="1"/>
        <s v="32D-HARD-FOAM-51X155MMX40MM" u="1"/>
        <s v="32D-HARD-FOAM-55X155MMX40MM" u="1"/>
        <s v="32D-HARD-FOAM-61X155MMX40MM" u="1"/>
        <s v="32D-HARD-FOAM-67X155MMX40MM" u="1"/>
        <s v="32D-HARD-FOAM-68X155MMX40MM" u="1"/>
        <s v="32D-HARD-FOAM-70X155MMX40MM" u="1"/>
        <s v="32D-HARD-FOAM-74X155MMX40MM" u="1"/>
        <s v="32D-HARD-FOAM-75X155MMX40MM" u="1"/>
        <s v="32D-HARD-FOAM-77X155MMX40MM" u="1"/>
        <s v="32D-HARD-FOAM-79X155MMX40MM" u="1"/>
        <s v="32D-HARD-FOAM-83X155MMX40MM" u="1"/>
        <s v="100D-RB-FOAM-77.5X60.5X20MM" u="1"/>
        <s v="100D-RB-FOAM-78.5X60.5X20MM" u="1"/>
        <s v="18D-PU-FOAM-76.5X75X10MM" u="1"/>
        <s v="100D-RB-FOAM-74.2X46.2X20MM" u="1"/>
        <s v="100D-RB-FOAM-76.1X70.1X20MM" u="1"/>
        <s v="32D-HARD-FOAM-23X135MMX70MM" u="1"/>
        <s v="32D-HARD-FOAM-24X135MMX70MM" u="1"/>
        <s v="32D-HARD-FOAM-25X135MMX70MM" u="1"/>
        <s v="32D-HARD-FOAM-27X135MMX70MM" u="1"/>
        <s v="32D-HARD-FOAM-28X135MMX70MM" u="1"/>
        <s v="32D-HARD-FOAM-29X135MMX70MM" u="1"/>
        <s v="32D-HARD-FOAM-30X135MMX70MM" u="1"/>
        <s v="32D-HARD-FOAM-32X135MMX70MM" u="1"/>
        <s v="32D-HARD-FOAM-36X135MMX70MM" u="1"/>
        <s v="32D-HARD-FOAM-39X135MMX70MM" u="1"/>
        <s v="32D-HARD-FOAM-42X135MMX70MM" u="1"/>
        <s v="32D-HARD-FOAM-47X135MMX70MM" u="1"/>
        <s v="32D-HARD-FOAM-48X135MMX70MM" u="1"/>
        <s v="32D-HARD-FOAM-49X135MMX70MM" u="1"/>
        <s v="32D-HARD-FOAM-50X135MMX70MM" u="1"/>
        <s v="32D-HARD-FOAM-51X135MMX70MM" u="1"/>
        <s v="32D-HARD-FOAM-52X135MMX70MM" u="1"/>
        <s v="32D-HARD-FOAM-53X135MMX70MM" u="1"/>
        <s v="32D-HARD-FOAM-56X135MMX70MM" u="1"/>
        <s v="32D-HARD-FOAM-57X135MMX70MM" u="1"/>
        <s v="32D-HARD-FOAM-58X135MMX70MM" u="1"/>
        <s v="32D-HARD-FOAM-59X135MMX70MM" u="1"/>
        <s v="32D-HARD-FOAM-60X135MMX70MM" u="1"/>
        <s v="32D-HARD-FOAM-62X135MMX70MM" u="1"/>
        <s v="32D-HARD-FOAM-63X135MMX70MM" u="1"/>
        <s v="32D-HARD-FOAM-64X135MMX70MM" u="1"/>
        <s v="32D-HARD-FOAM-65X135MMX70MM" u="1"/>
        <s v="32D-HARD-FOAM-66X135MMX70MM" u="1"/>
        <s v="32D-HARD-FOAM-68X135MMX70MM" u="1"/>
        <s v="32D-HARD-FOAM-69X135MMX70MM" u="1"/>
        <s v="32D-HARD-FOAM-72X135MMX70MM" u="1"/>
        <s v="32D-HARD-FOAM-73X135MMX70MM" u="1"/>
        <s v="32D-HARD-FOAM-74X135MMX70MM" u="1"/>
        <s v="32D-HARD-FOAM-75X135MMX70MM" u="1"/>
        <s v="32D-HARD-FOAM-76X135MMX70MM" u="1"/>
        <s v="32D-HARD-FOAM-77X135MMX70MM" u="1"/>
        <s v="32D-HARD-FOAM-78X135MMX70MM" u="1"/>
        <s v="32D-HARD-FOAM-80X135MMX70MM" u="1"/>
        <s v="32D-HARD-FOAM-82X135MMX70MM" u="1"/>
        <s v="40D-PU-FOAM-14.5X155MMX40MM" u="1"/>
        <s v="40D-PU-FOAM-19.5X155MMX40MM" u="1"/>
        <s v="40D-PU-FOAM-32.5X155MMX40MM" u="1"/>
        <s v="40D-PU-FOAM-38.5X155MMX40MM" u="1"/>
        <s v="40D-PU-FOAM-44.5X155MMX40MM" u="1"/>
        <s v="40D-PU-FOAM-56.5X155MMX40MM" u="1"/>
        <s v="40D-PU-FOAM-60.5X155MMX40MM" u="1"/>
        <s v="40D-PU-FOAM-62.5X155MMX40MM" u="1"/>
        <s v="40D-PU-FOAM-66.5X155MMX40MM" u="1"/>
        <s v="40D-PU-FOAM-67.5X155MMX40MM" u="1"/>
        <s v="40D-PU-FOAM-68.5X155MMX40MM" u="1"/>
        <s v="40D-PU-FOAM-71.5X155MMX40MM" u="1"/>
        <s v="40D-PU-FOAM-74.5X155MMX40MM" u="1"/>
        <s v="40D-PU-FOAM-75.5X155MMX40MM" u="1"/>
        <s v="40D-PU-FOAM-77.5X155MMX40MM" u="1"/>
        <s v="40D-PU-FOAM-78.5X155MMX40MM" u="1"/>
        <s v="40D-PU-FOAM-79.5X155MMX40MM" u="1"/>
        <s v="40D-PU-FOAM-83.5X155MMX40MM" u="1"/>
        <s v="40D-PU-FOAM-89.5X155MMX40MM" u="1"/>
        <s v="40D-PU-FOAM-93.5X155MMX40MM" u="1"/>
        <s v="100D-RB-FOAM-73.5X46.5X20MM" u="1"/>
        <s v="100D-RB-FOAM-76.5X62.5X20MM" u="1"/>
        <s v="100D-RB-FOAM-77.5X62.5X20MM" u="1"/>
        <s v="100D-RB-FOAM-79.5X62.5X20MM" u="1"/>
        <s v="100D-RB-FOAM-77.5X70.5X20MM" u="1"/>
        <s v="32D-HARD-FOAM-66X175MMX40MM" u="1"/>
        <s v="32D-HARD-FOAM-68X175MMX40MM" u="1"/>
        <s v="32D-HARD-FOAM-75X175MMX40MM" u="1"/>
        <s v="32D-HARD-FOAM-76X175MMX40MM" u="1"/>
        <s v="32D-HARD-FOAM-77X175MMX40MM" u="1"/>
        <s v="32D-HARD-FOAM-82X175MMX40MM" u="1"/>
        <s v="32D-HARD-FOAM-86X175MMX40MM" u="1"/>
        <s v="100D-RB-FOAM-79.5X64.5X20MM" u="1"/>
        <s v="100D-RB-FOAM-79.5X72.5X20MM" u="1"/>
        <s v="32D-PU-FOAM-30X135MMX75MM" u="1"/>
        <s v="32D-PU-FOAM-36X135MMX75MM" u="1"/>
        <s v="32D-PU-FOAM-42X135MMX75MM" u="1"/>
        <s v="32D-PU-FOAM-54X135MMX75MM" u="1"/>
        <s v="32D-PU-FOAM-66X135MMX75MM" u="1"/>
        <s v="32D-HARD-FOAM-14X155MMX70MM" u="1"/>
        <s v="32D-HARD-FOAM-24X155MMX70MM" u="1"/>
        <s v="32D-HARD-FOAM-30X155MMX70MM" u="1"/>
        <s v="32D-HARD-FOAM-39X155MMX70MM" u="1"/>
        <s v="32D-HARD-FOAM-42X155MMX70MM" u="1"/>
        <s v="32D-HARD-FOAM-45X155MMX70MM" u="1"/>
        <s v="32D-HARD-FOAM-47X155MMX70MM" u="1"/>
        <s v="32D-HARD-FOAM-48X155MMX70MM" u="1"/>
        <s v="32D-HARD-FOAM-49X155MMX70MM" u="1"/>
        <s v="32D-HARD-FOAM-50X155MMX70MM" u="1"/>
        <s v="32D-HARD-FOAM-52X155MMX70MM" u="1"/>
        <s v="32D-HARD-FOAM-54X155MMX70MM" u="1"/>
        <s v="32D-HARD-FOAM-59X155MMX70MM" u="1"/>
        <s v="32D-HARD-FOAM-60X155MMX70MM" u="1"/>
        <s v="32D-HARD-FOAM-63X155MMX70MM" u="1"/>
        <s v="32D-HARD-FOAM-64X155MMX70MM" u="1"/>
        <s v="32D-HARD-FOAM-65X155MMX70MM" u="1"/>
        <s v="32D-HARD-FOAM-66X155MMX70MM" u="1"/>
        <s v="32D-HARD-FOAM-69X155MMX70MM" u="1"/>
        <s v="32D-HARD-FOAM-72X155MMX70MM" u="1"/>
        <s v="32D-HARD-FOAM-73X155MMX70MM" u="1"/>
        <s v="32D-HARD-FOAM-78X155MMX70MM" u="1"/>
        <s v="40D-PU-FOAM-14.5X175MMX40MM" u="1"/>
        <s v="40D-PU-FOAM-19.5X175MMX40MM" u="1"/>
        <s v="40D-PU-FOAM-56.5X175MMX40MM" u="1"/>
        <s v="40D-PU-FOAM-62.5X175MMX40MM" u="1"/>
        <s v="40D-PU-FOAM-66.5X175MMX40MM" u="1"/>
        <s v="40D-PU-FOAM-67.5X175MMX40MM" u="1"/>
        <s v="40D-PU-FOAM-68.5X175MMX40MM" u="1"/>
        <s v="40D-PU-FOAM-70.5X175MMX40MM" u="1"/>
        <s v="40D-PU-FOAM-74.5X175MMX40MM" u="1"/>
        <s v="40D-PU-FOAM-76.5X175MMX40MM" u="1"/>
        <s v="40D-PU-FOAM-77.5X175MMX40MM" u="1"/>
        <s v="40D-PU-FOAM-79.5X175MMX40MM" u="1"/>
        <s v="40D-PU-FOAM-80.5X175MMX40MM" u="1"/>
        <s v="40D-PU-FOAM-83.5X175MMX40MM" u="1"/>
        <s v="100D-RB-FOAM-73.5X58.5X20MM" u="1"/>
        <s v="100D-RB-FOAM-74.5X58.5X20MM" u="1"/>
        <s v="100D-RB-FOAM-77.5X66.5X20MM" u="1"/>
        <s v="100D-RB-FOAM-77.5X74.5X20MM" u="1"/>
        <s v="100D-RB-FOAM-79.5X74.5X20MM" u="1"/>
        <s v="100D-RB-FOAM-83.5X74.5X20MM" u="1"/>
        <s v="100D-RB-FOAM-75.5X82.5X20MM" u="1"/>
        <s v="18D-PU-FOAM-71.5X41.5X10MM" u="1"/>
        <s v="18D-PU-FOAM-74.5X71.5X10MM" u="1"/>
        <s v="18D-PU-FOAM-77.5X71.5X10MM" u="1"/>
        <s v="18D-PU-FOAM-80.5X71.5X10MM" u="1"/>
        <s v="18D-PU-FOAM-81.5X71.5X10MM" u="1"/>
        <s v="18D-PU-FOAM-83.5X71.5X10MM" u="1"/>
        <s v="40D-PU-FOAM-12X135MMX75MM" u="1"/>
        <s v="40D-PU-FOAM-14X135MMX75MM" u="1"/>
        <s v="40D-PU-FOAM-15X135MMX75MM" u="1"/>
        <s v="40D-PU-FOAM-16X135MMX75MM" u="1"/>
        <s v="40D-PU-FOAM-18X135MMX75MM" u="1"/>
        <s v="40D-PU-FOAM-20X135MMX75MM" u="1"/>
        <s v="40D-PU-FOAM-21X135MMX75MM" u="1"/>
        <s v="40D-PU-FOAM-22X135MMX75MM" u="1"/>
        <s v="40D-PU-FOAM-23X135MMX75MM" u="1"/>
        <s v="40D-PU-FOAM-24X135MMX75MM" u="1"/>
        <s v="40D-PU-FOAM-25X135MMX75MM" u="1"/>
        <s v="40D-PU-FOAM-26X135MMX75MM" u="1"/>
        <s v="40D-PU-FOAM-27X135MMX75MM" u="1"/>
        <s v="40D-PU-FOAM-28X135MMX75MM" u="1"/>
        <s v="40D-PU-FOAM-29X135MMX75MM" u="1"/>
        <s v="40D-PU-FOAM-30X135MMX75MM" u="1"/>
        <s v="40D-PU-FOAM-32X135MMX75MM" u="1"/>
        <s v="40D-PU-FOAM-33X135MMX75MM" u="1"/>
        <s v="40D-PU-FOAM-34X135MMX75MM" u="1"/>
        <s v="40D-PU-FOAM-35X135MMX75MM" u="1"/>
        <s v="40D-PU-FOAM-36X135MMX75MM" u="1"/>
        <s v="40D-PU-FOAM-37X135MMX75MM" u="1"/>
        <s v="40D-PU-FOAM-38X135MMX75MM" u="1"/>
        <s v="40D-PU-FOAM-39X135MMX75MM" u="1"/>
        <s v="40D-PU-FOAM-40X135MMX75MM" u="1"/>
        <s v="40D-PU-FOAM-41X135MMX75MM" u="1"/>
        <s v="40D-PU-FOAM-42X135MMX75MM" u="1"/>
        <s v="40D-PU-FOAM-43X135MMX75MM" u="1"/>
        <s v="40D-PU-FOAM-44X135MMX75MM" u="1"/>
        <s v="40D-PU-FOAM-45X135MMX75MM" u="1"/>
        <s v="40D-PU-FOAM-46X135MMX75MM" u="1"/>
        <s v="40D-PU-FOAM-47X135MMX75MM" u="1"/>
        <s v="40D-PU-FOAM-48X135MMX75MM" u="1"/>
        <s v="40D-PU-FOAM-49X135MMX75MM" u="1"/>
        <s v="40D-PU-FOAM-50X135MMX75MM" u="1"/>
        <s v="40D-PU-FOAM-51X135MMX75MM" u="1"/>
        <s v="40D-PU-FOAM-52X135MMX75MM" u="1"/>
        <s v="40D-PU-FOAM-53X135MMX75MM" u="1"/>
        <s v="40D-PU-FOAM-54X135MMX75MM" u="1"/>
        <s v="40D-PU-FOAM-55X135MMX75MM" u="1"/>
        <s v="40D-PU-FOAM-56X135MMX75MM" u="1"/>
        <s v="40D-PU-FOAM-57X135MMX75MM" u="1"/>
        <s v="40D-PU-FOAM-58X135MMX75MM" u="1"/>
        <s v="40D-PU-FOAM-59X135MMX75MM" u="1"/>
        <s v="40D-PU-FOAM-60X135MMX75MM" u="1"/>
        <s v="40D-PU-FOAM-61X135MMX75MM" u="1"/>
        <s v="40D-PU-FOAM-62X135MMX75MM" u="1"/>
        <s v="40D-PU-FOAM-63X135MMX75MM" u="1"/>
        <s v="40D-PU-FOAM-64X135MMX75MM" u="1"/>
        <s v="40D-PU-FOAM-65X135MMX75MM" u="1"/>
        <s v="40D-PU-FOAM-66X135MMX75MM" u="1"/>
        <s v="40D-PU-FOAM-67X135MMX75MM" u="1"/>
        <s v="40D-PU-FOAM-68X135MMX75MM" u="1"/>
        <s v="40D-PU-FOAM-69X135MMX75MM" u="1"/>
        <s v="40D-PU-FOAM-70X135MMX75MM" u="1"/>
        <s v="40D-PU-FOAM-71X135MMX75MM" u="1"/>
        <s v="40D-PU-FOAM-72X135MMX75MM" u="1"/>
        <s v="40D-PU-FOAM-73X135MMX75MM" u="1"/>
        <s v="40D-PU-FOAM-74X135MMX75MM" u="1"/>
        <s v="40D-PU-FOAM-75X135MMX75MM" u="1"/>
        <s v="40D-PU-FOAM-76X135MMX75MM" u="1"/>
        <s v="40D-PU-FOAM-77X135MMX75MM" u="1"/>
        <s v="40D-PU-FOAM-78X135MMX75MM" u="1"/>
        <s v="40D-PU-FOAM-79X135MMX75MM" u="1"/>
        <s v="40D-PU-FOAM-80X135MMX75MM" u="1"/>
        <s v="40D-PU-FOAM-81X135MMX75MM" u="1"/>
        <s v="40D-PU-FOAM-82X135MMX75MM" u="1"/>
        <s v="40D-PU-FOAM-83X135MMX75MM" u="1"/>
        <s v="100D-RB-FOAM-79.5X76.5X20MM" u="1"/>
        <s v="18D-PU-FOAM-77.5X59X10MM" u="1"/>
        <s v="32D-HARD-FOAM-71.5X175MMX75MM" u="1"/>
        <s v="32D-HARD-FOAM-74.5X175MMX75MM" u="1"/>
        <s v="32D-HARD-FOAM-75.5X175MMX75MM" u="1"/>
        <s v="32D-HARD-FOAM-77.5X175MMX75MM" u="1"/>
        <s v="32D-HARD-FOAM-79.5X175MMX75MM" u="1"/>
        <s v="32D-HARD-FOAM-83.5X175MMX75MM" u="1"/>
        <s v="32D-HARD-FOAM-24X175MMX70MM" u="1"/>
        <s v="32D-HARD-FOAM-42X175MMX70MM" u="1"/>
        <s v="32D-HARD-FOAM-49X175MMX70MM" u="1"/>
        <s v="32D-HARD-FOAM-54X175MMX70MM" u="1"/>
        <s v="32D-HARD-FOAM-60X175MMX70MM" u="1"/>
        <s v="32D-HARD-FOAM-66X175MMX70MM" u="1"/>
        <s v="32D-HARD-FOAM-69X175MMX70MM" u="1"/>
        <s v="100D-RB-FOAM-88.5X86.5X20MM" u="1"/>
        <s v="32D-HARD-FOAM-19.5X135MMX75MM" u="1"/>
        <s v="32D-HARD-FOAM-23.5X135MMX75MM" u="1"/>
        <s v="32D-HARD-FOAM-24.2X135MMX75MM" u="1"/>
        <s v="32D-HARD-FOAM-26.5X135MMX75MM" u="1"/>
        <s v="32D-HARD-FOAM-28.5X135MMX75MM" u="1"/>
        <s v="32D-HARD-FOAM-29.5X135MMX75MM" u="1"/>
        <s v="32D-HARD-FOAM-34.5X135MMX75MM" u="1"/>
        <s v="32D-HARD-FOAM-35.5X135MMX75MM" u="1"/>
        <s v="32D-HARD-FOAM-37.5X135MMX75MM" u="1"/>
        <s v="32D-HARD-FOAM-39.5X135MMX75MM" u="1"/>
        <s v="32D-HARD-FOAM-40.5X135MMX75MM" u="1"/>
        <s v="32D-HARD-FOAM-41.5X135MMX75MM" u="1"/>
        <s v="32D-HARD-FOAM-51.5X135MMX75MM" u="1"/>
        <s v="32D-HARD-FOAM-52.5X135MMX75MM" u="1"/>
        <s v="32D-HARD-FOAM-53.5X135MMX75MM" u="1"/>
        <s v="32D-HARD-FOAM-53.8X135MMX75MM" u="1"/>
        <s v="32D-HARD-FOAM-55.5X135MMX75MM" u="1"/>
        <s v="32D-HARD-FOAM-56.5X135MMX75MM" u="1"/>
        <s v="32D-HARD-FOAM-57.5X135MMX75MM" u="1"/>
        <s v="32D-HARD-FOAM-58.5X135MMX75MM" u="1"/>
        <s v="32D-HARD-FOAM-59.5X135MMX75MM" u="1"/>
        <s v="32D-HARD-FOAM-62.5X135MMX75MM" u="1"/>
        <s v="32D-HARD-FOAM-63.5X135MMX75MM" u="1"/>
        <s v="32D-HARD-FOAM-64.5X135MMX75MM" u="1"/>
        <s v="32D-HARD-FOAM-64.6X135MMX75MM" u="1"/>
        <s v="32D-HARD-FOAM-64.8X135MMX75MM" u="1"/>
        <s v="32D-HARD-FOAM-65.5X135MMX75MM" u="1"/>
        <s v="32D-HARD-FOAM-67.5X135MMX75MM" u="1"/>
        <s v="32D-HARD-FOAM-68.4X135MMX75MM" u="1"/>
        <s v="32D-HARD-FOAM-68.5X135MMX75MM" u="1"/>
        <s v="32D-HARD-FOAM-69.5X135MMX75MM" u="1"/>
        <s v="32D-HARD-FOAM-70.5X135MMX75MM" u="1"/>
        <s v="32D-HARD-FOAM-71.5X135MMX75MM" u="1"/>
        <s v="32D-HARD-FOAM-72.5X135MMX75MM" u="1"/>
        <s v="32D-HARD-FOAM-73.1X135MMX75MM" u="1"/>
        <s v="32D-HARD-FOAM-73.5X135MMX75MM" u="1"/>
        <s v="32D-HARD-FOAM-74.4X135MMX75MM" u="1"/>
        <s v="32D-HARD-FOAM-74.5X135MMX75MM" u="1"/>
        <s v="32D-HARD-FOAM-75.5X135MMX75MM" u="1"/>
        <s v="32D-HARD-FOAM-76.1X135MMX75MM" u="1"/>
        <s v="32D-HARD-FOAM-76.5X135MMX75MM" u="1"/>
        <s v="32D-HARD-FOAM-77.5X135MMX75MM" u="1"/>
        <s v="32D-HARD-FOAM-78.2X135MMX75MM" u="1"/>
        <s v="32D-HARD-FOAM-78.5X135MMX75MM" u="1"/>
        <s v="32D-HARD-FOAM-79.5X135MMX75MM" u="1"/>
        <s v="32D-HARD-FOAM-80.5X135MMX75MM" u="1"/>
        <s v="32D-HARD-FOAM-81.5X135MMX75MM" u="1"/>
        <s v="32D-HARD-FOAM-82.5X135MMX75MM" u="1"/>
        <s v="32D-HARD-FOAM-83.5X135MMX75MM" u="1"/>
        <s v="32D-HARD-FOAM-87.5X135MMX75MM" u="1"/>
        <s v="32D-HARD-FOAM-88.5X135MMX75MM" u="1"/>
        <s v="32D-HARD-FOAM-89.5X135MMX75MM" u="1"/>
        <s v="40D-PU-FOAM-72.746X135MMX75MM" u="1"/>
        <s v="18D-PU-FOAM-71.5X35.5X10MM" u="1"/>
        <s v="18D-PU-FOAM-77.5X65.5X10MM" u="1"/>
        <s v="18D-PU-FOAM-75.5X75.5X10MM" u="1"/>
        <s v="32D-HARD-FOAM-39.25X115MMX75MM" u="1"/>
        <s v="32D-HARD-FOAM-45.75X115MMX75MM" u="1"/>
        <s v="32D-HARD-FOAM-46.05X115MMX75MM" u="1"/>
        <s v="32D-HARD-FOAM-49.75X115MMX75MM" u="1"/>
        <s v="32D-HARD-FOAM-64.25X115MMX75MM" u="1"/>
        <s v="32D-HARD-FOAM-68.25X115MMX75MM" u="1"/>
        <s v="32D-HARD-FOAM-73.75X115MMX75MM" u="1"/>
        <s v="32D-HARD-FOAM-75.75X115MMX75MM" u="1"/>
        <s v="32D-HARD-FOAM-78.75X115MMX75MM" u="1"/>
        <s v="32D-HARD-FOAM-23.75X135MMX75MM" u="1"/>
        <s v="32D-HARD-FOAM-56.75X135MMX75MM" u="1"/>
        <s v="32D-HARD-FOAM-64.85X135MMX75MM" u="1"/>
        <s v="32D-HARD-FOAM-69.59X135MMX75MM" u="1"/>
        <s v="32D-HARD-FOAM-76.66X135MMX75MM" u="1"/>
        <s v="32D-HARD-FOAM-78.22X135MMX75MM" u="1"/>
        <s v="32D-HARD-FOAM-78.24X135MMX75MM" u="1"/>
        <s v="32D-HARD-FOAM-83.15X135MMX75MM" u="1"/>
        <s v="32D-HARD-FOAM-35.33X155MMX75MM" u="1"/>
        <s v="32D-HARD-FOAM-41.25X155MMX75MM" u="1"/>
        <s v="32D-HARD-FOAM-47.75X155MMX75MM" u="1"/>
        <s v="32D-HARD-FOAM-52.26X155MMX75MM" u="1"/>
        <s v="32D-HARD-FOAM-55.75X155MMX75MM" u="1"/>
        <s v="32D-HARD-FOAM-56.99X155MMX75MM" u="1"/>
        <s v="32D-HARD-FOAM-60.92X155MMX75MM" u="1"/>
        <s v="32D-HARD-FOAM-63.25X155MMX75MM" u="1"/>
        <s v="32D-HARD-FOAM-63.29X155MMX75MM" u="1"/>
        <s v="32D-HARD-FOAM-64.25X155MMX75MM" u="1"/>
        <s v="32D-HARD-FOAM-70.36X155MMX75MM" u="1"/>
        <s v="32D-HARD-FOAM-74.25X155MMX75MM" u="1"/>
        <s v="32D-HARD-FOAM-76.66X155MMX75MM" u="1"/>
        <s v="32D-HARD-FOAM-77.05X155MMX75MM" u="1"/>
        <s v="32D-HARD-FOAM-77.45X155MMX75MM" u="1"/>
        <s v="32D-HARD-FOAM-78.24X155MMX75MM" u="1"/>
        <s v="32D-HARD-FOAM-78.25X155MMX75MM" u="1"/>
        <s v="32D-HARD-FOAM-783.5X155MMX75MM" u="1"/>
        <s v="32D-HARD-FOAM-79.25X155MMX75MM" u="1"/>
        <s v="18D-PU-FOAM-77.5X71.5X15MM" u="1"/>
        <s v="32D-HARD-FOAM-39.75X175MMX75MM" u="1"/>
        <s v="32D-HARD-FOAM-52.75X175MMX75MM" u="1"/>
        <s v="32D-HARD-FOAM-65.75X175MMX75MM" u="1"/>
        <s v="40D-PU-FOAM-67X155MMX40MM" u="1"/>
        <s v="40D-PU-FOAM-64X95MMX75MM" u="1"/>
        <s v="40D-PU-FOAM-74X95MMX75MM" u="1"/>
        <s v="100D-RB-FOAM-70.75X59.5X20MM" u="1"/>
        <s v="18D-PU-FOAM-70.4X47.5X10MM" u="1"/>
        <s v="18D-PU-FOAM-74.5X47.5X10MM" u="1"/>
        <s v="18D-PU-FOAM-89.5X77.5X10MM" u="1"/>
        <s v="18D-PU-FOAM-74.5X59.5X10MM" u="1"/>
        <s v="18D-PU-FOAM-77.5X59.5X10MM" u="1"/>
        <s v="18D-PU-FOAM-82.5X69.5X10MM" u="1"/>
        <s v="32D-HARD-FOAM-771X115MMX70MM" u="1"/>
        <s v="25D-HELIXA-FOAM-75X47.5X25MM" u="1"/>
        <s v="18D-PU-FOAM-77.5X65.5X15MM" u="1"/>
        <s v="40D-PU-FOAM-28.25X115MMX75MM" u="1"/>
        <s v="40D-PU-FOAM-47.75X115MMX75MM" u="1"/>
        <s v="40D-PU-FOAM-51.75X115MMX75MM" u="1"/>
        <s v="40D-PU-FOAM-53.75X115MMX75MM" u="1"/>
        <s v="40D-PU-FOAM-53.85X115MMX75MM" u="1"/>
        <s v="40D-PU-FOAM-63.75X115MMX75MM" u="1"/>
        <s v="40D-PU-FOAM-64.25X115MMX75MM" u="1"/>
        <s v="40D-PU-FOAM-65.75X115MMX75MM" u="1"/>
        <s v="40D-PU-FOAM-65.85X115MMX75MM" u="1"/>
        <s v="40D-PU-FOAM-67.75X115MMX75MM" u="1"/>
        <s v="40D-PU-FOAM-75.75X115MMX75MM" u="1"/>
        <s v="40D-PU-FOAM-76.27X115MMX75MM" u="1"/>
        <s v="40D-PU-FOAM-78.75X115MMX75MM" u="1"/>
        <s v="40D-PU-FOAM-79.25X115MMX75MM" u="1"/>
        <s v="40D-PU-FOAM-81.38X115MMX75MM" u="1"/>
        <s v="40D-PU-FOAM-104.5X135MMX75MM" u="1"/>
        <s v="40D-PU-FOAM-27.75X135MMX75MM" u="1"/>
        <s v="40D-PU-FOAM-29.83X135MMX75MM" u="1"/>
        <s v="40D-PU-FOAM-33.37X135MMX75MM" u="1"/>
        <s v="40D-PU-FOAM-47.75X135MMX75MM" u="1"/>
        <s v="40D-PU-FOAM-52.75X135MMX75MM" u="1"/>
        <s v="40D-PU-FOAM-53.25X135MMX75MM" u="1"/>
        <s v="40D-PU-FOAM-53.75X135MMX75MM" u="1"/>
        <s v="40D-PU-FOAM-56.75X135MMX75MM" u="1"/>
        <s v="40D-PU-FOAM-59.86X135MMX75MM" u="1"/>
        <s v="40D-PU-FOAM-64.75X135MMX75MM" u="1"/>
        <s v="40D-PU-FOAM-64.86X135MMX75MM" u="1"/>
        <s v="40D-PU-FOAM-65.05X135MMX75MM" u="1"/>
        <s v="40D-PU-FOAM-65.25X135MMX75MM" u="1"/>
        <s v="40D-PU-FOAM-67.22X135MMX75MM" u="1"/>
        <s v="40D-PU-FOAM-69.78X135MMX75MM" u="1"/>
        <s v="40D-PU-FOAM-70.75X135MMX75MM" u="1"/>
        <s v="40D-PU-FOAM-72.74X135MMX75MM" u="1"/>
        <s v="40D-PU-FOAM-73.75X135MMX75MM" u="1"/>
        <s v="40D-PU-FOAM-75.25X135MMX75MM" u="1"/>
        <s v="40D-PU-FOAM-76.25X135MMX75MM" u="1"/>
        <s v="40D-PU-FOAM-76.27X135MMX75MM" u="1"/>
        <s v="40D-PU-FOAM-77.25X135MMX75MM" u="1"/>
        <s v="40D-PU-FOAM-77.45X135MMX75MM" u="1"/>
        <s v="40D-PU-FOAM-78.24X135MMX75MM" u="1"/>
        <s v="40D-PU-FOAM-82.17X135MMX75MM" u="1"/>
        <s v="40D-PU-FOAM-874.5X135MMX75MM" u="1"/>
        <s v="100D-RB-FOAM-77.5X34X20MM" u="1"/>
        <s v="40D-PU-FOAM-32.18X155MMX75MM" u="1"/>
        <s v="40D-PU-FOAM-32.58X155MMX75MM" u="1"/>
        <s v="40D-PU-FOAM-37.75X155MMX75MM" u="1"/>
        <s v="40D-PU-FOAM-62.89X155MMX75MM" u="1"/>
        <s v="40D-PU-FOAM-64.25X155MMX75MM" u="1"/>
        <s v="40D-PU-FOAM-64.86X155MMX75MM" u="1"/>
        <s v="40D-PU-FOAM-65.65X155MMX75MM" u="1"/>
        <s v="40D-PU-FOAM-66.24X155MMX75MM" u="1"/>
        <s v="40D-PU-FOAM-67.22X155MMX75MM" u="1"/>
        <s v="40D-PU-FOAM-68.75X155MMX75MM" u="1"/>
        <s v="40D-PU-FOAM-70.77X155MMX75MM" u="1"/>
        <s v="40D-PU-FOAM-71.16X155MMX75MM" u="1"/>
        <s v="40D-PU-FOAM-71.54X155MMX75MM" u="1"/>
        <s v="40D-PU-FOAM-71.95X155MMX75MM" u="1"/>
        <s v="40D-PU-FOAM-72.33X155MMX75MM" u="1"/>
        <s v="40D-PU-FOAM-72.34X155MMX75MM" u="1"/>
        <s v="40D-PU-FOAM-74.25X155MMX75MM" u="1"/>
        <s v="40D-PU-FOAM-75.88X155MMX75MM" u="1"/>
        <s v="40D-PU-FOAM-76.27X155MMX75MM" u="1"/>
        <s v="40D-PU-FOAM-76.66X155MMX75MM" u="1"/>
        <s v="40D-PU-FOAM-77.05X155MMX75MM" u="1"/>
        <s v="40D-PU-FOAM-77.45X155MMX75MM" u="1"/>
        <s v="40D-PU-FOAM-78.24X155MMX75MM" u="1"/>
        <s v="40D-PU-FOAM-78.25X155MMX75MM" u="1"/>
        <s v="40D-PU-FOAM-79.25X155MMX75MM" u="1"/>
        <s v="40D-PU-FOAM-81.78X155MMX75MM" u="1"/>
        <s v="32D-HARD-FOAM-14.5X155MMX40MM" u="1"/>
        <s v="32D-HARD-FOAM-19.5X155MMX40MM" u="1"/>
        <s v="32D-HARD-FOAM-32.5X155MMX40MM" u="1"/>
        <s v="32D-HARD-FOAM-38.5X155MMX40MM" u="1"/>
        <s v="32D-HARD-FOAM-44.5X155MMX40MM" u="1"/>
        <s v="32D-HARD-FOAM-56.5X155MMX40MM" u="1"/>
        <s v="32D-HARD-FOAM-62.5X155MMX40MM" u="1"/>
        <s v="32D-HARD-FOAM-68.5X155MMX40MM" u="1"/>
        <s v="32D-HARD-FOAM-71.5X155MMX40MM" u="1"/>
        <s v="32D-HARD-FOAM-74.5X155MMX40MM" u="1"/>
        <s v="32D-HARD-FOAM-75.5X155MMX40MM" u="1"/>
        <s v="32D-HARD-FOAM-76.5X155MMX40MM" u="1"/>
        <s v="32D-HARD-FOAM-77.5X155MMX40MM" u="1"/>
        <s v="32D-HARD-FOAM-79.5X155MMX40MM" u="1"/>
        <s v="32D-HARD-FOAM-80.5X155MMX40MM" u="1"/>
        <s v="32D-HARD-FOAM-81.5X155MMX40MM" u="1"/>
        <s v="32D-HARD-FOAM-82.5X155MMX40MM" u="1"/>
        <s v="32D-HARD-FOAM-83.5X155MMX40MM" u="1"/>
        <s v="32D-HARD-FOAM-98.5X155MMX40MM" u="1"/>
        <s v="32D-HARD-FOAM-71.5X95MMX75MM" u="1"/>
        <s v="32D-HARD-FOAM-77.5X95MMX75MM" u="1"/>
        <s v="40D-PU-FOAM-65.65X175MMX75MM" u="1"/>
        <s v="40D-PU-FOAM-65.85X175MMX75MM" u="1"/>
        <s v="40D-PU-FOAM-66.44X175MMX75MM" u="1"/>
        <s v="40D-PU-FOAM-77.25X175MMX75MM" u="1"/>
        <s v="40D-PU-FOAM-77.45X175MMX75MM" u="1"/>
        <s v="40D-PU-FOAM-79.25X175MMX75MM" u="1"/>
        <s v="40D-PU-FOAM-79.42X175MMX75MM" u="1"/>
        <s v="32D-HARD-FOAM-38.5X155MMX70MM" u="1"/>
        <s v="32D-HARD-FOAM-64.5X155MMX70MM" u="1"/>
        <s v="32D-HARD-FOAM-66.5X155MMX70MM" u="1"/>
        <s v="32D-HARD-FOAM-69.5X155MMX70MM" u="1"/>
        <s v="32D-HARD-FOAM-71.5X155MMX70MM" u="1"/>
        <s v="32D-HARD-FOAM-72.5X155MMX70MM" u="1"/>
        <s v="32D-HARD-FOAM-73.5X155MMX70MM" u="1"/>
        <s v="32D-HARD-FOAM-74.1X155MMX70MM" u="1"/>
        <s v="32D-HARD-FOAM-74.5X155MMX70MM" u="1"/>
        <s v="32D-HARD-FOAM-75.5X155MMX70MM" u="1"/>
        <s v="32D-HARD-FOAM-76.5X155MMX70MM" u="1"/>
        <s v="32D-HARD-FOAM-77.5X155MMX70MM" u="1"/>
        <s v="32D-HARD-FOAM-79.5X155MMX70MM" u="1"/>
        <s v="32D-HARD-FOAM-81.5X155MMX70MM" u="1"/>
        <s v="32D-HARD-FOAM-82.5X155MMX70MM" u="1"/>
        <s v="32D-HARD-FOAM-83.5X155MMX70MM" u="1"/>
        <s v="32D-HARD-FOAM-95.5X155MMX70MM" u="1"/>
        <s v="100D-RB-FOAM-77.25X65.36X20MM" u="1"/>
        <s v="32D-HARD-FOAM-31.5X115MMX40MM" u="1"/>
        <s v="32D-HARD-FOAM-32.5X115MMX40MM" u="1"/>
        <s v="32D-HARD-FOAM-38.5X115MMX40MM" u="1"/>
        <s v="32D-HARD-FOAM-44.5X115MMX40MM" u="1"/>
        <s v="32D-HARD-FOAM-56.5X115MMX40MM" u="1"/>
        <s v="32D-HARD-FOAM-57.5X115MMX40MM" u="1"/>
        <s v="32D-HARD-FOAM-66.5X115MMX40MM" u="1"/>
        <s v="32D-HARD-FOAM-68.5X115MMX40MM" u="1"/>
        <s v="32D-HARD-FOAM-71.5X115MMX40MM" u="1"/>
        <s v="32D-HARD-FOAM-72.5X115MMX40MM" u="1"/>
        <s v="32D-HARD-FOAM-73.5X115MMX40MM" u="1"/>
        <s v="32D-HARD-FOAM-74.5X115MMX40MM" u="1"/>
        <s v="32D-HARD-FOAM-76.5X115MMX40MM" u="1"/>
        <s v="32D-HARD-FOAM-77.5X115MMX40MM" u="1"/>
        <s v="32D-HARD-FOAM-81.5X115MMX40MM" u="1"/>
        <s v="32D-HARD-FOAM-82.5X115MMX40MM" u="1"/>
        <s v="100D-RB-FOAM-75.5X70X20MM" u="1"/>
        <s v="100D-RB-FOAM-77.5X70X20MM" u="1"/>
        <s v="100D-RB-FOAM-78.5X70X20MM" u="1"/>
        <s v="32D-HARD-FOAM-22.5X115MMX70MM" u="1"/>
        <s v="32D-HARD-FOAM-28.5X115MMX70MM" u="1"/>
        <s v="32D-HARD-FOAM-57.5X115MMX70MM" u="1"/>
        <s v="32D-HARD-FOAM-65.5X115MMX70MM" u="1"/>
        <s v="32D-HARD-FOAM-68.5X115MMX70MM" u="1"/>
        <s v="32D-HARD-FOAM-71.5X115MMX70MM" u="1"/>
        <s v="32D-HARD-FOAM-73.5X115MMX70MM" u="1"/>
        <s v="32D-HARD-FOAM-74.5X115MMX70MM" u="1"/>
        <s v="32D-HARD-FOAM-75.5X115MMX70MM" u="1"/>
        <s v="32D-HARD-FOAM-76.5X115MMX70MM" u="1"/>
        <s v="32D-HARD-FOAM-77.5X115MMX70MM" u="1"/>
        <s v="32D-HARD-FOAM-78.5X115MMX70MM" u="1"/>
        <s v="32D-HARD-FOAM-79.5X115MMX70MM" u="1"/>
        <s v="32D-HARD-FOAM-80.5X115MMX70MM" u="1"/>
        <s v="32D-HARD-FOAM-81.5X115MMX70MM" u="1"/>
        <s v="32D-HARD-FOAM-83.5X115MMX70MM" u="1"/>
        <s v="32D-PU-FOAM-24X155MMX75MM" u="1"/>
        <s v="32D-PU-FOAM-36X155MMX75MM" u="1"/>
        <s v="32D-PU-FOAM-39X155MMX75MM" u="1"/>
        <s v="32D-PU-FOAM-42X155MMX75MM" u="1"/>
        <s v="32D-PU-FOAM-54X155MMX75MM" u="1"/>
        <s v="32D-PU-FOAM-64X155MMX75MM" u="1"/>
        <s v="32D-PU-FOAM-66X155MMX75MM" u="1"/>
        <s v="32D-PU-FOAM-75X155MMX75MM" u="1"/>
        <s v="100D-RB-FOAM-72.5X58X20MM" u="1"/>
        <s v="100D-RB-FOAM-79.5X74X20MM" u="1"/>
        <s v="40D-PU-FOAM-18X155MMX75MM" u="1"/>
        <s v="40D-PU-FOAM-24X155MMX75MM" u="1"/>
        <s v="40D-PU-FOAM-28X155MMX75MM" u="1"/>
        <s v="40D-PU-FOAM-29X155MMX75MM" u="1"/>
        <s v="40D-PU-FOAM-30X155MMX75MM" u="1"/>
        <s v="40D-PU-FOAM-32X155MMX75MM" u="1"/>
        <s v="40D-PU-FOAM-34X155MMX75MM" u="1"/>
        <s v="40D-PU-FOAM-36X155MMX75MM" u="1"/>
        <s v="40D-PU-FOAM-38X155MMX75MM" u="1"/>
        <s v="40D-PU-FOAM-40X155MMX75MM" u="1"/>
        <s v="40D-PU-FOAM-41X155MMX75MM" u="1"/>
        <s v="40D-PU-FOAM-42X155MMX75MM" u="1"/>
        <s v="40D-PU-FOAM-44X155MMX75MM" u="1"/>
        <s v="40D-PU-FOAM-45X155MMX75MM" u="1"/>
        <s v="40D-PU-FOAM-46X155MMX75MM" u="1"/>
        <s v="40D-PU-FOAM-48X155MMX75MM" u="1"/>
        <s v="40D-PU-FOAM-49X155MMX75MM" u="1"/>
        <s v="40D-PU-FOAM-51X155MMX75MM" u="1"/>
        <s v="40D-PU-FOAM-52X155MMX75MM" u="1"/>
        <s v="40D-PU-FOAM-53X155MMX75MM" u="1"/>
        <s v="40D-PU-FOAM-54X155MMX75MM" u="1"/>
        <s v="40D-PU-FOAM-56X155MMX75MM" u="1"/>
        <s v="40D-PU-FOAM-58X155MMX75MM" u="1"/>
        <s v="40D-PU-FOAM-59X155MMX75MM" u="1"/>
        <s v="40D-PU-FOAM-60X155MMX75MM" u="1"/>
        <s v="40D-PU-FOAM-62X155MMX75MM" u="1"/>
        <s v="40D-PU-FOAM-63X155MMX75MM" u="1"/>
        <s v="40D-PU-FOAM-64X155MMX75MM" u="1"/>
        <s v="40D-PU-FOAM-65X155MMX75MM" u="1"/>
        <s v="40D-PU-FOAM-66X155MMX75MM" u="1"/>
        <s v="40D-PU-FOAM-67X155MMX75MM" u="1"/>
        <s v="40D-PU-FOAM-68X155MMX75MM" u="1"/>
        <s v="40D-PU-FOAM-69X155MMX75MM" u="1"/>
        <s v="40D-PU-FOAM-70X155MMX75MM" u="1"/>
        <s v="40D-PU-FOAM-71X155MMX75MM" u="1"/>
        <s v="40D-PU-FOAM-72X155MMX75MM" u="1"/>
        <s v="40D-PU-FOAM-73X155MMX75MM" u="1"/>
        <s v="40D-PU-FOAM-74X155MMX75MM" u="1"/>
        <s v="40D-PU-FOAM-75X155MMX75MM" u="1"/>
        <s v="40D-PU-FOAM-76X155MMX75MM" u="1"/>
        <s v="40D-PU-FOAM-77X155MMX75MM" u="1"/>
        <s v="40D-PU-FOAM-78X155MMX75MM" u="1"/>
        <s v="40D-PU-FOAM-79X155MMX75MM" u="1"/>
        <s v="40D-PU-FOAM-81X155MMX75MM" u="1"/>
        <s v="40D-PU-FOAM-82X155MMX75MM" u="1"/>
        <s v="40D-PU-FOAM-83X155MMX75MM" u="1"/>
        <s v="40D-PU-FOAM-84X155MMX75MM" u="1"/>
        <s v="40D-PU-FOAM-86X155MMX75MM" u="1"/>
        <s v="40D-PU-FOAM-90X155MMX75MM" u="1"/>
        <s v="40D-PU-FOAM-96X155MMX75MM" u="1"/>
      </sharedItems>
    </cacheField>
    <cacheField name="QTY" numFmtId="0">
      <sharedItems containsString="0" containsBlank="1" containsNumber="1" containsInteger="1" minValue="0" maxValue="60"/>
    </cacheField>
    <cacheField name="T1" numFmtId="0">
      <sharedItems containsBlank="1"/>
    </cacheField>
    <cacheField name="FOAM HEIGHT" numFmtId="0">
      <sharedItems containsBlank="1" count="66">
        <s v="135MM"/>
        <s v=""/>
        <m/>
        <s v="71.25" u="1"/>
        <s v="X60.5" u="1"/>
        <s v="X61.5" u="1"/>
        <s v="X62.5" u="1"/>
        <s v="X44.5" u="1"/>
        <s v="X81.5" u="1"/>
        <s v="X63.5" u="1"/>
        <s v="X82.5" u="1"/>
        <s v="X64.5" u="1"/>
        <s v=".5X74" u="1"/>
        <s v="X46.5" u="1"/>
        <s v="X83.5" u="1"/>
        <s v="X65.5" u="1"/>
        <s v="X70.1" u="1"/>
        <s v="X47.5" u="1"/>
        <s v="79X73" u="1"/>
        <s v="X29.5" u="1"/>
        <s v="X66.5" u="1"/>
        <s v="X67.5" u="1"/>
        <s v="X86.5" u="1"/>
        <s v="76X66" u="1"/>
        <s v="X69.5" u="1"/>
        <s v="115MM" u="1"/>
        <s v=".5X35" u="1"/>
        <s v="155MM" u="1"/>
        <s v=".5X63" u="1"/>
        <s v="175MM" u="1"/>
        <s v="65.36" u="1"/>
        <s v="81X73" u="1"/>
        <s v="77X71" u="1"/>
        <s v=".5X69" u="1"/>
        <s v="79X71" u="1"/>
        <s v="72.72" u="1"/>
        <s v=".5X34" u="1"/>
        <s v="X70.5" u="1"/>
        <s v=".5X59" u="1"/>
        <s v="X34.5" u="1"/>
        <s v="X71.5" u="1"/>
        <s v="X35.5" u="1"/>
        <s v="X72.5" u="1"/>
        <s v=".5X71" u="1"/>
        <s v="X17.5" u="1"/>
        <s v="X46.2" u="1"/>
        <s v="X73.5" u="1"/>
        <s v="X74.5" u="1"/>
        <s v="X75.5" u="1"/>
        <s v="X57.5" u="1"/>
        <s v="66.75" u="1"/>
        <s v="X39.5" u="1"/>
        <s v="X76.5" u="1"/>
        <s v=".5X58" u="1"/>
        <s v="X58.5" u="1"/>
        <s v="X77.5" u="1"/>
        <s v="X59.5" u="1"/>
        <s v=".5X70" u="1"/>
        <s v="83X80" u="1"/>
        <s v="74X71" u="1"/>
        <s v="X95MM" u="1"/>
        <s v=".5X47" u="1"/>
        <s v=".5X75" u="1"/>
        <s v="70.75" u="1"/>
        <s v="X41.5" u="1"/>
        <s v="X73.9" u="1"/>
      </sharedItems>
    </cacheField>
    <cacheField name="FOAM SIZ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084.410926041666" createdVersion="5" refreshedVersion="6" minRefreshableVersion="3" recordCount="202">
  <cacheSource type="worksheet">
    <worksheetSource ref="A1:C1048576" sheet="ERP MR"/>
  </cacheSource>
  <cacheFields count="3">
    <cacheField name="S.NO" numFmtId="0">
      <sharedItems containsString="0" containsBlank="1" containsNumber="1" containsInteger="1" minValue="1" maxValue="50"/>
    </cacheField>
    <cacheField name="ITEMCODE" numFmtId="0">
      <sharedItems containsBlank="1" count="465">
        <s v="32D-HARD-FOAM-74.50X135MMX70MM"/>
        <s v="32D-HARD-FOAM-54X135MMX70MM"/>
        <s v=""/>
        <s v="32D-HARD-FOAM-77.50X135MMX70MM"/>
        <m/>
        <s v="25D-HELIXA-FOAM-71.50X71.50X25MM" u="1"/>
        <s v="25D-HELIXA-FOAM-74.50X71.50X25MM" u="1"/>
        <s v="25D-HELIXA-FOAM-77.50X71.50X25MM" u="1"/>
        <s v="25D-HELIXA-FOAM-71.50X41.50X15MM" u="1"/>
        <s v="25D-HELIXA-FOAM-71.50X71.50X15MM" u="1"/>
        <s v="25D-HELIXA-FOAM-74.50X71.50X15MM" u="1"/>
        <s v="25D-HELIXA-FOAM-77.50X71.50X15MM" u="1"/>
        <s v="25D-HELIXA-FOAM-71.50X47.50X50MM" u="1"/>
        <s v="25D-HELIXA-FOAM-74.50X47.50X50MM" u="1"/>
        <s v="25D-HELIXA-FOAM-77.50X59.50X50MM" u="1"/>
        <s v="32D-HARD-FOAM-12X115MMX75MM" u="1"/>
        <s v="32D-HARD-FOAM-24X115MMX75MM" u="1"/>
        <s v="32D-HARD-FOAM-27X115MMX75MM" u="1"/>
        <s v="32D-HARD-FOAM-30X115MMX75MM" u="1"/>
        <s v="32D-HARD-FOAM-33X115MMX75MM" u="1"/>
        <s v="32D-HARD-FOAM-36X115MMX75MM" u="1"/>
        <s v="32D-HARD-FOAM-42X115MMX75MM" u="1"/>
        <s v="32D-HARD-FOAM-45X115MMX75MM" u="1"/>
        <s v="32D-HARD-FOAM-48X115MMX75MM" u="1"/>
        <s v="32D-HARD-FOAM-51X115MMX75MM" u="1"/>
        <s v="32D-HARD-FOAM-54X115MMX75MM" u="1"/>
        <s v="32D-HARD-FOAM-57X115MMX75MM" u="1"/>
        <s v="32D-HARD-FOAM-60X115MMX75MM" u="1"/>
        <s v="32D-HARD-FOAM-63X115MMX75MM" u="1"/>
        <s v="32D-HARD-FOAM-66X115MMX75MM" u="1"/>
        <s v="25D-HELIXA-FOAM-74.50X35.50X15MM" u="1"/>
        <s v="25D-HELIXA-FOAM-71.50X47.50X25MM" u="1"/>
        <s v="25D-HELIXA-FOAM-74.50X47.50X25MM" u="1"/>
        <s v="25D-HELIXA-FOAM-77.50X47.50X25MM" u="1"/>
        <s v="32D-HARD-FOAM-12X135MMX75MM" u="1"/>
        <s v="32D-HARD-FOAM-24X135MMX75MM" u="1"/>
        <s v="32D-HARD-FOAM-27X135MMX75MM" u="1"/>
        <s v="32D-HARD-FOAM-30X135MMX75MM" u="1"/>
        <s v="32D-HARD-FOAM-33X135MMX75MM" u="1"/>
        <s v="32D-HARD-FOAM-36X135MMX75MM" u="1"/>
        <s v="32D-HARD-FOAM-39X135MMX75MM" u="1"/>
        <s v="32D-HARD-FOAM-42X135MMX75MM" u="1"/>
        <s v="32D-HARD-FOAM-45X135MMX75MM" u="1"/>
        <s v="32D-HARD-FOAM-48X135MMX75MM" u="1"/>
        <s v="32D-HARD-FOAM-51X135MMX75MM" u="1"/>
        <s v="32D-HARD-FOAM-54X135MMX75MM" u="1"/>
        <s v="32D-HARD-FOAM-57X135MMX75MM" u="1"/>
        <s v="32D-HARD-FOAM-60X135MMX75MM" u="1"/>
        <s v="32D-HARD-FOAM-63X135MMX75MM" u="1"/>
        <s v="32D-HARD-FOAM-66X135MMX75MM" u="1"/>
        <s v="25D-HELIXA-FOAM-71.50X47.50X15MM" u="1"/>
        <s v="25D-HELIXA-FOAM-74.50X47.50X15MM" u="1"/>
        <s v="25D-HELIXA-FOAM-77.50X47.50X15MM" u="1"/>
        <s v="100D-RB-FOAM-77.50X56.50X20MM" u="1"/>
        <s v="25D-HELIXA-FOAM-71.50X59.50X25MM" u="1"/>
        <s v="25D-HELIXA-FOAM-74.50X59.50X25MM" u="1"/>
        <s v="25D-HELIXA-FOAM-77.50X59.50X25MM" u="1"/>
        <s v="25D-HELIXA-FOAM-79.50X59.50X25MM" u="1"/>
        <s v="25D-HELIXA-FOAM-83.50X59.50X25MM" u="1"/>
        <s v="100D-RB-FOAM-77.50X62.50X20MM" u="1"/>
        <s v="100D-RB-FOAM-79.50X62.50X20MM" u="1"/>
        <s v="32D-HARD-FOAM-12X155MMX75MM" u="1"/>
        <s v="32D-HARD-FOAM-24X155MMX75MM" u="1"/>
        <s v="32D-HARD-FOAM-30X155MMX75MM" u="1"/>
        <s v="32D-HARD-FOAM-36X155MMX75MM" u="1"/>
        <s v="32D-HARD-FOAM-42X155MMX75MM" u="1"/>
        <s v="32D-HARD-FOAM-45X155MMX75MM" u="1"/>
        <s v="32D-HARD-FOAM-48X155MMX75MM" u="1"/>
        <s v="32D-HARD-FOAM-51X155MMX75MM" u="1"/>
        <s v="32D-HARD-FOAM-54X155MMX75MM" u="1"/>
        <s v="32D-HARD-FOAM-57X155MMX75MM" u="1"/>
        <s v="32D-HARD-FOAM-60X155MMX75MM" u="1"/>
        <s v="32D-HARD-FOAM-63X155MMX75MM" u="1"/>
        <s v="32D-HARD-FOAM-66X155MMX75MM" u="1"/>
        <s v="25D-HELIXA-FOAM-71.50X29.50X15MM" u="1"/>
        <s v="25D-HELIXA-FOAM-71.50X59.50X15MM" u="1"/>
        <s v="25D-HELIXA-FOAM-74.50X59.50X15MM" u="1"/>
        <s v="25D-HELIXA-FOAM-77.50X59.50X15MM" u="1"/>
        <s v="25D-HELIXA-FOAM-79.50X59.50X15MM" u="1"/>
        <s v="25D-HELIXA-FOAM-83.50X59.50X15MM" u="1"/>
        <s v="40D-PU-FOAM-56.5X155MMX75MM" u="1"/>
        <s v="32D-PU-FOAM-30X175MMX75MM" u="1"/>
        <s v="32D-PU-FOAM-42X175MMX75MM" u="1"/>
        <s v="32D-PU-FOAM-54X175MMX75MM" u="1"/>
        <s v="32D-PU-FOAM-66X175MMX75MM" u="1"/>
        <s v="32D-HARD-FOAM-24X175MMX75MM" u="1"/>
        <s v="32D-HARD-FOAM-30X175MMX75MM" u="1"/>
        <s v="32D-HARD-FOAM-42X175MMX75MM" u="1"/>
        <s v="32D-HARD-FOAM-54X175MMX75MM" u="1"/>
        <s v="32D-HARD-FOAM-60X175MMX75MM" u="1"/>
        <s v="32D-HARD-FOAM-66X175MMX75MM" u="1"/>
        <s v="40D-PU-FOAM-24X175MMX75MM" u="1"/>
        <s v="40D-PU-FOAM-27X175MMX75MM" u="1"/>
        <s v="40D-PU-FOAM-30X175MMX75MM" u="1"/>
        <s v="40D-PU-FOAM-36X175MMX75MM" u="1"/>
        <s v="40D-PU-FOAM-42X175MMX75MM" u="1"/>
        <s v="40D-PU-FOAM-45X175MMX75MM" u="1"/>
        <s v="40D-PU-FOAM-51X175MMX75MM" u="1"/>
        <s v="40D-PU-FOAM-54X175MMX75MM" u="1"/>
        <s v="40D-PU-FOAM-57X175MMX75MM" u="1"/>
        <s v="40D-PU-FOAM-60X175MMX75MM" u="1"/>
        <s v="40D-PU-FOAM-63X175MMX75MM" u="1"/>
        <s v="40D-PU-FOAM-66X175MMX75MM" u="1"/>
        <s v="32D-HARD-FOAM-71.50X95MMX75MM" u="1"/>
        <s v="32D-HARD-FOAM-77.50X95MMX75MM" u="1"/>
        <s v="32D-HARD-FOAM-79.50X95MMX75MM" u="1"/>
        <s v="32D-HARD-FOAM-30X95MMX75MM" u="1"/>
        <s v="32D-HARD-FOAM-54X95MMX75MM" u="1"/>
        <s v="32D-HARD-FOAM-66X95MMX75MM" u="1"/>
        <s v="32D-HARD-FOAM-44.5X155MMX75MM" u="1"/>
        <s v="32D-HARD-FOAM-56.5X155MMX75MM" u="1"/>
        <s v="40D-PU-FOAM-74.50X95MMX75MM" u="1"/>
        <s v="077.50X47.50X0" u="1"/>
        <s v="077.50X71.50X0" u="1"/>
        <s v="079.50X71.50X0" u="1"/>
        <s v="40D-PU-FOAM-14.50X115MMX40MM" u="1"/>
        <s v="40D-PU-FOAM-19.50X115MMX40MM" u="1"/>
        <s v="40D-PU-FOAM-26.50X115MMX40MM" u="1"/>
        <s v="40D-PU-FOAM-32.50X115MMX40MM" u="1"/>
        <s v="40D-PU-FOAM-44.50X115MMX40MM" u="1"/>
        <s v="40D-PU-FOAM-50.50X115MMX40MM" u="1"/>
        <s v="40D-PU-FOAM-56.50X115MMX40MM" u="1"/>
        <s v="40D-PU-FOAM-59.50X115MMX40MM" u="1"/>
        <s v="40D-PU-FOAM-62.50X115MMX40MM" u="1"/>
        <s v="40D-PU-FOAM-68.50X115MMX40MM" u="1"/>
        <s v="40D-PU-FOAM-71.50X115MMX40MM" u="1"/>
        <s v="40D-PU-FOAM-74.50X115MMX40MM" u="1"/>
        <s v="40D-PU-FOAM-77.50X115MMX40MM" u="1"/>
        <s v="40D-PU-FOAM-83.50X115MMX40MM" u="1"/>
        <s v="100D-RB-FOAM-19.50X17.50X20MM" u="1"/>
        <s v="100D-RB-FOAM-71.50X47.50X20MM" u="1"/>
        <s v="100D-RB-FOAM-74.50X47.50X20MM" u="1"/>
        <s v="100D-RB-FOAM-77.50X47.50X20MM" u="1"/>
        <s v="40D-PU-FOAM-14.50X135MMX40MM" u="1"/>
        <s v="40D-PU-FOAM-19.50X135MMX40MM" u="1"/>
        <s v="40D-PU-FOAM-26.50X135MMX40MM" u="1"/>
        <s v="40D-PU-FOAM-32.50X135MMX40MM" u="1"/>
        <s v="40D-PU-FOAM-35.50X135MMX40MM" u="1"/>
        <s v="40D-PU-FOAM-38.50X135MMX40MM" u="1"/>
        <s v="40D-PU-FOAM-41.50X135MMX40MM" u="1"/>
        <s v="40D-PU-FOAM-44.50X135MMX40MM" u="1"/>
        <s v="40D-PU-FOAM-56.50X135MMX40MM" u="1"/>
        <s v="40D-PU-FOAM-59.50X135MMX40MM" u="1"/>
        <s v="40D-PU-FOAM-62.50X135MMX40MM" u="1"/>
        <s v="40D-PU-FOAM-65.50X135MMX40MM" u="1"/>
        <s v="40D-PU-FOAM-68.50X135MMX40MM" u="1"/>
        <s v="40D-PU-FOAM-71.50X135MMX40MM" u="1"/>
        <s v="40D-PU-FOAM-74.50X135MMX40MM" u="1"/>
        <s v="40D-PU-FOAM-77.50X135MMX40MM" u="1"/>
        <s v="40D-PU-FOAM-79.50X135MMX40MM" u="1"/>
        <s v="40D-PU-FOAM-83.50X135MMX40MM" u="1"/>
        <s v="32D-HARD-FOAM-26.5X175MMX70MM" u="1"/>
        <s v="32D-HARD-FOAM-68.5X175MMX70MM" u="1"/>
        <s v="40D-PU-FOAM--0.50X155MMX40MM" u="1"/>
        <s v="40D-PU-FOAM--3.50X155MMX40MM" u="1"/>
        <s v="40D-PU-FOAM-14.50X155MMX40MM" u="1"/>
        <s v="40D-PU-FOAM-19.50X155MMX40MM" u="1"/>
        <s v="40D-PU-FOAM-32.50X155MMX40MM" u="1"/>
        <s v="40D-PU-FOAM-38.50X155MMX40MM" u="1"/>
        <s v="40D-PU-FOAM-44.50X155MMX40MM" u="1"/>
        <s v="40D-PU-FOAM-56.50X155MMX40MM" u="1"/>
        <s v="40D-PU-FOAM-62.50X155MMX40MM" u="1"/>
        <s v="40D-PU-FOAM-68.50X155MMX40MM" u="1"/>
        <s v="40D-PU-FOAM-71.50X155MMX40MM" u="1"/>
        <s v="40D-PU-FOAM-74.50X155MMX40MM" u="1"/>
        <s v="40D-PU-FOAM-77.50X155MMX40MM" u="1"/>
        <s v="40D-PU-FOAM-79.50X155MMX40MM" u="1"/>
        <s v="40D-PU-FOAM-83.50X155MMX40MM" u="1"/>
        <s v="32D-HARD FOAM SHEET-79.50X115MMX75MM" u="1"/>
        <s v="40D-PU-FOAM-14.50X175MMX40MM" u="1"/>
        <s v="40D-PU-FOAM-19.50X175MMX40MM" u="1"/>
        <s v="40D-PU-FOAM-44.50X175MMX40MM" u="1"/>
        <s v="40D-PU-FOAM-56.50X175MMX40MM" u="1"/>
        <s v="40D-PU-FOAM-62.50X175MMX40MM" u="1"/>
        <s v="40D-PU-FOAM-68.50X175MMX40MM" u="1"/>
        <s v="40D-PU-FOAM-74.50X175MMX40MM" u="1"/>
        <s v="40D-PU-FOAM-77.50X175MMX40MM" u="1"/>
        <s v="40D-PU-FOAM-79.50X175MMX40MM" u="1"/>
        <s v="40D-PU-FOAM-83.50X175MMX40MM" u="1"/>
        <s v="32D-HARD-FOAM-32.50X115MMX40MM" u="1"/>
        <s v="32D-HARD-FOAM-38.50X115MMX40MM" u="1"/>
        <s v="32D-HARD-FOAM-44.50X115MMX40MM" u="1"/>
        <s v="32D-HARD-FOAM-56.50X115MMX40MM" u="1"/>
        <s v="32D-HARD-FOAM-59.50X115MMX40MM" u="1"/>
        <s v="32D-HARD-FOAM-68.50X115MMX40MM" u="1"/>
        <s v="32D-HARD-FOAM-71.50X115MMX40MM" u="1"/>
        <s v="32D-HARD-FOAM-74.50X115MMX40MM" u="1"/>
        <s v="32D-HARD-FOAM-77.50X115MMX40MM" u="1"/>
        <s v="32D-HARD-FOAM-83.50X115MMX40MM" u="1"/>
        <s v="32D-HARD-FOAM-14.50X135MMX40MM" u="1"/>
        <s v="32D-HARD-FOAM-19.50X135MMX40MM" u="1"/>
        <s v="32D-HARD-FOAM-26.50X135MMX40MM" u="1"/>
        <s v="32D-HARD-FOAM-32.50X135MMX40MM" u="1"/>
        <s v="32D-HARD-FOAM-35.50X135MMX40MM" u="1"/>
        <s v="32D-HARD-FOAM-44.50X135MMX40MM" u="1"/>
        <s v="32D-HARD-FOAM-50.50X135MMX40MM" u="1"/>
        <s v="32D-HARD-FOAM-53.50X135MMX40MM" u="1"/>
        <s v="32D-HARD-FOAM-56.50X135MMX40MM" u="1"/>
        <s v="32D-HARD-FOAM-62.50X135MMX40MM" u="1"/>
        <s v="32D-HARD-FOAM-65.50X135MMX40MM" u="1"/>
        <s v="32D-HARD-FOAM-68.50X135MMX40MM" u="1"/>
        <s v="32D-HARD-FOAM-71.50X135MMX40MM" u="1"/>
        <s v="32D-HARD-FOAM-74.50X135MMX40MM" u="1"/>
        <s v="32D-HARD-FOAM-77.50X135MMX40MM" u="1"/>
        <s v="32D-HARD-FOAM-79.50X135MMX40MM" u="1"/>
        <s v="32D-HARD-FOAM-83.50X135MMX40MM" u="1"/>
        <s v="32D-HARD-FOAM-14.50X155MMX40MM" u="1"/>
        <s v="32D-HARD-FOAM-19.50X155MMX40MM" u="1"/>
        <s v="32D-HARD-FOAM-32.50X155MMX40MM" u="1"/>
        <s v="32D-HARD-FOAM-38.50X155MMX40MM" u="1"/>
        <s v="32D-HARD-FOAM-44.50X155MMX40MM" u="1"/>
        <s v="32D-HARD-FOAM-53.50X155MMX40MM" u="1"/>
        <s v="32D-HARD-FOAM-56.50X155MMX40MM" u="1"/>
        <s v="32D-HARD-FOAM-62.50X155MMX40MM" u="1"/>
        <s v="32D-HARD-FOAM-68.50X155MMX40MM" u="1"/>
        <s v="32D-HARD-FOAM-71.50X155MMX40MM" u="1"/>
        <s v="32D-HARD-FOAM-74.50X155MMX40MM" u="1"/>
        <s v="32D-HARD-FOAM-77.50X155MMX40MM" u="1"/>
        <s v="32D-HARD-FOAM-79.50X155MMX40MM" u="1"/>
        <s v="32D-HARD-FOAM-83.50X155MMX40MM" u="1"/>
        <s v="32D-HARD-FOAM-14.50X175MMX40MM" u="1"/>
        <s v="32D-HARD-FOAM-19.50X175MMX40MM" u="1"/>
        <s v="32D-HARD-FOAM-32.50X175MMX40MM" u="1"/>
        <s v="32D-HARD-FOAM-56.50X175MMX40MM" u="1"/>
        <s v="32D-HARD-FOAM-62.50X175MMX40MM" u="1"/>
        <s v="32D-HARD-FOAM-68.50X175MMX40MM" u="1"/>
        <s v="32D-HARD-FOAM-71.50X175MMX40MM" u="1"/>
        <s v="32D-HARD-FOAM-74.50X175MMX40MM" u="1"/>
        <s v="32D-HARD-FOAM-77.50X175MMX40MM" u="1"/>
        <s v="32D-HARD-FOAM-79.50X175MMX40MM" u="1"/>
        <s v="32D-HARD-FOAM-83.50X175MMX40MM" u="1"/>
        <s v="40D-PU-FOAM-12X115MMX75MM" u="1"/>
        <s v="40D-PU-FOAM-24X115MMX75MM" u="1"/>
        <s v="40D-PU-FOAM-27X115MMX75MM" u="1"/>
        <s v="40D-PU-FOAM-30X115MMX75MM" u="1"/>
        <s v="40D-PU-FOAM-36X115MMX75MM" u="1"/>
        <s v="40D-PU-FOAM-39X115MMX75MM" u="1"/>
        <s v="40D-PU-FOAM-42X115MMX75MM" u="1"/>
        <s v="40D-PU-FOAM-45X115MMX75MM" u="1"/>
        <s v="40D-PU-FOAM-48X115MMX75MM" u="1"/>
        <s v="40D-PU-FOAM-51X115MMX75MM" u="1"/>
        <s v="40D-PU-FOAM-54X115MMX75MM" u="1"/>
        <s v="40D-PU-FOAM-57X115MMX75MM" u="1"/>
        <s v="40D-PU-FOAM-60X115MMX75MM" u="1"/>
        <s v="40D-PU-FOAM-63X115MMX75MM" u="1"/>
        <s v="40D-PU-FOAM-66X115MMX75MM" u="1"/>
        <s v="077.50X59.50X0" u="1"/>
        <s v="32D-HARD FOAM SHEET-79.50X135MMX75MM" u="1"/>
        <s v="083.50X71.50X0" u="1"/>
        <s v="32D-HARD FOAM SHEET-79.50X175MMX75MM" u="1"/>
        <s v="32D-HARD-FOAM--0.50X115MMX70MM" u="1"/>
        <s v="32D-HARD-FOAM-71.50X115MMX70MM" u="1"/>
        <s v="32D-HARD-FOAM-74.50X115MMX70MM" u="1"/>
        <s v="32D-HARD-FOAM-77.50X115MMX70MM" u="1"/>
        <s v="32D-HARD-FOAM-79.50X115MMX70MM" u="1"/>
        <s v="32D-HARD-FOAM-83.50X115MMX70MM" u="1"/>
        <s v="100D-RB-FOAM-74.50X68.50X20MM" u="1"/>
        <s v="100D-RB-FOAM-77.50X68.50X20MM" u="1"/>
        <s v="32D-HARD-FOAM--0.50X135MMX70MM" u="1"/>
        <s v="32D-HARD-FOAM-19.50X135MMX70MM" u="1"/>
        <s v="32D-HARD-FOAM-71.50X135MMX70MM" u="1"/>
        <s v="32D-HARD-FOAM-79.50X135MMX70MM" u="1"/>
        <s v="32D-HARD-FOAM-83.50X135MMX70MM" u="1"/>
        <s v="32D-HARD-FOAM-19.50X155MMX70MM" u="1"/>
        <s v="32D-HARD-FOAM-71.50X155MMX70MM" u="1"/>
        <s v="32D-HARD-FOAM-74.50X155MMX70MM" u="1"/>
        <s v="32D-HARD-FOAM-77.50X155MMX70MM" u="1"/>
        <s v="32D-HARD-FOAM-79.50X155MMX70MM" u="1"/>
        <s v="32D-HARD-FOAM-83.50X155MMX70MM" u="1"/>
        <s v="32D-HARD-FOAM-19.50X175MMX70MM" u="1"/>
        <s v="32D-HARD-FOAM-71.50X175MMX70MM" u="1"/>
        <s v="32D-HARD-FOAM-74.50X175MMX70MM" u="1"/>
        <s v="32D-HARD-FOAM-77.50X175MMX70MM" u="1"/>
        <s v="32D-HARD-FOAM-79.50X175MMX70MM" u="1"/>
        <s v="32D-HARD-FOAM--6X115MMX70MM" u="1"/>
        <s v="32D-HARD-FOAM-24X115MMX70MM" u="1"/>
        <s v="32D-HARD-FOAM-30X115MMX70MM" u="1"/>
        <s v="32D-HARD-FOAM-36X115MMX70MM" u="1"/>
        <s v="32D-HARD-FOAM-39X115MMX70MM" u="1"/>
        <s v="32D-HARD-FOAM-42X115MMX70MM" u="1"/>
        <s v="32D-HARD-FOAM-48X115MMX70MM" u="1"/>
        <s v="32D-HARD-FOAM-51X115MMX70MM" u="1"/>
        <s v="32D-HARD-FOAM-54X115MMX70MM" u="1"/>
        <s v="32D-HARD-FOAM-57X115MMX70MM" u="1"/>
        <s v="32D-HARD-FOAM-60X115MMX70MM" u="1"/>
        <s v="32D-HARD-FOAM-63X115MMX70MM" u="1"/>
        <s v="32D-HARD-FOAM-66X115MMX70MM" u="1"/>
        <s v="32D-HARD-FOAM--6X135MMX70MM" u="1"/>
        <s v="32D-HARD-FOAM-12X135MMX70MM" u="1"/>
        <s v="32D-HARD-FOAM-24X135MMX70MM" u="1"/>
        <s v="32D-HARD-FOAM-27X135MMX70MM" u="1"/>
        <s v="32D-HARD-FOAM-30X135MMX70MM" u="1"/>
        <s v="32D-HARD-FOAM-33X135MMX70MM" u="1"/>
        <s v="32D-HARD-FOAM-36X135MMX70MM" u="1"/>
        <s v="32D-HARD-FOAM-39X135MMX70MM" u="1"/>
        <s v="32D-HARD-FOAM-42X135MMX70MM" u="1"/>
        <s v="32D-HARD-FOAM-48X135MMX70MM" u="1"/>
        <s v="32D-HARD-FOAM-51X135MMX70MM" u="1"/>
        <s v="32D-HARD-FOAM-57X135MMX70MM" u="1"/>
        <s v="32D-HARD-FOAM-60X135MMX70MM" u="1"/>
        <s v="32D-HARD-FOAM-63X135MMX70MM" u="1"/>
        <s v="32D-HARD-FOAM-66X135MMX70MM" u="1"/>
        <s v="18D-PU-FOAM-71.50X41.50X10MM" u="1"/>
        <s v="18D-PU-FOAM-74.50X71.50X10MM" u="1"/>
        <s v="18D-PU-FOAM-77.50X71.50X10MM" u="1"/>
        <s v="18D-PU-FOAM-79.50X71.50X10MM" u="1"/>
        <s v="18D-PU-FOAM-83.50X71.50X10MM" u="1"/>
        <s v="18D-PU-FOAM-77.50X71.50X15MM" u="1"/>
        <s v="32D-PU-FOAM-24X135MMX75MM" u="1"/>
        <s v="32D-PU-FOAM-30X135MMX75MM" u="1"/>
        <s v="32D-PU-FOAM-36X135MMX75MM" u="1"/>
        <s v="32D-PU-FOAM-42X135MMX75MM" u="1"/>
        <s v="32D-PU-FOAM-54X135MMX75MM" u="1"/>
        <s v="32D-PU-FOAM-66X135MMX75MM" u="1"/>
        <s v="32D-HARD-FOAM-12X155MMX70MM" u="1"/>
        <s v="32D-HARD-FOAM-24X155MMX70MM" u="1"/>
        <s v="32D-HARD-FOAM-30X155MMX70MM" u="1"/>
        <s v="32D-HARD-FOAM-39X155MMX70MM" u="1"/>
        <s v="32D-HARD-FOAM-42X155MMX70MM" u="1"/>
        <s v="32D-HARD-FOAM-45X155MMX70MM" u="1"/>
        <s v="32D-HARD-FOAM-48X155MMX70MM" u="1"/>
        <s v="32D-HARD-FOAM-51X155MMX70MM" u="1"/>
        <s v="32D-HARD-FOAM-54X155MMX70MM" u="1"/>
        <s v="32D-HARD-FOAM-60X155MMX70MM" u="1"/>
        <s v="32D-HARD-FOAM-63X155MMX70MM" u="1"/>
        <s v="32D-HARD-FOAM-66X155MMX70MM" u="1"/>
        <s v="40D-PU-FOAM--6X135MMX75MM" u="1"/>
        <s v="40D-PU-FOAM-12X135MMX75MM" u="1"/>
        <s v="40D-PU-FOAM-24X135MMX75MM" u="1"/>
        <s v="40D-PU-FOAM-27X135MMX75MM" u="1"/>
        <s v="40D-PU-FOAM-30X135MMX75MM" u="1"/>
        <s v="40D-PU-FOAM-33X135MMX75MM" u="1"/>
        <s v="40D-PU-FOAM-36X135MMX75MM" u="1"/>
        <s v="40D-PU-FOAM-39X135MMX75MM" u="1"/>
        <s v="40D-PU-FOAM-42X135MMX75MM" u="1"/>
        <s v="40D-PU-FOAM-45X135MMX75MM" u="1"/>
        <s v="40D-PU-FOAM-48X135MMX75MM" u="1"/>
        <s v="40D-PU-FOAM-51X135MMX75MM" u="1"/>
        <s v="40D-PU-FOAM-54X135MMX75MM" u="1"/>
        <s v="40D-PU-FOAM-57X135MMX75MM" u="1"/>
        <s v="40D-PU-FOAM-60X135MMX75MM" u="1"/>
        <s v="40D-PU-FOAM-63X135MMX75MM" u="1"/>
        <s v="40D-PU-FOAM-66X135MMX75MM" u="1"/>
        <s v="18D-PU-FOAM-71.50X35.50X10MM" u="1"/>
        <s v="18D-PU-FOAM-77.50X65.50X10MM" u="1"/>
        <s v="18D-PU-FOAM-71.50X47.50X10MM" u="1"/>
        <s v="18D-PU-FOAM-74.50X47.50X10MM" u="1"/>
        <s v="32D-HARD-FOAM-12X175MMX70MM" u="1"/>
        <s v="32D-HARD-FOAM-24X175MMX70MM" u="1"/>
        <s v="32D-HARD-FOAM-42X175MMX70MM" u="1"/>
        <s v="32D-HARD-FOAM-51X175MMX70MM" u="1"/>
        <s v="32D-HARD-FOAM-54X175MMX70MM" u="1"/>
        <s v="32D-HARD-FOAM-60X175MMX70MM" u="1"/>
        <s v="32D-HARD-FOAM-66X175MMX70MM" u="1"/>
        <s v="18D-PU-FOAM-74.50X59.50X10MM" u="1"/>
        <s v="18D-PU-FOAM-77.50X59.50X10MM" u="1"/>
        <s v="32D-HARD-FOAM-19.50X115MMX75MM" u="1"/>
        <s v="32D-HARD-FOAM-71.50X115MMX75MM" u="1"/>
        <s v="32D-HARD-FOAM-74.50X115MMX75MM" u="1"/>
        <s v="32D-HARD-FOAM-77.50X115MMX75MM" u="1"/>
        <s v="32D-HARD-FOAM-79.50X115MMX75MM" u="1"/>
        <s v="32D-HARD-FOAM-83.50X115MMX75MM" u="1"/>
        <s v="32D-HARD-FOAM-19.50X135MMX75MM" u="1"/>
        <s v="32D-HARD-FOAM-71.50X135MMX75MM" u="1"/>
        <s v="32D-HARD-FOAM-74.50X135MMX75MM" u="1"/>
        <s v="32D-HARD-FOAM-77.50X135MMX75MM" u="1"/>
        <s v="32D-HARD-FOAM-79.50X135MMX75MM" u="1"/>
        <s v="32D-HARD-FOAM-83.50X135MMX75MM" u="1"/>
        <s v="32D-HARD-FOAM-19.50X155MMX75MM" u="1"/>
        <s v="32D-HARD-FOAM-71.50X155MMX75MM" u="1"/>
        <s v="32D-HARD-FOAM-74.50X155MMX75MM" u="1"/>
        <s v="32D-HARD-FOAM-77.50X155MMX75MM" u="1"/>
        <s v="32D-HARD-FOAM-79.50X155MMX75MM" u="1"/>
        <s v="32D-HARD-FOAM-83.50X155MMX75MM" u="1"/>
        <s v="32D-HARD-FOAM-71.50X175MMX75MM" u="1"/>
        <s v="32D-HARD-FOAM-74.50X175MMX75MM" u="1"/>
        <s v="32D-HARD-FOAM-77.50X175MMX75MM" u="1"/>
        <s v="32D-HARD-FOAM-79.50X175MMX75MM" u="1"/>
        <s v="32D-HARD-FOAM-83.50X175MMX75MM" u="1"/>
        <s v="32D-HARD FOAM SHEET-54X175MMX75MM" u="1"/>
        <s v="40D-PU-FOAM-66X95MMX75MM" u="1"/>
        <s v="32D-HARD FOAM SHEET-54X135MMX75MM" u="1"/>
        <s v="32D-HARD FOAM SHEET-54X115MMX75MM" u="1"/>
        <s v="32D-PU-FOAM-71.50X135MMX75MM" u="1"/>
        <s v="32D-PU-FOAM-74.50X135MMX75MM" u="1"/>
        <s v="32D-PU-FOAM-77.50X135MMX75MM" u="1"/>
        <s v="40D-PU-FOAM-19.50X115MMX75MM" u="1"/>
        <s v="40D-PU-FOAM-71.50X115MMX75MM" u="1"/>
        <s v="40D-PU-FOAM-74.50X115MMX75MM" u="1"/>
        <s v="40D-PU-FOAM-77.50X115MMX75MM" u="1"/>
        <s v="40D-PU-FOAM-79.50X115MMX75MM" u="1"/>
        <s v="40D-PU-FOAM-83.50X115MMX75MM" u="1"/>
        <s v="100D-RB-FOAM-71.50X29.50X20MM" u="1"/>
        <s v="100D-RB-FOAM-71.50X59.50X20MM" u="1"/>
        <s v="100D-RB-FOAM-74.50X59.50X20MM" u="1"/>
        <s v="100D-RB-FOAM-77.50X59.50X20MM" u="1"/>
        <s v="100D-RB-FOAM-79.50X59.50X20MM" u="1"/>
        <s v="100D-RB-FOAM-83.50X59.50X20MM" u="1"/>
        <s v="32D-PU-FOAM-71.50X155MMX75MM" u="1"/>
        <s v="32D-PU-FOAM-74.50X155MMX75MM" u="1"/>
        <s v="32D-PU-FOAM-77.50X155MMX75MM" u="1"/>
        <s v="32D-PU-FOAM-79.50X155MMX75MM" u="1"/>
        <s v="32D-PU-FOAM-83.50X155MMX75MM" u="1"/>
        <s v="40D-PU-FOAM--0.50X135MMX75MM" u="1"/>
        <s v="40D-PU-FOAM-19.50X135MMX75MM" u="1"/>
        <s v="40D-PU-FOAM-71.50X135MMX75MM" u="1"/>
        <s v="40D-PU-FOAM-74.50X135MMX75MM" u="1"/>
        <s v="40D-PU-FOAM-77.50X135MMX75MM" u="1"/>
        <s v="40D-PU-FOAM-79.50X135MMX75MM" u="1"/>
        <s v="40D-PU-FOAM-83.50X135MMX75MM" u="1"/>
        <s v="100D-RB-FOAM-71.50X35.50X20MM" u="1"/>
        <s v="100D-RB-FOAM-71.50X65.50X20MM" u="1"/>
        <s v="100D-RB-FOAM-74.50X35.50X20MM" u="1"/>
        <s v="100D-RB-FOAM-74.50X65.50X20MM" u="1"/>
        <s v="100D-RB-FOAM-77.50X35.50X20MM" u="1"/>
        <s v="100D-RB-FOAM-77.50X65.50X20MM" u="1"/>
        <s v="100D-RB-FOAM-79.50X65.50X20MM" u="1"/>
        <s v="100D-RB-FOAM-83.50X65.50X20MM" u="1"/>
        <s v="32D-PU-FOAM-71.50X175MMX75MM" u="1"/>
        <s v="32D-PU-FOAM-74.50X175MMX75MM" u="1"/>
        <s v="32D-PU-FOAM-77.50X175MMX75MM" u="1"/>
        <s v="32D-PU-FOAM-83.50X175MMX75MM" u="1"/>
        <s v="40D-PU-FOAM--0.50X155MMX75MM" u="1"/>
        <s v="40D-PU-FOAM-19.50X155MMX75MM" u="1"/>
        <s v="40D-PU-FOAM-71.50X155MMX75MM" u="1"/>
        <s v="40D-PU-FOAM-74.50X155MMX75MM" u="1"/>
        <s v="40D-PU-FOAM-77.50X155MMX75MM" u="1"/>
        <s v="40D-PU-FOAM-79.50X155MMX75MM" u="1"/>
        <s v="40D-PU-FOAM-83.50X155MMX75MM" u="1"/>
        <s v="100D-RB-FOAM-71.50X41.50X20MM" u="1"/>
        <s v="100D-RB-FOAM-71.50X71.50X20MM" u="1"/>
        <s v="100D-RB-FOAM-74.50X41.50X20MM" u="1"/>
        <s v="100D-RB-FOAM-74.50X71.50X20MM" u="1"/>
        <s v="100D-RB-FOAM-77.50X41.50X20MM" u="1"/>
        <s v="100D-RB-FOAM-77.50X71.50X20MM" u="1"/>
        <s v="100D-RB-FOAM-79.50X71.50X20MM" u="1"/>
        <s v="100D-RB-FOAM-83.50X71.50X20MM" u="1"/>
        <s v="40D-PU-FOAM-71.50X175MMX75MM" u="1"/>
        <s v="40D-PU-FOAM-74.50X175MMX75MM" u="1"/>
        <s v="40D-PU-FOAM-77.50X175MMX75MM" u="1"/>
        <s v="40D-PU-FOAM-79.50X175MMX75MM" u="1"/>
        <s v="40D-PU-FOAM-83.50X175MMX75MM" u="1"/>
        <s v="32D-PU-FOAM-24X155MMX75MM" u="1"/>
        <s v="32D-PU-FOAM-36X155MMX75MM" u="1"/>
        <s v="32D-PU-FOAM-39X155MMX75MM" u="1"/>
        <s v="32D-PU-FOAM-42X155MMX75MM" u="1"/>
        <s v="32D-PU-FOAM-54X155MMX75MM" u="1"/>
        <s v="32D-PU-FOAM-66X155MMX75MM" u="1"/>
        <s v="25D-HELIXA-FOAM-71.50X71.50X50MM" u="1"/>
        <s v="40D-PU-FOAM--6X155MMX75MM" u="1"/>
        <s v="40D-PU-FOAM-12X155MMX75MM" u="1"/>
        <s v="40D-PU-FOAM-24X155MMX75MM" u="1"/>
        <s v="40D-PU-FOAM-30X155MMX75MM" u="1"/>
        <s v="40D-PU-FOAM-33X155MMX75MM" u="1"/>
        <s v="40D-PU-FOAM-36X155MMX75MM" u="1"/>
        <s v="40D-PU-FOAM-39X155MMX75MM" u="1"/>
        <s v="40D-PU-FOAM-42X155MMX75MM" u="1"/>
        <s v="40D-PU-FOAM-45X155MMX75MM" u="1"/>
        <s v="40D-PU-FOAM-48X155MMX75MM" u="1"/>
        <s v="40D-PU-FOAM-51X155MMX75MM" u="1"/>
        <s v="40D-PU-FOAM-54X155MMX75MM" u="1"/>
        <s v="40D-PU-FOAM-57X155MMX75MM" u="1"/>
        <s v="40D-PU-FOAM-60X155MMX75MM" u="1"/>
        <s v="40D-PU-FOAM-63X155MMX75MM" u="1"/>
        <s v="40D-PU-FOAM-66X155MMX75MM" u="1"/>
      </sharedItems>
    </cacheField>
    <cacheField name="QTY" numFmtId="0">
      <sharedItems containsBlank="1" containsMixedTypes="1" containsNumber="1" minValue="41.5" maxValue="199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n v="4.056"/>
  </r>
  <r>
    <x v="1"/>
    <n v="1.262"/>
  </r>
  <r>
    <x v="2"/>
    <n v="2.8559999999999999"/>
  </r>
  <r>
    <x v="3"/>
    <n v="2.6280000000000001"/>
  </r>
  <r>
    <x v="4"/>
    <n v="7.14"/>
  </r>
  <r>
    <x v="5"/>
    <n v="7.47"/>
  </r>
  <r>
    <x v="6"/>
    <n v="2.1960000000000002"/>
  </r>
  <r>
    <x v="7"/>
    <n v="1.9380000000000002"/>
  </r>
  <r>
    <x v="8"/>
    <n v="8.0079999999999991"/>
  </r>
  <r>
    <x v="9"/>
    <n v="3.492"/>
  </r>
  <r>
    <x v="10"/>
    <n v="1.282"/>
  </r>
  <r>
    <x v="11"/>
    <n v="4.4160000000000004"/>
  </r>
  <r>
    <x v="0"/>
    <n v="4.056"/>
  </r>
  <r>
    <x v="12"/>
    <n v="2.028"/>
  </r>
  <r>
    <x v="13"/>
    <n v="2.9219999999999997"/>
  </r>
  <r>
    <x v="14"/>
    <n v="2.1179999999999999"/>
  </r>
  <r>
    <x v="4"/>
    <n v="4.76"/>
  </r>
  <r>
    <x v="5"/>
    <n v="4.9799999999999995"/>
  </r>
  <r>
    <x v="6"/>
    <n v="1.0980000000000001"/>
  </r>
  <r>
    <x v="15"/>
    <n v="1.3660000000000001"/>
  </r>
  <r>
    <x v="8"/>
    <n v="4.5759999999999996"/>
  </r>
  <r>
    <x v="9"/>
    <n v="1.1639999999999999"/>
  </r>
  <r>
    <x v="16"/>
    <n v="1.04"/>
  </r>
  <r>
    <x v="17"/>
    <n v="2.5920000000000001"/>
  </r>
  <r>
    <x v="10"/>
    <n v="1.282"/>
  </r>
  <r>
    <x v="18"/>
    <n v="0.53500000000000003"/>
  </r>
  <r>
    <x v="19"/>
    <n v="0.69"/>
  </r>
  <r>
    <x v="20"/>
    <n v="0.78200000000000003"/>
  </r>
  <r>
    <x v="21"/>
    <n v="2.6160000000000001"/>
  </r>
  <r>
    <x v="22"/>
    <n v="1.204"/>
  </r>
  <r>
    <x v="23"/>
    <n v="0.68"/>
  </r>
  <r>
    <x v="24"/>
    <n v="0.99199999999999999"/>
  </r>
  <r>
    <x v="25"/>
    <n v="1.1160000000000001"/>
  </r>
  <r>
    <x v="26"/>
    <n v="0.42199999999999999"/>
  </r>
  <r>
    <x v="27"/>
    <n v="0.28599999999999998"/>
  </r>
  <r>
    <x v="28"/>
    <n v="0.51200000000000001"/>
  </r>
  <r>
    <x v="29"/>
    <n v="0.84799999999999998"/>
  </r>
  <r>
    <x v="30"/>
    <n v="0.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2">
  <r>
    <n v="1"/>
    <x v="0"/>
    <n v="20"/>
    <s v="135MMX70MM"/>
    <x v="0"/>
    <s v="70MM"/>
  </r>
  <r>
    <n v="1"/>
    <x v="1"/>
    <n v="20"/>
    <s v="135MMX70MM"/>
    <x v="0"/>
    <s v="70MM"/>
  </r>
  <r>
    <n v="1"/>
    <x v="2"/>
    <n v="10"/>
    <s v=""/>
    <x v="1"/>
    <s v=""/>
  </r>
  <r>
    <n v="1"/>
    <x v="2"/>
    <n v="10"/>
    <s v=""/>
    <x v="1"/>
    <s v=""/>
  </r>
  <r>
    <n v="2"/>
    <x v="2"/>
    <n v="0"/>
    <s v=""/>
    <x v="1"/>
    <s v=""/>
  </r>
  <r>
    <n v="2"/>
    <x v="2"/>
    <n v="0"/>
    <s v=""/>
    <x v="1"/>
    <s v=""/>
  </r>
  <r>
    <n v="2"/>
    <x v="2"/>
    <n v="0"/>
    <s v=""/>
    <x v="1"/>
    <s v=""/>
  </r>
  <r>
    <n v="2"/>
    <x v="2"/>
    <n v="0"/>
    <s v=""/>
    <x v="1"/>
    <s v=""/>
  </r>
  <r>
    <n v="3"/>
    <x v="2"/>
    <n v="0"/>
    <s v=""/>
    <x v="1"/>
    <s v=""/>
  </r>
  <r>
    <n v="3"/>
    <x v="2"/>
    <n v="0"/>
    <s v=""/>
    <x v="1"/>
    <s v=""/>
  </r>
  <r>
    <n v="3"/>
    <x v="2"/>
    <n v="0"/>
    <s v=""/>
    <x v="1"/>
    <s v=""/>
  </r>
  <r>
    <n v="3"/>
    <x v="2"/>
    <n v="0"/>
    <s v=""/>
    <x v="1"/>
    <s v=""/>
  </r>
  <r>
    <n v="4"/>
    <x v="2"/>
    <n v="0"/>
    <s v=""/>
    <x v="1"/>
    <s v=""/>
  </r>
  <r>
    <n v="4"/>
    <x v="2"/>
    <n v="0"/>
    <s v=""/>
    <x v="1"/>
    <s v=""/>
  </r>
  <r>
    <n v="4"/>
    <x v="2"/>
    <n v="0"/>
    <s v=""/>
    <x v="1"/>
    <s v=""/>
  </r>
  <r>
    <n v="4"/>
    <x v="2"/>
    <n v="0"/>
    <s v=""/>
    <x v="1"/>
    <s v=""/>
  </r>
  <r>
    <n v="5"/>
    <x v="2"/>
    <n v="0"/>
    <s v=""/>
    <x v="1"/>
    <s v=""/>
  </r>
  <r>
    <n v="5"/>
    <x v="2"/>
    <n v="0"/>
    <s v=""/>
    <x v="1"/>
    <s v=""/>
  </r>
  <r>
    <n v="5"/>
    <x v="2"/>
    <n v="0"/>
    <s v=""/>
    <x v="1"/>
    <s v=""/>
  </r>
  <r>
    <n v="5"/>
    <x v="2"/>
    <n v="0"/>
    <s v=""/>
    <x v="1"/>
    <s v=""/>
  </r>
  <r>
    <n v="6"/>
    <x v="2"/>
    <n v="0"/>
    <s v=""/>
    <x v="1"/>
    <s v=""/>
  </r>
  <r>
    <n v="6"/>
    <x v="2"/>
    <n v="0"/>
    <s v=""/>
    <x v="1"/>
    <s v=""/>
  </r>
  <r>
    <n v="6"/>
    <x v="2"/>
    <n v="0"/>
    <s v=""/>
    <x v="1"/>
    <s v=""/>
  </r>
  <r>
    <n v="6"/>
    <x v="2"/>
    <n v="0"/>
    <s v=""/>
    <x v="1"/>
    <s v=""/>
  </r>
  <r>
    <n v="7"/>
    <x v="2"/>
    <n v="0"/>
    <s v=""/>
    <x v="1"/>
    <s v=""/>
  </r>
  <r>
    <n v="7"/>
    <x v="2"/>
    <n v="0"/>
    <s v=""/>
    <x v="1"/>
    <s v=""/>
  </r>
  <r>
    <n v="7"/>
    <x v="2"/>
    <n v="0"/>
    <s v=""/>
    <x v="1"/>
    <s v=""/>
  </r>
  <r>
    <n v="7"/>
    <x v="2"/>
    <n v="0"/>
    <s v=""/>
    <x v="1"/>
    <s v=""/>
  </r>
  <r>
    <n v="8"/>
    <x v="2"/>
    <n v="0"/>
    <s v=""/>
    <x v="1"/>
    <s v=""/>
  </r>
  <r>
    <n v="8"/>
    <x v="2"/>
    <n v="0"/>
    <s v=""/>
    <x v="1"/>
    <s v=""/>
  </r>
  <r>
    <n v="8"/>
    <x v="2"/>
    <n v="0"/>
    <s v=""/>
    <x v="1"/>
    <s v=""/>
  </r>
  <r>
    <n v="8"/>
    <x v="2"/>
    <n v="0"/>
    <s v=""/>
    <x v="1"/>
    <s v=""/>
  </r>
  <r>
    <n v="9"/>
    <x v="2"/>
    <n v="0"/>
    <s v=""/>
    <x v="1"/>
    <s v=""/>
  </r>
  <r>
    <n v="9"/>
    <x v="2"/>
    <n v="0"/>
    <s v=""/>
    <x v="1"/>
    <s v=""/>
  </r>
  <r>
    <n v="9"/>
    <x v="2"/>
    <n v="0"/>
    <s v=""/>
    <x v="1"/>
    <s v=""/>
  </r>
  <r>
    <n v="9"/>
    <x v="2"/>
    <n v="0"/>
    <s v=""/>
    <x v="1"/>
    <s v=""/>
  </r>
  <r>
    <n v="10"/>
    <x v="2"/>
    <n v="0"/>
    <s v=""/>
    <x v="1"/>
    <s v=""/>
  </r>
  <r>
    <n v="10"/>
    <x v="2"/>
    <n v="0"/>
    <s v=""/>
    <x v="1"/>
    <s v=""/>
  </r>
  <r>
    <n v="10"/>
    <x v="2"/>
    <n v="0"/>
    <s v=""/>
    <x v="1"/>
    <s v=""/>
  </r>
  <r>
    <n v="10"/>
    <x v="2"/>
    <n v="0"/>
    <s v=""/>
    <x v="1"/>
    <s v=""/>
  </r>
  <r>
    <n v="11"/>
    <x v="2"/>
    <n v="0"/>
    <s v=""/>
    <x v="1"/>
    <s v=""/>
  </r>
  <r>
    <n v="11"/>
    <x v="2"/>
    <n v="0"/>
    <s v=""/>
    <x v="1"/>
    <s v=""/>
  </r>
  <r>
    <n v="11"/>
    <x v="2"/>
    <n v="0"/>
    <s v=""/>
    <x v="1"/>
    <s v=""/>
  </r>
  <r>
    <n v="11"/>
    <x v="2"/>
    <n v="0"/>
    <s v=""/>
    <x v="1"/>
    <s v=""/>
  </r>
  <r>
    <n v="12"/>
    <x v="2"/>
    <n v="0"/>
    <s v=""/>
    <x v="1"/>
    <s v=""/>
  </r>
  <r>
    <n v="12"/>
    <x v="2"/>
    <n v="0"/>
    <s v=""/>
    <x v="1"/>
    <s v=""/>
  </r>
  <r>
    <n v="12"/>
    <x v="2"/>
    <n v="0"/>
    <s v=""/>
    <x v="1"/>
    <s v=""/>
  </r>
  <r>
    <n v="12"/>
    <x v="2"/>
    <n v="0"/>
    <s v=""/>
    <x v="1"/>
    <s v=""/>
  </r>
  <r>
    <n v="13"/>
    <x v="2"/>
    <n v="0"/>
    <s v=""/>
    <x v="1"/>
    <s v=""/>
  </r>
  <r>
    <n v="13"/>
    <x v="2"/>
    <n v="0"/>
    <s v=""/>
    <x v="1"/>
    <s v=""/>
  </r>
  <r>
    <n v="13"/>
    <x v="2"/>
    <n v="0"/>
    <s v=""/>
    <x v="1"/>
    <s v=""/>
  </r>
  <r>
    <n v="13"/>
    <x v="2"/>
    <n v="0"/>
    <s v=""/>
    <x v="1"/>
    <s v=""/>
  </r>
  <r>
    <n v="14"/>
    <x v="2"/>
    <n v="0"/>
    <s v=""/>
    <x v="1"/>
    <s v=""/>
  </r>
  <r>
    <n v="14"/>
    <x v="2"/>
    <n v="0"/>
    <s v=""/>
    <x v="1"/>
    <s v=""/>
  </r>
  <r>
    <n v="14"/>
    <x v="2"/>
    <n v="0"/>
    <s v=""/>
    <x v="1"/>
    <s v=""/>
  </r>
  <r>
    <n v="14"/>
    <x v="2"/>
    <n v="0"/>
    <s v=""/>
    <x v="1"/>
    <s v=""/>
  </r>
  <r>
    <n v="15"/>
    <x v="2"/>
    <n v="0"/>
    <s v=""/>
    <x v="1"/>
    <s v=""/>
  </r>
  <r>
    <n v="15"/>
    <x v="2"/>
    <n v="0"/>
    <s v=""/>
    <x v="1"/>
    <s v=""/>
  </r>
  <r>
    <n v="15"/>
    <x v="2"/>
    <n v="0"/>
    <s v=""/>
    <x v="1"/>
    <s v=""/>
  </r>
  <r>
    <n v="15"/>
    <x v="2"/>
    <n v="0"/>
    <s v=""/>
    <x v="1"/>
    <s v=""/>
  </r>
  <r>
    <n v="16"/>
    <x v="2"/>
    <n v="0"/>
    <s v=""/>
    <x v="1"/>
    <s v=""/>
  </r>
  <r>
    <n v="16"/>
    <x v="2"/>
    <n v="0"/>
    <s v=""/>
    <x v="1"/>
    <s v=""/>
  </r>
  <r>
    <n v="16"/>
    <x v="2"/>
    <n v="0"/>
    <s v=""/>
    <x v="1"/>
    <s v=""/>
  </r>
  <r>
    <n v="16"/>
    <x v="2"/>
    <n v="0"/>
    <s v=""/>
    <x v="1"/>
    <s v=""/>
  </r>
  <r>
    <n v="17"/>
    <x v="2"/>
    <n v="0"/>
    <s v=""/>
    <x v="1"/>
    <s v=""/>
  </r>
  <r>
    <n v="17"/>
    <x v="2"/>
    <n v="0"/>
    <s v=""/>
    <x v="1"/>
    <s v=""/>
  </r>
  <r>
    <n v="17"/>
    <x v="2"/>
    <n v="0"/>
    <s v=""/>
    <x v="1"/>
    <s v=""/>
  </r>
  <r>
    <n v="17"/>
    <x v="2"/>
    <n v="0"/>
    <s v=""/>
    <x v="1"/>
    <s v=""/>
  </r>
  <r>
    <n v="18"/>
    <x v="2"/>
    <n v="0"/>
    <s v=""/>
    <x v="1"/>
    <s v=""/>
  </r>
  <r>
    <n v="18"/>
    <x v="2"/>
    <n v="0"/>
    <s v=""/>
    <x v="1"/>
    <s v=""/>
  </r>
  <r>
    <n v="18"/>
    <x v="2"/>
    <n v="0"/>
    <s v=""/>
    <x v="1"/>
    <s v=""/>
  </r>
  <r>
    <n v="18"/>
    <x v="2"/>
    <n v="0"/>
    <s v=""/>
    <x v="1"/>
    <s v=""/>
  </r>
  <r>
    <n v="19"/>
    <x v="2"/>
    <n v="0"/>
    <s v=""/>
    <x v="1"/>
    <s v=""/>
  </r>
  <r>
    <n v="19"/>
    <x v="2"/>
    <n v="0"/>
    <s v=""/>
    <x v="1"/>
    <s v=""/>
  </r>
  <r>
    <n v="19"/>
    <x v="2"/>
    <n v="0"/>
    <s v=""/>
    <x v="1"/>
    <s v=""/>
  </r>
  <r>
    <n v="19"/>
    <x v="2"/>
    <n v="0"/>
    <s v=""/>
    <x v="1"/>
    <s v=""/>
  </r>
  <r>
    <n v="20"/>
    <x v="2"/>
    <n v="0"/>
    <s v=""/>
    <x v="1"/>
    <s v=""/>
  </r>
  <r>
    <n v="20"/>
    <x v="2"/>
    <n v="0"/>
    <s v=""/>
    <x v="1"/>
    <s v=""/>
  </r>
  <r>
    <n v="20"/>
    <x v="2"/>
    <n v="0"/>
    <s v=""/>
    <x v="1"/>
    <s v=""/>
  </r>
  <r>
    <n v="20"/>
    <x v="2"/>
    <n v="0"/>
    <s v=""/>
    <x v="1"/>
    <s v=""/>
  </r>
  <r>
    <n v="21"/>
    <x v="2"/>
    <n v="0"/>
    <s v=""/>
    <x v="1"/>
    <s v=""/>
  </r>
  <r>
    <n v="21"/>
    <x v="2"/>
    <n v="0"/>
    <s v=""/>
    <x v="1"/>
    <s v=""/>
  </r>
  <r>
    <n v="21"/>
    <x v="2"/>
    <n v="0"/>
    <s v=""/>
    <x v="1"/>
    <s v=""/>
  </r>
  <r>
    <n v="21"/>
    <x v="2"/>
    <n v="0"/>
    <s v=""/>
    <x v="1"/>
    <s v=""/>
  </r>
  <r>
    <n v="22"/>
    <x v="2"/>
    <n v="0"/>
    <s v=""/>
    <x v="1"/>
    <s v=""/>
  </r>
  <r>
    <n v="22"/>
    <x v="2"/>
    <n v="0"/>
    <s v=""/>
    <x v="1"/>
    <s v=""/>
  </r>
  <r>
    <n v="22"/>
    <x v="2"/>
    <n v="0"/>
    <s v=""/>
    <x v="1"/>
    <s v=""/>
  </r>
  <r>
    <n v="22"/>
    <x v="2"/>
    <n v="0"/>
    <s v=""/>
    <x v="1"/>
    <s v=""/>
  </r>
  <r>
    <n v="23"/>
    <x v="2"/>
    <n v="0"/>
    <s v=""/>
    <x v="1"/>
    <s v=""/>
  </r>
  <r>
    <n v="23"/>
    <x v="2"/>
    <n v="0"/>
    <s v=""/>
    <x v="1"/>
    <s v=""/>
  </r>
  <r>
    <n v="23"/>
    <x v="2"/>
    <n v="0"/>
    <s v=""/>
    <x v="1"/>
    <s v=""/>
  </r>
  <r>
    <n v="23"/>
    <x v="2"/>
    <n v="0"/>
    <s v=""/>
    <x v="1"/>
    <s v=""/>
  </r>
  <r>
    <n v="24"/>
    <x v="2"/>
    <n v="0"/>
    <s v=""/>
    <x v="1"/>
    <s v=""/>
  </r>
  <r>
    <n v="24"/>
    <x v="2"/>
    <n v="0"/>
    <s v=""/>
    <x v="1"/>
    <s v=""/>
  </r>
  <r>
    <n v="24"/>
    <x v="2"/>
    <n v="0"/>
    <s v=""/>
    <x v="1"/>
    <s v=""/>
  </r>
  <r>
    <n v="24"/>
    <x v="2"/>
    <n v="0"/>
    <s v=""/>
    <x v="1"/>
    <s v=""/>
  </r>
  <r>
    <n v="25"/>
    <x v="2"/>
    <n v="0"/>
    <s v=""/>
    <x v="1"/>
    <s v=""/>
  </r>
  <r>
    <n v="25"/>
    <x v="2"/>
    <n v="0"/>
    <s v=""/>
    <x v="1"/>
    <s v=""/>
  </r>
  <r>
    <n v="25"/>
    <x v="2"/>
    <n v="0"/>
    <s v=""/>
    <x v="1"/>
    <s v=""/>
  </r>
  <r>
    <n v="25"/>
    <x v="2"/>
    <n v="0"/>
    <s v=""/>
    <x v="1"/>
    <s v=""/>
  </r>
  <r>
    <n v="26"/>
    <x v="2"/>
    <n v="0"/>
    <s v=""/>
    <x v="1"/>
    <s v=""/>
  </r>
  <r>
    <n v="26"/>
    <x v="2"/>
    <n v="0"/>
    <s v=""/>
    <x v="1"/>
    <s v=""/>
  </r>
  <r>
    <n v="26"/>
    <x v="2"/>
    <n v="0"/>
    <s v=""/>
    <x v="1"/>
    <s v=""/>
  </r>
  <r>
    <n v="26"/>
    <x v="2"/>
    <n v="0"/>
    <s v=""/>
    <x v="1"/>
    <s v=""/>
  </r>
  <r>
    <n v="27"/>
    <x v="2"/>
    <n v="0"/>
    <s v=""/>
    <x v="1"/>
    <s v=""/>
  </r>
  <r>
    <n v="27"/>
    <x v="2"/>
    <n v="0"/>
    <s v=""/>
    <x v="1"/>
    <s v=""/>
  </r>
  <r>
    <n v="27"/>
    <x v="2"/>
    <n v="0"/>
    <s v=""/>
    <x v="1"/>
    <s v=""/>
  </r>
  <r>
    <n v="27"/>
    <x v="2"/>
    <n v="0"/>
    <s v=""/>
    <x v="1"/>
    <s v=""/>
  </r>
  <r>
    <n v="28"/>
    <x v="2"/>
    <n v="0"/>
    <s v=""/>
    <x v="1"/>
    <s v=""/>
  </r>
  <r>
    <n v="28"/>
    <x v="2"/>
    <n v="0"/>
    <s v=""/>
    <x v="1"/>
    <s v=""/>
  </r>
  <r>
    <n v="28"/>
    <x v="2"/>
    <n v="0"/>
    <s v=""/>
    <x v="1"/>
    <s v=""/>
  </r>
  <r>
    <n v="28"/>
    <x v="2"/>
    <n v="0"/>
    <s v=""/>
    <x v="1"/>
    <s v=""/>
  </r>
  <r>
    <n v="29"/>
    <x v="2"/>
    <n v="0"/>
    <s v=""/>
    <x v="1"/>
    <s v=""/>
  </r>
  <r>
    <n v="29"/>
    <x v="2"/>
    <n v="0"/>
    <s v=""/>
    <x v="1"/>
    <s v=""/>
  </r>
  <r>
    <n v="29"/>
    <x v="2"/>
    <n v="0"/>
    <s v=""/>
    <x v="1"/>
    <s v=""/>
  </r>
  <r>
    <n v="29"/>
    <x v="2"/>
    <n v="0"/>
    <s v=""/>
    <x v="1"/>
    <s v=""/>
  </r>
  <r>
    <n v="30"/>
    <x v="2"/>
    <n v="0"/>
    <s v=""/>
    <x v="1"/>
    <s v=""/>
  </r>
  <r>
    <n v="30"/>
    <x v="2"/>
    <n v="0"/>
    <s v=""/>
    <x v="1"/>
    <s v=""/>
  </r>
  <r>
    <n v="30"/>
    <x v="2"/>
    <n v="0"/>
    <s v=""/>
    <x v="1"/>
    <s v=""/>
  </r>
  <r>
    <n v="30"/>
    <x v="2"/>
    <n v="0"/>
    <s v=""/>
    <x v="1"/>
    <s v=""/>
  </r>
  <r>
    <n v="31"/>
    <x v="2"/>
    <n v="0"/>
    <s v=""/>
    <x v="1"/>
    <s v=""/>
  </r>
  <r>
    <n v="31"/>
    <x v="2"/>
    <n v="0"/>
    <s v=""/>
    <x v="1"/>
    <s v=""/>
  </r>
  <r>
    <n v="31"/>
    <x v="2"/>
    <n v="0"/>
    <s v=""/>
    <x v="1"/>
    <s v=""/>
  </r>
  <r>
    <n v="31"/>
    <x v="2"/>
    <n v="0"/>
    <s v=""/>
    <x v="1"/>
    <s v=""/>
  </r>
  <r>
    <n v="32"/>
    <x v="2"/>
    <n v="0"/>
    <s v=""/>
    <x v="1"/>
    <s v=""/>
  </r>
  <r>
    <n v="32"/>
    <x v="2"/>
    <n v="0"/>
    <s v=""/>
    <x v="1"/>
    <s v=""/>
  </r>
  <r>
    <n v="32"/>
    <x v="2"/>
    <n v="0"/>
    <s v=""/>
    <x v="1"/>
    <s v=""/>
  </r>
  <r>
    <n v="32"/>
    <x v="2"/>
    <n v="0"/>
    <s v=""/>
    <x v="1"/>
    <s v=""/>
  </r>
  <r>
    <n v="33"/>
    <x v="2"/>
    <n v="0"/>
    <s v=""/>
    <x v="1"/>
    <s v=""/>
  </r>
  <r>
    <n v="33"/>
    <x v="2"/>
    <n v="0"/>
    <s v=""/>
    <x v="1"/>
    <s v=""/>
  </r>
  <r>
    <n v="33"/>
    <x v="2"/>
    <n v="0"/>
    <s v=""/>
    <x v="1"/>
    <s v=""/>
  </r>
  <r>
    <n v="33"/>
    <x v="2"/>
    <n v="0"/>
    <s v=""/>
    <x v="1"/>
    <s v=""/>
  </r>
  <r>
    <n v="34"/>
    <x v="2"/>
    <n v="0"/>
    <s v=""/>
    <x v="1"/>
    <s v=""/>
  </r>
  <r>
    <n v="34"/>
    <x v="2"/>
    <n v="0"/>
    <s v=""/>
    <x v="1"/>
    <s v=""/>
  </r>
  <r>
    <n v="34"/>
    <x v="2"/>
    <n v="0"/>
    <s v=""/>
    <x v="1"/>
    <s v=""/>
  </r>
  <r>
    <n v="34"/>
    <x v="2"/>
    <n v="0"/>
    <s v=""/>
    <x v="1"/>
    <s v=""/>
  </r>
  <r>
    <n v="35"/>
    <x v="2"/>
    <n v="0"/>
    <s v=""/>
    <x v="1"/>
    <s v=""/>
  </r>
  <r>
    <n v="35"/>
    <x v="2"/>
    <n v="0"/>
    <s v=""/>
    <x v="1"/>
    <s v=""/>
  </r>
  <r>
    <n v="35"/>
    <x v="2"/>
    <n v="0"/>
    <s v=""/>
    <x v="1"/>
    <s v=""/>
  </r>
  <r>
    <n v="35"/>
    <x v="2"/>
    <n v="0"/>
    <s v=""/>
    <x v="1"/>
    <s v=""/>
  </r>
  <r>
    <n v="36"/>
    <x v="2"/>
    <n v="0"/>
    <s v=""/>
    <x v="1"/>
    <s v=""/>
  </r>
  <r>
    <n v="36"/>
    <x v="2"/>
    <n v="0"/>
    <s v=""/>
    <x v="1"/>
    <s v=""/>
  </r>
  <r>
    <n v="36"/>
    <x v="2"/>
    <n v="0"/>
    <s v=""/>
    <x v="1"/>
    <s v=""/>
  </r>
  <r>
    <n v="36"/>
    <x v="2"/>
    <n v="0"/>
    <s v=""/>
    <x v="1"/>
    <s v=""/>
  </r>
  <r>
    <n v="37"/>
    <x v="2"/>
    <n v="0"/>
    <s v=""/>
    <x v="1"/>
    <s v=""/>
  </r>
  <r>
    <n v="37"/>
    <x v="2"/>
    <n v="0"/>
    <s v=""/>
    <x v="1"/>
    <s v=""/>
  </r>
  <r>
    <n v="37"/>
    <x v="2"/>
    <n v="0"/>
    <s v=""/>
    <x v="1"/>
    <s v=""/>
  </r>
  <r>
    <n v="37"/>
    <x v="2"/>
    <n v="0"/>
    <s v=""/>
    <x v="1"/>
    <s v=""/>
  </r>
  <r>
    <n v="38"/>
    <x v="2"/>
    <n v="0"/>
    <s v=""/>
    <x v="1"/>
    <s v=""/>
  </r>
  <r>
    <n v="38"/>
    <x v="2"/>
    <n v="0"/>
    <s v=""/>
    <x v="1"/>
    <s v=""/>
  </r>
  <r>
    <n v="38"/>
    <x v="2"/>
    <n v="0"/>
    <s v=""/>
    <x v="1"/>
    <s v=""/>
  </r>
  <r>
    <n v="38"/>
    <x v="2"/>
    <n v="0"/>
    <s v=""/>
    <x v="1"/>
    <s v=""/>
  </r>
  <r>
    <n v="39"/>
    <x v="2"/>
    <n v="0"/>
    <s v=""/>
    <x v="1"/>
    <s v=""/>
  </r>
  <r>
    <n v="39"/>
    <x v="2"/>
    <n v="0"/>
    <s v=""/>
    <x v="1"/>
    <s v=""/>
  </r>
  <r>
    <n v="39"/>
    <x v="2"/>
    <n v="0"/>
    <s v=""/>
    <x v="1"/>
    <s v=""/>
  </r>
  <r>
    <n v="39"/>
    <x v="2"/>
    <n v="0"/>
    <s v=""/>
    <x v="1"/>
    <s v=""/>
  </r>
  <r>
    <n v="40"/>
    <x v="2"/>
    <n v="0"/>
    <s v=""/>
    <x v="1"/>
    <s v=""/>
  </r>
  <r>
    <n v="40"/>
    <x v="2"/>
    <n v="0"/>
    <s v=""/>
    <x v="1"/>
    <s v=""/>
  </r>
  <r>
    <n v="40"/>
    <x v="2"/>
    <n v="0"/>
    <s v=""/>
    <x v="1"/>
    <s v=""/>
  </r>
  <r>
    <n v="40"/>
    <x v="2"/>
    <n v="0"/>
    <s v=""/>
    <x v="1"/>
    <s v=""/>
  </r>
  <r>
    <n v="41"/>
    <x v="2"/>
    <n v="0"/>
    <s v=""/>
    <x v="1"/>
    <s v=""/>
  </r>
  <r>
    <n v="41"/>
    <x v="2"/>
    <n v="0"/>
    <s v=""/>
    <x v="1"/>
    <s v=""/>
  </r>
  <r>
    <n v="41"/>
    <x v="2"/>
    <n v="0"/>
    <s v=""/>
    <x v="1"/>
    <s v=""/>
  </r>
  <r>
    <n v="41"/>
    <x v="2"/>
    <n v="0"/>
    <s v=""/>
    <x v="1"/>
    <s v=""/>
  </r>
  <r>
    <n v="42"/>
    <x v="2"/>
    <n v="0"/>
    <s v=""/>
    <x v="1"/>
    <s v=""/>
  </r>
  <r>
    <n v="42"/>
    <x v="2"/>
    <n v="0"/>
    <s v=""/>
    <x v="1"/>
    <s v=""/>
  </r>
  <r>
    <n v="42"/>
    <x v="2"/>
    <n v="0"/>
    <s v=""/>
    <x v="1"/>
    <s v=""/>
  </r>
  <r>
    <n v="42"/>
    <x v="2"/>
    <n v="0"/>
    <s v=""/>
    <x v="1"/>
    <s v=""/>
  </r>
  <r>
    <n v="43"/>
    <x v="2"/>
    <n v="0"/>
    <s v=""/>
    <x v="1"/>
    <s v=""/>
  </r>
  <r>
    <n v="43"/>
    <x v="2"/>
    <n v="0"/>
    <s v=""/>
    <x v="1"/>
    <s v=""/>
  </r>
  <r>
    <n v="43"/>
    <x v="2"/>
    <n v="0"/>
    <s v=""/>
    <x v="1"/>
    <s v=""/>
  </r>
  <r>
    <n v="43"/>
    <x v="2"/>
    <n v="0"/>
    <s v=""/>
    <x v="1"/>
    <s v=""/>
  </r>
  <r>
    <n v="44"/>
    <x v="2"/>
    <n v="0"/>
    <s v=""/>
    <x v="1"/>
    <s v=""/>
  </r>
  <r>
    <n v="44"/>
    <x v="2"/>
    <n v="0"/>
    <s v=""/>
    <x v="1"/>
    <s v=""/>
  </r>
  <r>
    <n v="44"/>
    <x v="2"/>
    <n v="0"/>
    <s v=""/>
    <x v="1"/>
    <s v=""/>
  </r>
  <r>
    <n v="44"/>
    <x v="2"/>
    <n v="0"/>
    <s v=""/>
    <x v="1"/>
    <s v=""/>
  </r>
  <r>
    <n v="45"/>
    <x v="2"/>
    <n v="0"/>
    <s v=""/>
    <x v="1"/>
    <s v=""/>
  </r>
  <r>
    <n v="45"/>
    <x v="2"/>
    <n v="0"/>
    <s v=""/>
    <x v="1"/>
    <s v=""/>
  </r>
  <r>
    <n v="45"/>
    <x v="2"/>
    <n v="0"/>
    <s v=""/>
    <x v="1"/>
    <s v=""/>
  </r>
  <r>
    <n v="45"/>
    <x v="2"/>
    <n v="0"/>
    <s v=""/>
    <x v="1"/>
    <s v=""/>
  </r>
  <r>
    <n v="46"/>
    <x v="2"/>
    <n v="0"/>
    <s v=""/>
    <x v="1"/>
    <s v=""/>
  </r>
  <r>
    <n v="46"/>
    <x v="2"/>
    <n v="0"/>
    <s v=""/>
    <x v="1"/>
    <s v=""/>
  </r>
  <r>
    <n v="46"/>
    <x v="2"/>
    <n v="0"/>
    <s v=""/>
    <x v="1"/>
    <s v=""/>
  </r>
  <r>
    <n v="46"/>
    <x v="2"/>
    <n v="0"/>
    <s v=""/>
    <x v="1"/>
    <s v=""/>
  </r>
  <r>
    <n v="47"/>
    <x v="2"/>
    <n v="0"/>
    <s v=""/>
    <x v="1"/>
    <s v=""/>
  </r>
  <r>
    <n v="47"/>
    <x v="2"/>
    <n v="0"/>
    <s v=""/>
    <x v="1"/>
    <s v=""/>
  </r>
  <r>
    <n v="47"/>
    <x v="2"/>
    <n v="0"/>
    <s v=""/>
    <x v="1"/>
    <s v=""/>
  </r>
  <r>
    <n v="47"/>
    <x v="2"/>
    <n v="0"/>
    <s v=""/>
    <x v="1"/>
    <s v=""/>
  </r>
  <r>
    <n v="48"/>
    <x v="2"/>
    <n v="0"/>
    <s v=""/>
    <x v="1"/>
    <s v=""/>
  </r>
  <r>
    <n v="48"/>
    <x v="2"/>
    <n v="0"/>
    <s v=""/>
    <x v="1"/>
    <s v=""/>
  </r>
  <r>
    <n v="48"/>
    <x v="2"/>
    <n v="0"/>
    <s v=""/>
    <x v="1"/>
    <s v=""/>
  </r>
  <r>
    <n v="48"/>
    <x v="2"/>
    <n v="0"/>
    <s v=""/>
    <x v="1"/>
    <s v=""/>
  </r>
  <r>
    <n v="49"/>
    <x v="2"/>
    <n v="0"/>
    <s v=""/>
    <x v="1"/>
    <s v=""/>
  </r>
  <r>
    <n v="49"/>
    <x v="2"/>
    <n v="0"/>
    <s v=""/>
    <x v="1"/>
    <s v=""/>
  </r>
  <r>
    <n v="49"/>
    <x v="2"/>
    <n v="0"/>
    <s v=""/>
    <x v="1"/>
    <s v=""/>
  </r>
  <r>
    <n v="49"/>
    <x v="2"/>
    <n v="0"/>
    <s v=""/>
    <x v="1"/>
    <s v=""/>
  </r>
  <r>
    <n v="50"/>
    <x v="2"/>
    <n v="0"/>
    <s v=""/>
    <x v="1"/>
    <s v=""/>
  </r>
  <r>
    <n v="50"/>
    <x v="2"/>
    <n v="0"/>
    <s v=""/>
    <x v="1"/>
    <s v=""/>
  </r>
  <r>
    <n v="50"/>
    <x v="2"/>
    <n v="0"/>
    <s v=""/>
    <x v="1"/>
    <s v=""/>
  </r>
  <r>
    <n v="50"/>
    <x v="2"/>
    <n v="0"/>
    <s v=""/>
    <x v="1"/>
    <s v=""/>
  </r>
  <r>
    <m/>
    <x v="3"/>
    <n v="60"/>
    <m/>
    <x v="2"/>
    <m/>
  </r>
  <r>
    <m/>
    <x v="3"/>
    <m/>
    <m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2">
  <r>
    <n v="1"/>
    <x v="0"/>
    <n v="57.199999999999996"/>
  </r>
  <r>
    <n v="1"/>
    <x v="1"/>
    <n v="41.5"/>
  </r>
  <r>
    <n v="1"/>
    <x v="2"/>
    <s v=""/>
  </r>
  <r>
    <n v="1"/>
    <x v="2"/>
    <s v=""/>
  </r>
  <r>
    <n v="2"/>
    <x v="3"/>
    <n v="59.5"/>
  </r>
  <r>
    <n v="2"/>
    <x v="1"/>
    <n v="41.5"/>
  </r>
  <r>
    <n v="2"/>
    <x v="2"/>
    <s v=""/>
  </r>
  <r>
    <n v="2"/>
    <x v="2"/>
    <s v=""/>
  </r>
  <r>
    <n v="3"/>
    <x v="2"/>
    <s v=""/>
  </r>
  <r>
    <n v="3"/>
    <x v="2"/>
    <s v=""/>
  </r>
  <r>
    <n v="3"/>
    <x v="2"/>
    <s v=""/>
  </r>
  <r>
    <n v="3"/>
    <x v="2"/>
    <s v=""/>
  </r>
  <r>
    <n v="4"/>
    <x v="2"/>
    <s v=""/>
  </r>
  <r>
    <n v="4"/>
    <x v="2"/>
    <s v=""/>
  </r>
  <r>
    <n v="4"/>
    <x v="2"/>
    <s v=""/>
  </r>
  <r>
    <n v="4"/>
    <x v="2"/>
    <s v=""/>
  </r>
  <r>
    <n v="5"/>
    <x v="2"/>
    <s v=""/>
  </r>
  <r>
    <n v="5"/>
    <x v="2"/>
    <s v=""/>
  </r>
  <r>
    <n v="5"/>
    <x v="2"/>
    <s v=""/>
  </r>
  <r>
    <n v="5"/>
    <x v="2"/>
    <s v=""/>
  </r>
  <r>
    <n v="6"/>
    <x v="2"/>
    <s v=""/>
  </r>
  <r>
    <n v="6"/>
    <x v="2"/>
    <s v=""/>
  </r>
  <r>
    <n v="6"/>
    <x v="2"/>
    <s v=""/>
  </r>
  <r>
    <n v="6"/>
    <x v="2"/>
    <s v=""/>
  </r>
  <r>
    <n v="7"/>
    <x v="2"/>
    <s v=""/>
  </r>
  <r>
    <n v="7"/>
    <x v="2"/>
    <s v=""/>
  </r>
  <r>
    <n v="7"/>
    <x v="2"/>
    <s v=""/>
  </r>
  <r>
    <n v="7"/>
    <x v="2"/>
    <s v=""/>
  </r>
  <r>
    <n v="8"/>
    <x v="2"/>
    <s v=""/>
  </r>
  <r>
    <n v="8"/>
    <x v="2"/>
    <s v=""/>
  </r>
  <r>
    <n v="8"/>
    <x v="2"/>
    <s v=""/>
  </r>
  <r>
    <n v="8"/>
    <x v="2"/>
    <s v=""/>
  </r>
  <r>
    <n v="9"/>
    <x v="2"/>
    <s v=""/>
  </r>
  <r>
    <n v="9"/>
    <x v="2"/>
    <s v=""/>
  </r>
  <r>
    <n v="9"/>
    <x v="2"/>
    <s v=""/>
  </r>
  <r>
    <n v="9"/>
    <x v="2"/>
    <s v=""/>
  </r>
  <r>
    <n v="10"/>
    <x v="2"/>
    <s v=""/>
  </r>
  <r>
    <n v="10"/>
    <x v="2"/>
    <s v=""/>
  </r>
  <r>
    <n v="10"/>
    <x v="2"/>
    <s v=""/>
  </r>
  <r>
    <n v="10"/>
    <x v="2"/>
    <s v=""/>
  </r>
  <r>
    <n v="11"/>
    <x v="2"/>
    <s v=""/>
  </r>
  <r>
    <n v="11"/>
    <x v="2"/>
    <s v=""/>
  </r>
  <r>
    <n v="11"/>
    <x v="2"/>
    <s v=""/>
  </r>
  <r>
    <n v="11"/>
    <x v="2"/>
    <s v=""/>
  </r>
  <r>
    <n v="12"/>
    <x v="2"/>
    <s v=""/>
  </r>
  <r>
    <n v="12"/>
    <x v="2"/>
    <s v=""/>
  </r>
  <r>
    <n v="12"/>
    <x v="2"/>
    <s v=""/>
  </r>
  <r>
    <n v="12"/>
    <x v="2"/>
    <s v=""/>
  </r>
  <r>
    <n v="13"/>
    <x v="2"/>
    <s v=""/>
  </r>
  <r>
    <n v="13"/>
    <x v="2"/>
    <s v=""/>
  </r>
  <r>
    <n v="13"/>
    <x v="2"/>
    <s v=""/>
  </r>
  <r>
    <n v="13"/>
    <x v="2"/>
    <s v=""/>
  </r>
  <r>
    <n v="14"/>
    <x v="2"/>
    <s v=""/>
  </r>
  <r>
    <n v="14"/>
    <x v="2"/>
    <s v=""/>
  </r>
  <r>
    <n v="14"/>
    <x v="2"/>
    <s v=""/>
  </r>
  <r>
    <n v="14"/>
    <x v="2"/>
    <s v=""/>
  </r>
  <r>
    <n v="15"/>
    <x v="2"/>
    <s v=""/>
  </r>
  <r>
    <n v="15"/>
    <x v="2"/>
    <s v=""/>
  </r>
  <r>
    <n v="15"/>
    <x v="2"/>
    <s v=""/>
  </r>
  <r>
    <n v="15"/>
    <x v="2"/>
    <s v=""/>
  </r>
  <r>
    <n v="16"/>
    <x v="2"/>
    <s v=""/>
  </r>
  <r>
    <n v="16"/>
    <x v="2"/>
    <s v=""/>
  </r>
  <r>
    <n v="16"/>
    <x v="2"/>
    <s v=""/>
  </r>
  <r>
    <n v="16"/>
    <x v="2"/>
    <s v=""/>
  </r>
  <r>
    <n v="17"/>
    <x v="2"/>
    <s v=""/>
  </r>
  <r>
    <n v="17"/>
    <x v="2"/>
    <s v=""/>
  </r>
  <r>
    <n v="17"/>
    <x v="2"/>
    <s v=""/>
  </r>
  <r>
    <n v="17"/>
    <x v="2"/>
    <s v=""/>
  </r>
  <r>
    <n v="18"/>
    <x v="2"/>
    <s v=""/>
  </r>
  <r>
    <n v="18"/>
    <x v="2"/>
    <s v=""/>
  </r>
  <r>
    <n v="18"/>
    <x v="2"/>
    <s v=""/>
  </r>
  <r>
    <n v="18"/>
    <x v="2"/>
    <s v=""/>
  </r>
  <r>
    <n v="19"/>
    <x v="2"/>
    <s v=""/>
  </r>
  <r>
    <n v="19"/>
    <x v="2"/>
    <s v=""/>
  </r>
  <r>
    <n v="19"/>
    <x v="2"/>
    <s v=""/>
  </r>
  <r>
    <n v="19"/>
    <x v="2"/>
    <s v=""/>
  </r>
  <r>
    <n v="20"/>
    <x v="2"/>
    <s v=""/>
  </r>
  <r>
    <n v="20"/>
    <x v="2"/>
    <s v=""/>
  </r>
  <r>
    <n v="20"/>
    <x v="2"/>
    <s v=""/>
  </r>
  <r>
    <n v="20"/>
    <x v="2"/>
    <s v=""/>
  </r>
  <r>
    <n v="21"/>
    <x v="2"/>
    <s v=""/>
  </r>
  <r>
    <n v="21"/>
    <x v="2"/>
    <s v=""/>
  </r>
  <r>
    <n v="21"/>
    <x v="2"/>
    <s v=""/>
  </r>
  <r>
    <n v="21"/>
    <x v="2"/>
    <s v=""/>
  </r>
  <r>
    <n v="22"/>
    <x v="2"/>
    <s v=""/>
  </r>
  <r>
    <n v="22"/>
    <x v="2"/>
    <s v=""/>
  </r>
  <r>
    <n v="22"/>
    <x v="2"/>
    <s v=""/>
  </r>
  <r>
    <n v="22"/>
    <x v="2"/>
    <s v=""/>
  </r>
  <r>
    <n v="23"/>
    <x v="2"/>
    <s v=""/>
  </r>
  <r>
    <n v="23"/>
    <x v="2"/>
    <s v=""/>
  </r>
  <r>
    <n v="23"/>
    <x v="2"/>
    <s v=""/>
  </r>
  <r>
    <n v="23"/>
    <x v="2"/>
    <s v=""/>
  </r>
  <r>
    <n v="24"/>
    <x v="2"/>
    <s v=""/>
  </r>
  <r>
    <n v="24"/>
    <x v="2"/>
    <s v=""/>
  </r>
  <r>
    <n v="24"/>
    <x v="2"/>
    <s v=""/>
  </r>
  <r>
    <n v="24"/>
    <x v="2"/>
    <s v=""/>
  </r>
  <r>
    <n v="25"/>
    <x v="2"/>
    <s v=""/>
  </r>
  <r>
    <n v="25"/>
    <x v="2"/>
    <s v=""/>
  </r>
  <r>
    <n v="25"/>
    <x v="2"/>
    <s v=""/>
  </r>
  <r>
    <n v="25"/>
    <x v="2"/>
    <s v=""/>
  </r>
  <r>
    <n v="26"/>
    <x v="2"/>
    <s v=""/>
  </r>
  <r>
    <n v="26"/>
    <x v="2"/>
    <s v=""/>
  </r>
  <r>
    <n v="26"/>
    <x v="2"/>
    <s v=""/>
  </r>
  <r>
    <n v="26"/>
    <x v="2"/>
    <s v=""/>
  </r>
  <r>
    <n v="27"/>
    <x v="2"/>
    <s v=""/>
  </r>
  <r>
    <n v="27"/>
    <x v="2"/>
    <s v=""/>
  </r>
  <r>
    <n v="27"/>
    <x v="2"/>
    <s v=""/>
  </r>
  <r>
    <n v="27"/>
    <x v="2"/>
    <s v=""/>
  </r>
  <r>
    <n v="28"/>
    <x v="2"/>
    <s v=""/>
  </r>
  <r>
    <n v="28"/>
    <x v="2"/>
    <s v=""/>
  </r>
  <r>
    <n v="28"/>
    <x v="2"/>
    <s v=""/>
  </r>
  <r>
    <n v="28"/>
    <x v="2"/>
    <s v=""/>
  </r>
  <r>
    <n v="29"/>
    <x v="2"/>
    <s v=""/>
  </r>
  <r>
    <n v="29"/>
    <x v="2"/>
    <s v=""/>
  </r>
  <r>
    <n v="29"/>
    <x v="2"/>
    <s v=""/>
  </r>
  <r>
    <n v="29"/>
    <x v="2"/>
    <s v=""/>
  </r>
  <r>
    <n v="30"/>
    <x v="2"/>
    <s v=""/>
  </r>
  <r>
    <n v="30"/>
    <x v="2"/>
    <s v=""/>
  </r>
  <r>
    <n v="30"/>
    <x v="2"/>
    <s v=""/>
  </r>
  <r>
    <n v="30"/>
    <x v="2"/>
    <s v=""/>
  </r>
  <r>
    <n v="31"/>
    <x v="2"/>
    <s v=""/>
  </r>
  <r>
    <n v="31"/>
    <x v="2"/>
    <s v=""/>
  </r>
  <r>
    <n v="31"/>
    <x v="2"/>
    <s v=""/>
  </r>
  <r>
    <n v="31"/>
    <x v="2"/>
    <s v=""/>
  </r>
  <r>
    <n v="32"/>
    <x v="2"/>
    <s v=""/>
  </r>
  <r>
    <n v="32"/>
    <x v="2"/>
    <s v=""/>
  </r>
  <r>
    <n v="32"/>
    <x v="2"/>
    <s v=""/>
  </r>
  <r>
    <n v="32"/>
    <x v="2"/>
    <s v=""/>
  </r>
  <r>
    <n v="33"/>
    <x v="2"/>
    <s v=""/>
  </r>
  <r>
    <n v="33"/>
    <x v="2"/>
    <s v=""/>
  </r>
  <r>
    <n v="33"/>
    <x v="2"/>
    <s v=""/>
  </r>
  <r>
    <n v="33"/>
    <x v="2"/>
    <s v=""/>
  </r>
  <r>
    <n v="34"/>
    <x v="2"/>
    <s v=""/>
  </r>
  <r>
    <n v="34"/>
    <x v="2"/>
    <s v=""/>
  </r>
  <r>
    <n v="34"/>
    <x v="2"/>
    <s v=""/>
  </r>
  <r>
    <n v="34"/>
    <x v="2"/>
    <s v=""/>
  </r>
  <r>
    <n v="35"/>
    <x v="2"/>
    <s v=""/>
  </r>
  <r>
    <n v="35"/>
    <x v="2"/>
    <s v=""/>
  </r>
  <r>
    <n v="35"/>
    <x v="2"/>
    <s v=""/>
  </r>
  <r>
    <n v="35"/>
    <x v="2"/>
    <s v=""/>
  </r>
  <r>
    <n v="36"/>
    <x v="2"/>
    <s v=""/>
  </r>
  <r>
    <n v="36"/>
    <x v="2"/>
    <s v=""/>
  </r>
  <r>
    <n v="36"/>
    <x v="2"/>
    <s v=""/>
  </r>
  <r>
    <n v="36"/>
    <x v="2"/>
    <s v=""/>
  </r>
  <r>
    <n v="37"/>
    <x v="2"/>
    <s v=""/>
  </r>
  <r>
    <n v="37"/>
    <x v="2"/>
    <s v=""/>
  </r>
  <r>
    <n v="37"/>
    <x v="2"/>
    <s v=""/>
  </r>
  <r>
    <n v="37"/>
    <x v="2"/>
    <s v=""/>
  </r>
  <r>
    <n v="38"/>
    <x v="2"/>
    <s v=""/>
  </r>
  <r>
    <n v="38"/>
    <x v="2"/>
    <s v=""/>
  </r>
  <r>
    <n v="38"/>
    <x v="2"/>
    <s v=""/>
  </r>
  <r>
    <n v="38"/>
    <x v="2"/>
    <s v=""/>
  </r>
  <r>
    <n v="39"/>
    <x v="2"/>
    <s v=""/>
  </r>
  <r>
    <n v="39"/>
    <x v="2"/>
    <s v=""/>
  </r>
  <r>
    <n v="39"/>
    <x v="2"/>
    <s v=""/>
  </r>
  <r>
    <n v="39"/>
    <x v="2"/>
    <s v=""/>
  </r>
  <r>
    <n v="40"/>
    <x v="2"/>
    <s v=""/>
  </r>
  <r>
    <n v="40"/>
    <x v="2"/>
    <s v=""/>
  </r>
  <r>
    <n v="40"/>
    <x v="2"/>
    <s v=""/>
  </r>
  <r>
    <n v="40"/>
    <x v="2"/>
    <s v=""/>
  </r>
  <r>
    <n v="41"/>
    <x v="2"/>
    <s v=""/>
  </r>
  <r>
    <n v="41"/>
    <x v="2"/>
    <s v=""/>
  </r>
  <r>
    <n v="41"/>
    <x v="2"/>
    <s v=""/>
  </r>
  <r>
    <n v="41"/>
    <x v="2"/>
    <s v=""/>
  </r>
  <r>
    <n v="42"/>
    <x v="2"/>
    <s v=""/>
  </r>
  <r>
    <n v="42"/>
    <x v="2"/>
    <s v=""/>
  </r>
  <r>
    <n v="42"/>
    <x v="2"/>
    <s v=""/>
  </r>
  <r>
    <n v="42"/>
    <x v="2"/>
    <s v=""/>
  </r>
  <r>
    <n v="43"/>
    <x v="2"/>
    <s v=""/>
  </r>
  <r>
    <n v="43"/>
    <x v="2"/>
    <s v=""/>
  </r>
  <r>
    <n v="43"/>
    <x v="2"/>
    <s v=""/>
  </r>
  <r>
    <n v="43"/>
    <x v="2"/>
    <s v=""/>
  </r>
  <r>
    <n v="44"/>
    <x v="2"/>
    <s v=""/>
  </r>
  <r>
    <n v="44"/>
    <x v="2"/>
    <s v=""/>
  </r>
  <r>
    <n v="44"/>
    <x v="2"/>
    <s v=""/>
  </r>
  <r>
    <n v="44"/>
    <x v="2"/>
    <s v=""/>
  </r>
  <r>
    <n v="45"/>
    <x v="2"/>
    <s v=""/>
  </r>
  <r>
    <n v="45"/>
    <x v="2"/>
    <s v=""/>
  </r>
  <r>
    <n v="45"/>
    <x v="2"/>
    <s v=""/>
  </r>
  <r>
    <n v="45"/>
    <x v="2"/>
    <s v=""/>
  </r>
  <r>
    <n v="46"/>
    <x v="2"/>
    <s v=""/>
  </r>
  <r>
    <n v="46"/>
    <x v="2"/>
    <s v=""/>
  </r>
  <r>
    <n v="46"/>
    <x v="2"/>
    <s v=""/>
  </r>
  <r>
    <n v="46"/>
    <x v="2"/>
    <s v=""/>
  </r>
  <r>
    <n v="47"/>
    <x v="2"/>
    <s v=""/>
  </r>
  <r>
    <n v="47"/>
    <x v="2"/>
    <s v=""/>
  </r>
  <r>
    <n v="47"/>
    <x v="2"/>
    <s v=""/>
  </r>
  <r>
    <n v="47"/>
    <x v="2"/>
    <s v=""/>
  </r>
  <r>
    <n v="48"/>
    <x v="2"/>
    <s v=""/>
  </r>
  <r>
    <n v="48"/>
    <x v="2"/>
    <s v=""/>
  </r>
  <r>
    <n v="48"/>
    <x v="2"/>
    <s v=""/>
  </r>
  <r>
    <n v="48"/>
    <x v="2"/>
    <s v=""/>
  </r>
  <r>
    <n v="49"/>
    <x v="2"/>
    <s v=""/>
  </r>
  <r>
    <n v="49"/>
    <x v="2"/>
    <s v=""/>
  </r>
  <r>
    <n v="49"/>
    <x v="2"/>
    <s v=""/>
  </r>
  <r>
    <n v="49"/>
    <x v="2"/>
    <s v=""/>
  </r>
  <r>
    <n v="50"/>
    <x v="2"/>
    <s v=""/>
  </r>
  <r>
    <n v="50"/>
    <x v="2"/>
    <s v=""/>
  </r>
  <r>
    <n v="50"/>
    <x v="2"/>
    <s v=""/>
  </r>
  <r>
    <n v="50"/>
    <x v="2"/>
    <s v=""/>
  </r>
  <r>
    <m/>
    <x v="4"/>
    <n v="199.7"/>
  </r>
  <r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createdVersion="5" indent="0" compact="0" compactData="0" gridDropZones="1" multipleFieldFilters="0">
  <location ref="A3:C9" firstHeaderRow="2" firstDataRow="2" firstDataCol="2"/>
  <pivotFields count="6">
    <pivotField compact="0" outline="0" showAll="0"/>
    <pivotField axis="axisRow" compact="0" outline="0" showAll="0">
      <items count="1373">
        <item x="2"/>
        <item m="1" x="268"/>
        <item m="1" x="283"/>
        <item m="1" x="1351"/>
        <item m="1" x="1363"/>
        <item m="1" x="300"/>
        <item x="3"/>
        <item m="1" x="194"/>
        <item m="1" x="1007"/>
        <item m="1" x="203"/>
        <item m="1" x="298"/>
        <item m="1" x="204"/>
        <item m="1" x="1008"/>
        <item m="1" x="1035"/>
        <item m="1" x="171"/>
        <item m="1" x="200"/>
        <item m="1" x="1019"/>
        <item m="1" x="186"/>
        <item m="1" x="995"/>
        <item m="1" x="307"/>
        <item m="1" x="72"/>
        <item m="1" x="613"/>
        <item m="1" x="189"/>
        <item m="1" x="978"/>
        <item m="1" x="266"/>
        <item m="1" x="384"/>
        <item m="1" x="309"/>
        <item m="1" x="382"/>
        <item m="1" x="75"/>
        <item m="1" x="622"/>
        <item m="1" x="372"/>
        <item m="1" x="352"/>
        <item m="1" x="78"/>
        <item m="1" x="641"/>
        <item m="1" x="989"/>
        <item m="1" x="295"/>
        <item m="1" x="1342"/>
        <item m="1" x="984"/>
        <item m="1" x="198"/>
        <item m="1" x="616"/>
        <item m="1" x="191"/>
        <item m="1" x="381"/>
        <item m="1" x="1011"/>
        <item m="1" x="313"/>
        <item m="1" x="635"/>
        <item m="1" x="318"/>
        <item m="1" x="290"/>
        <item m="1" x="1333"/>
        <item m="1" x="1013"/>
        <item m="1" x="974"/>
        <item m="1" x="1326"/>
        <item m="1" x="197"/>
        <item m="1" x="1012"/>
        <item m="1" x="297"/>
        <item m="1" x="1356"/>
        <item m="1" x="71"/>
        <item m="1" x="817"/>
        <item m="1" x="696"/>
        <item m="1" x="816"/>
        <item m="1" x="808"/>
        <item m="1" x="207"/>
        <item m="1" x="1025"/>
        <item m="1" x="1027"/>
        <item m="1" x="1197"/>
        <item m="1" x="1004"/>
        <item m="1" x="1015"/>
        <item m="1" x="655"/>
        <item m="1" x="61"/>
        <item m="1" x="190"/>
        <item m="1" x="1005"/>
        <item m="1" x="375"/>
        <item m="1" x="353"/>
        <item m="1" x="812"/>
        <item m="1" x="803"/>
        <item m="1" x="813"/>
        <item m="1" x="893"/>
        <item m="1" x="886"/>
        <item m="1" x="723"/>
        <item m="1" x="713"/>
        <item m="1" x="716"/>
        <item m="1" x="799"/>
        <item m="1" x="1154"/>
        <item m="1" x="1156"/>
        <item m="1" x="263"/>
        <item m="1" x="1318"/>
        <item m="1" x="478"/>
        <item m="1" x="437"/>
        <item m="1" x="195"/>
        <item m="1" x="183"/>
        <item m="1" x="629"/>
        <item m="1" x="74"/>
        <item m="1" x="638"/>
        <item m="1" x="292"/>
        <item m="1" x="187"/>
        <item m="1" x="358"/>
        <item m="1" x="1030"/>
        <item m="1" x="997"/>
        <item m="1" x="1345"/>
        <item m="1" x="996"/>
        <item m="1" x="1001"/>
        <item m="1" x="146"/>
        <item m="1" x="916"/>
        <item m="1" x="403"/>
        <item m="1" x="895"/>
        <item m="1" x="887"/>
        <item m="1" x="175"/>
        <item m="1" x="983"/>
        <item m="1" x="970"/>
        <item m="1" x="628"/>
        <item m="1" x="627"/>
        <item m="1" x="86"/>
        <item m="1" x="659"/>
        <item m="1" x="368"/>
        <item m="1" x="354"/>
        <item m="1" x="485"/>
        <item m="1" x="711"/>
        <item m="1" x="502"/>
        <item m="1" x="1174"/>
        <item m="1" x="637"/>
        <item m="1" x="1175"/>
        <item m="1" x="1165"/>
        <item m="1" x="182"/>
        <item m="1" x="719"/>
        <item m="1" x="815"/>
        <item m="1" x="691"/>
        <item m="1" x="651"/>
        <item m="1" x="1033"/>
        <item m="1" x="82"/>
        <item m="1" x="1167"/>
        <item m="1" x="201"/>
        <item m="1" x="1017"/>
        <item m="1" x="720"/>
        <item m="1" x="712"/>
        <item m="1" x="1329"/>
        <item m="1" x="990"/>
        <item m="1" x="1346"/>
        <item m="1" x="1365"/>
        <item m="1" x="987"/>
        <item m="1" x="1018"/>
        <item m="1" x="500"/>
        <item m="1" x="818"/>
        <item m="1" x="692"/>
        <item m="1" x="707"/>
        <item m="1" x="952"/>
        <item m="1" x="944"/>
        <item m="1" x="206"/>
        <item m="1" x="1178"/>
        <item m="1" x="1221"/>
        <item m="1" x="1340"/>
        <item m="1" x="1034"/>
        <item m="1" x="180"/>
        <item m="1" x="898"/>
        <item m="1" x="522"/>
        <item m="1" x="640"/>
        <item m="1" x="77"/>
        <item m="1" x="633"/>
        <item m="1" x="205"/>
        <item m="1" x="1016"/>
        <item m="1" x="617"/>
        <item m="1" x="199"/>
        <item m="1" x="317"/>
        <item m="1" x="80"/>
        <item m="1" x="644"/>
        <item m="1" x="304"/>
        <item m="1" x="76"/>
        <item m="1" x="634"/>
        <item m="1" x="1024"/>
        <item m="1" x="210"/>
        <item m="1" x="892"/>
        <item m="1" x="883"/>
        <item m="1" x="1337"/>
        <item m="1" x="810"/>
        <item m="1" x="885"/>
        <item m="1" x="795"/>
        <item m="1" x="991"/>
        <item m="1" x="1010"/>
        <item m="1" x="1209"/>
        <item m="1" x="1006"/>
        <item m="1" x="296"/>
        <item m="1" x="1323"/>
        <item m="1" x="260"/>
        <item m="1" x="1317"/>
        <item m="1" x="685"/>
        <item m="1" x="674"/>
        <item m="1" x="976"/>
        <item m="1" x="1334"/>
        <item m="1" x="992"/>
        <item m="1" x="639"/>
        <item m="1" x="650"/>
        <item m="1" x="654"/>
        <item m="1" x="68"/>
        <item m="1" x="85"/>
        <item m="1" x="162"/>
        <item m="1" x="709"/>
        <item m="1" x="800"/>
        <item m="1" x="965"/>
        <item m="1" x="823"/>
        <item m="1" x="725"/>
        <item m="1" x="284"/>
        <item m="1" x="1032"/>
        <item m="1" x="807"/>
        <item m="1" x="986"/>
        <item m="1" x="1362"/>
        <item m="1" x="285"/>
        <item m="1" x="476"/>
        <item m="1" x="435"/>
        <item m="1" x="147"/>
        <item m="1" x="918"/>
        <item m="1" x="671"/>
        <item m="1" x="1316"/>
        <item m="1" x="682"/>
        <item m="1" x="973"/>
        <item m="1" x="1200"/>
        <item m="1" x="1180"/>
        <item m="1" x="1029"/>
        <item m="1" x="642"/>
        <item m="1" x="316"/>
        <item m="1" x="1191"/>
        <item m="1" x="474"/>
        <item m="1" x="1000"/>
        <item m="1" x="73"/>
        <item m="1" x="612"/>
        <item m="1" x="63"/>
        <item m="1" x="83"/>
        <item m="1" x="1226"/>
        <item m="1" x="1206"/>
        <item m="1" x="1364"/>
        <item m="1" x="1350"/>
        <item m="1" x="374"/>
        <item m="1" x="357"/>
        <item m="1" x="361"/>
        <item m="1" x="366"/>
        <item m="1" x="362"/>
        <item m="1" x="1315"/>
        <item m="1" x="668"/>
        <item m="1" x="561"/>
        <item m="1" x="956"/>
        <item m="1" x="208"/>
        <item m="1" x="1014"/>
        <item m="1" x="980"/>
        <item m="1" x="1359"/>
        <item m="1" x="269"/>
        <item m="1" x="1324"/>
        <item m="1" x="365"/>
        <item m="1" x="1171"/>
        <item m="1" x="70"/>
        <item m="1" x="1037"/>
        <item m="1" x="168"/>
        <item m="1" x="1341"/>
        <item m="1" x="1328"/>
        <item m="1" x="184"/>
        <item m="1" x="1026"/>
        <item m="1" x="164"/>
        <item m="1" x="270"/>
        <item m="1" x="1349"/>
        <item m="1" x="1190"/>
        <item m="1" x="169"/>
        <item m="1" x="261"/>
        <item m="1" x="477"/>
        <item m="1" x="436"/>
        <item m="1" x="805"/>
        <item m="1" x="811"/>
        <item m="1" x="6"/>
        <item m="1" x="950"/>
        <item m="1" x="894"/>
        <item m="1" x="900"/>
        <item m="1" x="951"/>
        <item m="1" x="4"/>
        <item m="1" x="947"/>
        <item m="1" x="891"/>
        <item m="1" x="347"/>
        <item m="1" x="379"/>
        <item m="1" x="982"/>
        <item m="1" x="899"/>
        <item m="1" x="1155"/>
        <item m="1" x="1354"/>
        <item m="1" x="1368"/>
        <item m="1" x="286"/>
        <item m="1" x="948"/>
        <item m="1" x="647"/>
        <item m="1" x="1031"/>
        <item m="1" x="802"/>
        <item m="1" x="667"/>
        <item m="1" x="560"/>
        <item m="1" x="355"/>
        <item m="1" x="185"/>
        <item m="1" x="277"/>
        <item m="1" x="69"/>
        <item m="1" x="1202"/>
        <item m="1" x="1105"/>
        <item m="1" x="1227"/>
        <item m="1" x="287"/>
        <item m="1" x="1353"/>
        <item m="1" x="1210"/>
        <item m="1" x="1181"/>
        <item m="1" x="953"/>
        <item m="1" x="949"/>
        <item m="1" x="1369"/>
        <item m="1" x="1336"/>
        <item m="1" x="1339"/>
        <item m="1" x="1348"/>
        <item m="1" x="1343"/>
        <item m="1" x="998"/>
        <item m="1" x="631"/>
        <item m="1" x="649"/>
        <item m="1" x="1028"/>
        <item m="1" x="1189"/>
        <item m="1" x="1194"/>
        <item m="1" x="335"/>
        <item m="1" x="325"/>
        <item m="1" x="491"/>
        <item m="1" x="350"/>
        <item m="1" x="632"/>
        <item m="1" x="213"/>
        <item m="1" x="81"/>
        <item m="1" x="1176"/>
        <item m="1" x="1352"/>
        <item m="1" x="152"/>
        <item m="1" x="174"/>
        <item m="1" x="1020"/>
        <item m="1" x="176"/>
        <item m="1" x="503"/>
        <item m="1" x="52"/>
        <item m="1" x="1199"/>
        <item m="1" x="1186"/>
        <item m="1" x="1276"/>
        <item m="1" x="838"/>
        <item m="1" x="646"/>
        <item m="1" x="981"/>
        <item m="1" x="158"/>
        <item m="1" x="273"/>
        <item m="1" x="625"/>
        <item m="1" x="56"/>
        <item m="1" x="621"/>
        <item m="1" x="695"/>
        <item m="1" x="726"/>
        <item m="1" x="706"/>
        <item m="1" x="1149"/>
        <item m="1" x="50"/>
        <item m="1" x="610"/>
        <item m="1" x="153"/>
        <item m="1" x="969"/>
        <item m="1" x="149"/>
        <item m="1" x="819"/>
        <item m="1" x="966"/>
        <item m="1" x="145"/>
        <item m="1" x="402"/>
        <item m="1" x="1335"/>
        <item m="1" x="279"/>
        <item m="1" x="302"/>
        <item m="1" x="1367"/>
        <item m="1" x="271"/>
        <item m="1" x="289"/>
        <item m="1" x="1332"/>
        <item m="1" x="1357"/>
        <item m="1" x="943"/>
        <item m="1" x="942"/>
        <item m="1" x="914"/>
        <item m="1" x="977"/>
        <item m="1" x="979"/>
        <item m="1" x="157"/>
        <item m="1" x="1224"/>
        <item m="1" x="1213"/>
        <item m="1" x="177"/>
        <item m="1" x="303"/>
        <item m="1" x="291"/>
        <item m="1" x="278"/>
        <item m="1" x="1022"/>
        <item m="1" x="615"/>
        <item m="1" x="1193"/>
        <item m="1" x="1152"/>
        <item m="1" x="308"/>
        <item m="1" x="306"/>
        <item m="1" x="902"/>
        <item m="1" x="65"/>
        <item m="1" x="814"/>
        <item m="1" x="1108"/>
        <item m="1" x="653"/>
        <item m="1" x="84"/>
        <item m="1" x="793"/>
        <item m="1" x="801"/>
        <item m="1" x="896"/>
        <item m="1" x="890"/>
        <item m="1" x="897"/>
        <item m="1" x="698"/>
        <item m="1" x="690"/>
        <item m="1" x="913"/>
        <item m="1" x="155"/>
        <item m="1" x="1347"/>
        <item m="1" x="299"/>
        <item m="1" x="380"/>
        <item m="1" x="656"/>
        <item m="1" x="1157"/>
        <item m="1" x="288"/>
        <item m="1" x="643"/>
        <item m="1" x="614"/>
        <item m="1" x="349"/>
        <item m="1" x="280"/>
        <item m="1" x="211"/>
        <item m="1" x="212"/>
        <item m="1" x="1036"/>
        <item m="1" x="630"/>
        <item m="1" x="79"/>
        <item m="1" x="346"/>
        <item m="1" x="657"/>
        <item m="1" x="1361"/>
        <item m="1" x="917"/>
        <item m="1" x="377"/>
        <item m="1" x="178"/>
        <item m="1" x="1002"/>
        <item m="1" x="339"/>
        <item m="1" x="364"/>
        <item m="1" x="598"/>
        <item m="1" x="320"/>
        <item m="1" x="697"/>
        <item m="1" x="1223"/>
        <item m="1" x="1208"/>
        <item m="1" x="275"/>
        <item m="1" x="281"/>
        <item m="1" x="1203"/>
        <item m="1" x="722"/>
        <item m="1" x="1370"/>
        <item m="1" x="1366"/>
        <item m="1" x="1187"/>
        <item m="1" x="559"/>
        <item m="1" x="193"/>
        <item m="1" x="1179"/>
        <item m="1" x="371"/>
        <item m="1" x="1252"/>
        <item m="1" x="373"/>
        <item m="1" x="1256"/>
        <item m="1" x="1254"/>
        <item m="1" x="1258"/>
        <item m="1" x="1253"/>
        <item m="1" x="351"/>
        <item m="1" x="294"/>
        <item m="1" x="1205"/>
        <item m="1" x="1322"/>
        <item m="1" x="272"/>
        <item m="1" x="971"/>
        <item m="1" x="972"/>
        <item m="1" x="312"/>
        <item m="1" x="975"/>
        <item m="1" x="1023"/>
        <item m="1" x="310"/>
        <item m="1" x="342"/>
        <item m="1" x="321"/>
        <item m="1" x="988"/>
        <item m="1" x="648"/>
        <item m="1" x="62"/>
        <item m="1" x="387"/>
        <item m="1" x="192"/>
        <item m="1" x="163"/>
        <item m="1" x="840"/>
        <item m="1" x="597"/>
        <item m="1" x="58"/>
        <item m="1" x="594"/>
        <item m="1" x="593"/>
        <item m="1" x="652"/>
        <item m="1" x="794"/>
        <item m="1" x="1198"/>
        <item m="1" x="1188"/>
        <item m="1" x="1201"/>
        <item m="1" x="53"/>
        <item m="1" x="315"/>
        <item m="1" x="1021"/>
        <item m="1" x="1184"/>
        <item m="1" x="7"/>
        <item m="1" x="5"/>
        <item m="1" x="334"/>
        <item m="1" x="490"/>
        <item m="1" x="173"/>
        <item m="1" x="999"/>
        <item m="1" x="1355"/>
        <item m="1" x="274"/>
        <item m="1" x="600"/>
        <item m="1" x="601"/>
        <item m="1" x="958"/>
        <item m="1" x="693"/>
        <item m="1" x="839"/>
        <item m="1" x="792"/>
        <item m="1" x="791"/>
        <item m="1" x="324"/>
        <item m="1" x="702"/>
        <item m="1" x="680"/>
        <item m="1" x="337"/>
        <item m="1" x="492"/>
        <item m="1" x="480"/>
        <item m="1" x="301"/>
        <item m="1" x="1360"/>
        <item m="1" x="1217"/>
        <item m="1" x="1218"/>
        <item m="1" x="1219"/>
        <item m="1" x="1220"/>
        <item m="1" x="293"/>
        <item m="1" x="1215"/>
        <item m="1" x="1216"/>
        <item m="1" x="724"/>
        <item m="1" x="717"/>
        <item m="1" x="889"/>
        <item m="1" x="623"/>
        <item m="1" x="993"/>
        <item m="1" x="1222"/>
        <item m="1" x="1212"/>
        <item m="1" x="945"/>
        <item m="1" x="946"/>
        <item m="1" x="919"/>
        <item m="1" x="687"/>
        <item m="1" x="196"/>
        <item m="1" x="1009"/>
        <item m="1" x="1327"/>
        <item m="1" x="341"/>
        <item m="1" x="172"/>
        <item m="1" x="209"/>
        <item m="1" x="1192"/>
        <item m="1" x="482"/>
        <item m="1" x="994"/>
        <item m="1" x="915"/>
        <item m="1" x="494"/>
        <item m="1" x="611"/>
        <item m="1" x="618"/>
        <item m="1" x="388"/>
        <item m="1" x="905"/>
        <item m="1" x="636"/>
        <item m="1" x="389"/>
        <item m="1" x="822"/>
        <item m="1" x="658"/>
        <item m="1" x="1182"/>
        <item m="1" x="821"/>
        <item m="1" x="305"/>
        <item m="1" x="1344"/>
        <item m="1" x="363"/>
        <item m="1" x="64"/>
        <item m="1" x="392"/>
        <item m="1" x="1294"/>
        <item m="1" x="888"/>
        <item m="1" x="1172"/>
        <item m="1" x="1164"/>
        <item m="1" x="1331"/>
        <item m="1" x="1325"/>
        <item m="1" x="1312"/>
        <item m="1" x="679"/>
        <item m="1" x="663"/>
        <item m="1" x="1313"/>
        <item m="1" x="475"/>
        <item m="1" x="599"/>
        <item m="1" x="401"/>
        <item m="1" x="1228"/>
        <item m="1" x="1214"/>
        <item m="1" x="1169"/>
        <item m="1" x="59"/>
        <item m="1" x="699"/>
        <item m="1" x="694"/>
        <item m="1" x="486"/>
        <item m="1" x="483"/>
        <item m="1" x="499"/>
        <item m="1" x="487"/>
        <item m="1" x="481"/>
        <item m="1" x="714"/>
        <item m="1" x="484"/>
        <item m="1" x="824"/>
        <item m="1" x="882"/>
        <item m="1" x="881"/>
        <item m="1" x="689"/>
        <item m="1" x="1177"/>
        <item m="1" x="901"/>
        <item m="1" x="385"/>
        <item m="1" x="161"/>
        <item m="1" x="154"/>
        <item m="1" x="798"/>
        <item m="1" x="150"/>
        <item m="1" x="804"/>
        <item m="1" x="678"/>
        <item m="1" x="159"/>
        <item m="1" x="390"/>
        <item m="1" x="338"/>
        <item m="1" x="501"/>
        <item m="1" x="49"/>
        <item m="1" x="1195"/>
        <item m="1" x="214"/>
        <item m="1" x="314"/>
        <item m="1" x="276"/>
        <item m="1" x="369"/>
        <item m="1" x="170"/>
        <item m="1" x="619"/>
        <item m="1" x="701"/>
        <item m="1" x="88"/>
        <item m="1" x="55"/>
        <item m="1" x="624"/>
        <item m="1" x="1183"/>
        <item m="1" x="1371"/>
        <item m="1" x="54"/>
        <item m="1" x="1003"/>
        <item m="1" x="87"/>
        <item m="1" x="964"/>
        <item m="1" x="66"/>
        <item m="1" x="721"/>
        <item m="1" x="715"/>
        <item m="1" x="57"/>
        <item m="1" x="60"/>
        <item m="1" x="345"/>
        <item m="1" x="383"/>
        <item m="1" x="662"/>
        <item m="1" x="179"/>
        <item m="1" x="1257"/>
        <item m="1" x="1229"/>
        <item m="1" x="165"/>
        <item m="1" x="806"/>
        <item m="1" x="666"/>
        <item m="1" x="67"/>
        <item m="1" x="1151"/>
        <item m="1" x="1150"/>
        <item m="1" x="400"/>
        <item m="1" x="645"/>
        <item m="1" x="188"/>
        <item m="1" x="626"/>
        <item m="1" x="398"/>
        <item m="1" x="399"/>
        <item m="1" x="156"/>
        <item m="1" x="1204"/>
        <item m="1" x="1230"/>
        <item m="1" x="160"/>
        <item m="1" x="1255"/>
        <item m="1" x="367"/>
        <item m="1" x="955"/>
        <item m="1" x="954"/>
        <item m="1" x="51"/>
        <item m="1" x="1163"/>
        <item m="1" x="488"/>
        <item m="1" x="809"/>
        <item m="1" x="797"/>
        <item m="1" x="1330"/>
        <item m="1" x="1166"/>
        <item m="1" x="1170"/>
        <item m="1" x="1207"/>
        <item m="1" x="202"/>
        <item m="1" x="166"/>
        <item m="1" x="1168"/>
        <item m="1" x="718"/>
        <item m="1" x="837"/>
        <item m="1" x="376"/>
        <item m="1" x="359"/>
        <item m="1" x="360"/>
        <item m="1" x="356"/>
        <item m="1" x="681"/>
        <item m="1" x="670"/>
        <item m="1" x="1358"/>
        <item m="1" x="957"/>
        <item m="1" x="1173"/>
        <item m="1" x="1162"/>
        <item m="1" x="962"/>
        <item m="1" x="181"/>
        <item m="1" x="1225"/>
        <item m="1" x="1211"/>
        <item m="1" x="378"/>
        <item m="1" x="348"/>
        <item m="1" x="1185"/>
        <item m="1" x="282"/>
        <item m="1" x="1338"/>
        <item m="1" x="884"/>
        <item m="1" x="710"/>
        <item m="1" x="820"/>
        <item m="1" x="796"/>
        <item m="1" x="167"/>
        <item m="1" x="660"/>
        <item m="1" x="1319"/>
        <item m="1" x="1160"/>
        <item m="1" x="493"/>
        <item m="1" x="985"/>
        <item m="1" x="370"/>
        <item m="1" x="620"/>
        <item m="1" x="1196"/>
        <item m="1" x="467"/>
        <item m="1" x="26"/>
        <item m="1" x="1097"/>
        <item m="1" x="114"/>
        <item m="1" x="1043"/>
        <item m="1" x="330"/>
        <item m="1" x="1085"/>
        <item m="1" x="125"/>
        <item m="1" x="1090"/>
        <item m="1" x="1094"/>
        <item m="1" x="1093"/>
        <item m="1" x="1074"/>
        <item m="1" x="1101"/>
        <item m="1" x="1055"/>
        <item m="1" x="105"/>
        <item m="1" x="424"/>
        <item m="1" x="244"/>
        <item m="1" x="427"/>
        <item m="1" x="236"/>
        <item m="1" x="1075"/>
        <item m="1" x="665"/>
        <item m="1" x="420"/>
        <item m="1" x="231"/>
        <item m="1" x="465"/>
        <item m="1" x="16"/>
        <item m="1" x="459"/>
        <item m="1" x="1091"/>
        <item m="1" x="120"/>
        <item m="1" x="551"/>
        <item m="1" x="536"/>
        <item m="1" x="1158"/>
        <item m="1" x="737"/>
        <item m="1" x="538"/>
        <item m="1" x="1062"/>
        <item m="1" x="531"/>
        <item m="1" x="529"/>
        <item m="1" x="94"/>
        <item m="1" x="1040"/>
        <item m="1" x="332"/>
        <item m="1" x="96"/>
        <item m="1" x="226"/>
        <item m="1" x="1083"/>
        <item m="1" x="123"/>
        <item m="1" x="134"/>
        <item m="1" x="462"/>
        <item m="1" x="35"/>
        <item m="1" x="220"/>
        <item m="1" x="428"/>
        <item m="1" x="245"/>
        <item m="1" x="129"/>
        <item m="1" x="1288"/>
        <item m="1" x="1281"/>
        <item m="1" x="432"/>
        <item m="1" x="254"/>
        <item m="1" x="543"/>
        <item m="1" x="730"/>
        <item m="1" x="546"/>
        <item m="1" x="533"/>
        <item m="1" x="548"/>
        <item m="1" x="38"/>
        <item m="1" x="1112"/>
        <item m="1" x="1285"/>
        <item m="1" x="1280"/>
        <item m="1" x="1290"/>
        <item m="1" x="528"/>
        <item m="1" x="542"/>
        <item m="1" x="525"/>
        <item m="1" x="527"/>
        <item m="1" x="535"/>
        <item m="1" x="1243"/>
        <item m="1" x="1238"/>
        <item m="1" x="516"/>
        <item m="1" x="510"/>
        <item m="1" x="512"/>
        <item m="1" x="1251"/>
        <item m="1" x="395"/>
        <item m="1" x="20"/>
        <item m="1" x="21"/>
        <item m="1" x="29"/>
        <item m="1" x="11"/>
        <item m="1" x="23"/>
        <item m="1" x="239"/>
        <item m="1" x="1143"/>
        <item m="1" x="1039"/>
        <item m="1" x="328"/>
        <item m="1" x="1044"/>
        <item m="1" x="1042"/>
        <item m="1" x="327"/>
        <item m="1" x="99"/>
        <item m="1" x="106"/>
        <item m="1" x="122"/>
        <item m="1" x="108"/>
        <item m="1" x="326"/>
        <item m="1" x="440"/>
        <item m="1" x="8"/>
        <item m="1" x="455"/>
        <item m="1" x="549"/>
        <item m="1" x="253"/>
        <item m="1" x="118"/>
        <item m="1" x="464"/>
        <item m="1" x="46"/>
        <item m="1" x="39"/>
        <item m="1" x="441"/>
        <item m="1" x="311"/>
        <item m="1" x="33"/>
        <item m="1" x="110"/>
        <item m="1" x="419"/>
        <item m="1" x="250"/>
        <item m="1" x="413"/>
        <item m="1" x="1059"/>
        <item m="1" x="255"/>
        <item m="1" x="418"/>
        <item m="1" x="130"/>
        <item m="1" x="1061"/>
        <item m="1" x="109"/>
        <item m="1" x="1107"/>
        <item m="1" x="131"/>
        <item m="1" x="1284"/>
        <item m="1" x="539"/>
        <item m="1" x="421"/>
        <item m="1" x="228"/>
        <item m="1" x="461"/>
        <item m="1" x="36"/>
        <item m="1" x="463"/>
        <item m="1" x="446"/>
        <item m="1" x="15"/>
        <item m="1" x="18"/>
        <item m="1" x="30"/>
        <item m="1" x="112"/>
        <item m="1" x="1278"/>
        <item m="1" x="22"/>
        <item m="1" x="1102"/>
        <item m="1" x="1088"/>
        <item m="1" x="505"/>
        <item m="1" x="504"/>
        <item m="1" x="127"/>
        <item m="1" x="229"/>
        <item m="1" x="101"/>
        <item m="1" x="1080"/>
        <item m="1" x="1084"/>
        <item m="1" x="113"/>
        <item m="1" x="429"/>
        <item m="1" x="415"/>
        <item m="1" x="1096"/>
        <item m="1" x="1053"/>
        <item m="1" x="89"/>
        <item m="1" x="1079"/>
        <item m="1" x="44"/>
        <item m="1" x="445"/>
        <item m="1" x="136"/>
        <item m="1" x="1067"/>
        <item m="1" x="241"/>
        <item m="1" x="141"/>
        <item m="1" x="1240"/>
        <item m="1" x="1236"/>
        <item m="1" x="1247"/>
        <item m="1" x="832"/>
        <item m="1" x="1248"/>
        <item m="1" x="833"/>
        <item m="1" x="139"/>
        <item m="1" x="1070"/>
        <item m="1" x="414"/>
        <item m="1" x="257"/>
        <item m="1" x="416"/>
        <item m="1" x="143"/>
        <item m="1" x="1073"/>
        <item m="1" x="132"/>
        <item m="1" x="116"/>
        <item m="1" x="700"/>
        <item m="1" x="32"/>
        <item m="1" x="111"/>
        <item m="1" x="530"/>
        <item m="1" x="242"/>
        <item m="1" x="1142"/>
        <item m="1" x="1126"/>
        <item m="1" x="1127"/>
        <item m="1" x="1099"/>
        <item m="1" x="468"/>
        <item m="1" x="27"/>
        <item m="1" x="1291"/>
        <item m="1" x="1286"/>
        <item m="1" x="1292"/>
        <item m="1" x="1283"/>
        <item m="1" x="248"/>
        <item m="1" x="227"/>
        <item m="1" x="223"/>
        <item m="1" x="252"/>
        <item m="1" x="331"/>
        <item m="1" x="249"/>
        <item m="1" x="234"/>
        <item m="1" x="422"/>
        <item m="1" x="230"/>
        <item m="1" x="240"/>
        <item m="1" x="1135"/>
        <item m="1" x="423"/>
        <item m="1" x="1132"/>
        <item m="1" x="1139"/>
        <item m="1" x="1129"/>
        <item m="1" x="545"/>
        <item m="1" x="532"/>
        <item m="1" x="1058"/>
        <item m="1" x="1076"/>
        <item m="1" x="90"/>
        <item m="1" x="1098"/>
        <item m="1" x="128"/>
        <item m="1" x="336"/>
        <item m="1" x="703"/>
        <item m="1" x="344"/>
        <item m="1" x="251"/>
        <item m="1" x="135"/>
        <item m="1" x="115"/>
        <item m="1" x="217"/>
        <item m="1" x="1237"/>
        <item m="1" x="835"/>
        <item m="1" x="19"/>
        <item m="1" x="471"/>
        <item m="1" x="340"/>
        <item m="1" x="34"/>
        <item m="1" x="40"/>
        <item m="1" x="1066"/>
        <item m="1" x="409"/>
        <item m="1" x="1125"/>
        <item m="1" x="1081"/>
        <item m="1" x="661"/>
        <item m="1" x="1250"/>
        <item m="1" x="394"/>
        <item m="1" x="1063"/>
        <item m="1" x="222"/>
        <item m="1" x="456"/>
        <item m="1" x="14"/>
        <item m="1" x="1092"/>
        <item m="1" x="1077"/>
        <item m="1" x="841"/>
        <item m="1" x="518"/>
        <item m="1" x="117"/>
        <item m="1" x="903"/>
        <item m="1" x="138"/>
        <item m="1" x="595"/>
        <item m="1" x="1124"/>
        <item m="1" x="1121"/>
        <item m="1" x="1239"/>
        <item m="1" x="1234"/>
        <item m="1" x="963"/>
        <item m="1" x="28"/>
        <item m="1" x="1086"/>
        <item m="1" x="555"/>
        <item m="1" x="605"/>
        <item m="1" x="736"/>
        <item m="1" x="727"/>
        <item m="1" x="137"/>
        <item m="1" x="1069"/>
        <item m="1" x="91"/>
        <item m="1" x="452"/>
        <item m="1" x="442"/>
        <item m="1" x="13"/>
        <item m="1" x="256"/>
        <item m="1" x="258"/>
        <item m="1" x="48"/>
        <item m="1" x="443"/>
        <item m="1" x="1287"/>
        <item m="1" x="1130"/>
        <item m="1" x="24"/>
        <item m="1" x="1117"/>
        <item m="1" x="1295"/>
        <item m="1" x="466"/>
        <item m="1" x="218"/>
        <item m="1" x="107"/>
        <item m="1" x="552"/>
        <item m="1" x="1064"/>
        <item m="1" x="45"/>
        <item m="1" x="1122"/>
        <item m="1" x="1119"/>
        <item m="1" x="1100"/>
        <item m="1" x="10"/>
        <item m="1" x="124"/>
        <item m="1" x="686"/>
        <item m="1" x="41"/>
        <item m="1" x="449"/>
        <item m="1" x="1110"/>
        <item m="1" x="541"/>
        <item m="1" x="514"/>
        <item m="1" x="457"/>
        <item m="1" x="524"/>
        <item m="1" x="523"/>
        <item m="1" x="517"/>
        <item m="1" x="513"/>
        <item m="1" x="511"/>
        <item m="1" x="508"/>
        <item m="1" x="911"/>
        <item m="1" x="25"/>
        <item m="1" x="103"/>
        <item m="1" x="126"/>
        <item m="1" x="133"/>
        <item m="1" x="264"/>
        <item m="1" x="683"/>
        <item m="1" x="672"/>
        <item m="1" x="104"/>
        <item m="1" x="267"/>
        <item m="1" x="1138"/>
        <item m="1" x="1134"/>
        <item m="1" x="1123"/>
        <item m="1" x="1120"/>
        <item m="1" x="144"/>
        <item m="1" x="219"/>
        <item m="1" x="1128"/>
        <item m="1" x="93"/>
        <item m="1" x="557"/>
        <item m="1" x="547"/>
        <item m="1" x="603"/>
        <item m="1" x="322"/>
        <item m="1" x="608"/>
        <item m="1" x="558"/>
        <item m="1" x="323"/>
        <item m="1" x="677"/>
        <item m="1" x="426"/>
        <item m="1" x="225"/>
        <item m="1" x="243"/>
        <item m="1" x="224"/>
        <item m="1" x="448"/>
        <item m="1" x="47"/>
        <item m="1" x="469"/>
        <item m="1" x="1137"/>
        <item m="1" x="411"/>
        <item m="1" x="909"/>
        <item m="1" x="907"/>
        <item m="1" x="910"/>
        <item m="1" x="906"/>
        <item m="1" x="262"/>
        <item m="1" x="1314"/>
        <item m="1" x="498"/>
        <item m="1" x="489"/>
        <item m="1" x="1041"/>
        <item m="1" x="1148"/>
        <item m="1" x="1146"/>
        <item m="1" x="1140"/>
        <item m="1" x="1147"/>
        <item m="1" x="92"/>
        <item m="1" x="232"/>
        <item m="1" x="430"/>
        <item m="1" x="434"/>
        <item m="1" x="246"/>
        <item m="1" x="1246"/>
        <item m="1" x="967"/>
        <item m="1" x="515"/>
        <item m="1" x="1279"/>
        <item m="1" x="669"/>
        <item m="1" x="408"/>
        <item m="1" x="412"/>
        <item m="1" x="42"/>
        <item m="1" x="1116"/>
        <item m="1" x="1114"/>
        <item m="1" x="960"/>
        <item m="1" x="458"/>
        <item m="1" x="1056"/>
        <item m="1" x="98"/>
        <item m="1" x="1065"/>
        <item m="1" x="102"/>
        <item m="1" x="453"/>
        <item m="1" x="1054"/>
        <item m="1" x="1144"/>
        <item m="1" x="1133"/>
        <item m="1" x="142"/>
        <item m="1" x="333"/>
        <item m="1" x="460"/>
        <item m="1" x="1103"/>
        <item m="1" x="140"/>
        <item m="1" x="1052"/>
        <item m="1" x="95"/>
        <item m="1" x="407"/>
        <item m="1" x="1109"/>
        <item m="1" x="17"/>
        <item m="1" x="1232"/>
        <item m="1" x="1231"/>
        <item m="1" x="406"/>
        <item m="1" x="216"/>
        <item m="1" x="675"/>
        <item m="1" x="433"/>
        <item m="1" x="740"/>
        <item m="1" x="604"/>
        <item m="1" x="148"/>
        <item m="1" x="496"/>
        <item m="1" x="1141"/>
        <item m="1" x="233"/>
        <item m="1" x="386"/>
        <item m="1" x="472"/>
        <item m="1" x="1060"/>
        <item m="1" x="1071"/>
        <item m="1" x="1089"/>
        <item m="1" x="607"/>
        <item m="1" x="506"/>
        <item m="1" x="410"/>
        <item m="1" x="544"/>
        <item m="1" x="729"/>
        <item m="1" x="733"/>
        <item m="1" x="396"/>
        <item m="1" x="43"/>
        <item m="1" x="450"/>
        <item m="1" x="1136"/>
        <item m="1" x="1131"/>
        <item m="1" x="1113"/>
        <item m="1" x="451"/>
        <item m="1" x="1072"/>
        <item m="1" x="825"/>
        <item m="1" x="215"/>
        <item m="1" x="454"/>
        <item m="1" x="31"/>
        <item m="1" x="119"/>
        <item m="1" x="1082"/>
        <item m="1" x="259"/>
        <item m="1" x="393"/>
        <item m="1" x="1320"/>
        <item m="1" x="912"/>
        <item m="1" x="908"/>
        <item m="1" x="553"/>
        <item m="1" x="741"/>
        <item m="1" x="1277"/>
        <item m="1" x="444"/>
        <item m="1" x="470"/>
        <item m="1" x="425"/>
        <item m="1" x="1057"/>
        <item m="1" x="473"/>
        <item m="1" x="1118"/>
        <item m="1" x="1104"/>
        <item m="1" x="238"/>
        <item m="1" x="537"/>
        <item m="1" x="738"/>
        <item m="1" x="397"/>
        <item m="1" x="97"/>
        <item m="1" x="100"/>
        <item m="1" x="1321"/>
        <item m="1" x="1095"/>
        <item m="1" x="1078"/>
        <item m="1" x="221"/>
        <item m="1" x="247"/>
        <item m="1" x="329"/>
        <item m="1" x="728"/>
        <item m="1" x="1111"/>
        <item m="1" x="1242"/>
        <item m="1" x="1244"/>
        <item m="1" x="1235"/>
        <item m="1" x="1249"/>
        <item m="1" x="606"/>
        <item m="1" x="417"/>
        <item m="1" x="404"/>
        <item m="1" x="319"/>
        <item m="1" x="834"/>
        <item m="1" x="830"/>
        <item m="1" x="9"/>
        <item m="1" x="431"/>
        <item m="1" x="829"/>
        <item m="1" x="827"/>
        <item m="1" x="828"/>
        <item m="1" x="447"/>
        <item m="1" x="37"/>
        <item m="1" x="237"/>
        <item m="1" x="1087"/>
        <item m="1" x="1068"/>
        <item m="1" x="732"/>
        <item m="1" x="739"/>
        <item m="1" x="735"/>
        <item m="1" x="121"/>
        <item m="1" x="596"/>
        <item m="1" x="12"/>
        <item m="1" x="235"/>
        <item m="1" x="405"/>
        <item m="1" x="526"/>
        <item m="1" x="826"/>
        <item m="1" x="1115"/>
        <item m="1" x="1293"/>
        <item m="1" x="664"/>
        <item m="1" x="534"/>
        <item m="1" x="577"/>
        <item m="1" x="843"/>
        <item x="0"/>
        <item m="1" x="869"/>
        <item m="1" x="585"/>
        <item m="1" x="731"/>
        <item m="1" x="1306"/>
        <item m="1" x="781"/>
        <item m="1" x="578"/>
        <item m="1" x="865"/>
        <item x="1"/>
        <item m="1" x="588"/>
        <item m="1" x="1263"/>
        <item m="1" x="931"/>
        <item m="1" x="1270"/>
        <item m="1" x="1267"/>
        <item m="1" x="937"/>
        <item m="1" x="852"/>
        <item m="1" x="848"/>
        <item m="1" x="924"/>
        <item m="1" x="520"/>
        <item m="1" x="1050"/>
        <item m="1" x="521"/>
        <item m="1" x="1245"/>
        <item m="1" x="583"/>
        <item m="1" x="874"/>
        <item m="1" x="1262"/>
        <item m="1" x="765"/>
        <item m="1" x="779"/>
        <item m="1" x="1048"/>
        <item m="1" x="1303"/>
        <item m="1" x="776"/>
        <item m="1" x="877"/>
        <item m="1" x="745"/>
        <item m="1" x="845"/>
        <item m="1" x="574"/>
        <item m="1" x="519"/>
        <item m="1" x="1046"/>
        <item m="1" x="864"/>
        <item m="1" x="934"/>
        <item m="1" x="584"/>
        <item m="1" x="571"/>
        <item m="1" x="769"/>
        <item m="1" x="1308"/>
        <item m="1" x="756"/>
        <item m="1" x="868"/>
        <item m="1" x="708"/>
        <item m="1" x="757"/>
        <item m="1" x="922"/>
        <item m="1" x="590"/>
        <item m="1" x="1265"/>
        <item m="1" x="925"/>
        <item m="1" x="1301"/>
        <item m="1" x="1304"/>
        <item m="1" x="929"/>
        <item m="1" x="570"/>
        <item m="1" x="591"/>
        <item m="1" x="876"/>
        <item m="1" x="1289"/>
        <item m="1" x="554"/>
        <item m="1" x="556"/>
        <item m="1" x="789"/>
        <item m="1" x="1309"/>
        <item m="1" x="790"/>
        <item m="1" x="782"/>
        <item m="1" x="754"/>
        <item m="1" x="747"/>
        <item m="1" x="581"/>
        <item m="1" x="748"/>
        <item m="1" x="871"/>
        <item m="1" x="959"/>
        <item m="1" x="1311"/>
        <item m="1" x="785"/>
        <item m="1" x="573"/>
        <item m="1" x="582"/>
        <item m="1" x="565"/>
        <item m="1" x="857"/>
        <item m="1" x="1106"/>
        <item m="1" x="1233"/>
        <item m="1" x="575"/>
        <item m="1" x="850"/>
        <item m="1" x="1264"/>
        <item m="1" x="923"/>
        <item m="1" x="926"/>
        <item m="1" x="1274"/>
        <item m="1" x="872"/>
        <item m="1" x="770"/>
        <item m="1" x="773"/>
        <item m="1" x="873"/>
        <item m="1" x="875"/>
        <item m="1" x="867"/>
        <item m="1" x="1268"/>
        <item m="1" x="933"/>
        <item m="1" x="855"/>
        <item m="1" x="844"/>
        <item m="1" x="734"/>
        <item m="1" x="847"/>
        <item m="1" x="568"/>
        <item m="1" x="786"/>
        <item m="1" x="772"/>
        <item m="1" x="763"/>
        <item m="1" x="851"/>
        <item m="1" x="879"/>
        <item m="1" x="858"/>
        <item m="1" x="1272"/>
        <item m="1" x="878"/>
        <item m="1" x="391"/>
        <item m="1" x="562"/>
        <item m="1" x="938"/>
        <item m="1" x="1305"/>
        <item m="1" x="1299"/>
        <item m="1" x="771"/>
        <item m="1" x="1275"/>
        <item m="1" x="939"/>
        <item m="1" x="1045"/>
        <item m="1" x="151"/>
        <item m="1" x="778"/>
        <item m="1" x="1310"/>
        <item m="1" x="863"/>
        <item m="1" x="586"/>
        <item m="1" x="866"/>
        <item m="1" x="854"/>
        <item m="1" x="862"/>
        <item m="1" x="768"/>
        <item m="1" x="961"/>
        <item m="1" x="1049"/>
        <item m="1" x="749"/>
        <item m="1" x="750"/>
        <item m="1" x="587"/>
        <item m="1" x="861"/>
        <item m="1" x="904"/>
        <item m="1" x="479"/>
        <item m="1" x="438"/>
        <item m="1" x="1047"/>
        <item m="1" x="579"/>
        <item m="1" x="842"/>
        <item m="1" x="846"/>
        <item m="1" x="1261"/>
        <item m="1" x="920"/>
        <item m="1" x="688"/>
        <item m="1" x="265"/>
        <item m="1" x="684"/>
        <item m="1" x="673"/>
        <item m="1" x="836"/>
        <item m="1" x="609"/>
        <item m="1" x="831"/>
        <item m="1" x="497"/>
        <item m="1" x="1241"/>
        <item m="1" x="705"/>
        <item m="1" x="880"/>
        <item m="1" x="1298"/>
        <item m="1" x="1273"/>
        <item m="1" x="592"/>
        <item m="1" x="856"/>
        <item m="1" x="1038"/>
        <item m="1" x="563"/>
        <item m="1" x="762"/>
        <item m="1" x="761"/>
        <item m="1" x="676"/>
        <item m="1" x="540"/>
        <item m="1" x="1153"/>
        <item m="1" x="602"/>
        <item m="1" x="704"/>
        <item m="1" x="941"/>
        <item m="1" x="1260"/>
        <item m="1" x="1269"/>
        <item m="1" x="1300"/>
        <item m="1" x="509"/>
        <item m="1" x="1161"/>
        <item m="1" x="1051"/>
        <item m="1" x="930"/>
        <item m="1" x="753"/>
        <item m="1" x="744"/>
        <item m="1" x="580"/>
        <item m="1" x="1259"/>
        <item m="1" x="849"/>
        <item m="1" x="1297"/>
        <item m="1" x="859"/>
        <item m="1" x="1266"/>
        <item m="1" x="759"/>
        <item m="1" x="760"/>
        <item m="1" x="572"/>
        <item m="1" x="569"/>
        <item m="1" x="936"/>
        <item m="1" x="783"/>
        <item m="1" x="921"/>
        <item m="1" x="1282"/>
        <item m="1" x="1271"/>
        <item m="1" x="576"/>
        <item m="1" x="928"/>
        <item m="1" x="780"/>
        <item m="1" x="775"/>
        <item m="1" x="777"/>
        <item m="1" x="566"/>
        <item m="1" x="758"/>
        <item m="1" x="751"/>
        <item m="1" x="746"/>
        <item m="1" x="755"/>
        <item m="1" x="743"/>
        <item m="1" x="752"/>
        <item m="1" x="927"/>
        <item m="1" x="439"/>
        <item m="1" x="784"/>
        <item m="1" x="1296"/>
        <item m="1" x="567"/>
        <item m="1" x="767"/>
        <item m="1" x="343"/>
        <item m="1" x="742"/>
        <item m="1" x="564"/>
        <item m="1" x="766"/>
        <item m="1" x="495"/>
        <item m="1" x="870"/>
        <item m="1" x="968"/>
        <item m="1" x="860"/>
        <item m="1" x="853"/>
        <item m="1" x="932"/>
        <item m="1" x="589"/>
        <item m="1" x="1302"/>
        <item m="1" x="787"/>
        <item m="1" x="764"/>
        <item m="1" x="935"/>
        <item m="1" x="1307"/>
        <item m="1" x="774"/>
        <item m="1" x="507"/>
        <item m="1" x="550"/>
        <item m="1" x="1145"/>
        <item m="1" x="788"/>
        <item m="1" x="1159"/>
        <item m="1" x="940"/>
        <item t="default"/>
      </items>
    </pivotField>
    <pivotField dataField="1" compact="0" outline="0" showAll="0"/>
    <pivotField compact="0" outline="0" showAll="0"/>
    <pivotField axis="axisRow" compact="0" outline="0" showAll="0" defaultSubtotal="0">
      <items count="66">
        <item x="1"/>
        <item m="1" x="27"/>
        <item x="2"/>
        <item x="0"/>
        <item m="1" x="17"/>
        <item m="1" x="25"/>
        <item m="1" x="19"/>
        <item m="1" x="56"/>
        <item m="1" x="29"/>
        <item m="1" x="9"/>
        <item m="1" x="40"/>
        <item m="1" x="64"/>
        <item m="1" x="43"/>
        <item m="1" x="24"/>
        <item m="1" x="35"/>
        <item m="1" x="54"/>
        <item m="1" x="52"/>
        <item m="1" x="55"/>
        <item m="1" x="41"/>
        <item m="1" x="23"/>
        <item m="1" x="30"/>
        <item m="1" x="4"/>
        <item m="1" x="44"/>
        <item m="1" x="42"/>
        <item m="1" x="51"/>
        <item m="1" x="6"/>
        <item m="1" x="48"/>
        <item m="1" x="11"/>
        <item m="1" x="32"/>
        <item m="1" x="15"/>
        <item m="1" x="61"/>
        <item m="1" x="21"/>
        <item m="1" x="45"/>
        <item m="1" x="20"/>
        <item m="1" x="62"/>
        <item m="1" x="37"/>
        <item m="1" x="14"/>
        <item m="1" x="57"/>
        <item m="1" x="28"/>
        <item m="1" x="13"/>
        <item m="1" x="34"/>
        <item m="1" x="49"/>
        <item m="1" x="50"/>
        <item m="1" x="63"/>
        <item m="1" x="8"/>
        <item m="1" x="31"/>
        <item m="1" x="60"/>
        <item m="1" x="36"/>
        <item m="1" x="10"/>
        <item m="1" x="33"/>
        <item m="1" x="46"/>
        <item m="1" x="65"/>
        <item m="1" x="16"/>
        <item m="1" x="26"/>
        <item m="1" x="5"/>
        <item m="1" x="7"/>
        <item m="1" x="47"/>
        <item m="1" x="22"/>
        <item m="1" x="59"/>
        <item m="1" x="3"/>
        <item m="1" x="39"/>
        <item m="1" x="53"/>
        <item m="1" x="12"/>
        <item m="1" x="58"/>
        <item m="1" x="18"/>
        <item m="1" x="38"/>
      </items>
    </pivotField>
    <pivotField compact="0" outline="0" showAll="0"/>
  </pivotFields>
  <rowFields count="2">
    <field x="4"/>
    <field x="1"/>
  </rowFields>
  <rowItems count="5">
    <i>
      <x/>
      <x/>
    </i>
    <i>
      <x v="2"/>
      <x v="6"/>
    </i>
    <i>
      <x v="3"/>
      <x v="1145"/>
    </i>
    <i r="1">
      <x v="1153"/>
    </i>
    <i t="grand">
      <x/>
    </i>
  </rowItems>
  <colItems count="1">
    <i/>
  </colItems>
  <dataFields count="1">
    <dataField name="Sum of QTY" fld="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5" firstHeaderRow="1" firstDataRow="1" firstDataCol="1"/>
  <pivotFields count="2">
    <pivotField axis="axisRow" showAll="0">
      <items count="32">
        <item x="18"/>
        <item x="27"/>
        <item x="30"/>
        <item x="7"/>
        <item x="14"/>
        <item x="5"/>
        <item x="2"/>
        <item x="26"/>
        <item x="24"/>
        <item x="17"/>
        <item x="0"/>
        <item x="9"/>
        <item x="28"/>
        <item x="22"/>
        <item x="19"/>
        <item x="6"/>
        <item x="1"/>
        <item x="25"/>
        <item x="13"/>
        <item x="21"/>
        <item x="8"/>
        <item x="3"/>
        <item x="29"/>
        <item x="12"/>
        <item x="23"/>
        <item x="4"/>
        <item x="20"/>
        <item x="15"/>
        <item x="16"/>
        <item x="10"/>
        <item x="11"/>
        <item t="default"/>
      </items>
    </pivotField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C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createdVersion="5" indent="0" outline="1" outlineData="1" multipleFieldFilters="0">
  <location ref="A3:B9" firstHeaderRow="1" firstDataRow="1" firstDataCol="1"/>
  <pivotFields count="3">
    <pivotField showAll="0"/>
    <pivotField axis="axisRow" showAll="0">
      <items count="466">
        <item x="2"/>
        <item m="1" x="455"/>
        <item m="1" x="464"/>
        <item m="1" x="427"/>
        <item x="4"/>
        <item m="1" x="406"/>
        <item m="1" x="338"/>
        <item m="1" x="166"/>
        <item m="1" x="162"/>
        <item m="1" x="438"/>
        <item m="1" x="95"/>
        <item m="1" x="389"/>
        <item m="1" x="245"/>
        <item m="1" x="332"/>
        <item m="1" x="334"/>
        <item m="1" x="425"/>
        <item m="1" x="460"/>
        <item m="1" x="408"/>
        <item m="1" x="405"/>
        <item m="1" x="330"/>
        <item m="1" x="342"/>
        <item m="1" x="407"/>
        <item m="1" x="328"/>
        <item m="1" x="392"/>
        <item m="1" x="387"/>
        <item m="1" x="234"/>
        <item m="1" x="394"/>
        <item m="1" x="388"/>
        <item m="1" x="237"/>
        <item m="1" x="340"/>
        <item m="1" x="415"/>
        <item m="1" x="243"/>
        <item m="1" x="434"/>
        <item m="1" x="424"/>
        <item m="1" x="456"/>
        <item m="1" x="426"/>
        <item m="1" x="452"/>
        <item m="1" x="232"/>
        <item m="1" x="409"/>
        <item m="1" x="339"/>
        <item m="1" x="130"/>
        <item m="1" x="395"/>
        <item m="1" x="131"/>
        <item m="1" x="150"/>
        <item m="1" x="145"/>
        <item m="1" x="148"/>
        <item m="1" x="337"/>
        <item m="1" x="341"/>
        <item m="1" x="391"/>
        <item m="1" x="241"/>
        <item m="1" x="439"/>
        <item m="1" x="98"/>
        <item m="1" x="147"/>
        <item m="1" x="141"/>
        <item m="1" x="164"/>
        <item m="1" x="160"/>
        <item m="1" x="126"/>
        <item m="1" x="119"/>
        <item m="1" x="121"/>
        <item m="1" x="140"/>
        <item m="1" x="346"/>
        <item m="1" x="354"/>
        <item m="1" x="400"/>
        <item m="1" x="447"/>
        <item m="1" x="7"/>
        <item m="1" x="11"/>
        <item m="1" x="244"/>
        <item m="1" x="102"/>
        <item m="1" x="335"/>
        <item m="1" x="462"/>
        <item m="1" x="336"/>
        <item m="1" x="384"/>
        <item m="1" x="310"/>
        <item m="1" x="165"/>
        <item m="1" x="161"/>
        <item m="1" x="437"/>
        <item m="1" x="100"/>
        <item m="1" x="125"/>
        <item m="1" x="118"/>
        <item m="1" x="390"/>
        <item m="1" x="124"/>
        <item m="1" x="454"/>
        <item m="1" x="333"/>
        <item m="1" x="428"/>
        <item m="1" x="143"/>
        <item m="1" x="149"/>
        <item m="1" x="305"/>
        <item m="1" x="176"/>
        <item m="1" x="172"/>
        <item m="1" x="153"/>
        <item m="1" x="154"/>
        <item m="1" x="235"/>
        <item m="1" x="163"/>
        <item m="1" x="157"/>
        <item m="1" x="458"/>
        <item m="1" x="146"/>
        <item m="1" x="159"/>
        <item m="1" x="136"/>
        <item m="1" x="451"/>
        <item m="1" x="435"/>
        <item m="1" x="329"/>
        <item m="1" x="398"/>
        <item m="1" x="5"/>
        <item m="1" x="9"/>
        <item m="1" x="457"/>
        <item m="1" x="117"/>
        <item m="1" x="304"/>
        <item m="1" x="127"/>
        <item m="1" x="331"/>
        <item m="1" x="385"/>
        <item m="1" x="312"/>
        <item m="1" x="77"/>
        <item m="1" x="446"/>
        <item m="1" x="56"/>
        <item m="1" x="432"/>
        <item m="1" x="453"/>
        <item m="1" x="386"/>
        <item m="1" x="231"/>
        <item m="1" x="461"/>
        <item m="1" x="156"/>
        <item m="1" x="155"/>
        <item m="1" x="441"/>
        <item m="1" x="97"/>
        <item m="1" x="94"/>
        <item m="1" x="96"/>
        <item m="1" x="99"/>
        <item m="1" x="445"/>
        <item m="1" x="33"/>
        <item m="1" x="52"/>
        <item m="1" x="113"/>
        <item m="1" x="459"/>
        <item m="1" x="174"/>
        <item m="1" x="167"/>
        <item m="1" x="91"/>
        <item m="1" x="306"/>
        <item m="1" x="399"/>
        <item m="1" x="101"/>
        <item m="1" x="177"/>
        <item m="1" x="463"/>
        <item m="1" x="242"/>
        <item m="1" x="419"/>
        <item m="1" x="84"/>
        <item m="1" x="410"/>
        <item m="1" x="433"/>
        <item m="1" x="239"/>
        <item m="1" x="128"/>
        <item m="1" x="246"/>
        <item m="1" x="257"/>
        <item m="1" x="233"/>
        <item m="1" x="60"/>
        <item m="1" x="404"/>
        <item m="1" x="327"/>
        <item m="1" x="129"/>
        <item m="1" x="383"/>
        <item m="1" x="8"/>
        <item m="1" x="170"/>
        <item m="1" x="169"/>
        <item m="1" x="134"/>
        <item m="1" x="133"/>
        <item m="1" x="135"/>
        <item m="1" x="114"/>
        <item m="1" x="416"/>
        <item m="1" x="393"/>
        <item m="1" x="355"/>
        <item m="1" x="93"/>
        <item m="1" x="311"/>
        <item m="1" x="411"/>
        <item m="1" x="132"/>
        <item m="1" x="436"/>
        <item m="1" x="80"/>
        <item m="1" x="50"/>
        <item m="1" x="308"/>
        <item m="1" x="74"/>
        <item m="1" x="55"/>
        <item m="1" x="76"/>
        <item m="1" x="256"/>
        <item m="1" x="178"/>
        <item m="1" x="430"/>
        <item m="1" x="32"/>
        <item m="1" x="51"/>
        <item m="1" x="418"/>
        <item m="1" x="448"/>
        <item m="1" x="83"/>
        <item m="1" x="421"/>
        <item m="1" x="313"/>
        <item m="1" x="238"/>
        <item m="1" x="175"/>
        <item m="1" x="173"/>
        <item m="1" x="413"/>
        <item m="1" x="309"/>
        <item m="1" x="116"/>
        <item m="1" x="115"/>
        <item m="1" x="248"/>
        <item m="1" x="236"/>
        <item m="1" x="440"/>
        <item m="1" x="442"/>
        <item m="1" x="443"/>
        <item m="1" x="403"/>
        <item m="1" x="326"/>
        <item m="1" x="122"/>
        <item m="1" x="120"/>
        <item m="1" x="123"/>
        <item m="1" x="139"/>
        <item m="1" x="396"/>
        <item m="1" x="142"/>
        <item m="1" x="423"/>
        <item m="1" x="450"/>
        <item m="1" x="30"/>
        <item m="1" x="412"/>
        <item m="1" x="422"/>
        <item m="1" x="449"/>
        <item m="1" x="303"/>
        <item m="1" x="144"/>
        <item m="1" x="31"/>
        <item m="1" x="111"/>
        <item m="1" x="380"/>
        <item m="1" x="240"/>
        <item m="1" x="414"/>
        <item m="1" x="138"/>
        <item m="1" x="59"/>
        <item m="1" x="171"/>
        <item m="1" x="158"/>
        <item m="1" x="92"/>
        <item m="1" x="137"/>
        <item m="1" x="168"/>
        <item m="1" x="382"/>
        <item m="1" x="247"/>
        <item m="1" x="381"/>
        <item m="1" x="249"/>
        <item m="1" x="379"/>
        <item m="1" x="360"/>
        <item m="1" x="25"/>
        <item m="1" x="366"/>
        <item m="1" x="45"/>
        <item m="1" x="377"/>
        <item m="1" x="88"/>
        <item m="1" x="363"/>
        <item m="1" x="35"/>
        <item m="1" x="365"/>
        <item m="1" x="37"/>
        <item m="1" x="41"/>
        <item m="1" x="63"/>
        <item m="1" x="73"/>
        <item m="1" x="370"/>
        <item m="1" x="357"/>
        <item m="1" x="21"/>
        <item m="1" x="29"/>
        <item m="1" x="358"/>
        <item m="1" x="49"/>
        <item m="1" x="364"/>
        <item m="1" x="361"/>
        <item m="1" x="369"/>
        <item m="1" x="65"/>
        <item m="1" x="18"/>
        <item m="1" x="359"/>
        <item m="1" x="216"/>
        <item m="1" x="214"/>
        <item m="1" x="217"/>
        <item m="1" x="202"/>
        <item m="1" x="200"/>
        <item m="1" x="205"/>
        <item m="1" x="193"/>
        <item m="1" x="371"/>
        <item m="1" x="43"/>
        <item m="1" x="44"/>
        <item m="1" x="48"/>
        <item m="1" x="367"/>
        <item m="1" x="36"/>
        <item m="1" x="69"/>
        <item m="1" x="68"/>
        <item m="1" x="47"/>
        <item m="1" x="203"/>
        <item m="1" x="197"/>
        <item m="1" x="195"/>
        <item m="1" x="375"/>
        <item m="1" x="90"/>
        <item m="1" x="199"/>
        <item m="1" x="198"/>
        <item m="1" x="204"/>
        <item m="1" x="373"/>
        <item m="1" x="186"/>
        <item m="1" x="182"/>
        <item m="1" x="372"/>
        <item m="1" x="24"/>
        <item m="1" x="374"/>
        <item m="1" x="87"/>
        <item m="1" x="39"/>
        <item m="1" x="22"/>
        <item m="1" x="26"/>
        <item m="1" x="104"/>
        <item m="1" x="108"/>
        <item m="1" x="201"/>
        <item m="1" x="191"/>
        <item m="1" x="42"/>
        <item m="1" x="16"/>
        <item m="1" x="71"/>
        <item m="1" x="194"/>
        <item m="1" x="192"/>
        <item m="1" x="185"/>
        <item m="1" x="181"/>
        <item m="1" x="187"/>
        <item m="1" x="184"/>
        <item m="1" x="105"/>
        <item m="1" x="107"/>
        <item m="1" x="378"/>
        <item m="1" x="86"/>
        <item m="1" x="85"/>
        <item m="1" x="356"/>
        <item m="1" x="15"/>
        <item m="1" x="376"/>
        <item m="1" x="344"/>
        <item m="1" x="40"/>
        <item m="1" x="66"/>
        <item m="1" x="362"/>
        <item m="1" x="34"/>
        <item m="1" x="23"/>
        <item m="1" x="19"/>
        <item m="1" x="27"/>
        <item m="1" x="179"/>
        <item m="1" x="221"/>
        <item m="1" x="220"/>
        <item m="1" x="72"/>
        <item m="1" x="67"/>
        <item m="1" x="46"/>
        <item m="1" x="212"/>
        <item m="1" x="219"/>
        <item m="1" x="28"/>
        <item m="1" x="190"/>
        <item m="1" x="189"/>
        <item m="1" x="103"/>
        <item m="1" x="106"/>
        <item m="1" x="64"/>
        <item m="1" x="89"/>
        <item m="1" x="420"/>
        <item m="1" x="62"/>
        <item m="1" x="213"/>
        <item m="1" x="20"/>
        <item m="1" x="17"/>
        <item m="1" x="215"/>
        <item m="1" x="209"/>
        <item m="1" x="302"/>
        <item m="1" x="112"/>
        <item m="1" x="70"/>
        <item m="1" x="109"/>
        <item m="1" x="110"/>
        <item m="1" x="14"/>
        <item m="1" x="228"/>
        <item m="1" x="225"/>
        <item m="1" x="230"/>
        <item m="1" x="226"/>
        <item m="1" x="223"/>
        <item m="1" x="227"/>
        <item m="1" x="401"/>
        <item m="1" x="57"/>
        <item m="1" x="78"/>
        <item m="1" x="81"/>
        <item m="1" x="82"/>
        <item m="1" x="444"/>
        <item m="1" x="180"/>
        <item m="1" x="368"/>
        <item m="1" x="61"/>
        <item m="1" x="54"/>
        <item m="1" x="75"/>
        <item m="1" x="207"/>
        <item m="1" x="206"/>
        <item m="1" x="10"/>
        <item m="1" x="6"/>
        <item m="1" x="397"/>
        <item m="1" x="229"/>
        <item m="1" x="222"/>
        <item m="1" x="38"/>
        <item m="1" x="210"/>
        <item m="1" x="211"/>
        <item m="1" x="261"/>
        <item m="1" x="301"/>
        <item m="1" x="264"/>
        <item m="1" x="322"/>
        <item m="1" x="253"/>
        <item m="1" x="276"/>
        <item m="1" x="284"/>
        <item m="1" x="271"/>
        <item m="1" x="351"/>
        <item m="1" x="353"/>
        <item m="1" x="252"/>
        <item m="1" x="282"/>
        <item m="1" x="265"/>
        <item x="3"/>
        <item x="1"/>
        <item m="1" x="318"/>
        <item m="1" x="260"/>
        <item m="1" x="291"/>
        <item m="1" x="295"/>
        <item m="1" x="290"/>
        <item m="1" x="266"/>
        <item x="0"/>
        <item m="1" x="270"/>
        <item m="1" x="349"/>
        <item m="1" x="299"/>
        <item m="1" x="325"/>
        <item m="1" x="324"/>
        <item m="1" x="279"/>
        <item m="1" x="254"/>
        <item m="1" x="286"/>
        <item m="1" x="316"/>
        <item m="1" x="262"/>
        <item m="1" x="319"/>
        <item m="1" x="298"/>
        <item m="1" x="259"/>
        <item m="1" x="288"/>
        <item m="1" x="263"/>
        <item m="1" x="314"/>
        <item m="1" x="255"/>
        <item m="1" x="188"/>
        <item m="1" x="251"/>
        <item m="1" x="321"/>
        <item m="1" x="289"/>
        <item m="1" x="297"/>
        <item m="1" x="272"/>
        <item m="1" x="294"/>
        <item m="1" x="317"/>
        <item m="1" x="343"/>
        <item m="1" x="208"/>
        <item m="1" x="293"/>
        <item m="1" x="320"/>
        <item m="1" x="280"/>
        <item m="1" x="281"/>
        <item m="1" x="268"/>
        <item m="1" x="275"/>
        <item m="1" x="323"/>
        <item m="1" x="269"/>
        <item m="1" x="347"/>
        <item m="1" x="348"/>
        <item m="1" x="429"/>
        <item m="1" x="431"/>
        <item m="1" x="283"/>
        <item m="1" x="300"/>
        <item m="1" x="296"/>
        <item m="1" x="53"/>
        <item m="1" x="352"/>
        <item m="1" x="350"/>
        <item m="1" x="315"/>
        <item m="1" x="402"/>
        <item m="1" x="58"/>
        <item m="1" x="79"/>
        <item m="1" x="218"/>
        <item m="1" x="152"/>
        <item m="1" x="12"/>
        <item m="1" x="345"/>
        <item m="1" x="267"/>
        <item m="1" x="292"/>
        <item m="1" x="196"/>
        <item m="1" x="273"/>
        <item m="1" x="183"/>
        <item m="1" x="224"/>
        <item m="1" x="285"/>
        <item m="1" x="13"/>
        <item m="1" x="278"/>
        <item m="1" x="417"/>
        <item m="1" x="258"/>
        <item m="1" x="287"/>
        <item m="1" x="277"/>
        <item m="1" x="151"/>
        <item m="1" x="307"/>
        <item m="1" x="250"/>
        <item m="1" x="274"/>
        <item t="default"/>
      </items>
    </pivotField>
    <pivotField dataField="1" showAll="0"/>
  </pivotFields>
  <rowFields count="1">
    <field x="1"/>
  </rowFields>
  <rowItems count="6">
    <i>
      <x/>
    </i>
    <i>
      <x v="4"/>
    </i>
    <i>
      <x v="386"/>
    </i>
    <i>
      <x v="387"/>
    </i>
    <i>
      <x v="394"/>
    </i>
    <i t="grand">
      <x/>
    </i>
  </rowItems>
  <colItems count="1">
    <i/>
  </colItems>
  <dataFields count="1">
    <dataField name="Sum of QTY" fld="2" baseField="1" baseItem="0"/>
  </dataFields>
  <formats count="1">
    <format dxfId="8">
      <pivotArea dataOnly="0" labelOnly="1" fieldPosition="0">
        <references count="1">
          <reference field="1" count="1">
            <x v="37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745" displayName="Table745" ref="M1:N13" totalsRowShown="0">
  <autoFilter ref="M1:N13"/>
  <tableColumns count="2">
    <tableColumn id="1" name="VARIETY" dataDxfId="70"/>
    <tableColumn id="2" name="SAMPLES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1" name="Table212" displayName="Table212" ref="A1:J852" totalsRowShown="0">
  <autoFilter ref="A1:J852"/>
  <tableColumns count="10">
    <tableColumn id="1" name="Column2" dataDxfId="68"/>
    <tableColumn id="2" name="Column1" dataDxfId="67"/>
    <tableColumn id="3" name="LENGTH FOAM" dataDxfId="66"/>
    <tableColumn id="4" name="WEIGHT" dataDxfId="65"/>
    <tableColumn id="5" name="WIDTH FOAM" dataDxfId="64"/>
    <tableColumn id="6" name="WEIGHT2" dataDxfId="63"/>
    <tableColumn id="7" name="TOP FOAM1 &amp; REBOUND1" dataDxfId="62"/>
    <tableColumn id="8" name="WEIGHT3" dataDxfId="61"/>
    <tableColumn id="9" name="TOP FOAM2 &amp; REBOUND2" dataDxfId="60"/>
    <tableColumn id="10" name="WEIGHT4" dataDxfId="59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Table74" displayName="Table74" ref="B1:C36" totalsRowShown="0">
  <autoFilter ref="B1:C36"/>
  <tableColumns count="2">
    <tableColumn id="1" name="VARIETY" dataDxfId="58"/>
    <tableColumn id="2" name="SAMPLES" dataDxfId="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C70" totalsRowShown="0" headerRowDxfId="56" dataDxfId="55">
  <autoFilter ref="A1:C70"/>
  <tableColumns count="3">
    <tableColumn id="1" name="SL.NO" dataDxfId="54"/>
    <tableColumn id="4" name="ITEM CODE" dataDxfId="53"/>
    <tableColumn id="3" name="QTY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B1:Q51" totalsRowShown="0">
  <autoFilter ref="B1:Q51"/>
  <tableColumns count="16">
    <tableColumn id="1" name="1" dataDxfId="51">
      <calculatedColumnFormula>LEFT(Table1[[#This Row],[ITEM CODE]],MIN(FIND({0,1,2,3,4,5,6,7,8,9},Table1[[#This Row],[ITEM CODE]]&amp;"0123456789"))-1)</calculatedColumnFormula>
    </tableColumn>
    <tableColumn id="2" name="2" dataDxfId="50">
      <calculatedColumnFormula>SUBSTITUTE(Table1[[#This Row],[ITEM CODE]],B2,"")</calculatedColumnFormula>
    </tableColumn>
    <tableColumn id="3" name="3" dataDxfId="49">
      <calculatedColumnFormula>IFERROR(LEFT(C2,FIND("-",C2)-1),C2)</calculatedColumnFormula>
    </tableColumn>
    <tableColumn id="4" name="4" dataDxfId="48">
      <calculatedColumnFormula>IFERROR(SEARCH("X",D2),"")</calculatedColumnFormula>
    </tableColumn>
    <tableColumn id="5" name="5" dataDxfId="47">
      <calculatedColumnFormula>IFERROR(SEARCH("X",D2,E2+1),"")</calculatedColumnFormula>
    </tableColumn>
    <tableColumn id="6" name="L" dataDxfId="46">
      <calculatedColumnFormula>IFERROR(LEFT(C2,SEARCH("x",C2)-1),"")</calculatedColumnFormula>
    </tableColumn>
    <tableColumn id="7" name="W" dataDxfId="45">
      <calculatedColumnFormula>IFERROR(MID(D2,E2+1,F2-E2-1),"")</calculatedColumnFormula>
    </tableColumn>
    <tableColumn id="8" name="H" dataDxfId="44">
      <calculatedColumnFormula>IFERROR(MID(D2,F2+1,20),"")</calculatedColumnFormula>
    </tableColumn>
    <tableColumn id="16" name="L1" dataDxfId="43">
      <calculatedColumnFormula>IFERROR(IF(Table2[[#This Row],[L]]&lt;Table2[[#This Row],[W]],Table2[[#This Row],[W]],Table2[[#This Row],[L]]),"")</calculatedColumnFormula>
    </tableColumn>
    <tableColumn id="15" name="W1" dataDxfId="42">
      <calculatedColumnFormula>IF(Table2[[#This Row],[L]]&lt;Table2[[#This Row],[W]],Table2[[#This Row],[L]],Table2[[#This Row],[W]])</calculatedColumnFormula>
    </tableColumn>
    <tableColumn id="9" name="STD-L" dataDxfId="41">
      <calculatedColumnFormula>IFERROR(IF(J2="","",IF(VALUE(J2)&gt;=VALUE(K2),IF(OR(VALUE(J2)=13,VALUE(J2)=20,VALUE(J2)=72,VALUE(J2)=75,VALUE(J2)=78,VALUE(J2)=80,VALUE(J2)=84),J2,IF(VALUE(J2)&lt;72,72,IF(VALUE(J2)&lt;75,75,IF(VALUE(J2)&lt;78,78,IF(VALUE(J2)&lt;80,80,IF(VALUE(J2)&lt;84,84,IF(VALUE(J2)&gt;84,84,""""))))))))),0)</calculatedColumnFormula>
    </tableColumn>
    <tableColumn id="10" name="STD-W" dataDxfId="40">
      <calculatedColumnFormula>IF(H2="","",IF(VALUE(J2)&gt;=VALUE(K2),IF(OR(VALUE(K2)=13,VALUE(K2)=18,VALUE(K2)=18,VALUE(K2)=30,VALUE(K2)=33,VALUE(K2)=36,VALUE(K2)=39,VALUE(K2)=42,VALUE(K2)=45,VALUE(K2)=48,VALUE(K2)=51,VALUE(K2)=54,VALUE(K2)=57,VALUE(K2)=60,VALUE(K2)=63,VALUE(K2)=66,VALUE(K2)=69,VALUE(K2)=72),K2,IF(VALUE(K2)&lt;30,30,IF(VALUE(K2)&lt;33,33,IF(VALUE(H2)&lt;36,36,IF(VALUE(H2)&lt;39,39,IF(VALUE(H2)&lt;42,42,IF(VALUE(H2)&lt;45,45,IF(VALUE(H2)&lt;48,48,IF(VALUE(H2)&lt;51,51,IF(VALUE(H2)&lt;54,54,IF(VALUE(H2)&lt;57,57,IF(VALUE(K2)&lt;60,60,IF(VALUE(K2)&lt;63,63,IF(VALUE(K2)&lt;66,66,IF(VALUE(K2)&lt;69,69,IF(VALUE(K2)&lt;72,72,IF(VALUE(K2)&gt;72,72,"""")))))))))))))))))))</calculatedColumnFormula>
    </tableColumn>
    <tableColumn id="11" name="UNIT SIZE" dataDxfId="39">
      <calculatedColumnFormula>IFERROR(CONCATENATE(L2,"X",M2,"X",I2),"")</calculatedColumnFormula>
    </tableColumn>
    <tableColumn id="12" name="STD ITEMCODE" dataDxfId="38">
      <calculatedColumnFormula>CONCATENATE(B2,N2)</calculatedColumnFormula>
    </tableColumn>
    <tableColumn id="13" name="VARIETY" dataDxfId="37">
      <calculatedColumnFormula>+CONCATENATE(Table2[[#This Row],[1]],Table2[[#This Row],[H]])</calculatedColumnFormula>
    </tableColumn>
    <tableColumn id="14" name="QTY" dataDxfId="36">
      <calculatedColumnFormula>+Table1[[#This Row],[QTY]]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S1:X51" totalsRowShown="0">
  <autoFilter ref="S1:X51"/>
  <tableColumns count="6">
    <tableColumn id="1" name="VARIETY " dataDxfId="35">
      <calculatedColumnFormula>+Table2[[#This Row],[VARIETY]]</calculatedColumnFormula>
    </tableColumn>
    <tableColumn id="2" name="ACTUAL  LENGTH" dataDxfId="34">
      <calculatedColumnFormula>IFERROR(Table2[[#This Row],[L]]-VLOOKUP(Table5[[#This Row],[VARIETY ]],MASTER!$B:$E,4,0),0)</calculatedColumnFormula>
    </tableColumn>
    <tableColumn id="3" name="ACTUAL WIDTH" dataDxfId="33">
      <calculatedColumnFormula>IFERROR(Table2[[#This Row],[W]]-VLOOKUP(Table5[[#This Row],[VARIETY ]],MASTER!$B:$F,5,0),0)</calculatedColumnFormula>
    </tableColumn>
    <tableColumn id="4" name="TOP FOAM/REBOUND LENGTH" dataDxfId="32">
      <calculatedColumnFormula>IFERROR(IF(VLOOKUP(Table5[[#This Row],[VARIETY ]],MASTER!$B:$M,12,0)=0,0,(Table2[[#This Row],[L]]-VLOOKUP(Table5[[#This Row],[VARIETY ]],MASTER!$B:$M,12,0))),0)</calculatedColumnFormula>
    </tableColumn>
    <tableColumn id="5" name="TOP FOAM / REBOUND WIDTH" dataDxfId="31">
      <calculatedColumnFormula>IFERROR(IF(VLOOKUP(Table5[[#This Row],[VARIETY ]],MASTER!$B:$N,13,0)=0,0,(Table2[[#This Row],[W]]-VLOOKUP(Table5[[#This Row],[VARIETY ]],MASTER!$B:$N,13,0))),0)</calculatedColumnFormula>
    </tableColumn>
    <tableColumn id="6" name="Column1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Y1:AF51" totalsRowShown="0">
  <autoFilter ref="Y1:AF51"/>
  <tableColumns count="8">
    <tableColumn id="1" name="LENGTHSIZE" dataDxfId="29">
      <calculatedColumnFormula>IFERROR(IF(VLOOKUP(S2,MASTER!$B:$I,8,0)="40MM",((CONCATENATE(VLOOKUP(S2,MASTER!$B:$H,7,0),T2,"X",VLOOKUP(S2,MASTER!$B:$G,6,0),"X",VLOOKUP(S2,MASTER!$B:$I,8,0)))),(CONCATENATE(VLOOKUP(S2,MASTER!$B:$H,7,0),T2,"X",VLOOKUP(S2,MASTER!$B:$G,6,0),"X",VLOOKUP(S2,MASTER!$B:$I,8,0)))),"")</calculatedColumnFormula>
    </tableColumn>
    <tableColumn id="2" name="QTY" dataDxfId="28">
      <calculatedColumnFormula>Table2[[#This Row],[QTY]]*2</calculatedColumnFormula>
    </tableColumn>
    <tableColumn id="3" name="WIDTHSIZE" dataDxfId="27">
      <calculatedColumnFormula>IFERROR(IF(VLOOKUP(S2,MASTER!$B:$I,8,0)="40MM",((CONCATENATE(VLOOKUP(S2,MASTER!$B:$H,7,0),U2,"X",VLOOKUP(S2,MASTER!$B:$G,6,0),"X",VLOOKUP(S2,MASTER!$B:$I,8,0)))),((CONCATENATE(VLOOKUP(S2,MASTER!$B:$H,7,0),U2,"X",VLOOKUP(S2,MASTER!$B:$G,6,0),"X",VLOOKUP(S2,MASTER!$B:$I,8,0))))),"")</calculatedColumnFormula>
    </tableColumn>
    <tableColumn id="4" name="QTY2" dataDxfId="26">
      <calculatedColumnFormula>+Table2[[#This Row],[QTY]]*2</calculatedColumnFormula>
    </tableColumn>
    <tableColumn id="5" name="TOPFOAM/REBOUND1" dataDxfId="25">
      <calculatedColumnFormula>IF(OR(S2=MASTER!$B$2,S2=MASTER!$B$3,S2=MASTER!$B$4,S2=MASTER!$B$5,S2=MASTER!$B$6,S2=MASTER!$B$7,S2=MASTER!$B$8,S2=MASTER!$B$9,S2=MASTER!$B$10,S2=MASTER!$B$11,S2=MASTER!$B$12,S2=MASTER!$B$13,S2=MASTER!$B$93,S2=MASTER!$B$94,S2=MASTER!$B$128,S2=MASTER!$B$129,S2=MASTER!$B$130,S2=MASTER!$B$131,S2=MASTER!$B$132,S2=MASTER!$B$136,S2=MASTER!$B$137),(CONCATENATE(VLOOKUP(S2,MASTER!$B:$J,9,0),Table5[[#This Row],[TOP FOAM/REBOUND LENGTH]],"X",Table5[[#This Row],[TOP FOAM / REBOUND WIDTH]],"X",VLOOKUP(Table5[[#This Row],[VARIETY ]],MASTER!$B:$K,10,0))),"")</calculatedColumnFormula>
    </tableColumn>
    <tableColumn id="6" name="QTY3" dataDxfId="24">
      <calculatedColumnFormula>+Table2[[#This Row],[QTY]]*1</calculatedColumnFormula>
    </tableColumn>
    <tableColumn id="7" name="TOPFOAM/REBOUND14" dataDxfId="23">
      <calculatedColumnFormula>IF(OR(S2=MASTER!$B$2,S2=MASTER!$B$3,S2=MASTER!$B$4,S2=MASTER!$B$5,S2=MASTER!$B$6,S2=MASTER!$B$7,S2=MASTER!$B$8,S2=MASTER!$B$9,S2=MASTER!$B$136,S2=MASTER!$B$10,S2=MASTER!$B$11,S2=MASTER!$B$12,S2=MASTER!$B$13,S2=MASTER!$B$2,S2=MASTER!$B$132,S2=MASTER!$B$137),(CONCATENATE(VLOOKUP(S2,MASTER!$B:$J,9,0),Table5[[#This Row],[TOP FOAM/REBOUND LENGTH]],"X",Table5[[#This Row],[TOP FOAM / REBOUND WIDTH]],"X",VLOOKUP(Table5[[#This Row],[VARIETY ]],MASTER!$B:$L,11,0))),"")</calculatedColumnFormula>
    </tableColumn>
    <tableColumn id="8" name="QTY5" dataDxfId="22">
      <calculatedColumnFormula>+Table2[[#This Row],[QTY]]*1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510" displayName="Table510" ref="AH1:AL51" totalsRowShown="0">
  <autoFilter ref="AH1:AL51"/>
  <tableColumns count="5">
    <tableColumn id="1" name="VARIETY " dataDxfId="21">
      <calculatedColumnFormula>+Table2[[#This Row],[VARIETY]]</calculatedColumnFormula>
    </tableColumn>
    <tableColumn id="2" name="ACTUAL  LENGTH" dataDxfId="20">
      <calculatedColumnFormula>IFERROR(Table2[[#This Row],[STD-L]]-VLOOKUP(AH2,MASTER!$B:$E,4,0),0)</calculatedColumnFormula>
    </tableColumn>
    <tableColumn id="3" name="ACTUAL WIDTH" dataDxfId="19">
      <calculatedColumnFormula>IFERROR(Table2[[#This Row],[STD-W]]-VLOOKUP(AH2,MASTER!$B:$F,5,0),0)</calculatedColumnFormula>
    </tableColumn>
    <tableColumn id="4" name="TOP FOAM/REBOUND LENGTH" dataDxfId="18">
      <calculatedColumnFormula>IFERROR(L2-0.5,"")</calculatedColumnFormula>
    </tableColumn>
    <tableColumn id="5" name="TOP FOAM / REBOUND WIDTH" dataDxfId="17">
      <calculatedColumnFormula>IFERROR(M2-0.5,"")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611" displayName="Table611" ref="AN1:AU51" totalsRowShown="0">
  <autoFilter ref="AN1:AU51"/>
  <tableColumns count="8">
    <tableColumn id="1" name="LENGTHSIZE" dataDxfId="16">
      <calculatedColumnFormula>IFERROR(CONCATENATE(VLOOKUP(AH2,MASTER!$B:$H,7,0),Table510[[#This Row],[ACTUAL  LENGTH]],"0X",VLOOKUP(AH2,MASTER!$B:$G,6,0),"X",VLOOKUP(AH2,MASTER!$B:$I,8,0)),"")</calculatedColumnFormula>
    </tableColumn>
    <tableColumn id="2" name="QTY" dataDxfId="15">
      <calculatedColumnFormula>IFERROR(((VLOOKUP(Table611[[#This Row],[LENGTHSIZE]],'ALL NEW ITEM '!$E:$F,2,0)*2)*Q2),"")</calculatedColumnFormula>
    </tableColumn>
    <tableColumn id="3" name="WIDTHSIZE" dataDxfId="14">
      <calculatedColumnFormula>IFERROR(IF(VLOOKUP(AH2,MASTER!$B:$I,8,0)="40MM",(CONCATENATE(VLOOKUP(AH2,MASTER!$B:$H,7,0),Table510[[#This Row],[ACTUAL WIDTH]],"0X",VLOOKUP(AH2,MASTER!$B:$G,6,0),"X",VLOOKUP(AH2,MASTER!$B:$I,8,0))),(CONCATENATE(VLOOKUP(AH2,MASTER!$B:$H,7,0),Table510[[#This Row],[ACTUAL WIDTH]],"X",VLOOKUP(AH2,MASTER!$B:$G,6,0),"X",VLOOKUP(AH2,MASTER!$B:$I,8,0)))),"")</calculatedColumnFormula>
    </tableColumn>
    <tableColumn id="4" name="QTY2" dataDxfId="13">
      <calculatedColumnFormula>+IFERROR(((VLOOKUP(AP2,'ALL NEW ITEM '!$E:$F,2,0)*2)*Table2[[#This Row],[QTY]]),"")</calculatedColumnFormula>
    </tableColumn>
    <tableColumn id="5" name="TOPFOAM/REBOUND1" dataDxfId="12">
      <calculatedColumnFormula>IF(OR(AH2=MASTER!$B$2,AH2=MASTER!$B$3,AH2=MASTER!$B$4,AH2=MASTER!$B$5,AH2=MASTER!$B$6,AH2=MASTER!$B$128,AH2=MASTER!$B$129,AH2=MASTER!$B$130,AH2=MASTER!$B$131,AH2=MASTER!$B$132,AH2=MASTER!$B$133,AH2=MASTER!$B$134,AH2=MASTER!$B$135,AH2=MASTER!$B$136,AH2=MASTER!$B$137),(CONCATENATE(VLOOKUP(AH2,MASTER!$B:$J,9,0),AK2,"0X",AL2,"0X",VLOOKUP(Table5[[#This Row],[VARIETY ]],MASTER!$B:$K,10,0))),"")</calculatedColumnFormula>
    </tableColumn>
    <tableColumn id="6" name="QTY3" dataDxfId="11">
      <calculatedColumnFormula>IFERROR(VLOOKUP(AR2,'ALL NEW ITEM '!$E:$F,2,0)*Q2,"")</calculatedColumnFormula>
    </tableColumn>
    <tableColumn id="7" name="TOPFOAM/REBOUND14" dataDxfId="10">
      <calculatedColumnFormula>IF(OR(AH2=MASTER!$B$2,AH2=MASTER!$B$3,AH2=MASTER!$B$4,AH2=MASTER!$B$5,AH2=MASTER!$B$6,AH2=MASTER!$B$2,AH2=MASTER!$B$132,AH2=MASTER!$B$135,AH2=MASTER!$B$136,AH2=MASTER!$B$137),(CONCATENATE(VLOOKUP(AH2,MASTER!$B:$J,9,0),AK2,"0X",AL2,"0X",VLOOKUP(Table5[[#This Row],[VARIETY ]],MASTER!$B:$L,11,0))),"")</calculatedColumnFormula>
    </tableColumn>
    <tableColumn id="8" name="QTY4" dataDxfId="9">
      <calculatedColumnFormula>IFERROR(VLOOKUP(Table611[[#This Row],[TOPFOAM/REBOUND14]],'ALL NEW ITEM '!$E:$F,2,0)*Q2,"")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223"/>
  <sheetViews>
    <sheetView topLeftCell="A835" workbookViewId="0">
      <selection sqref="A1:B852"/>
    </sheetView>
  </sheetViews>
  <sheetFormatPr defaultColWidth="9" defaultRowHeight="18"/>
  <cols>
    <col min="1" max="1" width="20.28515625" customWidth="1"/>
    <col min="2" max="2" width="41.5703125" customWidth="1"/>
    <col min="3" max="3" width="52.85546875" customWidth="1"/>
    <col min="4" max="4" width="14.85546875" style="15" customWidth="1"/>
    <col min="5" max="5" width="52.85546875" customWidth="1"/>
    <col min="6" max="6" width="16.28515625" style="76" customWidth="1"/>
    <col min="7" max="7" width="52.85546875" customWidth="1"/>
    <col min="8" max="8" width="16.28515625" style="76" customWidth="1"/>
    <col min="9" max="9" width="52.85546875" customWidth="1"/>
    <col min="10" max="10" width="16.28515625" style="76" customWidth="1"/>
    <col min="11" max="11" width="8.85546875" customWidth="1"/>
    <col min="13" max="14" width="31" customWidth="1"/>
  </cols>
  <sheetData>
    <row r="1" spans="1:14" ht="20.25">
      <c r="A1" s="340" t="s">
        <v>4038</v>
      </c>
      <c r="B1" s="340" t="s">
        <v>3068</v>
      </c>
      <c r="C1" s="341" t="s">
        <v>0</v>
      </c>
      <c r="D1" s="342" t="s">
        <v>1</v>
      </c>
      <c r="E1" s="341" t="s">
        <v>2</v>
      </c>
      <c r="F1" s="342" t="s">
        <v>3</v>
      </c>
      <c r="G1" s="341" t="s">
        <v>4</v>
      </c>
      <c r="H1" s="342" t="s">
        <v>5</v>
      </c>
      <c r="I1" s="341" t="s">
        <v>6</v>
      </c>
      <c r="J1" s="347" t="s">
        <v>7</v>
      </c>
      <c r="M1" s="280" t="s">
        <v>8</v>
      </c>
      <c r="N1" s="280" t="s">
        <v>9</v>
      </c>
    </row>
    <row r="2" spans="1:14" ht="20.25">
      <c r="A2" s="344" t="s">
        <v>19</v>
      </c>
      <c r="B2" s="345" t="s">
        <v>4039</v>
      </c>
      <c r="C2" s="76" t="s">
        <v>10</v>
      </c>
      <c r="D2" s="343">
        <v>0.33400000000000002</v>
      </c>
      <c r="E2" s="76" t="s">
        <v>11</v>
      </c>
      <c r="F2" s="343">
        <v>0.124</v>
      </c>
      <c r="G2" s="76" t="s">
        <v>12</v>
      </c>
      <c r="H2" s="343">
        <v>0.22</v>
      </c>
      <c r="I2" s="76"/>
      <c r="J2" s="348"/>
      <c r="M2" s="281" t="s">
        <v>13</v>
      </c>
      <c r="N2" s="281" t="s">
        <v>14</v>
      </c>
    </row>
    <row r="3" spans="1:14" ht="20.25">
      <c r="A3" s="344" t="s">
        <v>19</v>
      </c>
      <c r="B3" s="345" t="s">
        <v>4040</v>
      </c>
      <c r="C3" s="76" t="s">
        <v>10</v>
      </c>
      <c r="D3" s="343">
        <v>0.33400000000000002</v>
      </c>
      <c r="E3" s="76" t="s">
        <v>15</v>
      </c>
      <c r="F3" s="343">
        <v>0.152</v>
      </c>
      <c r="G3" s="76" t="s">
        <v>16</v>
      </c>
      <c r="H3" s="343">
        <v>0.26500000000000001</v>
      </c>
      <c r="I3" s="76"/>
      <c r="J3" s="348"/>
      <c r="M3" s="281" t="s">
        <v>17</v>
      </c>
      <c r="N3" s="281" t="s">
        <v>18</v>
      </c>
    </row>
    <row r="4" spans="1:14" ht="20.25">
      <c r="A4" s="344" t="s">
        <v>19</v>
      </c>
      <c r="B4" s="345" t="s">
        <v>20</v>
      </c>
      <c r="C4" s="76" t="s">
        <v>10</v>
      </c>
      <c r="D4" s="343">
        <v>0.33400000000000002</v>
      </c>
      <c r="E4" s="76" t="s">
        <v>21</v>
      </c>
      <c r="F4" s="343">
        <v>0.18</v>
      </c>
      <c r="G4" s="76" t="s">
        <v>22</v>
      </c>
      <c r="H4" s="343">
        <v>0.31</v>
      </c>
      <c r="I4" s="76"/>
      <c r="J4" s="348"/>
      <c r="M4" s="281" t="s">
        <v>23</v>
      </c>
      <c r="N4" s="281" t="s">
        <v>18</v>
      </c>
    </row>
    <row r="5" spans="1:14" ht="20.25">
      <c r="A5" s="344" t="s">
        <v>19</v>
      </c>
      <c r="B5" s="345" t="s">
        <v>24</v>
      </c>
      <c r="C5" s="76" t="s">
        <v>10</v>
      </c>
      <c r="D5" s="343">
        <v>0.33400000000000002</v>
      </c>
      <c r="E5" s="76" t="s">
        <v>25</v>
      </c>
      <c r="F5" s="343">
        <v>0.20799999999999999</v>
      </c>
      <c r="G5" s="76" t="s">
        <v>26</v>
      </c>
      <c r="H5" s="343">
        <v>0.35499999999999998</v>
      </c>
      <c r="I5" s="76"/>
      <c r="J5" s="348"/>
      <c r="M5" s="281" t="s">
        <v>27</v>
      </c>
      <c r="N5" s="281" t="s">
        <v>28</v>
      </c>
    </row>
    <row r="6" spans="1:14" ht="20.25">
      <c r="A6" s="344" t="s">
        <v>19</v>
      </c>
      <c r="B6" s="345" t="s">
        <v>29</v>
      </c>
      <c r="C6" s="76" t="s">
        <v>10</v>
      </c>
      <c r="D6" s="343">
        <v>0.33400000000000002</v>
      </c>
      <c r="E6" s="76" t="s">
        <v>30</v>
      </c>
      <c r="F6" s="346">
        <v>0.26400000000000001</v>
      </c>
      <c r="G6" s="76" t="s">
        <v>31</v>
      </c>
      <c r="H6" s="343">
        <v>0.44500000000000001</v>
      </c>
      <c r="I6" s="76"/>
      <c r="J6" s="348"/>
      <c r="M6" s="281" t="s">
        <v>32</v>
      </c>
      <c r="N6" s="281" t="s">
        <v>28</v>
      </c>
    </row>
    <row r="7" spans="1:14" ht="20.25">
      <c r="A7" s="344" t="s">
        <v>19</v>
      </c>
      <c r="B7" s="345" t="s">
        <v>33</v>
      </c>
      <c r="C7" s="76" t="s">
        <v>10</v>
      </c>
      <c r="D7" s="343">
        <v>0.33400000000000002</v>
      </c>
      <c r="E7" s="76" t="s">
        <v>34</v>
      </c>
      <c r="F7" s="346">
        <v>0.29199999999999998</v>
      </c>
      <c r="G7" s="76" t="s">
        <v>35</v>
      </c>
      <c r="H7" s="343">
        <v>0.48899999999999999</v>
      </c>
      <c r="I7" s="76"/>
      <c r="J7" s="348"/>
      <c r="M7" s="281" t="s">
        <v>36</v>
      </c>
      <c r="N7" s="281" t="s">
        <v>37</v>
      </c>
    </row>
    <row r="8" spans="1:14" ht="20.25">
      <c r="A8" s="344" t="s">
        <v>19</v>
      </c>
      <c r="B8" s="345" t="s">
        <v>38</v>
      </c>
      <c r="C8" s="76" t="s">
        <v>10</v>
      </c>
      <c r="D8" s="343">
        <v>0.33400000000000002</v>
      </c>
      <c r="E8" s="76" t="s">
        <v>39</v>
      </c>
      <c r="F8" s="343">
        <v>0.32</v>
      </c>
      <c r="G8" s="76" t="s">
        <v>40</v>
      </c>
      <c r="H8" s="343">
        <v>0.53400000000000003</v>
      </c>
      <c r="I8" s="76"/>
      <c r="J8" s="348"/>
      <c r="M8" s="281" t="s">
        <v>41</v>
      </c>
      <c r="N8" s="281" t="s">
        <v>42</v>
      </c>
    </row>
    <row r="9" spans="1:14" ht="20.25">
      <c r="A9" s="344" t="s">
        <v>19</v>
      </c>
      <c r="B9" s="345" t="s">
        <v>43</v>
      </c>
      <c r="C9" s="76" t="s">
        <v>44</v>
      </c>
      <c r="D9" s="343">
        <v>0.34799999999999998</v>
      </c>
      <c r="E9" s="76" t="s">
        <v>11</v>
      </c>
      <c r="F9" s="343">
        <v>0.124</v>
      </c>
      <c r="G9" s="76" t="s">
        <v>45</v>
      </c>
      <c r="H9" s="343">
        <v>0.23</v>
      </c>
      <c r="I9" s="76"/>
      <c r="J9" s="348"/>
      <c r="M9" s="282" t="s">
        <v>46</v>
      </c>
      <c r="N9" s="282" t="s">
        <v>47</v>
      </c>
    </row>
    <row r="10" spans="1:14" ht="20.25">
      <c r="A10" s="344" t="s">
        <v>19</v>
      </c>
      <c r="B10" s="345" t="s">
        <v>48</v>
      </c>
      <c r="C10" s="76" t="s">
        <v>44</v>
      </c>
      <c r="D10" s="343">
        <v>0.34799999999999998</v>
      </c>
      <c r="E10" s="76" t="s">
        <v>15</v>
      </c>
      <c r="F10" s="343">
        <v>0.152</v>
      </c>
      <c r="G10" s="76" t="s">
        <v>49</v>
      </c>
      <c r="H10" s="343">
        <v>0.27600000000000002</v>
      </c>
      <c r="I10" s="76"/>
      <c r="J10" s="348"/>
      <c r="M10" s="281" t="s">
        <v>50</v>
      </c>
      <c r="N10" s="281" t="s">
        <v>47</v>
      </c>
    </row>
    <row r="11" spans="1:14" ht="20.25">
      <c r="A11" s="344" t="s">
        <v>19</v>
      </c>
      <c r="B11" s="345" t="s">
        <v>51</v>
      </c>
      <c r="C11" s="76" t="s">
        <v>44</v>
      </c>
      <c r="D11" s="343">
        <v>0.34799999999999998</v>
      </c>
      <c r="E11" s="76" t="s">
        <v>21</v>
      </c>
      <c r="F11" s="343">
        <v>0.18</v>
      </c>
      <c r="G11" s="76" t="s">
        <v>52</v>
      </c>
      <c r="H11" s="343">
        <v>0.32300000000000001</v>
      </c>
      <c r="I11" s="76"/>
      <c r="J11" s="348"/>
      <c r="M11" s="282" t="s">
        <v>53</v>
      </c>
      <c r="N11" s="282" t="s">
        <v>54</v>
      </c>
    </row>
    <row r="12" spans="1:14" ht="20.25">
      <c r="A12" s="344" t="s">
        <v>19</v>
      </c>
      <c r="B12" s="345" t="s">
        <v>55</v>
      </c>
      <c r="C12" s="76" t="s">
        <v>44</v>
      </c>
      <c r="D12" s="343">
        <v>0.34799999999999998</v>
      </c>
      <c r="E12" s="76" t="s">
        <v>25</v>
      </c>
      <c r="F12" s="343">
        <v>0.20799999999999999</v>
      </c>
      <c r="G12" s="76" t="s">
        <v>56</v>
      </c>
      <c r="H12" s="343">
        <v>0.37</v>
      </c>
      <c r="I12" s="76"/>
      <c r="J12" s="348"/>
      <c r="M12" s="281" t="s">
        <v>57</v>
      </c>
      <c r="N12" s="281" t="s">
        <v>54</v>
      </c>
    </row>
    <row r="13" spans="1:14" ht="20.25">
      <c r="A13" s="344" t="s">
        <v>19</v>
      </c>
      <c r="B13" s="345" t="s">
        <v>58</v>
      </c>
      <c r="C13" s="76" t="s">
        <v>44</v>
      </c>
      <c r="D13" s="343">
        <v>0.34799999999999998</v>
      </c>
      <c r="E13" s="76" t="s">
        <v>30</v>
      </c>
      <c r="F13" s="343">
        <v>0.26400000000000001</v>
      </c>
      <c r="G13" s="76" t="s">
        <v>59</v>
      </c>
      <c r="H13" s="343">
        <v>0.46300000000000002</v>
      </c>
      <c r="I13" s="76"/>
      <c r="J13" s="348"/>
      <c r="M13" s="282"/>
      <c r="N13" s="282"/>
    </row>
    <row r="14" spans="1:14">
      <c r="A14" s="344" t="s">
        <v>19</v>
      </c>
      <c r="B14" s="345" t="s">
        <v>60</v>
      </c>
      <c r="C14" s="76" t="s">
        <v>44</v>
      </c>
      <c r="D14" s="343">
        <v>0.34799999999999998</v>
      </c>
      <c r="E14" s="76" t="s">
        <v>34</v>
      </c>
      <c r="F14" s="343">
        <v>0.29199999999999998</v>
      </c>
      <c r="G14" s="76" t="s">
        <v>61</v>
      </c>
      <c r="H14" s="343">
        <v>0.51</v>
      </c>
      <c r="I14" s="76"/>
      <c r="J14" s="348"/>
    </row>
    <row r="15" spans="1:14">
      <c r="A15" s="344" t="s">
        <v>19</v>
      </c>
      <c r="B15" s="345" t="s">
        <v>62</v>
      </c>
      <c r="C15" s="76" t="s">
        <v>44</v>
      </c>
      <c r="D15" s="343">
        <v>0.34799999999999998</v>
      </c>
      <c r="E15" s="76" t="s">
        <v>39</v>
      </c>
      <c r="F15" s="343">
        <v>0.32</v>
      </c>
      <c r="G15" s="76" t="s">
        <v>63</v>
      </c>
      <c r="H15" s="343">
        <v>0.55700000000000005</v>
      </c>
      <c r="I15" s="76"/>
      <c r="J15" s="348"/>
    </row>
    <row r="16" spans="1:14">
      <c r="A16" s="344" t="s">
        <v>19</v>
      </c>
      <c r="B16" s="345" t="s">
        <v>64</v>
      </c>
      <c r="C16" s="76" t="s">
        <v>65</v>
      </c>
      <c r="D16" s="343">
        <v>0.36199999999999999</v>
      </c>
      <c r="E16" s="76" t="s">
        <v>11</v>
      </c>
      <c r="F16" s="343">
        <v>0.124</v>
      </c>
      <c r="G16" s="76" t="s">
        <v>66</v>
      </c>
      <c r="H16" s="343">
        <v>0.23899999999999999</v>
      </c>
      <c r="I16" s="76"/>
      <c r="J16" s="348"/>
    </row>
    <row r="17" spans="1:10">
      <c r="A17" s="344" t="s">
        <v>19</v>
      </c>
      <c r="B17" s="345" t="s">
        <v>67</v>
      </c>
      <c r="C17" s="76" t="s">
        <v>65</v>
      </c>
      <c r="D17" s="343">
        <v>0.36199999999999999</v>
      </c>
      <c r="E17" s="76" t="s">
        <v>15</v>
      </c>
      <c r="F17" s="343">
        <v>0.152</v>
      </c>
      <c r="G17" s="76" t="s">
        <v>68</v>
      </c>
      <c r="H17" s="343">
        <v>0.28799999999999998</v>
      </c>
      <c r="I17" s="76"/>
      <c r="J17" s="348"/>
    </row>
    <row r="18" spans="1:10">
      <c r="A18" s="344" t="s">
        <v>19</v>
      </c>
      <c r="B18" s="345" t="s">
        <v>69</v>
      </c>
      <c r="C18" s="76" t="s">
        <v>65</v>
      </c>
      <c r="D18" s="343">
        <v>0.36199999999999999</v>
      </c>
      <c r="E18" s="76" t="s">
        <v>21</v>
      </c>
      <c r="F18" s="343">
        <v>0.18</v>
      </c>
      <c r="G18" s="76" t="s">
        <v>70</v>
      </c>
      <c r="H18" s="343">
        <v>0.33600000000000002</v>
      </c>
      <c r="I18" s="76"/>
      <c r="J18" s="348"/>
    </row>
    <row r="19" spans="1:10">
      <c r="A19" s="344" t="s">
        <v>19</v>
      </c>
      <c r="B19" s="345" t="s">
        <v>71</v>
      </c>
      <c r="C19" s="76" t="s">
        <v>65</v>
      </c>
      <c r="D19" s="343">
        <v>0.36199999999999999</v>
      </c>
      <c r="E19" s="76" t="s">
        <v>25</v>
      </c>
      <c r="F19" s="343">
        <v>0.20799999999999999</v>
      </c>
      <c r="G19" s="76" t="s">
        <v>72</v>
      </c>
      <c r="H19" s="343">
        <v>0.38500000000000001</v>
      </c>
      <c r="I19" s="76"/>
      <c r="J19" s="348"/>
    </row>
    <row r="20" spans="1:10">
      <c r="A20" s="344" t="s">
        <v>19</v>
      </c>
      <c r="B20" s="345" t="s">
        <v>73</v>
      </c>
      <c r="C20" s="76" t="s">
        <v>65</v>
      </c>
      <c r="D20" s="343">
        <v>0.36199999999999999</v>
      </c>
      <c r="E20" s="76" t="s">
        <v>30</v>
      </c>
      <c r="F20" s="343">
        <v>0.26400000000000001</v>
      </c>
      <c r="G20" s="76" t="s">
        <v>74</v>
      </c>
      <c r="H20" s="343">
        <v>0.48199999999999998</v>
      </c>
      <c r="I20" s="76"/>
      <c r="J20" s="348"/>
    </row>
    <row r="21" spans="1:10">
      <c r="A21" s="344" t="s">
        <v>19</v>
      </c>
      <c r="B21" s="345" t="s">
        <v>75</v>
      </c>
      <c r="C21" s="76" t="s">
        <v>65</v>
      </c>
      <c r="D21" s="343">
        <v>0.36199999999999999</v>
      </c>
      <c r="E21" s="76" t="s">
        <v>34</v>
      </c>
      <c r="F21" s="343">
        <v>0.29199999999999998</v>
      </c>
      <c r="G21" s="76" t="s">
        <v>76</v>
      </c>
      <c r="H21" s="343">
        <v>0.53100000000000003</v>
      </c>
      <c r="I21" s="76"/>
      <c r="J21" s="348"/>
    </row>
    <row r="22" spans="1:10">
      <c r="A22" s="344" t="s">
        <v>19</v>
      </c>
      <c r="B22" s="345" t="s">
        <v>77</v>
      </c>
      <c r="C22" s="76" t="s">
        <v>65</v>
      </c>
      <c r="D22" s="343">
        <v>0.36199999999999999</v>
      </c>
      <c r="E22" s="76" t="s">
        <v>39</v>
      </c>
      <c r="F22" s="343">
        <v>0.32</v>
      </c>
      <c r="G22" s="76" t="s">
        <v>78</v>
      </c>
      <c r="H22" s="343">
        <v>0.57899999999999996</v>
      </c>
      <c r="I22" s="76"/>
      <c r="J22" s="348"/>
    </row>
    <row r="23" spans="1:10">
      <c r="A23" s="344" t="s">
        <v>19</v>
      </c>
      <c r="B23" s="345" t="s">
        <v>79</v>
      </c>
      <c r="C23" s="76" t="s">
        <v>80</v>
      </c>
      <c r="D23" s="343">
        <v>0.372</v>
      </c>
      <c r="E23" s="76" t="s">
        <v>11</v>
      </c>
      <c r="F23" s="343">
        <v>0.124</v>
      </c>
      <c r="G23" s="76" t="s">
        <v>81</v>
      </c>
      <c r="H23" s="343">
        <v>0.245</v>
      </c>
      <c r="I23" s="76"/>
      <c r="J23" s="348"/>
    </row>
    <row r="24" spans="1:10">
      <c r="A24" s="344" t="s">
        <v>19</v>
      </c>
      <c r="B24" s="345" t="s">
        <v>82</v>
      </c>
      <c r="C24" s="76" t="s">
        <v>80</v>
      </c>
      <c r="D24" s="343">
        <v>0.372</v>
      </c>
      <c r="E24" s="76" t="s">
        <v>15</v>
      </c>
      <c r="F24" s="343">
        <v>0.152</v>
      </c>
      <c r="G24" s="76" t="s">
        <v>83</v>
      </c>
      <c r="H24" s="343">
        <v>0.29499999999999998</v>
      </c>
      <c r="I24" s="76"/>
      <c r="J24" s="348"/>
    </row>
    <row r="25" spans="1:10">
      <c r="A25" s="344" t="s">
        <v>19</v>
      </c>
      <c r="B25" s="345" t="s">
        <v>84</v>
      </c>
      <c r="C25" s="76" t="s">
        <v>80</v>
      </c>
      <c r="D25" s="343">
        <v>0.372</v>
      </c>
      <c r="E25" s="76" t="s">
        <v>21</v>
      </c>
      <c r="F25" s="343">
        <v>0.18</v>
      </c>
      <c r="G25" s="76" t="s">
        <v>85</v>
      </c>
      <c r="H25" s="343">
        <v>0.34499999999999997</v>
      </c>
      <c r="I25" s="76"/>
      <c r="J25" s="348"/>
    </row>
    <row r="26" spans="1:10">
      <c r="A26" s="344" t="s">
        <v>19</v>
      </c>
      <c r="B26" s="345" t="s">
        <v>86</v>
      </c>
      <c r="C26" s="76" t="s">
        <v>80</v>
      </c>
      <c r="D26" s="343">
        <v>0.372</v>
      </c>
      <c r="E26" s="76" t="s">
        <v>25</v>
      </c>
      <c r="F26" s="343">
        <v>0.20799999999999999</v>
      </c>
      <c r="G26" s="76" t="s">
        <v>87</v>
      </c>
      <c r="H26" s="343">
        <v>0.39500000000000002</v>
      </c>
      <c r="I26" s="76"/>
      <c r="J26" s="348"/>
    </row>
    <row r="27" spans="1:10">
      <c r="A27" s="344" t="s">
        <v>19</v>
      </c>
      <c r="B27" s="345" t="s">
        <v>88</v>
      </c>
      <c r="C27" s="76" t="s">
        <v>80</v>
      </c>
      <c r="D27" s="343">
        <v>0.372</v>
      </c>
      <c r="E27" s="76" t="s">
        <v>30</v>
      </c>
      <c r="F27" s="343">
        <v>0.26400000000000001</v>
      </c>
      <c r="G27" s="76" t="s">
        <v>89</v>
      </c>
      <c r="H27" s="343">
        <v>0.49399999999999999</v>
      </c>
      <c r="I27" s="76"/>
      <c r="J27" s="348"/>
    </row>
    <row r="28" spans="1:10">
      <c r="A28" s="344" t="s">
        <v>19</v>
      </c>
      <c r="B28" s="345" t="s">
        <v>90</v>
      </c>
      <c r="C28" s="76" t="s">
        <v>80</v>
      </c>
      <c r="D28" s="343">
        <v>0.372</v>
      </c>
      <c r="E28" s="76" t="s">
        <v>34</v>
      </c>
      <c r="F28" s="343">
        <v>0.29199999999999998</v>
      </c>
      <c r="G28" s="76" t="s">
        <v>91</v>
      </c>
      <c r="H28" s="343">
        <v>0.54400000000000004</v>
      </c>
      <c r="I28" s="76"/>
      <c r="J28" s="348"/>
    </row>
    <row r="29" spans="1:10">
      <c r="A29" s="344" t="s">
        <v>19</v>
      </c>
      <c r="B29" s="345" t="s">
        <v>92</v>
      </c>
      <c r="C29" s="76" t="s">
        <v>80</v>
      </c>
      <c r="D29" s="343">
        <v>0.372</v>
      </c>
      <c r="E29" s="76" t="s">
        <v>39</v>
      </c>
      <c r="F29" s="343">
        <v>0.32</v>
      </c>
      <c r="G29" s="76" t="s">
        <v>93</v>
      </c>
      <c r="H29" s="343">
        <v>0.59399999999999997</v>
      </c>
      <c r="I29" s="76"/>
      <c r="J29" s="348"/>
    </row>
    <row r="30" spans="1:10">
      <c r="A30" s="344" t="s">
        <v>19</v>
      </c>
      <c r="B30" s="345" t="s">
        <v>94</v>
      </c>
      <c r="C30" s="76" t="s">
        <v>95</v>
      </c>
      <c r="D30" s="343">
        <v>0.39</v>
      </c>
      <c r="E30" s="76" t="s">
        <v>11</v>
      </c>
      <c r="F30" s="343">
        <v>0.124</v>
      </c>
      <c r="G30" s="76" t="s">
        <v>96</v>
      </c>
      <c r="H30" s="343">
        <v>0.25700000000000001</v>
      </c>
      <c r="I30" s="76"/>
      <c r="J30" s="348"/>
    </row>
    <row r="31" spans="1:10">
      <c r="A31" s="344" t="s">
        <v>19</v>
      </c>
      <c r="B31" s="345" t="s">
        <v>97</v>
      </c>
      <c r="C31" s="76" t="s">
        <v>95</v>
      </c>
      <c r="D31" s="343">
        <v>0.39</v>
      </c>
      <c r="E31" s="76" t="s">
        <v>15</v>
      </c>
      <c r="F31" s="343">
        <v>0.152</v>
      </c>
      <c r="G31" s="76" t="s">
        <v>98</v>
      </c>
      <c r="H31" s="343">
        <v>0.31</v>
      </c>
      <c r="I31" s="76"/>
      <c r="J31" s="348"/>
    </row>
    <row r="32" spans="1:10">
      <c r="A32" s="344" t="s">
        <v>19</v>
      </c>
      <c r="B32" s="345" t="s">
        <v>99</v>
      </c>
      <c r="C32" s="76" t="s">
        <v>95</v>
      </c>
      <c r="D32" s="343">
        <v>0.39</v>
      </c>
      <c r="E32" s="76" t="s">
        <v>21</v>
      </c>
      <c r="F32" s="343">
        <v>0.18</v>
      </c>
      <c r="G32" s="76" t="s">
        <v>100</v>
      </c>
      <c r="H32" s="343">
        <v>0.36199999999999999</v>
      </c>
      <c r="I32" s="76"/>
      <c r="J32" s="348"/>
    </row>
    <row r="33" spans="1:10">
      <c r="A33" s="344" t="s">
        <v>19</v>
      </c>
      <c r="B33" s="345" t="s">
        <v>101</v>
      </c>
      <c r="C33" s="76" t="s">
        <v>95</v>
      </c>
      <c r="D33" s="343">
        <v>0.39</v>
      </c>
      <c r="E33" s="76" t="s">
        <v>25</v>
      </c>
      <c r="F33" s="343">
        <v>0.20799999999999999</v>
      </c>
      <c r="G33" s="76" t="s">
        <v>102</v>
      </c>
      <c r="H33" s="343">
        <v>0.41499999999999998</v>
      </c>
      <c r="I33" s="76"/>
      <c r="J33" s="348"/>
    </row>
    <row r="34" spans="1:10">
      <c r="A34" s="344" t="s">
        <v>19</v>
      </c>
      <c r="B34" s="345" t="s">
        <v>103</v>
      </c>
      <c r="C34" s="76" t="s">
        <v>95</v>
      </c>
      <c r="D34" s="343">
        <v>0.39</v>
      </c>
      <c r="E34" s="76" t="s">
        <v>30</v>
      </c>
      <c r="F34" s="343">
        <v>0.26400000000000001</v>
      </c>
      <c r="G34" s="76" t="s">
        <v>104</v>
      </c>
      <c r="H34" s="343">
        <v>0.51900000000000002</v>
      </c>
      <c r="I34" s="76"/>
      <c r="J34" s="348"/>
    </row>
    <row r="35" spans="1:10">
      <c r="A35" s="344" t="s">
        <v>19</v>
      </c>
      <c r="B35" s="345" t="s">
        <v>105</v>
      </c>
      <c r="C35" s="76" t="s">
        <v>95</v>
      </c>
      <c r="D35" s="343">
        <v>0.39</v>
      </c>
      <c r="E35" s="76" t="s">
        <v>34</v>
      </c>
      <c r="F35" s="343">
        <v>0.29199999999999998</v>
      </c>
      <c r="G35" s="76" t="s">
        <v>106</v>
      </c>
      <c r="H35" s="343">
        <v>0.57199999999999995</v>
      </c>
      <c r="I35" s="76"/>
      <c r="J35" s="348"/>
    </row>
    <row r="36" spans="1:10">
      <c r="A36" s="344" t="s">
        <v>19</v>
      </c>
      <c r="B36" s="345" t="s">
        <v>107</v>
      </c>
      <c r="C36" s="76" t="s">
        <v>95</v>
      </c>
      <c r="D36" s="343">
        <v>0.39</v>
      </c>
      <c r="E36" s="76" t="s">
        <v>39</v>
      </c>
      <c r="F36" s="343">
        <v>0.32</v>
      </c>
      <c r="G36" s="76" t="s">
        <v>108</v>
      </c>
      <c r="H36" s="343">
        <v>0.624</v>
      </c>
      <c r="I36" s="76"/>
      <c r="J36" s="348"/>
    </row>
    <row r="37" spans="1:10">
      <c r="A37" s="344" t="s">
        <v>19</v>
      </c>
      <c r="B37" s="345" t="s">
        <v>109</v>
      </c>
      <c r="C37" s="76" t="s">
        <v>110</v>
      </c>
      <c r="D37" s="343">
        <v>9.0999999999999998E-2</v>
      </c>
      <c r="E37" s="76" t="s">
        <v>111</v>
      </c>
      <c r="F37" s="343">
        <v>6.8000000000000005E-2</v>
      </c>
      <c r="G37" s="76" t="s">
        <v>112</v>
      </c>
      <c r="H37" s="343">
        <v>3.5999999999999997E-2</v>
      </c>
      <c r="I37" s="76"/>
      <c r="J37" s="348"/>
    </row>
    <row r="38" spans="1:10">
      <c r="A38" s="344" t="s">
        <v>19</v>
      </c>
      <c r="B38" s="345" t="s">
        <v>113</v>
      </c>
      <c r="C38" s="76" t="s">
        <v>114</v>
      </c>
      <c r="D38" s="343"/>
      <c r="E38" s="76" t="s">
        <v>115</v>
      </c>
      <c r="F38" s="343"/>
      <c r="G38" s="76" t="s">
        <v>116</v>
      </c>
      <c r="H38" s="343">
        <v>1.6E-2</v>
      </c>
      <c r="I38" s="76"/>
      <c r="J38" s="348"/>
    </row>
    <row r="39" spans="1:10">
      <c r="A39" s="344" t="s">
        <v>117</v>
      </c>
      <c r="B39" s="345" t="s">
        <v>118</v>
      </c>
      <c r="C39" s="76" t="s">
        <v>119</v>
      </c>
      <c r="D39" s="343">
        <v>0.42099999999999999</v>
      </c>
      <c r="E39" s="76" t="s">
        <v>120</v>
      </c>
      <c r="F39" s="343">
        <v>0.156</v>
      </c>
      <c r="G39" s="76" t="s">
        <v>12</v>
      </c>
      <c r="H39" s="343">
        <v>0.22</v>
      </c>
      <c r="I39" s="76"/>
      <c r="J39" s="348"/>
    </row>
    <row r="40" spans="1:10">
      <c r="A40" s="344" t="s">
        <v>117</v>
      </c>
      <c r="B40" s="345" t="s">
        <v>121</v>
      </c>
      <c r="C40" s="76" t="s">
        <v>119</v>
      </c>
      <c r="D40" s="343">
        <v>0.42099999999999999</v>
      </c>
      <c r="E40" s="76" t="s">
        <v>122</v>
      </c>
      <c r="F40" s="343">
        <v>0.192</v>
      </c>
      <c r="G40" s="76" t="s">
        <v>16</v>
      </c>
      <c r="H40" s="343">
        <v>0.26500000000000001</v>
      </c>
      <c r="I40" s="76"/>
      <c r="J40" s="348"/>
    </row>
    <row r="41" spans="1:10">
      <c r="A41" s="344" t="s">
        <v>117</v>
      </c>
      <c r="B41" s="345" t="s">
        <v>123</v>
      </c>
      <c r="C41" s="76" t="s">
        <v>119</v>
      </c>
      <c r="D41" s="343">
        <v>0.42099999999999999</v>
      </c>
      <c r="E41" s="76" t="s">
        <v>124</v>
      </c>
      <c r="F41" s="343">
        <v>0.22700000000000001</v>
      </c>
      <c r="G41" s="76" t="s">
        <v>22</v>
      </c>
      <c r="H41" s="343">
        <v>0.31</v>
      </c>
      <c r="I41" s="76"/>
      <c r="J41" s="348"/>
    </row>
    <row r="42" spans="1:10">
      <c r="A42" s="344" t="s">
        <v>117</v>
      </c>
      <c r="B42" s="345" t="s">
        <v>125</v>
      </c>
      <c r="C42" s="76" t="s">
        <v>119</v>
      </c>
      <c r="D42" s="343">
        <v>0.42099999999999999</v>
      </c>
      <c r="E42" s="76" t="s">
        <v>126</v>
      </c>
      <c r="F42" s="343">
        <v>0.26200000000000001</v>
      </c>
      <c r="G42" s="76" t="s">
        <v>26</v>
      </c>
      <c r="H42" s="343">
        <v>0.35499999999999998</v>
      </c>
      <c r="I42" s="76"/>
      <c r="J42" s="348"/>
    </row>
    <row r="43" spans="1:10">
      <c r="A43" s="344" t="s">
        <v>117</v>
      </c>
      <c r="B43" s="345" t="s">
        <v>127</v>
      </c>
      <c r="C43" s="76" t="s">
        <v>119</v>
      </c>
      <c r="D43" s="343">
        <v>0.42099999999999999</v>
      </c>
      <c r="E43" s="76" t="s">
        <v>128</v>
      </c>
      <c r="F43" s="343">
        <v>0.33300000000000002</v>
      </c>
      <c r="G43" s="76" t="s">
        <v>31</v>
      </c>
      <c r="H43" s="343">
        <v>0.44500000000000001</v>
      </c>
      <c r="I43" s="76"/>
      <c r="J43" s="348"/>
    </row>
    <row r="44" spans="1:10">
      <c r="A44" s="344" t="s">
        <v>117</v>
      </c>
      <c r="B44" s="345" t="s">
        <v>129</v>
      </c>
      <c r="C44" s="76" t="s">
        <v>119</v>
      </c>
      <c r="D44" s="343">
        <v>0.42099999999999999</v>
      </c>
      <c r="E44" s="76" t="s">
        <v>130</v>
      </c>
      <c r="F44" s="343">
        <v>0.36799999999999999</v>
      </c>
      <c r="G44" s="76" t="s">
        <v>35</v>
      </c>
      <c r="H44" s="343">
        <v>0.48899999999999999</v>
      </c>
      <c r="I44" s="76"/>
      <c r="J44" s="348"/>
    </row>
    <row r="45" spans="1:10">
      <c r="A45" s="344" t="s">
        <v>117</v>
      </c>
      <c r="B45" s="345" t="s">
        <v>131</v>
      </c>
      <c r="C45" s="76" t="s">
        <v>119</v>
      </c>
      <c r="D45" s="343">
        <v>0.42099999999999999</v>
      </c>
      <c r="E45" s="76" t="s">
        <v>132</v>
      </c>
      <c r="F45" s="343">
        <v>0.40400000000000003</v>
      </c>
      <c r="G45" s="76" t="s">
        <v>40</v>
      </c>
      <c r="H45" s="343">
        <v>0.53400000000000003</v>
      </c>
      <c r="I45" s="76"/>
      <c r="J45" s="348"/>
    </row>
    <row r="46" spans="1:10">
      <c r="A46" s="344" t="s">
        <v>117</v>
      </c>
      <c r="B46" s="345" t="s">
        <v>133</v>
      </c>
      <c r="C46" s="76" t="s">
        <v>134</v>
      </c>
      <c r="D46" s="343">
        <v>0.439</v>
      </c>
      <c r="E46" s="76" t="s">
        <v>120</v>
      </c>
      <c r="F46" s="343">
        <v>0.156</v>
      </c>
      <c r="G46" s="76" t="s">
        <v>45</v>
      </c>
      <c r="H46" s="343">
        <v>0.23</v>
      </c>
      <c r="I46" s="76"/>
      <c r="J46" s="348"/>
    </row>
    <row r="47" spans="1:10">
      <c r="A47" s="344" t="s">
        <v>117</v>
      </c>
      <c r="B47" s="345" t="s">
        <v>135</v>
      </c>
      <c r="C47" s="76" t="s">
        <v>134</v>
      </c>
      <c r="D47" s="343">
        <v>0.439</v>
      </c>
      <c r="E47" s="76" t="s">
        <v>122</v>
      </c>
      <c r="F47" s="343">
        <v>0.192</v>
      </c>
      <c r="G47" s="76" t="s">
        <v>49</v>
      </c>
      <c r="H47" s="343">
        <v>0.27600000000000002</v>
      </c>
      <c r="I47" s="76"/>
      <c r="J47" s="348"/>
    </row>
    <row r="48" spans="1:10">
      <c r="A48" s="344" t="s">
        <v>117</v>
      </c>
      <c r="B48" s="345" t="s">
        <v>136</v>
      </c>
      <c r="C48" s="76" t="s">
        <v>134</v>
      </c>
      <c r="D48" s="343">
        <v>0.439</v>
      </c>
      <c r="E48" s="76" t="s">
        <v>124</v>
      </c>
      <c r="F48" s="343">
        <v>0.22700000000000001</v>
      </c>
      <c r="G48" s="76" t="s">
        <v>52</v>
      </c>
      <c r="H48" s="343">
        <v>0.32300000000000001</v>
      </c>
      <c r="I48" s="76"/>
      <c r="J48" s="348"/>
    </row>
    <row r="49" spans="1:10">
      <c r="A49" s="344" t="s">
        <v>117</v>
      </c>
      <c r="B49" s="345" t="s">
        <v>137</v>
      </c>
      <c r="C49" s="76" t="s">
        <v>134</v>
      </c>
      <c r="D49" s="343">
        <v>0.439</v>
      </c>
      <c r="E49" s="76" t="s">
        <v>126</v>
      </c>
      <c r="F49" s="343">
        <v>0.26200000000000001</v>
      </c>
      <c r="G49" s="76" t="s">
        <v>56</v>
      </c>
      <c r="H49" s="343">
        <v>0.37</v>
      </c>
      <c r="I49" s="76"/>
      <c r="J49" s="348"/>
    </row>
    <row r="50" spans="1:10">
      <c r="A50" s="344" t="s">
        <v>117</v>
      </c>
      <c r="B50" s="345" t="s">
        <v>138</v>
      </c>
      <c r="C50" s="76" t="s">
        <v>134</v>
      </c>
      <c r="D50" s="343">
        <v>0.439</v>
      </c>
      <c r="E50" s="76" t="s">
        <v>128</v>
      </c>
      <c r="F50" s="343">
        <v>0.33300000000000002</v>
      </c>
      <c r="G50" s="76" t="s">
        <v>59</v>
      </c>
      <c r="H50" s="343">
        <v>0.46300000000000002</v>
      </c>
      <c r="I50" s="76"/>
      <c r="J50" s="348"/>
    </row>
    <row r="51" spans="1:10">
      <c r="A51" s="344" t="s">
        <v>117</v>
      </c>
      <c r="B51" s="345" t="s">
        <v>139</v>
      </c>
      <c r="C51" s="76" t="s">
        <v>134</v>
      </c>
      <c r="D51" s="343">
        <v>0.439</v>
      </c>
      <c r="E51" s="76" t="s">
        <v>130</v>
      </c>
      <c r="F51" s="343">
        <v>0.36799999999999999</v>
      </c>
      <c r="G51" s="76" t="s">
        <v>61</v>
      </c>
      <c r="H51" s="343">
        <v>0.51</v>
      </c>
      <c r="I51" s="76"/>
      <c r="J51" s="348"/>
    </row>
    <row r="52" spans="1:10">
      <c r="A52" s="344" t="s">
        <v>117</v>
      </c>
      <c r="B52" s="345" t="s">
        <v>140</v>
      </c>
      <c r="C52" s="76" t="s">
        <v>134</v>
      </c>
      <c r="D52" s="343">
        <v>0.439</v>
      </c>
      <c r="E52" s="76" t="s">
        <v>132</v>
      </c>
      <c r="F52" s="343">
        <v>0.40400000000000003</v>
      </c>
      <c r="G52" s="76" t="s">
        <v>63</v>
      </c>
      <c r="H52" s="343">
        <v>0.55700000000000005</v>
      </c>
      <c r="I52" s="76"/>
      <c r="J52" s="348"/>
    </row>
    <row r="53" spans="1:10">
      <c r="A53" s="344" t="s">
        <v>117</v>
      </c>
      <c r="B53" s="345" t="s">
        <v>141</v>
      </c>
      <c r="C53" s="76" t="s">
        <v>142</v>
      </c>
      <c r="D53" s="343">
        <v>0.45700000000000002</v>
      </c>
      <c r="E53" s="76" t="s">
        <v>120</v>
      </c>
      <c r="F53" s="343">
        <v>0.156</v>
      </c>
      <c r="G53" s="76" t="s">
        <v>66</v>
      </c>
      <c r="H53" s="343">
        <v>0.23899999999999999</v>
      </c>
      <c r="I53" s="76"/>
      <c r="J53" s="348"/>
    </row>
    <row r="54" spans="1:10">
      <c r="A54" s="344" t="s">
        <v>117</v>
      </c>
      <c r="B54" s="345" t="s">
        <v>143</v>
      </c>
      <c r="C54" s="76" t="s">
        <v>142</v>
      </c>
      <c r="D54" s="343">
        <v>0.45700000000000002</v>
      </c>
      <c r="E54" s="76" t="s">
        <v>122</v>
      </c>
      <c r="F54" s="343">
        <v>0.192</v>
      </c>
      <c r="G54" s="76" t="s">
        <v>68</v>
      </c>
      <c r="H54" s="343">
        <v>0.28799999999999998</v>
      </c>
      <c r="I54" s="76"/>
      <c r="J54" s="348"/>
    </row>
    <row r="55" spans="1:10">
      <c r="A55" s="344" t="s">
        <v>117</v>
      </c>
      <c r="B55" s="345" t="s">
        <v>144</v>
      </c>
      <c r="C55" s="76" t="s">
        <v>142</v>
      </c>
      <c r="D55" s="343">
        <v>0.45700000000000002</v>
      </c>
      <c r="E55" s="76" t="s">
        <v>124</v>
      </c>
      <c r="F55" s="343">
        <v>0.22700000000000001</v>
      </c>
      <c r="G55" s="76" t="s">
        <v>70</v>
      </c>
      <c r="H55" s="343">
        <v>0.33600000000000002</v>
      </c>
      <c r="I55" s="76"/>
      <c r="J55" s="348"/>
    </row>
    <row r="56" spans="1:10">
      <c r="A56" s="344" t="s">
        <v>117</v>
      </c>
      <c r="B56" s="345" t="s">
        <v>145</v>
      </c>
      <c r="C56" s="76" t="s">
        <v>142</v>
      </c>
      <c r="D56" s="343">
        <v>0.45700000000000002</v>
      </c>
      <c r="E56" s="76" t="s">
        <v>126</v>
      </c>
      <c r="F56" s="343">
        <v>0.26200000000000001</v>
      </c>
      <c r="G56" s="76" t="s">
        <v>72</v>
      </c>
      <c r="H56" s="343">
        <v>0.38500000000000001</v>
      </c>
      <c r="I56" s="76"/>
      <c r="J56" s="348"/>
    </row>
    <row r="57" spans="1:10">
      <c r="A57" s="344" t="s">
        <v>117</v>
      </c>
      <c r="B57" s="345" t="s">
        <v>146</v>
      </c>
      <c r="C57" s="76" t="s">
        <v>142</v>
      </c>
      <c r="D57" s="343">
        <v>0.45700000000000002</v>
      </c>
      <c r="E57" s="76" t="s">
        <v>128</v>
      </c>
      <c r="F57" s="343">
        <v>0.33300000000000002</v>
      </c>
      <c r="G57" s="76" t="s">
        <v>74</v>
      </c>
      <c r="H57" s="343">
        <v>0.48199999999999998</v>
      </c>
      <c r="I57" s="76"/>
      <c r="J57" s="348"/>
    </row>
    <row r="58" spans="1:10">
      <c r="A58" s="344" t="s">
        <v>117</v>
      </c>
      <c r="B58" s="345" t="s">
        <v>147</v>
      </c>
      <c r="C58" s="76" t="s">
        <v>142</v>
      </c>
      <c r="D58" s="343">
        <v>0.45700000000000002</v>
      </c>
      <c r="E58" s="76" t="s">
        <v>130</v>
      </c>
      <c r="F58" s="343">
        <v>0.36799999999999999</v>
      </c>
      <c r="G58" s="76" t="s">
        <v>76</v>
      </c>
      <c r="H58" s="343">
        <v>0.53100000000000003</v>
      </c>
      <c r="I58" s="76"/>
      <c r="J58" s="348"/>
    </row>
    <row r="59" spans="1:10">
      <c r="A59" s="344" t="s">
        <v>117</v>
      </c>
      <c r="B59" s="345" t="s">
        <v>148</v>
      </c>
      <c r="C59" s="76" t="s">
        <v>142</v>
      </c>
      <c r="D59" s="343">
        <v>0.45700000000000002</v>
      </c>
      <c r="E59" s="76" t="s">
        <v>132</v>
      </c>
      <c r="F59" s="343">
        <v>0.40400000000000003</v>
      </c>
      <c r="G59" s="76" t="s">
        <v>78</v>
      </c>
      <c r="H59" s="343">
        <v>0.57899999999999996</v>
      </c>
      <c r="I59" s="76"/>
      <c r="J59" s="348"/>
    </row>
    <row r="60" spans="1:10">
      <c r="A60" s="344" t="s">
        <v>117</v>
      </c>
      <c r="B60" s="345" t="s">
        <v>149</v>
      </c>
      <c r="C60" s="76" t="s">
        <v>150</v>
      </c>
      <c r="D60" s="343">
        <v>0.46800000000000003</v>
      </c>
      <c r="E60" s="76" t="s">
        <v>120</v>
      </c>
      <c r="F60" s="343">
        <v>0.156</v>
      </c>
      <c r="G60" s="76" t="s">
        <v>81</v>
      </c>
      <c r="H60" s="343">
        <v>0.245</v>
      </c>
      <c r="I60" s="76"/>
      <c r="J60" s="348"/>
    </row>
    <row r="61" spans="1:10">
      <c r="A61" s="344" t="s">
        <v>117</v>
      </c>
      <c r="B61" s="345" t="s">
        <v>151</v>
      </c>
      <c r="C61" s="76" t="s">
        <v>150</v>
      </c>
      <c r="D61" s="343">
        <v>0.46800000000000003</v>
      </c>
      <c r="E61" s="76" t="s">
        <v>122</v>
      </c>
      <c r="F61" s="343">
        <v>0.192</v>
      </c>
      <c r="G61" s="76" t="s">
        <v>83</v>
      </c>
      <c r="H61" s="343">
        <v>0.29499999999999998</v>
      </c>
      <c r="I61" s="76"/>
      <c r="J61" s="348"/>
    </row>
    <row r="62" spans="1:10">
      <c r="A62" s="344" t="s">
        <v>117</v>
      </c>
      <c r="B62" s="345" t="s">
        <v>152</v>
      </c>
      <c r="C62" s="76" t="s">
        <v>150</v>
      </c>
      <c r="D62" s="343">
        <v>0.46800000000000003</v>
      </c>
      <c r="E62" s="76" t="s">
        <v>124</v>
      </c>
      <c r="F62" s="343">
        <v>0.22700000000000001</v>
      </c>
      <c r="G62" s="76" t="s">
        <v>85</v>
      </c>
      <c r="H62" s="343">
        <v>0.34499999999999997</v>
      </c>
      <c r="I62" s="76"/>
      <c r="J62" s="348"/>
    </row>
    <row r="63" spans="1:10">
      <c r="A63" s="344" t="s">
        <v>117</v>
      </c>
      <c r="B63" s="345" t="s">
        <v>153</v>
      </c>
      <c r="C63" s="76" t="s">
        <v>150</v>
      </c>
      <c r="D63" s="343">
        <v>0.46800000000000003</v>
      </c>
      <c r="E63" s="76" t="s">
        <v>126</v>
      </c>
      <c r="F63" s="343">
        <v>0.26200000000000001</v>
      </c>
      <c r="G63" s="76" t="s">
        <v>87</v>
      </c>
      <c r="H63" s="343">
        <v>0.39500000000000002</v>
      </c>
      <c r="I63" s="76"/>
      <c r="J63" s="348"/>
    </row>
    <row r="64" spans="1:10">
      <c r="A64" s="344" t="s">
        <v>117</v>
      </c>
      <c r="B64" s="345" t="s">
        <v>154</v>
      </c>
      <c r="C64" s="76" t="s">
        <v>150</v>
      </c>
      <c r="D64" s="343">
        <v>0.46800000000000003</v>
      </c>
      <c r="E64" s="76" t="s">
        <v>128</v>
      </c>
      <c r="F64" s="343">
        <v>0.33300000000000002</v>
      </c>
      <c r="G64" s="76" t="s">
        <v>89</v>
      </c>
      <c r="H64" s="343">
        <v>0.49399999999999999</v>
      </c>
      <c r="I64" s="76"/>
      <c r="J64" s="348"/>
    </row>
    <row r="65" spans="1:10">
      <c r="A65" s="344" t="s">
        <v>117</v>
      </c>
      <c r="B65" s="345" t="s">
        <v>155</v>
      </c>
      <c r="C65" s="76" t="s">
        <v>150</v>
      </c>
      <c r="D65" s="343">
        <v>0.46800000000000003</v>
      </c>
      <c r="E65" s="76" t="s">
        <v>130</v>
      </c>
      <c r="F65" s="343">
        <v>0.36799999999999999</v>
      </c>
      <c r="G65" s="76" t="s">
        <v>91</v>
      </c>
      <c r="H65" s="343">
        <v>0.54400000000000004</v>
      </c>
      <c r="I65" s="76"/>
      <c r="J65" s="348"/>
    </row>
    <row r="66" spans="1:10">
      <c r="A66" s="344" t="s">
        <v>117</v>
      </c>
      <c r="B66" s="345" t="s">
        <v>156</v>
      </c>
      <c r="C66" s="76" t="s">
        <v>150</v>
      </c>
      <c r="D66" s="343">
        <v>0.46800000000000003</v>
      </c>
      <c r="E66" s="76" t="s">
        <v>132</v>
      </c>
      <c r="F66" s="343">
        <v>0.40400000000000003</v>
      </c>
      <c r="G66" s="76" t="s">
        <v>93</v>
      </c>
      <c r="H66" s="343">
        <v>0.59399999999999997</v>
      </c>
      <c r="I66" s="76"/>
      <c r="J66" s="348"/>
    </row>
    <row r="67" spans="1:10">
      <c r="A67" s="344" t="s">
        <v>117</v>
      </c>
      <c r="B67" s="345" t="s">
        <v>157</v>
      </c>
      <c r="C67" s="76" t="s">
        <v>158</v>
      </c>
      <c r="D67" s="343">
        <v>0.49199999999999999</v>
      </c>
      <c r="E67" s="76" t="s">
        <v>120</v>
      </c>
      <c r="F67" s="343">
        <v>0.156</v>
      </c>
      <c r="G67" s="76" t="s">
        <v>96</v>
      </c>
      <c r="H67" s="343">
        <v>0.25700000000000001</v>
      </c>
      <c r="I67" s="76"/>
      <c r="J67" s="348"/>
    </row>
    <row r="68" spans="1:10">
      <c r="A68" s="344" t="s">
        <v>117</v>
      </c>
      <c r="B68" s="345" t="s">
        <v>159</v>
      </c>
      <c r="C68" s="76" t="s">
        <v>158</v>
      </c>
      <c r="D68" s="343">
        <v>0.49199999999999999</v>
      </c>
      <c r="E68" s="76" t="s">
        <v>122</v>
      </c>
      <c r="F68" s="343">
        <v>0.192</v>
      </c>
      <c r="G68" s="76" t="s">
        <v>98</v>
      </c>
      <c r="H68" s="343">
        <v>0.31</v>
      </c>
      <c r="I68" s="76"/>
      <c r="J68" s="348"/>
    </row>
    <row r="69" spans="1:10">
      <c r="A69" s="344" t="s">
        <v>117</v>
      </c>
      <c r="B69" s="345" t="s">
        <v>160</v>
      </c>
      <c r="C69" s="76" t="s">
        <v>158</v>
      </c>
      <c r="D69" s="343">
        <v>0.49199999999999999</v>
      </c>
      <c r="E69" s="76" t="s">
        <v>124</v>
      </c>
      <c r="F69" s="343">
        <v>0.22700000000000001</v>
      </c>
      <c r="G69" s="76" t="s">
        <v>100</v>
      </c>
      <c r="H69" s="343">
        <v>0.36199999999999999</v>
      </c>
      <c r="I69" s="76"/>
      <c r="J69" s="348"/>
    </row>
    <row r="70" spans="1:10">
      <c r="A70" s="344" t="s">
        <v>117</v>
      </c>
      <c r="B70" s="345" t="s">
        <v>161</v>
      </c>
      <c r="C70" s="76" t="s">
        <v>158</v>
      </c>
      <c r="D70" s="343">
        <v>0.49199999999999999</v>
      </c>
      <c r="E70" s="76" t="s">
        <v>126</v>
      </c>
      <c r="F70" s="343">
        <v>0.26200000000000001</v>
      </c>
      <c r="G70" s="76" t="s">
        <v>102</v>
      </c>
      <c r="H70" s="343">
        <v>0.41499999999999998</v>
      </c>
      <c r="I70" s="76"/>
      <c r="J70" s="348"/>
    </row>
    <row r="71" spans="1:10">
      <c r="A71" s="344" t="s">
        <v>117</v>
      </c>
      <c r="B71" s="345" t="s">
        <v>162</v>
      </c>
      <c r="C71" s="76" t="s">
        <v>158</v>
      </c>
      <c r="D71" s="343">
        <v>0.49199999999999999</v>
      </c>
      <c r="E71" s="76" t="s">
        <v>128</v>
      </c>
      <c r="F71" s="343">
        <v>0.33300000000000002</v>
      </c>
      <c r="G71" s="76" t="s">
        <v>104</v>
      </c>
      <c r="H71" s="343">
        <v>0.51900000000000002</v>
      </c>
      <c r="I71" s="76"/>
      <c r="J71" s="348"/>
    </row>
    <row r="72" spans="1:10">
      <c r="A72" s="344" t="s">
        <v>117</v>
      </c>
      <c r="B72" s="345" t="s">
        <v>163</v>
      </c>
      <c r="C72" s="76" t="s">
        <v>158</v>
      </c>
      <c r="D72" s="343">
        <v>0.49199999999999999</v>
      </c>
      <c r="E72" s="76" t="s">
        <v>130</v>
      </c>
      <c r="F72" s="343">
        <v>0.36799999999999999</v>
      </c>
      <c r="G72" s="76" t="s">
        <v>106</v>
      </c>
      <c r="H72" s="343">
        <v>0.57199999999999995</v>
      </c>
      <c r="I72" s="76"/>
      <c r="J72" s="348"/>
    </row>
    <row r="73" spans="1:10">
      <c r="A73" s="344" t="s">
        <v>117</v>
      </c>
      <c r="B73" s="345" t="s">
        <v>164</v>
      </c>
      <c r="C73" s="76" t="s">
        <v>158</v>
      </c>
      <c r="D73" s="343">
        <v>0.49199999999999999</v>
      </c>
      <c r="E73" s="76" t="s">
        <v>132</v>
      </c>
      <c r="F73" s="343">
        <v>0.40400000000000003</v>
      </c>
      <c r="G73" s="76" t="s">
        <v>108</v>
      </c>
      <c r="H73" s="343">
        <v>0.624</v>
      </c>
      <c r="I73" s="76"/>
      <c r="J73" s="348"/>
    </row>
    <row r="74" spans="1:10">
      <c r="A74" s="344" t="s">
        <v>117</v>
      </c>
      <c r="B74" s="345" t="s">
        <v>165</v>
      </c>
      <c r="C74" s="76" t="s">
        <v>166</v>
      </c>
      <c r="D74" s="343">
        <v>0.115</v>
      </c>
      <c r="E74" s="76" t="s">
        <v>167</v>
      </c>
      <c r="F74" s="343">
        <v>8.5000000000000006E-2</v>
      </c>
      <c r="G74" s="76" t="s">
        <v>112</v>
      </c>
      <c r="H74" s="343">
        <v>3.5999999999999997E-2</v>
      </c>
      <c r="I74" s="76"/>
      <c r="J74" s="348"/>
    </row>
    <row r="75" spans="1:10">
      <c r="A75" s="344" t="s">
        <v>117</v>
      </c>
      <c r="B75" s="345" t="s">
        <v>168</v>
      </c>
      <c r="C75" s="76" t="s">
        <v>169</v>
      </c>
      <c r="D75" s="343">
        <v>7.3999999999999996E-2</v>
      </c>
      <c r="E75" s="76" t="s">
        <v>170</v>
      </c>
      <c r="F75" s="343">
        <v>5.6000000000000001E-2</v>
      </c>
      <c r="G75" s="76" t="s">
        <v>116</v>
      </c>
      <c r="H75" s="343">
        <v>1.6E-2</v>
      </c>
      <c r="I75" s="76"/>
      <c r="J75" s="348"/>
    </row>
    <row r="76" spans="1:10">
      <c r="A76" s="344" t="s">
        <v>171</v>
      </c>
      <c r="B76" s="345" t="s">
        <v>172</v>
      </c>
      <c r="C76" s="76" t="s">
        <v>173</v>
      </c>
      <c r="D76" s="343">
        <v>0.47899999999999998</v>
      </c>
      <c r="E76" s="76" t="s">
        <v>174</v>
      </c>
      <c r="F76" s="343">
        <v>0.17799999999999999</v>
      </c>
      <c r="G76" s="76" t="s">
        <v>12</v>
      </c>
      <c r="H76" s="343">
        <v>0.22</v>
      </c>
      <c r="I76" s="76"/>
      <c r="J76" s="348"/>
    </row>
    <row r="77" spans="1:10">
      <c r="A77" s="344" t="s">
        <v>171</v>
      </c>
      <c r="B77" s="345" t="s">
        <v>175</v>
      </c>
      <c r="C77" s="76" t="s">
        <v>173</v>
      </c>
      <c r="D77" s="343">
        <v>0.47899999999999998</v>
      </c>
      <c r="E77" s="76" t="s">
        <v>176</v>
      </c>
      <c r="F77" s="343">
        <v>0.218</v>
      </c>
      <c r="G77" s="76" t="s">
        <v>16</v>
      </c>
      <c r="H77" s="343">
        <v>0.26500000000000001</v>
      </c>
      <c r="I77" s="76"/>
      <c r="J77" s="348"/>
    </row>
    <row r="78" spans="1:10">
      <c r="A78" s="344" t="s">
        <v>171</v>
      </c>
      <c r="B78" s="345" t="s">
        <v>177</v>
      </c>
      <c r="C78" s="76" t="s">
        <v>173</v>
      </c>
      <c r="D78" s="343">
        <v>0.47899999999999998</v>
      </c>
      <c r="E78" s="76" t="s">
        <v>178</v>
      </c>
      <c r="F78" s="343">
        <v>0.25800000000000001</v>
      </c>
      <c r="G78" s="76" t="s">
        <v>22</v>
      </c>
      <c r="H78" s="343">
        <v>0.31</v>
      </c>
      <c r="I78" s="76"/>
      <c r="J78" s="348"/>
    </row>
    <row r="79" spans="1:10">
      <c r="A79" s="344" t="s">
        <v>171</v>
      </c>
      <c r="B79" s="345" t="s">
        <v>179</v>
      </c>
      <c r="C79" s="76" t="s">
        <v>173</v>
      </c>
      <c r="D79" s="343">
        <v>0.47899999999999998</v>
      </c>
      <c r="E79" s="76" t="s">
        <v>180</v>
      </c>
      <c r="F79" s="343">
        <v>0.29799999999999999</v>
      </c>
      <c r="G79" s="76" t="s">
        <v>26</v>
      </c>
      <c r="H79" s="343">
        <v>0.35499999999999998</v>
      </c>
      <c r="I79" s="76"/>
      <c r="J79" s="348"/>
    </row>
    <row r="80" spans="1:10">
      <c r="A80" s="344" t="s">
        <v>171</v>
      </c>
      <c r="B80" s="345" t="s">
        <v>181</v>
      </c>
      <c r="C80" s="76" t="s">
        <v>173</v>
      </c>
      <c r="D80" s="343">
        <v>0.47899999999999998</v>
      </c>
      <c r="E80" s="76" t="s">
        <v>182</v>
      </c>
      <c r="F80" s="343">
        <v>0.379</v>
      </c>
      <c r="G80" s="76" t="s">
        <v>31</v>
      </c>
      <c r="H80" s="343">
        <v>0.44500000000000001</v>
      </c>
      <c r="I80" s="76"/>
      <c r="J80" s="348"/>
    </row>
    <row r="81" spans="1:10">
      <c r="A81" s="344" t="s">
        <v>171</v>
      </c>
      <c r="B81" s="345" t="s">
        <v>183</v>
      </c>
      <c r="C81" s="76" t="s">
        <v>173</v>
      </c>
      <c r="D81" s="343">
        <v>0.47899999999999998</v>
      </c>
      <c r="E81" s="76" t="s">
        <v>184</v>
      </c>
      <c r="F81" s="343">
        <v>0.41899999999999998</v>
      </c>
      <c r="G81" s="76" t="s">
        <v>35</v>
      </c>
      <c r="H81" s="343">
        <v>0.48899999999999999</v>
      </c>
      <c r="I81" s="76"/>
      <c r="J81" s="348"/>
    </row>
    <row r="82" spans="1:10">
      <c r="A82" s="344" t="s">
        <v>171</v>
      </c>
      <c r="B82" s="345" t="s">
        <v>185</v>
      </c>
      <c r="C82" s="76" t="s">
        <v>173</v>
      </c>
      <c r="D82" s="343">
        <v>0.47899999999999998</v>
      </c>
      <c r="E82" s="76" t="s">
        <v>186</v>
      </c>
      <c r="F82" s="343">
        <v>0.45900000000000002</v>
      </c>
      <c r="G82" s="76" t="s">
        <v>40</v>
      </c>
      <c r="H82" s="343">
        <v>0.53400000000000003</v>
      </c>
      <c r="I82" s="76"/>
      <c r="J82" s="348"/>
    </row>
    <row r="83" spans="1:10">
      <c r="A83" s="344" t="s">
        <v>171</v>
      </c>
      <c r="B83" s="345" t="s">
        <v>187</v>
      </c>
      <c r="C83" s="76" t="s">
        <v>188</v>
      </c>
      <c r="D83" s="343">
        <v>0.5</v>
      </c>
      <c r="E83" s="76" t="s">
        <v>174</v>
      </c>
      <c r="F83" s="343">
        <v>0.17799999999999999</v>
      </c>
      <c r="G83" s="76" t="s">
        <v>45</v>
      </c>
      <c r="H83" s="343">
        <v>0.23</v>
      </c>
      <c r="I83" s="76"/>
      <c r="J83" s="348"/>
    </row>
    <row r="84" spans="1:10">
      <c r="A84" s="344" t="s">
        <v>171</v>
      </c>
      <c r="B84" s="345" t="s">
        <v>189</v>
      </c>
      <c r="C84" s="76" t="s">
        <v>188</v>
      </c>
      <c r="D84" s="343">
        <v>0.5</v>
      </c>
      <c r="E84" s="76" t="s">
        <v>176</v>
      </c>
      <c r="F84" s="343">
        <v>0.218</v>
      </c>
      <c r="G84" s="76" t="s">
        <v>49</v>
      </c>
      <c r="H84" s="343">
        <v>0.27600000000000002</v>
      </c>
      <c r="I84" s="76"/>
      <c r="J84" s="348"/>
    </row>
    <row r="85" spans="1:10">
      <c r="A85" s="344" t="s">
        <v>171</v>
      </c>
      <c r="B85" s="345" t="s">
        <v>190</v>
      </c>
      <c r="C85" s="76" t="s">
        <v>188</v>
      </c>
      <c r="D85" s="343">
        <v>0.5</v>
      </c>
      <c r="E85" s="76" t="s">
        <v>178</v>
      </c>
      <c r="F85" s="343">
        <v>0.25800000000000001</v>
      </c>
      <c r="G85" s="76" t="s">
        <v>52</v>
      </c>
      <c r="H85" s="343">
        <v>0.32300000000000001</v>
      </c>
      <c r="I85" s="76"/>
      <c r="J85" s="348"/>
    </row>
    <row r="86" spans="1:10">
      <c r="A86" s="344" t="s">
        <v>171</v>
      </c>
      <c r="B86" s="345" t="s">
        <v>191</v>
      </c>
      <c r="C86" s="76" t="s">
        <v>188</v>
      </c>
      <c r="D86" s="343">
        <v>0.5</v>
      </c>
      <c r="E86" s="76" t="s">
        <v>180</v>
      </c>
      <c r="F86" s="343">
        <v>0.29799999999999999</v>
      </c>
      <c r="G86" s="76" t="s">
        <v>56</v>
      </c>
      <c r="H86" s="343">
        <v>0.37</v>
      </c>
      <c r="I86" s="76"/>
      <c r="J86" s="348"/>
    </row>
    <row r="87" spans="1:10">
      <c r="A87" s="344" t="s">
        <v>171</v>
      </c>
      <c r="B87" s="345" t="s">
        <v>192</v>
      </c>
      <c r="C87" s="76" t="s">
        <v>188</v>
      </c>
      <c r="D87" s="343">
        <v>0.5</v>
      </c>
      <c r="E87" s="76" t="s">
        <v>182</v>
      </c>
      <c r="F87" s="343">
        <v>0.379</v>
      </c>
      <c r="G87" s="76" t="s">
        <v>59</v>
      </c>
      <c r="H87" s="343">
        <v>0.46300000000000002</v>
      </c>
      <c r="I87" s="76"/>
      <c r="J87" s="348"/>
    </row>
    <row r="88" spans="1:10">
      <c r="A88" s="344" t="s">
        <v>171</v>
      </c>
      <c r="B88" s="345" t="s">
        <v>193</v>
      </c>
      <c r="C88" s="76" t="s">
        <v>188</v>
      </c>
      <c r="D88" s="343">
        <v>0.5</v>
      </c>
      <c r="E88" s="76" t="s">
        <v>184</v>
      </c>
      <c r="F88" s="343">
        <v>0.41899999999999998</v>
      </c>
      <c r="G88" s="76" t="s">
        <v>61</v>
      </c>
      <c r="H88" s="343">
        <v>0.51</v>
      </c>
      <c r="I88" s="76"/>
      <c r="J88" s="348"/>
    </row>
    <row r="89" spans="1:10">
      <c r="A89" s="344" t="s">
        <v>171</v>
      </c>
      <c r="B89" s="345" t="s">
        <v>194</v>
      </c>
      <c r="C89" s="76" t="s">
        <v>188</v>
      </c>
      <c r="D89" s="343">
        <v>0.5</v>
      </c>
      <c r="E89" s="76" t="s">
        <v>186</v>
      </c>
      <c r="F89" s="343">
        <v>0.45900000000000002</v>
      </c>
      <c r="G89" s="76" t="s">
        <v>63</v>
      </c>
      <c r="H89" s="343">
        <v>0.55700000000000005</v>
      </c>
      <c r="I89" s="76"/>
      <c r="J89" s="348"/>
    </row>
    <row r="90" spans="1:10">
      <c r="A90" s="344" t="s">
        <v>171</v>
      </c>
      <c r="B90" s="345" t="s">
        <v>195</v>
      </c>
      <c r="C90" s="76" t="s">
        <v>196</v>
      </c>
      <c r="D90" s="343">
        <v>0.52</v>
      </c>
      <c r="E90" s="76" t="s">
        <v>174</v>
      </c>
      <c r="F90" s="343">
        <v>0.17799999999999999</v>
      </c>
      <c r="G90" s="76" t="s">
        <v>66</v>
      </c>
      <c r="H90" s="343">
        <v>0.23899999999999999</v>
      </c>
      <c r="I90" s="76"/>
      <c r="J90" s="348"/>
    </row>
    <row r="91" spans="1:10">
      <c r="A91" s="344" t="s">
        <v>171</v>
      </c>
      <c r="B91" s="345" t="s">
        <v>197</v>
      </c>
      <c r="C91" s="76" t="s">
        <v>196</v>
      </c>
      <c r="D91" s="343">
        <v>0.52</v>
      </c>
      <c r="E91" s="76" t="s">
        <v>176</v>
      </c>
      <c r="F91" s="343">
        <v>0.218</v>
      </c>
      <c r="G91" s="76" t="s">
        <v>68</v>
      </c>
      <c r="H91" s="343">
        <v>0.28799999999999998</v>
      </c>
      <c r="I91" s="76"/>
      <c r="J91" s="348"/>
    </row>
    <row r="92" spans="1:10">
      <c r="A92" s="344" t="s">
        <v>171</v>
      </c>
      <c r="B92" s="345" t="s">
        <v>198</v>
      </c>
      <c r="C92" s="76" t="s">
        <v>196</v>
      </c>
      <c r="D92" s="343">
        <v>0.52</v>
      </c>
      <c r="E92" s="76" t="s">
        <v>178</v>
      </c>
      <c r="F92" s="343">
        <v>0.25800000000000001</v>
      </c>
      <c r="G92" s="76" t="s">
        <v>70</v>
      </c>
      <c r="H92" s="343">
        <v>0.33600000000000002</v>
      </c>
      <c r="I92" s="76"/>
      <c r="J92" s="348"/>
    </row>
    <row r="93" spans="1:10">
      <c r="A93" s="344" t="s">
        <v>171</v>
      </c>
      <c r="B93" s="345" t="s">
        <v>199</v>
      </c>
      <c r="C93" s="76" t="s">
        <v>196</v>
      </c>
      <c r="D93" s="343">
        <v>0.52</v>
      </c>
      <c r="E93" s="76" t="s">
        <v>180</v>
      </c>
      <c r="F93" s="343">
        <v>0.29799999999999999</v>
      </c>
      <c r="G93" s="76" t="s">
        <v>72</v>
      </c>
      <c r="H93" s="343">
        <v>0.38500000000000001</v>
      </c>
      <c r="I93" s="76"/>
      <c r="J93" s="348"/>
    </row>
    <row r="94" spans="1:10">
      <c r="A94" s="344" t="s">
        <v>171</v>
      </c>
      <c r="B94" s="345" t="s">
        <v>200</v>
      </c>
      <c r="C94" s="76" t="s">
        <v>196</v>
      </c>
      <c r="D94" s="343">
        <v>0.52</v>
      </c>
      <c r="E94" s="76" t="s">
        <v>182</v>
      </c>
      <c r="F94" s="343">
        <v>0.379</v>
      </c>
      <c r="G94" s="76" t="s">
        <v>74</v>
      </c>
      <c r="H94" s="343">
        <v>0.48199999999999998</v>
      </c>
      <c r="I94" s="76"/>
      <c r="J94" s="348"/>
    </row>
    <row r="95" spans="1:10">
      <c r="A95" s="344" t="s">
        <v>171</v>
      </c>
      <c r="B95" s="345" t="s">
        <v>201</v>
      </c>
      <c r="C95" s="76" t="s">
        <v>196</v>
      </c>
      <c r="D95" s="343">
        <v>0.52</v>
      </c>
      <c r="E95" s="76" t="s">
        <v>184</v>
      </c>
      <c r="F95" s="343">
        <v>0.41899999999999998</v>
      </c>
      <c r="G95" s="76" t="s">
        <v>76</v>
      </c>
      <c r="H95" s="343">
        <v>0.53100000000000003</v>
      </c>
      <c r="I95" s="76"/>
      <c r="J95" s="348"/>
    </row>
    <row r="96" spans="1:10">
      <c r="A96" s="344" t="s">
        <v>171</v>
      </c>
      <c r="B96" s="345" t="s">
        <v>202</v>
      </c>
      <c r="C96" s="76" t="s">
        <v>196</v>
      </c>
      <c r="D96" s="343">
        <v>0.52</v>
      </c>
      <c r="E96" s="76" t="s">
        <v>186</v>
      </c>
      <c r="F96" s="343">
        <v>0.45900000000000002</v>
      </c>
      <c r="G96" s="76" t="s">
        <v>78</v>
      </c>
      <c r="H96" s="343">
        <v>0.57899999999999996</v>
      </c>
      <c r="I96" s="76"/>
      <c r="J96" s="348"/>
    </row>
    <row r="97" spans="1:10">
      <c r="A97" s="344" t="s">
        <v>171</v>
      </c>
      <c r="B97" s="345" t="s">
        <v>203</v>
      </c>
      <c r="C97" s="76" t="s">
        <v>204</v>
      </c>
      <c r="D97" s="343">
        <v>0.53300000000000003</v>
      </c>
      <c r="E97" s="76" t="s">
        <v>174</v>
      </c>
      <c r="F97" s="343">
        <v>0.17799999999999999</v>
      </c>
      <c r="G97" s="76" t="s">
        <v>81</v>
      </c>
      <c r="H97" s="343">
        <v>0.245</v>
      </c>
      <c r="I97" s="76"/>
      <c r="J97" s="348"/>
    </row>
    <row r="98" spans="1:10">
      <c r="A98" s="344" t="s">
        <v>171</v>
      </c>
      <c r="B98" s="345" t="s">
        <v>205</v>
      </c>
      <c r="C98" s="76" t="s">
        <v>204</v>
      </c>
      <c r="D98" s="343">
        <v>0.53300000000000003</v>
      </c>
      <c r="E98" s="76" t="s">
        <v>176</v>
      </c>
      <c r="F98" s="343">
        <v>0.218</v>
      </c>
      <c r="G98" s="76" t="s">
        <v>83</v>
      </c>
      <c r="H98" s="343">
        <v>0.29499999999999998</v>
      </c>
      <c r="I98" s="76"/>
      <c r="J98" s="348"/>
    </row>
    <row r="99" spans="1:10">
      <c r="A99" s="344" t="s">
        <v>171</v>
      </c>
      <c r="B99" s="345" t="s">
        <v>206</v>
      </c>
      <c r="C99" s="76" t="s">
        <v>204</v>
      </c>
      <c r="D99" s="343">
        <v>0.53300000000000003</v>
      </c>
      <c r="E99" s="76" t="s">
        <v>178</v>
      </c>
      <c r="F99" s="343">
        <v>0.25800000000000001</v>
      </c>
      <c r="G99" s="76" t="s">
        <v>85</v>
      </c>
      <c r="H99" s="343">
        <v>0.34499999999999997</v>
      </c>
      <c r="I99" s="76"/>
      <c r="J99" s="348"/>
    </row>
    <row r="100" spans="1:10">
      <c r="A100" s="344" t="s">
        <v>171</v>
      </c>
      <c r="B100" s="345" t="s">
        <v>207</v>
      </c>
      <c r="C100" s="76" t="s">
        <v>204</v>
      </c>
      <c r="D100" s="343">
        <v>0.53300000000000003</v>
      </c>
      <c r="E100" s="76" t="s">
        <v>180</v>
      </c>
      <c r="F100" s="343">
        <v>0.29799999999999999</v>
      </c>
      <c r="G100" s="76" t="s">
        <v>87</v>
      </c>
      <c r="H100" s="343">
        <v>0.39500000000000002</v>
      </c>
      <c r="I100" s="76"/>
      <c r="J100" s="348"/>
    </row>
    <row r="101" spans="1:10">
      <c r="A101" s="344" t="s">
        <v>171</v>
      </c>
      <c r="B101" s="345" t="s">
        <v>208</v>
      </c>
      <c r="C101" s="76" t="s">
        <v>204</v>
      </c>
      <c r="D101" s="343">
        <v>0.53300000000000003</v>
      </c>
      <c r="E101" s="76" t="s">
        <v>182</v>
      </c>
      <c r="F101" s="343">
        <v>0.379</v>
      </c>
      <c r="G101" s="76" t="s">
        <v>89</v>
      </c>
      <c r="H101" s="343">
        <v>0.49399999999999999</v>
      </c>
      <c r="I101" s="76"/>
      <c r="J101" s="348"/>
    </row>
    <row r="102" spans="1:10">
      <c r="A102" s="344" t="s">
        <v>171</v>
      </c>
      <c r="B102" s="345" t="s">
        <v>209</v>
      </c>
      <c r="C102" s="76" t="s">
        <v>204</v>
      </c>
      <c r="D102" s="343">
        <v>0.53300000000000003</v>
      </c>
      <c r="E102" s="76" t="s">
        <v>184</v>
      </c>
      <c r="F102" s="343">
        <v>0.41899999999999998</v>
      </c>
      <c r="G102" s="76" t="s">
        <v>91</v>
      </c>
      <c r="H102" s="343">
        <v>0.54400000000000004</v>
      </c>
      <c r="I102" s="76"/>
      <c r="J102" s="348"/>
    </row>
    <row r="103" spans="1:10">
      <c r="A103" s="344" t="s">
        <v>171</v>
      </c>
      <c r="B103" s="345" t="s">
        <v>210</v>
      </c>
      <c r="C103" s="76" t="s">
        <v>204</v>
      </c>
      <c r="D103" s="343">
        <v>0.53300000000000003</v>
      </c>
      <c r="E103" s="76" t="s">
        <v>186</v>
      </c>
      <c r="F103" s="343">
        <v>0.45900000000000002</v>
      </c>
      <c r="G103" s="76" t="s">
        <v>93</v>
      </c>
      <c r="H103" s="343">
        <v>0.59399999999999997</v>
      </c>
      <c r="I103" s="76"/>
      <c r="J103" s="348"/>
    </row>
    <row r="104" spans="1:10">
      <c r="A104" s="344" t="s">
        <v>171</v>
      </c>
      <c r="B104" s="345" t="s">
        <v>211</v>
      </c>
      <c r="C104" s="76" t="s">
        <v>212</v>
      </c>
      <c r="D104" s="343">
        <v>0.56000000000000005</v>
      </c>
      <c r="E104" s="76" t="s">
        <v>174</v>
      </c>
      <c r="F104" s="343">
        <v>0.17799999999999999</v>
      </c>
      <c r="G104" s="76" t="s">
        <v>96</v>
      </c>
      <c r="H104" s="343">
        <v>0.25700000000000001</v>
      </c>
      <c r="I104" s="76"/>
      <c r="J104" s="348"/>
    </row>
    <row r="105" spans="1:10">
      <c r="A105" s="344" t="s">
        <v>171</v>
      </c>
      <c r="B105" s="345" t="s">
        <v>213</v>
      </c>
      <c r="C105" s="76" t="s">
        <v>212</v>
      </c>
      <c r="D105" s="343">
        <v>0.56000000000000005</v>
      </c>
      <c r="E105" s="76" t="s">
        <v>176</v>
      </c>
      <c r="F105" s="343">
        <v>0.218</v>
      </c>
      <c r="G105" s="76" t="s">
        <v>98</v>
      </c>
      <c r="H105" s="343">
        <v>0.31</v>
      </c>
      <c r="I105" s="76"/>
      <c r="J105" s="348"/>
    </row>
    <row r="106" spans="1:10">
      <c r="A106" s="344" t="s">
        <v>171</v>
      </c>
      <c r="B106" s="345" t="s">
        <v>214</v>
      </c>
      <c r="C106" s="76" t="s">
        <v>212</v>
      </c>
      <c r="D106" s="343">
        <v>0.56000000000000005</v>
      </c>
      <c r="E106" s="76" t="s">
        <v>178</v>
      </c>
      <c r="F106" s="343">
        <v>0.25800000000000001</v>
      </c>
      <c r="G106" s="76" t="s">
        <v>100</v>
      </c>
      <c r="H106" s="343">
        <v>0.36199999999999999</v>
      </c>
      <c r="I106" s="76"/>
      <c r="J106" s="348"/>
    </row>
    <row r="107" spans="1:10">
      <c r="A107" s="344" t="s">
        <v>171</v>
      </c>
      <c r="B107" s="345" t="s">
        <v>215</v>
      </c>
      <c r="C107" s="76" t="s">
        <v>212</v>
      </c>
      <c r="D107" s="343">
        <v>0.56000000000000005</v>
      </c>
      <c r="E107" s="76" t="s">
        <v>180</v>
      </c>
      <c r="F107" s="343">
        <v>0.29799999999999999</v>
      </c>
      <c r="G107" s="76" t="s">
        <v>102</v>
      </c>
      <c r="H107" s="343">
        <v>0.41499999999999998</v>
      </c>
      <c r="I107" s="76"/>
      <c r="J107" s="348"/>
    </row>
    <row r="108" spans="1:10">
      <c r="A108" s="344" t="s">
        <v>171</v>
      </c>
      <c r="B108" s="345" t="s">
        <v>216</v>
      </c>
      <c r="C108" s="76" t="s">
        <v>212</v>
      </c>
      <c r="D108" s="343">
        <v>0.56000000000000005</v>
      </c>
      <c r="E108" s="76" t="s">
        <v>182</v>
      </c>
      <c r="F108" s="343">
        <v>0.379</v>
      </c>
      <c r="G108" s="76" t="s">
        <v>104</v>
      </c>
      <c r="H108" s="343">
        <v>0.51900000000000002</v>
      </c>
      <c r="I108" s="76"/>
      <c r="J108" s="348"/>
    </row>
    <row r="109" spans="1:10">
      <c r="A109" s="344" t="s">
        <v>171</v>
      </c>
      <c r="B109" s="345" t="s">
        <v>217</v>
      </c>
      <c r="C109" s="76" t="s">
        <v>212</v>
      </c>
      <c r="D109" s="343">
        <v>0.56000000000000005</v>
      </c>
      <c r="E109" s="76" t="s">
        <v>184</v>
      </c>
      <c r="F109" s="343">
        <v>0.41899999999999998</v>
      </c>
      <c r="G109" s="76" t="s">
        <v>106</v>
      </c>
      <c r="H109" s="343">
        <v>0.57199999999999995</v>
      </c>
      <c r="I109" s="76"/>
      <c r="J109" s="348"/>
    </row>
    <row r="110" spans="1:10">
      <c r="A110" s="344" t="s">
        <v>171</v>
      </c>
      <c r="B110" s="345" t="s">
        <v>218</v>
      </c>
      <c r="C110" s="76" t="s">
        <v>212</v>
      </c>
      <c r="D110" s="343">
        <v>0.56000000000000005</v>
      </c>
      <c r="E110" s="76" t="s">
        <v>186</v>
      </c>
      <c r="F110" s="343">
        <v>0.45900000000000002</v>
      </c>
      <c r="G110" s="76" t="s">
        <v>108</v>
      </c>
      <c r="H110" s="343">
        <v>0.624</v>
      </c>
      <c r="I110" s="76"/>
      <c r="J110" s="348"/>
    </row>
    <row r="111" spans="1:10">
      <c r="A111" s="344" t="s">
        <v>171</v>
      </c>
      <c r="B111" s="345" t="s">
        <v>219</v>
      </c>
      <c r="C111" s="76" t="s">
        <v>220</v>
      </c>
      <c r="D111" s="343">
        <v>0.13100000000000001</v>
      </c>
      <c r="E111" s="76" t="s">
        <v>221</v>
      </c>
      <c r="F111" s="343">
        <v>9.7000000000000003E-2</v>
      </c>
      <c r="G111" s="76" t="s">
        <v>112</v>
      </c>
      <c r="H111" s="343">
        <v>3.5999999999999997E-2</v>
      </c>
      <c r="I111" s="76"/>
      <c r="J111" s="348"/>
    </row>
    <row r="112" spans="1:10">
      <c r="A112" s="344" t="s">
        <v>171</v>
      </c>
      <c r="B112" s="345" t="s">
        <v>222</v>
      </c>
      <c r="C112" s="76" t="s">
        <v>223</v>
      </c>
      <c r="D112" s="343">
        <v>8.4000000000000005E-2</v>
      </c>
      <c r="E112" s="76" t="s">
        <v>224</v>
      </c>
      <c r="F112" s="343">
        <v>6.4000000000000001E-2</v>
      </c>
      <c r="G112" s="76" t="s">
        <v>116</v>
      </c>
      <c r="H112" s="343">
        <v>1.6E-2</v>
      </c>
      <c r="I112" s="76"/>
      <c r="J112" s="348"/>
    </row>
    <row r="113" spans="1:10">
      <c r="A113" s="344" t="s">
        <v>19</v>
      </c>
      <c r="B113" s="345" t="s">
        <v>225</v>
      </c>
      <c r="C113" s="76" t="s">
        <v>10</v>
      </c>
      <c r="D113" s="343">
        <v>0.33400000000000002</v>
      </c>
      <c r="E113" s="76" t="s">
        <v>11</v>
      </c>
      <c r="F113" s="343">
        <v>0.124</v>
      </c>
      <c r="G113" s="76" t="s">
        <v>12</v>
      </c>
      <c r="H113" s="343">
        <v>0.22</v>
      </c>
      <c r="I113" s="76"/>
      <c r="J113" s="348"/>
    </row>
    <row r="114" spans="1:10">
      <c r="A114" s="344" t="s">
        <v>19</v>
      </c>
      <c r="B114" s="345" t="s">
        <v>225</v>
      </c>
      <c r="C114" s="76" t="s">
        <v>10</v>
      </c>
      <c r="D114" s="343">
        <v>0.33400000000000002</v>
      </c>
      <c r="E114" s="76" t="s">
        <v>15</v>
      </c>
      <c r="F114" s="343">
        <v>0.152</v>
      </c>
      <c r="G114" s="76" t="s">
        <v>16</v>
      </c>
      <c r="H114" s="343">
        <v>0.26500000000000001</v>
      </c>
      <c r="I114" s="76"/>
      <c r="J114" s="348"/>
    </row>
    <row r="115" spans="1:10">
      <c r="A115" s="344" t="s">
        <v>19</v>
      </c>
      <c r="B115" s="345" t="s">
        <v>226</v>
      </c>
      <c r="C115" s="76" t="s">
        <v>10</v>
      </c>
      <c r="D115" s="343">
        <v>0.33400000000000002</v>
      </c>
      <c r="E115" s="76" t="s">
        <v>21</v>
      </c>
      <c r="F115" s="343">
        <v>0.18</v>
      </c>
      <c r="G115" s="76" t="s">
        <v>22</v>
      </c>
      <c r="H115" s="343">
        <v>0.31</v>
      </c>
      <c r="I115" s="76"/>
      <c r="J115" s="348"/>
    </row>
    <row r="116" spans="1:10">
      <c r="A116" s="344" t="s">
        <v>19</v>
      </c>
      <c r="B116" s="345" t="s">
        <v>227</v>
      </c>
      <c r="C116" s="76" t="s">
        <v>10</v>
      </c>
      <c r="D116" s="343">
        <v>0.33400000000000002</v>
      </c>
      <c r="E116" s="76" t="s">
        <v>25</v>
      </c>
      <c r="F116" s="343">
        <v>0.20799999999999999</v>
      </c>
      <c r="G116" s="76" t="s">
        <v>26</v>
      </c>
      <c r="H116" s="343">
        <v>0.35499999999999998</v>
      </c>
      <c r="I116" s="76"/>
      <c r="J116" s="348"/>
    </row>
    <row r="117" spans="1:10">
      <c r="A117" s="344" t="s">
        <v>19</v>
      </c>
      <c r="B117" s="345" t="s">
        <v>228</v>
      </c>
      <c r="C117" s="76" t="s">
        <v>10</v>
      </c>
      <c r="D117" s="343">
        <v>0.33400000000000002</v>
      </c>
      <c r="E117" s="76" t="s">
        <v>30</v>
      </c>
      <c r="F117" s="346">
        <v>0.26400000000000001</v>
      </c>
      <c r="G117" s="76" t="s">
        <v>31</v>
      </c>
      <c r="H117" s="343">
        <v>0.44500000000000001</v>
      </c>
      <c r="I117" s="76"/>
      <c r="J117" s="348"/>
    </row>
    <row r="118" spans="1:10">
      <c r="A118" s="344" t="s">
        <v>19</v>
      </c>
      <c r="B118" s="345" t="s">
        <v>229</v>
      </c>
      <c r="C118" s="76" t="s">
        <v>10</v>
      </c>
      <c r="D118" s="343">
        <v>0.33400000000000002</v>
      </c>
      <c r="E118" s="76" t="s">
        <v>34</v>
      </c>
      <c r="F118" s="346">
        <v>0.29199999999999998</v>
      </c>
      <c r="G118" s="76" t="s">
        <v>35</v>
      </c>
      <c r="H118" s="343">
        <v>0.48899999999999999</v>
      </c>
      <c r="I118" s="76"/>
      <c r="J118" s="348"/>
    </row>
    <row r="119" spans="1:10">
      <c r="A119" s="344" t="s">
        <v>19</v>
      </c>
      <c r="B119" s="345" t="s">
        <v>230</v>
      </c>
      <c r="C119" s="76" t="s">
        <v>10</v>
      </c>
      <c r="D119" s="343">
        <v>0.33400000000000002</v>
      </c>
      <c r="E119" s="76" t="s">
        <v>39</v>
      </c>
      <c r="F119" s="343">
        <v>0.32</v>
      </c>
      <c r="G119" s="76" t="s">
        <v>40</v>
      </c>
      <c r="H119" s="343">
        <v>0.53400000000000003</v>
      </c>
      <c r="I119" s="76"/>
      <c r="J119" s="348"/>
    </row>
    <row r="120" spans="1:10">
      <c r="A120" s="344" t="s">
        <v>19</v>
      </c>
      <c r="B120" s="345" t="s">
        <v>231</v>
      </c>
      <c r="C120" s="76" t="s">
        <v>44</v>
      </c>
      <c r="D120" s="343">
        <v>0.34799999999999998</v>
      </c>
      <c r="E120" s="76" t="s">
        <v>11</v>
      </c>
      <c r="F120" s="343">
        <v>0.124</v>
      </c>
      <c r="G120" s="76" t="s">
        <v>45</v>
      </c>
      <c r="H120" s="343">
        <v>0.23</v>
      </c>
      <c r="I120" s="76"/>
      <c r="J120" s="348"/>
    </row>
    <row r="121" spans="1:10">
      <c r="A121" s="344" t="s">
        <v>19</v>
      </c>
      <c r="B121" s="345" t="s">
        <v>232</v>
      </c>
      <c r="C121" s="76" t="s">
        <v>44</v>
      </c>
      <c r="D121" s="343">
        <v>0.34799999999999998</v>
      </c>
      <c r="E121" s="76" t="s">
        <v>15</v>
      </c>
      <c r="F121" s="343">
        <v>0.152</v>
      </c>
      <c r="G121" s="76" t="s">
        <v>49</v>
      </c>
      <c r="H121" s="343">
        <v>0.27600000000000002</v>
      </c>
      <c r="I121" s="76"/>
      <c r="J121" s="348"/>
    </row>
    <row r="122" spans="1:10">
      <c r="A122" s="344" t="s">
        <v>19</v>
      </c>
      <c r="B122" s="345" t="s">
        <v>233</v>
      </c>
      <c r="C122" s="76" t="s">
        <v>44</v>
      </c>
      <c r="D122" s="343">
        <v>0.34799999999999998</v>
      </c>
      <c r="E122" s="76" t="s">
        <v>21</v>
      </c>
      <c r="F122" s="343">
        <v>0.18</v>
      </c>
      <c r="G122" s="76" t="s">
        <v>52</v>
      </c>
      <c r="H122" s="343">
        <v>0.32300000000000001</v>
      </c>
      <c r="I122" s="76"/>
      <c r="J122" s="348"/>
    </row>
    <row r="123" spans="1:10">
      <c r="A123" s="344" t="s">
        <v>19</v>
      </c>
      <c r="B123" s="345" t="s">
        <v>234</v>
      </c>
      <c r="C123" s="76" t="s">
        <v>44</v>
      </c>
      <c r="D123" s="343">
        <v>0.34799999999999998</v>
      </c>
      <c r="E123" s="76" t="s">
        <v>25</v>
      </c>
      <c r="F123" s="343">
        <v>0.20799999999999999</v>
      </c>
      <c r="G123" s="76" t="s">
        <v>56</v>
      </c>
      <c r="H123" s="343">
        <v>0.37</v>
      </c>
      <c r="I123" s="76"/>
      <c r="J123" s="348"/>
    </row>
    <row r="124" spans="1:10">
      <c r="A124" s="344" t="s">
        <v>19</v>
      </c>
      <c r="B124" s="345" t="s">
        <v>235</v>
      </c>
      <c r="C124" s="76" t="s">
        <v>44</v>
      </c>
      <c r="D124" s="343">
        <v>0.34799999999999998</v>
      </c>
      <c r="E124" s="76" t="s">
        <v>30</v>
      </c>
      <c r="F124" s="343">
        <v>0.26400000000000001</v>
      </c>
      <c r="G124" s="76" t="s">
        <v>59</v>
      </c>
      <c r="H124" s="343">
        <v>0.46300000000000002</v>
      </c>
      <c r="I124" s="76"/>
      <c r="J124" s="348"/>
    </row>
    <row r="125" spans="1:10">
      <c r="A125" s="344" t="s">
        <v>19</v>
      </c>
      <c r="B125" s="345" t="s">
        <v>236</v>
      </c>
      <c r="C125" s="76" t="s">
        <v>44</v>
      </c>
      <c r="D125" s="343">
        <v>0.34799999999999998</v>
      </c>
      <c r="E125" s="76" t="s">
        <v>34</v>
      </c>
      <c r="F125" s="343">
        <v>0.29199999999999998</v>
      </c>
      <c r="G125" s="76" t="s">
        <v>61</v>
      </c>
      <c r="H125" s="343">
        <v>0.51</v>
      </c>
      <c r="I125" s="76"/>
      <c r="J125" s="348"/>
    </row>
    <row r="126" spans="1:10">
      <c r="A126" s="344" t="s">
        <v>19</v>
      </c>
      <c r="B126" s="345" t="s">
        <v>237</v>
      </c>
      <c r="C126" s="76" t="s">
        <v>44</v>
      </c>
      <c r="D126" s="343">
        <v>0.34799999999999998</v>
      </c>
      <c r="E126" s="76" t="s">
        <v>39</v>
      </c>
      <c r="F126" s="343">
        <v>0.32</v>
      </c>
      <c r="G126" s="76" t="s">
        <v>63</v>
      </c>
      <c r="H126" s="343">
        <v>0.55700000000000005</v>
      </c>
      <c r="I126" s="76"/>
      <c r="J126" s="348"/>
    </row>
    <row r="127" spans="1:10">
      <c r="A127" s="344" t="s">
        <v>19</v>
      </c>
      <c r="B127" s="345" t="s">
        <v>238</v>
      </c>
      <c r="C127" s="76" t="s">
        <v>65</v>
      </c>
      <c r="D127" s="343">
        <v>0.36199999999999999</v>
      </c>
      <c r="E127" s="76" t="s">
        <v>11</v>
      </c>
      <c r="F127" s="343">
        <v>0.124</v>
      </c>
      <c r="G127" s="76" t="s">
        <v>66</v>
      </c>
      <c r="H127" s="343">
        <v>0.23899999999999999</v>
      </c>
      <c r="I127" s="76"/>
      <c r="J127" s="348"/>
    </row>
    <row r="128" spans="1:10">
      <c r="A128" s="344" t="s">
        <v>19</v>
      </c>
      <c r="B128" s="345" t="s">
        <v>239</v>
      </c>
      <c r="C128" s="76" t="s">
        <v>65</v>
      </c>
      <c r="D128" s="343">
        <v>0.36199999999999999</v>
      </c>
      <c r="E128" s="76" t="s">
        <v>15</v>
      </c>
      <c r="F128" s="343">
        <v>0.152</v>
      </c>
      <c r="G128" s="76" t="s">
        <v>68</v>
      </c>
      <c r="H128" s="343">
        <v>0.28799999999999998</v>
      </c>
      <c r="I128" s="76"/>
      <c r="J128" s="348"/>
    </row>
    <row r="129" spans="1:10">
      <c r="A129" s="344" t="s">
        <v>19</v>
      </c>
      <c r="B129" s="345" t="s">
        <v>240</v>
      </c>
      <c r="C129" s="76" t="s">
        <v>65</v>
      </c>
      <c r="D129" s="343">
        <v>0.36199999999999999</v>
      </c>
      <c r="E129" s="76" t="s">
        <v>21</v>
      </c>
      <c r="F129" s="343">
        <v>0.18</v>
      </c>
      <c r="G129" s="76" t="s">
        <v>70</v>
      </c>
      <c r="H129" s="343">
        <v>0.33600000000000002</v>
      </c>
      <c r="I129" s="76"/>
      <c r="J129" s="348"/>
    </row>
    <row r="130" spans="1:10">
      <c r="A130" s="344" t="s">
        <v>19</v>
      </c>
      <c r="B130" s="345" t="s">
        <v>241</v>
      </c>
      <c r="C130" s="76" t="s">
        <v>65</v>
      </c>
      <c r="D130" s="343">
        <v>0.36199999999999999</v>
      </c>
      <c r="E130" s="76" t="s">
        <v>25</v>
      </c>
      <c r="F130" s="343">
        <v>0.20799999999999999</v>
      </c>
      <c r="G130" s="76" t="s">
        <v>72</v>
      </c>
      <c r="H130" s="343">
        <v>0.38500000000000001</v>
      </c>
      <c r="I130" s="76"/>
      <c r="J130" s="348"/>
    </row>
    <row r="131" spans="1:10">
      <c r="A131" s="344" t="s">
        <v>19</v>
      </c>
      <c r="B131" s="345" t="s">
        <v>242</v>
      </c>
      <c r="C131" s="76" t="s">
        <v>65</v>
      </c>
      <c r="D131" s="343">
        <v>0.36199999999999999</v>
      </c>
      <c r="E131" s="76" t="s">
        <v>30</v>
      </c>
      <c r="F131" s="343">
        <v>0.26400000000000001</v>
      </c>
      <c r="G131" s="76" t="s">
        <v>74</v>
      </c>
      <c r="H131" s="343">
        <v>0.48199999999999998</v>
      </c>
      <c r="I131" s="76"/>
      <c r="J131" s="348"/>
    </row>
    <row r="132" spans="1:10">
      <c r="A132" s="344" t="s">
        <v>19</v>
      </c>
      <c r="B132" s="345" t="s">
        <v>243</v>
      </c>
      <c r="C132" s="76" t="s">
        <v>65</v>
      </c>
      <c r="D132" s="343">
        <v>0.36199999999999999</v>
      </c>
      <c r="E132" s="76" t="s">
        <v>34</v>
      </c>
      <c r="F132" s="343">
        <v>0.29199999999999998</v>
      </c>
      <c r="G132" s="76" t="s">
        <v>76</v>
      </c>
      <c r="H132" s="343">
        <v>0.53100000000000003</v>
      </c>
      <c r="I132" s="76"/>
      <c r="J132" s="348"/>
    </row>
    <row r="133" spans="1:10">
      <c r="A133" s="344" t="s">
        <v>19</v>
      </c>
      <c r="B133" s="345" t="s">
        <v>244</v>
      </c>
      <c r="C133" s="76" t="s">
        <v>65</v>
      </c>
      <c r="D133" s="343">
        <v>0.36199999999999999</v>
      </c>
      <c r="E133" s="76" t="s">
        <v>39</v>
      </c>
      <c r="F133" s="343">
        <v>0.32</v>
      </c>
      <c r="G133" s="76" t="s">
        <v>78</v>
      </c>
      <c r="H133" s="343">
        <v>0.57899999999999996</v>
      </c>
      <c r="I133" s="76"/>
      <c r="J133" s="348"/>
    </row>
    <row r="134" spans="1:10">
      <c r="A134" s="344" t="s">
        <v>19</v>
      </c>
      <c r="B134" s="345" t="s">
        <v>245</v>
      </c>
      <c r="C134" s="76" t="s">
        <v>80</v>
      </c>
      <c r="D134" s="343">
        <v>0.372</v>
      </c>
      <c r="E134" s="76" t="s">
        <v>11</v>
      </c>
      <c r="F134" s="343">
        <v>0.124</v>
      </c>
      <c r="G134" s="76" t="s">
        <v>81</v>
      </c>
      <c r="H134" s="343">
        <v>0.245</v>
      </c>
      <c r="I134" s="76"/>
      <c r="J134" s="348"/>
    </row>
    <row r="135" spans="1:10">
      <c r="A135" s="344" t="s">
        <v>19</v>
      </c>
      <c r="B135" s="345" t="s">
        <v>246</v>
      </c>
      <c r="C135" s="76" t="s">
        <v>80</v>
      </c>
      <c r="D135" s="343">
        <v>0.372</v>
      </c>
      <c r="E135" s="76" t="s">
        <v>15</v>
      </c>
      <c r="F135" s="343">
        <v>0.152</v>
      </c>
      <c r="G135" s="76" t="s">
        <v>83</v>
      </c>
      <c r="H135" s="343">
        <v>0.29499999999999998</v>
      </c>
      <c r="I135" s="76"/>
      <c r="J135" s="348"/>
    </row>
    <row r="136" spans="1:10">
      <c r="A136" s="344" t="s">
        <v>19</v>
      </c>
      <c r="B136" s="345" t="s">
        <v>247</v>
      </c>
      <c r="C136" s="76" t="s">
        <v>80</v>
      </c>
      <c r="D136" s="343">
        <v>0.372</v>
      </c>
      <c r="E136" s="76" t="s">
        <v>21</v>
      </c>
      <c r="F136" s="343">
        <v>0.18</v>
      </c>
      <c r="G136" s="76" t="s">
        <v>85</v>
      </c>
      <c r="H136" s="343">
        <v>0.34499999999999997</v>
      </c>
      <c r="I136" s="76"/>
      <c r="J136" s="348"/>
    </row>
    <row r="137" spans="1:10">
      <c r="A137" s="344" t="s">
        <v>19</v>
      </c>
      <c r="B137" s="345" t="s">
        <v>248</v>
      </c>
      <c r="C137" s="76" t="s">
        <v>80</v>
      </c>
      <c r="D137" s="343">
        <v>0.372</v>
      </c>
      <c r="E137" s="76" t="s">
        <v>25</v>
      </c>
      <c r="F137" s="343">
        <v>0.20799999999999999</v>
      </c>
      <c r="G137" s="76" t="s">
        <v>87</v>
      </c>
      <c r="H137" s="343">
        <v>0.39500000000000002</v>
      </c>
      <c r="I137" s="76"/>
      <c r="J137" s="348"/>
    </row>
    <row r="138" spans="1:10">
      <c r="A138" s="344" t="s">
        <v>19</v>
      </c>
      <c r="B138" s="345" t="s">
        <v>249</v>
      </c>
      <c r="C138" s="76" t="s">
        <v>80</v>
      </c>
      <c r="D138" s="343">
        <v>0.372</v>
      </c>
      <c r="E138" s="76" t="s">
        <v>30</v>
      </c>
      <c r="F138" s="343">
        <v>0.26400000000000001</v>
      </c>
      <c r="G138" s="76" t="s">
        <v>89</v>
      </c>
      <c r="H138" s="343">
        <v>0.49399999999999999</v>
      </c>
      <c r="I138" s="76"/>
      <c r="J138" s="348"/>
    </row>
    <row r="139" spans="1:10">
      <c r="A139" s="344" t="s">
        <v>19</v>
      </c>
      <c r="B139" s="345" t="s">
        <v>250</v>
      </c>
      <c r="C139" s="76" t="s">
        <v>80</v>
      </c>
      <c r="D139" s="343">
        <v>0.372</v>
      </c>
      <c r="E139" s="76" t="s">
        <v>34</v>
      </c>
      <c r="F139" s="343">
        <v>0.29199999999999998</v>
      </c>
      <c r="G139" s="76" t="s">
        <v>91</v>
      </c>
      <c r="H139" s="343">
        <v>0.54400000000000004</v>
      </c>
      <c r="I139" s="76"/>
      <c r="J139" s="348"/>
    </row>
    <row r="140" spans="1:10">
      <c r="A140" s="344" t="s">
        <v>19</v>
      </c>
      <c r="B140" s="345" t="s">
        <v>251</v>
      </c>
      <c r="C140" s="76" t="s">
        <v>80</v>
      </c>
      <c r="D140" s="343">
        <v>0.372</v>
      </c>
      <c r="E140" s="76" t="s">
        <v>39</v>
      </c>
      <c r="F140" s="343">
        <v>0.32</v>
      </c>
      <c r="G140" s="76" t="s">
        <v>93</v>
      </c>
      <c r="H140" s="343">
        <v>0.59399999999999997</v>
      </c>
      <c r="I140" s="76"/>
      <c r="J140" s="348"/>
    </row>
    <row r="141" spans="1:10">
      <c r="A141" s="344" t="s">
        <v>19</v>
      </c>
      <c r="B141" s="345" t="s">
        <v>252</v>
      </c>
      <c r="C141" s="76" t="s">
        <v>95</v>
      </c>
      <c r="D141" s="343">
        <v>0.39</v>
      </c>
      <c r="E141" s="76" t="s">
        <v>11</v>
      </c>
      <c r="F141" s="343">
        <v>0.124</v>
      </c>
      <c r="G141" s="76" t="s">
        <v>96</v>
      </c>
      <c r="H141" s="343">
        <v>0.25700000000000001</v>
      </c>
      <c r="I141" s="76"/>
      <c r="J141" s="348"/>
    </row>
    <row r="142" spans="1:10">
      <c r="A142" s="344" t="s">
        <v>19</v>
      </c>
      <c r="B142" s="345" t="s">
        <v>253</v>
      </c>
      <c r="C142" s="76" t="s">
        <v>95</v>
      </c>
      <c r="D142" s="343">
        <v>0.39</v>
      </c>
      <c r="E142" s="76" t="s">
        <v>15</v>
      </c>
      <c r="F142" s="343">
        <v>0.152</v>
      </c>
      <c r="G142" s="76" t="s">
        <v>98</v>
      </c>
      <c r="H142" s="343">
        <v>0.31</v>
      </c>
      <c r="I142" s="76"/>
      <c r="J142" s="348"/>
    </row>
    <row r="143" spans="1:10">
      <c r="A143" s="344" t="s">
        <v>19</v>
      </c>
      <c r="B143" s="345" t="s">
        <v>254</v>
      </c>
      <c r="C143" s="76" t="s">
        <v>95</v>
      </c>
      <c r="D143" s="343">
        <v>0.39</v>
      </c>
      <c r="E143" s="76" t="s">
        <v>21</v>
      </c>
      <c r="F143" s="343">
        <v>0.18</v>
      </c>
      <c r="G143" s="76" t="s">
        <v>100</v>
      </c>
      <c r="H143" s="343">
        <v>0.36199999999999999</v>
      </c>
      <c r="I143" s="76"/>
      <c r="J143" s="348"/>
    </row>
    <row r="144" spans="1:10">
      <c r="A144" s="344" t="s">
        <v>19</v>
      </c>
      <c r="B144" s="345" t="s">
        <v>255</v>
      </c>
      <c r="C144" s="76" t="s">
        <v>95</v>
      </c>
      <c r="D144" s="343">
        <v>0.39</v>
      </c>
      <c r="E144" s="76" t="s">
        <v>25</v>
      </c>
      <c r="F144" s="343">
        <v>0.20799999999999999</v>
      </c>
      <c r="G144" s="76" t="s">
        <v>102</v>
      </c>
      <c r="H144" s="343">
        <v>0.41499999999999998</v>
      </c>
      <c r="I144" s="76"/>
      <c r="J144" s="348"/>
    </row>
    <row r="145" spans="1:10">
      <c r="A145" s="344" t="s">
        <v>19</v>
      </c>
      <c r="B145" s="345" t="s">
        <v>256</v>
      </c>
      <c r="C145" s="76" t="s">
        <v>95</v>
      </c>
      <c r="D145" s="343">
        <v>0.39</v>
      </c>
      <c r="E145" s="76" t="s">
        <v>30</v>
      </c>
      <c r="F145" s="343">
        <v>0.26400000000000001</v>
      </c>
      <c r="G145" s="76" t="s">
        <v>104</v>
      </c>
      <c r="H145" s="343">
        <v>0.51900000000000002</v>
      </c>
      <c r="I145" s="76"/>
      <c r="J145" s="348"/>
    </row>
    <row r="146" spans="1:10">
      <c r="A146" s="344" t="s">
        <v>19</v>
      </c>
      <c r="B146" s="345" t="s">
        <v>257</v>
      </c>
      <c r="C146" s="76" t="s">
        <v>95</v>
      </c>
      <c r="D146" s="343">
        <v>0.39</v>
      </c>
      <c r="E146" s="76" t="s">
        <v>34</v>
      </c>
      <c r="F146" s="343">
        <v>0.29199999999999998</v>
      </c>
      <c r="G146" s="76" t="s">
        <v>106</v>
      </c>
      <c r="H146" s="343">
        <v>0.57199999999999995</v>
      </c>
      <c r="I146" s="76"/>
      <c r="J146" s="348"/>
    </row>
    <row r="147" spans="1:10">
      <c r="A147" s="344" t="s">
        <v>19</v>
      </c>
      <c r="B147" s="345" t="s">
        <v>258</v>
      </c>
      <c r="C147" s="76" t="s">
        <v>95</v>
      </c>
      <c r="D147" s="343">
        <v>0.39</v>
      </c>
      <c r="E147" s="76" t="s">
        <v>39</v>
      </c>
      <c r="F147" s="343">
        <v>0.32</v>
      </c>
      <c r="G147" s="76" t="s">
        <v>108</v>
      </c>
      <c r="H147" s="343">
        <v>0.624</v>
      </c>
      <c r="I147" s="76"/>
      <c r="J147" s="348"/>
    </row>
    <row r="148" spans="1:10">
      <c r="A148" s="344" t="s">
        <v>19</v>
      </c>
      <c r="B148" s="345" t="s">
        <v>259</v>
      </c>
      <c r="C148" s="76" t="s">
        <v>110</v>
      </c>
      <c r="D148" s="343">
        <v>9.0999999999999998E-2</v>
      </c>
      <c r="E148" s="76" t="s">
        <v>111</v>
      </c>
      <c r="F148" s="343">
        <v>6.8000000000000005E-2</v>
      </c>
      <c r="G148" s="76" t="s">
        <v>112</v>
      </c>
      <c r="H148" s="343">
        <v>3.5999999999999997E-2</v>
      </c>
      <c r="I148" s="76"/>
      <c r="J148" s="348"/>
    </row>
    <row r="149" spans="1:10">
      <c r="A149" s="344" t="s">
        <v>19</v>
      </c>
      <c r="B149" s="345" t="s">
        <v>260</v>
      </c>
      <c r="C149" s="76" t="s">
        <v>114</v>
      </c>
      <c r="D149" s="343"/>
      <c r="E149" s="76" t="s">
        <v>115</v>
      </c>
      <c r="F149" s="343"/>
      <c r="G149" s="76" t="s">
        <v>116</v>
      </c>
      <c r="H149" s="343">
        <v>1.6E-2</v>
      </c>
      <c r="I149" s="76"/>
      <c r="J149" s="348"/>
    </row>
    <row r="150" spans="1:10">
      <c r="A150" s="344" t="s">
        <v>117</v>
      </c>
      <c r="B150" s="345" t="s">
        <v>261</v>
      </c>
      <c r="C150" s="76" t="s">
        <v>119</v>
      </c>
      <c r="D150" s="343">
        <v>0.42099999999999999</v>
      </c>
      <c r="E150" s="76" t="s">
        <v>120</v>
      </c>
      <c r="F150" s="343">
        <v>0.156</v>
      </c>
      <c r="G150" s="76" t="s">
        <v>12</v>
      </c>
      <c r="H150" s="343">
        <v>0.22</v>
      </c>
      <c r="I150" s="76"/>
      <c r="J150" s="348"/>
    </row>
    <row r="151" spans="1:10">
      <c r="A151" s="344" t="s">
        <v>117</v>
      </c>
      <c r="B151" s="345" t="s">
        <v>262</v>
      </c>
      <c r="C151" s="76" t="s">
        <v>119</v>
      </c>
      <c r="D151" s="343">
        <v>0.42099999999999999</v>
      </c>
      <c r="E151" s="76" t="s">
        <v>122</v>
      </c>
      <c r="F151" s="343">
        <v>0.192</v>
      </c>
      <c r="G151" s="76" t="s">
        <v>16</v>
      </c>
      <c r="H151" s="343">
        <v>0.26500000000000001</v>
      </c>
      <c r="I151" s="76"/>
      <c r="J151" s="348"/>
    </row>
    <row r="152" spans="1:10">
      <c r="A152" s="344" t="s">
        <v>117</v>
      </c>
      <c r="B152" s="345" t="s">
        <v>263</v>
      </c>
      <c r="C152" s="76" t="s">
        <v>119</v>
      </c>
      <c r="D152" s="343">
        <v>0.42099999999999999</v>
      </c>
      <c r="E152" s="76" t="s">
        <v>124</v>
      </c>
      <c r="F152" s="343">
        <v>0.22700000000000001</v>
      </c>
      <c r="G152" s="76" t="s">
        <v>22</v>
      </c>
      <c r="H152" s="343">
        <v>0.31</v>
      </c>
      <c r="I152" s="76"/>
      <c r="J152" s="348"/>
    </row>
    <row r="153" spans="1:10">
      <c r="A153" s="344" t="s">
        <v>117</v>
      </c>
      <c r="B153" s="345" t="s">
        <v>264</v>
      </c>
      <c r="C153" s="76" t="s">
        <v>119</v>
      </c>
      <c r="D153" s="343">
        <v>0.42099999999999999</v>
      </c>
      <c r="E153" s="76" t="s">
        <v>126</v>
      </c>
      <c r="F153" s="343">
        <v>0.26200000000000001</v>
      </c>
      <c r="G153" s="76" t="s">
        <v>26</v>
      </c>
      <c r="H153" s="343">
        <v>0.35499999999999998</v>
      </c>
      <c r="I153" s="76"/>
      <c r="J153" s="348"/>
    </row>
    <row r="154" spans="1:10">
      <c r="A154" s="344" t="s">
        <v>117</v>
      </c>
      <c r="B154" s="345" t="s">
        <v>265</v>
      </c>
      <c r="C154" s="76" t="s">
        <v>119</v>
      </c>
      <c r="D154" s="343">
        <v>0.42099999999999999</v>
      </c>
      <c r="E154" s="76" t="s">
        <v>128</v>
      </c>
      <c r="F154" s="343">
        <v>0.33300000000000002</v>
      </c>
      <c r="G154" s="76" t="s">
        <v>31</v>
      </c>
      <c r="H154" s="343">
        <v>0.44500000000000001</v>
      </c>
      <c r="I154" s="76"/>
      <c r="J154" s="348"/>
    </row>
    <row r="155" spans="1:10">
      <c r="A155" s="344" t="s">
        <v>117</v>
      </c>
      <c r="B155" s="345" t="s">
        <v>266</v>
      </c>
      <c r="C155" s="76" t="s">
        <v>119</v>
      </c>
      <c r="D155" s="343">
        <v>0.42099999999999999</v>
      </c>
      <c r="E155" s="76" t="s">
        <v>130</v>
      </c>
      <c r="F155" s="343">
        <v>0.36799999999999999</v>
      </c>
      <c r="G155" s="76" t="s">
        <v>35</v>
      </c>
      <c r="H155" s="343">
        <v>0.48899999999999999</v>
      </c>
      <c r="I155" s="76"/>
      <c r="J155" s="348"/>
    </row>
    <row r="156" spans="1:10">
      <c r="A156" s="344" t="s">
        <v>117</v>
      </c>
      <c r="B156" s="345" t="s">
        <v>267</v>
      </c>
      <c r="C156" s="76" t="s">
        <v>119</v>
      </c>
      <c r="D156" s="343">
        <v>0.42099999999999999</v>
      </c>
      <c r="E156" s="76" t="s">
        <v>132</v>
      </c>
      <c r="F156" s="343">
        <v>0.40400000000000003</v>
      </c>
      <c r="G156" s="76" t="s">
        <v>40</v>
      </c>
      <c r="H156" s="343">
        <v>0.53400000000000003</v>
      </c>
      <c r="I156" s="76"/>
      <c r="J156" s="348"/>
    </row>
    <row r="157" spans="1:10">
      <c r="A157" s="344" t="s">
        <v>117</v>
      </c>
      <c r="B157" s="345" t="s">
        <v>268</v>
      </c>
      <c r="C157" s="76" t="s">
        <v>134</v>
      </c>
      <c r="D157" s="343">
        <v>0.439</v>
      </c>
      <c r="E157" s="76" t="s">
        <v>120</v>
      </c>
      <c r="F157" s="343">
        <v>0.156</v>
      </c>
      <c r="G157" s="76" t="s">
        <v>45</v>
      </c>
      <c r="H157" s="343">
        <v>0.23</v>
      </c>
      <c r="I157" s="76"/>
      <c r="J157" s="348"/>
    </row>
    <row r="158" spans="1:10">
      <c r="A158" s="344" t="s">
        <v>117</v>
      </c>
      <c r="B158" s="345" t="s">
        <v>269</v>
      </c>
      <c r="C158" s="76" t="s">
        <v>134</v>
      </c>
      <c r="D158" s="343">
        <v>0.439</v>
      </c>
      <c r="E158" s="76" t="s">
        <v>122</v>
      </c>
      <c r="F158" s="343">
        <v>0.192</v>
      </c>
      <c r="G158" s="76" t="s">
        <v>49</v>
      </c>
      <c r="H158" s="343">
        <v>0.27600000000000002</v>
      </c>
      <c r="I158" s="76"/>
      <c r="J158" s="348"/>
    </row>
    <row r="159" spans="1:10">
      <c r="A159" s="344" t="s">
        <v>117</v>
      </c>
      <c r="B159" s="345" t="s">
        <v>270</v>
      </c>
      <c r="C159" s="76" t="s">
        <v>134</v>
      </c>
      <c r="D159" s="343">
        <v>0.439</v>
      </c>
      <c r="E159" s="76" t="s">
        <v>124</v>
      </c>
      <c r="F159" s="343">
        <v>0.22700000000000001</v>
      </c>
      <c r="G159" s="76" t="s">
        <v>52</v>
      </c>
      <c r="H159" s="343">
        <v>0.32300000000000001</v>
      </c>
      <c r="I159" s="76"/>
      <c r="J159" s="348"/>
    </row>
    <row r="160" spans="1:10">
      <c r="A160" s="344" t="s">
        <v>117</v>
      </c>
      <c r="B160" s="345" t="s">
        <v>271</v>
      </c>
      <c r="C160" s="76" t="s">
        <v>134</v>
      </c>
      <c r="D160" s="343">
        <v>0.439</v>
      </c>
      <c r="E160" s="76" t="s">
        <v>126</v>
      </c>
      <c r="F160" s="343">
        <v>0.26200000000000001</v>
      </c>
      <c r="G160" s="76" t="s">
        <v>56</v>
      </c>
      <c r="H160" s="343">
        <v>0.37</v>
      </c>
      <c r="I160" s="76"/>
      <c r="J160" s="348"/>
    </row>
    <row r="161" spans="1:10">
      <c r="A161" s="344" t="s">
        <v>117</v>
      </c>
      <c r="B161" s="345" t="s">
        <v>272</v>
      </c>
      <c r="C161" s="76" t="s">
        <v>134</v>
      </c>
      <c r="D161" s="343">
        <v>0.439</v>
      </c>
      <c r="E161" s="76" t="s">
        <v>128</v>
      </c>
      <c r="F161" s="343">
        <v>0.33300000000000002</v>
      </c>
      <c r="G161" s="76" t="s">
        <v>59</v>
      </c>
      <c r="H161" s="343">
        <v>0.46300000000000002</v>
      </c>
      <c r="I161" s="76"/>
      <c r="J161" s="348"/>
    </row>
    <row r="162" spans="1:10">
      <c r="A162" s="344" t="s">
        <v>117</v>
      </c>
      <c r="B162" s="345" t="s">
        <v>273</v>
      </c>
      <c r="C162" s="76" t="s">
        <v>134</v>
      </c>
      <c r="D162" s="343">
        <v>0.439</v>
      </c>
      <c r="E162" s="76" t="s">
        <v>130</v>
      </c>
      <c r="F162" s="343">
        <v>0.36799999999999999</v>
      </c>
      <c r="G162" s="76" t="s">
        <v>61</v>
      </c>
      <c r="H162" s="343">
        <v>0.51</v>
      </c>
      <c r="I162" s="76"/>
      <c r="J162" s="348"/>
    </row>
    <row r="163" spans="1:10">
      <c r="A163" s="344" t="s">
        <v>117</v>
      </c>
      <c r="B163" s="345" t="s">
        <v>274</v>
      </c>
      <c r="C163" s="76" t="s">
        <v>134</v>
      </c>
      <c r="D163" s="343">
        <v>0.439</v>
      </c>
      <c r="E163" s="76" t="s">
        <v>132</v>
      </c>
      <c r="F163" s="343">
        <v>0.40400000000000003</v>
      </c>
      <c r="G163" s="76" t="s">
        <v>63</v>
      </c>
      <c r="H163" s="343">
        <v>0.55700000000000005</v>
      </c>
      <c r="I163" s="76"/>
      <c r="J163" s="348"/>
    </row>
    <row r="164" spans="1:10">
      <c r="A164" s="344" t="s">
        <v>117</v>
      </c>
      <c r="B164" s="345" t="s">
        <v>275</v>
      </c>
      <c r="C164" s="76" t="s">
        <v>142</v>
      </c>
      <c r="D164" s="343">
        <v>0.45700000000000002</v>
      </c>
      <c r="E164" s="76" t="s">
        <v>120</v>
      </c>
      <c r="F164" s="343">
        <v>0.156</v>
      </c>
      <c r="G164" s="76" t="s">
        <v>66</v>
      </c>
      <c r="H164" s="343">
        <v>0.23899999999999999</v>
      </c>
      <c r="I164" s="76"/>
      <c r="J164" s="348"/>
    </row>
    <row r="165" spans="1:10">
      <c r="A165" s="344" t="s">
        <v>117</v>
      </c>
      <c r="B165" s="345" t="s">
        <v>276</v>
      </c>
      <c r="C165" s="76" t="s">
        <v>142</v>
      </c>
      <c r="D165" s="343">
        <v>0.45700000000000002</v>
      </c>
      <c r="E165" s="76" t="s">
        <v>122</v>
      </c>
      <c r="F165" s="343">
        <v>0.192</v>
      </c>
      <c r="G165" s="76" t="s">
        <v>68</v>
      </c>
      <c r="H165" s="343">
        <v>0.28799999999999998</v>
      </c>
      <c r="I165" s="76"/>
      <c r="J165" s="348"/>
    </row>
    <row r="166" spans="1:10">
      <c r="A166" s="344" t="s">
        <v>117</v>
      </c>
      <c r="B166" s="345" t="s">
        <v>277</v>
      </c>
      <c r="C166" s="76" t="s">
        <v>142</v>
      </c>
      <c r="D166" s="343">
        <v>0.45700000000000002</v>
      </c>
      <c r="E166" s="76" t="s">
        <v>124</v>
      </c>
      <c r="F166" s="343">
        <v>0.22700000000000001</v>
      </c>
      <c r="G166" s="76" t="s">
        <v>70</v>
      </c>
      <c r="H166" s="343">
        <v>0.33600000000000002</v>
      </c>
      <c r="I166" s="76"/>
      <c r="J166" s="348"/>
    </row>
    <row r="167" spans="1:10">
      <c r="A167" s="344" t="s">
        <v>117</v>
      </c>
      <c r="B167" s="345" t="s">
        <v>278</v>
      </c>
      <c r="C167" s="76" t="s">
        <v>142</v>
      </c>
      <c r="D167" s="343">
        <v>0.45700000000000002</v>
      </c>
      <c r="E167" s="76" t="s">
        <v>126</v>
      </c>
      <c r="F167" s="343">
        <v>0.26200000000000001</v>
      </c>
      <c r="G167" s="76" t="s">
        <v>72</v>
      </c>
      <c r="H167" s="343">
        <v>0.38500000000000001</v>
      </c>
      <c r="I167" s="76"/>
      <c r="J167" s="348"/>
    </row>
    <row r="168" spans="1:10">
      <c r="A168" s="344" t="s">
        <v>117</v>
      </c>
      <c r="B168" s="345" t="s">
        <v>279</v>
      </c>
      <c r="C168" s="76" t="s">
        <v>142</v>
      </c>
      <c r="D168" s="343">
        <v>0.45700000000000002</v>
      </c>
      <c r="E168" s="76" t="s">
        <v>128</v>
      </c>
      <c r="F168" s="343">
        <v>0.33300000000000002</v>
      </c>
      <c r="G168" s="76" t="s">
        <v>74</v>
      </c>
      <c r="H168" s="343">
        <v>0.48199999999999998</v>
      </c>
      <c r="I168" s="76"/>
      <c r="J168" s="348"/>
    </row>
    <row r="169" spans="1:10">
      <c r="A169" s="344" t="s">
        <v>117</v>
      </c>
      <c r="B169" s="345" t="s">
        <v>280</v>
      </c>
      <c r="C169" s="76" t="s">
        <v>142</v>
      </c>
      <c r="D169" s="343">
        <v>0.45700000000000002</v>
      </c>
      <c r="E169" s="76" t="s">
        <v>130</v>
      </c>
      <c r="F169" s="343">
        <v>0.36799999999999999</v>
      </c>
      <c r="G169" s="76" t="s">
        <v>76</v>
      </c>
      <c r="H169" s="343">
        <v>0.53100000000000003</v>
      </c>
      <c r="I169" s="76"/>
      <c r="J169" s="348"/>
    </row>
    <row r="170" spans="1:10">
      <c r="A170" s="344" t="s">
        <v>117</v>
      </c>
      <c r="B170" s="345" t="s">
        <v>281</v>
      </c>
      <c r="C170" s="76" t="s">
        <v>142</v>
      </c>
      <c r="D170" s="343">
        <v>0.45700000000000002</v>
      </c>
      <c r="E170" s="76" t="s">
        <v>132</v>
      </c>
      <c r="F170" s="343">
        <v>0.40400000000000003</v>
      </c>
      <c r="G170" s="76" t="s">
        <v>78</v>
      </c>
      <c r="H170" s="343">
        <v>0.57899999999999996</v>
      </c>
      <c r="I170" s="76"/>
      <c r="J170" s="348"/>
    </row>
    <row r="171" spans="1:10">
      <c r="A171" s="344" t="s">
        <v>117</v>
      </c>
      <c r="B171" s="345" t="s">
        <v>282</v>
      </c>
      <c r="C171" s="76" t="s">
        <v>150</v>
      </c>
      <c r="D171" s="343">
        <v>0.46800000000000003</v>
      </c>
      <c r="E171" s="76" t="s">
        <v>120</v>
      </c>
      <c r="F171" s="343">
        <v>0.156</v>
      </c>
      <c r="G171" s="76" t="s">
        <v>81</v>
      </c>
      <c r="H171" s="343">
        <v>0.245</v>
      </c>
      <c r="I171" s="76"/>
      <c r="J171" s="348"/>
    </row>
    <row r="172" spans="1:10">
      <c r="A172" s="344" t="s">
        <v>117</v>
      </c>
      <c r="B172" s="345" t="s">
        <v>283</v>
      </c>
      <c r="C172" s="76" t="s">
        <v>150</v>
      </c>
      <c r="D172" s="343">
        <v>0.46800000000000003</v>
      </c>
      <c r="E172" s="76" t="s">
        <v>122</v>
      </c>
      <c r="F172" s="343">
        <v>0.192</v>
      </c>
      <c r="G172" s="76" t="s">
        <v>83</v>
      </c>
      <c r="H172" s="343">
        <v>0.29499999999999998</v>
      </c>
      <c r="I172" s="76"/>
      <c r="J172" s="348"/>
    </row>
    <row r="173" spans="1:10">
      <c r="A173" s="344" t="s">
        <v>117</v>
      </c>
      <c r="B173" s="345" t="s">
        <v>284</v>
      </c>
      <c r="C173" s="76" t="s">
        <v>150</v>
      </c>
      <c r="D173" s="343">
        <v>0.46800000000000003</v>
      </c>
      <c r="E173" s="76" t="s">
        <v>124</v>
      </c>
      <c r="F173" s="343">
        <v>0.22700000000000001</v>
      </c>
      <c r="G173" s="76" t="s">
        <v>85</v>
      </c>
      <c r="H173" s="343">
        <v>0.34499999999999997</v>
      </c>
      <c r="I173" s="76"/>
      <c r="J173" s="348"/>
    </row>
    <row r="174" spans="1:10">
      <c r="A174" s="344" t="s">
        <v>117</v>
      </c>
      <c r="B174" s="345" t="s">
        <v>285</v>
      </c>
      <c r="C174" s="76" t="s">
        <v>150</v>
      </c>
      <c r="D174" s="343">
        <v>0.46800000000000003</v>
      </c>
      <c r="E174" s="76" t="s">
        <v>126</v>
      </c>
      <c r="F174" s="343">
        <v>0.26200000000000001</v>
      </c>
      <c r="G174" s="76" t="s">
        <v>87</v>
      </c>
      <c r="H174" s="343">
        <v>0.39500000000000002</v>
      </c>
      <c r="I174" s="76"/>
      <c r="J174" s="348"/>
    </row>
    <row r="175" spans="1:10">
      <c r="A175" s="344" t="s">
        <v>117</v>
      </c>
      <c r="B175" s="345" t="s">
        <v>286</v>
      </c>
      <c r="C175" s="76" t="s">
        <v>150</v>
      </c>
      <c r="D175" s="343">
        <v>0.46800000000000003</v>
      </c>
      <c r="E175" s="76" t="s">
        <v>128</v>
      </c>
      <c r="F175" s="343">
        <v>0.33300000000000002</v>
      </c>
      <c r="G175" s="76" t="s">
        <v>89</v>
      </c>
      <c r="H175" s="343">
        <v>0.49399999999999999</v>
      </c>
      <c r="I175" s="76"/>
      <c r="J175" s="348"/>
    </row>
    <row r="176" spans="1:10">
      <c r="A176" s="344" t="s">
        <v>117</v>
      </c>
      <c r="B176" s="345" t="s">
        <v>287</v>
      </c>
      <c r="C176" s="76" t="s">
        <v>150</v>
      </c>
      <c r="D176" s="343">
        <v>0.46800000000000003</v>
      </c>
      <c r="E176" s="76" t="s">
        <v>130</v>
      </c>
      <c r="F176" s="343">
        <v>0.36799999999999999</v>
      </c>
      <c r="G176" s="76" t="s">
        <v>91</v>
      </c>
      <c r="H176" s="343">
        <v>0.54400000000000004</v>
      </c>
      <c r="I176" s="76"/>
      <c r="J176" s="348"/>
    </row>
    <row r="177" spans="1:10">
      <c r="A177" s="344" t="s">
        <v>117</v>
      </c>
      <c r="B177" s="345" t="s">
        <v>288</v>
      </c>
      <c r="C177" s="76" t="s">
        <v>150</v>
      </c>
      <c r="D177" s="343">
        <v>0.46800000000000003</v>
      </c>
      <c r="E177" s="76" t="s">
        <v>132</v>
      </c>
      <c r="F177" s="343">
        <v>0.40400000000000003</v>
      </c>
      <c r="G177" s="76" t="s">
        <v>93</v>
      </c>
      <c r="H177" s="343">
        <v>0.59399999999999997</v>
      </c>
      <c r="I177" s="76"/>
      <c r="J177" s="348"/>
    </row>
    <row r="178" spans="1:10">
      <c r="A178" s="344" t="s">
        <v>117</v>
      </c>
      <c r="B178" s="345" t="s">
        <v>289</v>
      </c>
      <c r="C178" s="76" t="s">
        <v>158</v>
      </c>
      <c r="D178" s="343">
        <v>0.49199999999999999</v>
      </c>
      <c r="E178" s="76" t="s">
        <v>120</v>
      </c>
      <c r="F178" s="343">
        <v>0.156</v>
      </c>
      <c r="G178" s="76" t="s">
        <v>96</v>
      </c>
      <c r="H178" s="343">
        <v>0.25700000000000001</v>
      </c>
      <c r="I178" s="76"/>
      <c r="J178" s="348"/>
    </row>
    <row r="179" spans="1:10">
      <c r="A179" s="344" t="s">
        <v>117</v>
      </c>
      <c r="B179" s="345" t="s">
        <v>290</v>
      </c>
      <c r="C179" s="76" t="s">
        <v>158</v>
      </c>
      <c r="D179" s="343">
        <v>0.49199999999999999</v>
      </c>
      <c r="E179" s="76" t="s">
        <v>122</v>
      </c>
      <c r="F179" s="343">
        <v>0.192</v>
      </c>
      <c r="G179" s="76" t="s">
        <v>98</v>
      </c>
      <c r="H179" s="343">
        <v>0.31</v>
      </c>
      <c r="I179" s="76"/>
      <c r="J179" s="348"/>
    </row>
    <row r="180" spans="1:10">
      <c r="A180" s="344" t="s">
        <v>117</v>
      </c>
      <c r="B180" s="345" t="s">
        <v>291</v>
      </c>
      <c r="C180" s="76" t="s">
        <v>158</v>
      </c>
      <c r="D180" s="343">
        <v>0.49199999999999999</v>
      </c>
      <c r="E180" s="76" t="s">
        <v>124</v>
      </c>
      <c r="F180" s="343">
        <v>0.22700000000000001</v>
      </c>
      <c r="G180" s="76" t="s">
        <v>100</v>
      </c>
      <c r="H180" s="343">
        <v>0.36199999999999999</v>
      </c>
      <c r="I180" s="76"/>
      <c r="J180" s="348"/>
    </row>
    <row r="181" spans="1:10">
      <c r="A181" s="344" t="s">
        <v>117</v>
      </c>
      <c r="B181" s="345" t="s">
        <v>292</v>
      </c>
      <c r="C181" s="76" t="s">
        <v>158</v>
      </c>
      <c r="D181" s="343">
        <v>0.49199999999999999</v>
      </c>
      <c r="E181" s="76" t="s">
        <v>126</v>
      </c>
      <c r="F181" s="343">
        <v>0.26200000000000001</v>
      </c>
      <c r="G181" s="76" t="s">
        <v>102</v>
      </c>
      <c r="H181" s="343">
        <v>0.41499999999999998</v>
      </c>
      <c r="I181" s="76"/>
      <c r="J181" s="348"/>
    </row>
    <row r="182" spans="1:10">
      <c r="A182" s="344" t="s">
        <v>117</v>
      </c>
      <c r="B182" s="345" t="s">
        <v>293</v>
      </c>
      <c r="C182" s="76" t="s">
        <v>158</v>
      </c>
      <c r="D182" s="343">
        <v>0.49199999999999999</v>
      </c>
      <c r="E182" s="76" t="s">
        <v>128</v>
      </c>
      <c r="F182" s="343">
        <v>0.33300000000000002</v>
      </c>
      <c r="G182" s="76" t="s">
        <v>104</v>
      </c>
      <c r="H182" s="343">
        <v>0.51900000000000002</v>
      </c>
      <c r="I182" s="76"/>
      <c r="J182" s="348"/>
    </row>
    <row r="183" spans="1:10">
      <c r="A183" s="344" t="s">
        <v>117</v>
      </c>
      <c r="B183" s="345" t="s">
        <v>294</v>
      </c>
      <c r="C183" s="76" t="s">
        <v>158</v>
      </c>
      <c r="D183" s="343">
        <v>0.49199999999999999</v>
      </c>
      <c r="E183" s="76" t="s">
        <v>130</v>
      </c>
      <c r="F183" s="343">
        <v>0.36799999999999999</v>
      </c>
      <c r="G183" s="76" t="s">
        <v>106</v>
      </c>
      <c r="H183" s="343">
        <v>0.57199999999999995</v>
      </c>
      <c r="I183" s="76"/>
      <c r="J183" s="348"/>
    </row>
    <row r="184" spans="1:10">
      <c r="A184" s="344" t="s">
        <v>117</v>
      </c>
      <c r="B184" s="345" t="s">
        <v>295</v>
      </c>
      <c r="C184" s="76" t="s">
        <v>158</v>
      </c>
      <c r="D184" s="343">
        <v>0.49199999999999999</v>
      </c>
      <c r="E184" s="76" t="s">
        <v>132</v>
      </c>
      <c r="F184" s="343">
        <v>0.40400000000000003</v>
      </c>
      <c r="G184" s="76" t="s">
        <v>108</v>
      </c>
      <c r="H184" s="343">
        <v>0.624</v>
      </c>
      <c r="I184" s="76"/>
      <c r="J184" s="348"/>
    </row>
    <row r="185" spans="1:10">
      <c r="A185" s="344" t="s">
        <v>117</v>
      </c>
      <c r="B185" s="345" t="s">
        <v>296</v>
      </c>
      <c r="C185" s="76" t="s">
        <v>166</v>
      </c>
      <c r="D185" s="343">
        <v>0.115</v>
      </c>
      <c r="E185" s="76" t="s">
        <v>167</v>
      </c>
      <c r="F185" s="343">
        <v>8.5000000000000006E-2</v>
      </c>
      <c r="G185" s="76" t="s">
        <v>112</v>
      </c>
      <c r="H185" s="343">
        <v>3.5999999999999997E-2</v>
      </c>
      <c r="I185" s="76"/>
      <c r="J185" s="348"/>
    </row>
    <row r="186" spans="1:10">
      <c r="A186" s="344" t="s">
        <v>117</v>
      </c>
      <c r="B186" s="345" t="s">
        <v>297</v>
      </c>
      <c r="C186" s="76" t="s">
        <v>169</v>
      </c>
      <c r="D186" s="343">
        <v>7.3999999999999996E-2</v>
      </c>
      <c r="E186" s="76" t="s">
        <v>170</v>
      </c>
      <c r="F186" s="343">
        <v>5.6000000000000001E-2</v>
      </c>
      <c r="G186" s="76" t="s">
        <v>116</v>
      </c>
      <c r="H186" s="343">
        <v>1.6E-2</v>
      </c>
      <c r="I186" s="76"/>
      <c r="J186" s="348"/>
    </row>
    <row r="187" spans="1:10">
      <c r="A187" s="344" t="s">
        <v>171</v>
      </c>
      <c r="B187" s="345" t="s">
        <v>298</v>
      </c>
      <c r="C187" s="76" t="s">
        <v>173</v>
      </c>
      <c r="D187" s="343">
        <v>0.47899999999999998</v>
      </c>
      <c r="E187" s="76" t="s">
        <v>174</v>
      </c>
      <c r="F187" s="343">
        <v>0.17799999999999999</v>
      </c>
      <c r="G187" s="76" t="s">
        <v>12</v>
      </c>
      <c r="H187" s="343">
        <v>0.22</v>
      </c>
      <c r="I187" s="76"/>
      <c r="J187" s="348"/>
    </row>
    <row r="188" spans="1:10">
      <c r="A188" s="344" t="s">
        <v>171</v>
      </c>
      <c r="B188" s="345" t="s">
        <v>299</v>
      </c>
      <c r="C188" s="76" t="s">
        <v>173</v>
      </c>
      <c r="D188" s="343">
        <v>0.47899999999999998</v>
      </c>
      <c r="E188" s="76" t="s">
        <v>176</v>
      </c>
      <c r="F188" s="343">
        <v>0.218</v>
      </c>
      <c r="G188" s="76" t="s">
        <v>16</v>
      </c>
      <c r="H188" s="343">
        <v>0.26500000000000001</v>
      </c>
      <c r="I188" s="76"/>
      <c r="J188" s="348"/>
    </row>
    <row r="189" spans="1:10">
      <c r="A189" s="344" t="s">
        <v>171</v>
      </c>
      <c r="B189" s="345" t="s">
        <v>300</v>
      </c>
      <c r="C189" s="76" t="s">
        <v>173</v>
      </c>
      <c r="D189" s="343">
        <v>0.47899999999999998</v>
      </c>
      <c r="E189" s="76" t="s">
        <v>178</v>
      </c>
      <c r="F189" s="343">
        <v>0.25800000000000001</v>
      </c>
      <c r="G189" s="76" t="s">
        <v>22</v>
      </c>
      <c r="H189" s="343">
        <v>0.31</v>
      </c>
      <c r="I189" s="76"/>
      <c r="J189" s="348"/>
    </row>
    <row r="190" spans="1:10">
      <c r="A190" s="344" t="s">
        <v>171</v>
      </c>
      <c r="B190" s="345" t="s">
        <v>301</v>
      </c>
      <c r="C190" s="76" t="s">
        <v>173</v>
      </c>
      <c r="D190" s="343">
        <v>0.47899999999999998</v>
      </c>
      <c r="E190" s="76" t="s">
        <v>180</v>
      </c>
      <c r="F190" s="343">
        <v>0.29799999999999999</v>
      </c>
      <c r="G190" s="76" t="s">
        <v>26</v>
      </c>
      <c r="H190" s="343">
        <v>0.35499999999999998</v>
      </c>
      <c r="I190" s="76"/>
      <c r="J190" s="348"/>
    </row>
    <row r="191" spans="1:10">
      <c r="A191" s="344" t="s">
        <v>171</v>
      </c>
      <c r="B191" s="345" t="s">
        <v>302</v>
      </c>
      <c r="C191" s="76" t="s">
        <v>173</v>
      </c>
      <c r="D191" s="343">
        <v>0.47899999999999998</v>
      </c>
      <c r="E191" s="76" t="s">
        <v>182</v>
      </c>
      <c r="F191" s="343">
        <v>0.379</v>
      </c>
      <c r="G191" s="76" t="s">
        <v>31</v>
      </c>
      <c r="H191" s="343">
        <v>0.44500000000000001</v>
      </c>
      <c r="I191" s="76"/>
      <c r="J191" s="348"/>
    </row>
    <row r="192" spans="1:10">
      <c r="A192" s="344" t="s">
        <v>171</v>
      </c>
      <c r="B192" s="345" t="s">
        <v>303</v>
      </c>
      <c r="C192" s="76" t="s">
        <v>173</v>
      </c>
      <c r="D192" s="343">
        <v>0.47899999999999998</v>
      </c>
      <c r="E192" s="76" t="s">
        <v>184</v>
      </c>
      <c r="F192" s="343">
        <v>0.41899999999999998</v>
      </c>
      <c r="G192" s="76" t="s">
        <v>35</v>
      </c>
      <c r="H192" s="343">
        <v>0.48899999999999999</v>
      </c>
      <c r="I192" s="76"/>
      <c r="J192" s="348"/>
    </row>
    <row r="193" spans="1:10">
      <c r="A193" s="344" t="s">
        <v>171</v>
      </c>
      <c r="B193" s="345" t="s">
        <v>304</v>
      </c>
      <c r="C193" s="76" t="s">
        <v>173</v>
      </c>
      <c r="D193" s="343">
        <v>0.47899999999999998</v>
      </c>
      <c r="E193" s="76" t="s">
        <v>186</v>
      </c>
      <c r="F193" s="343">
        <v>0.45900000000000002</v>
      </c>
      <c r="G193" s="76" t="s">
        <v>40</v>
      </c>
      <c r="H193" s="343">
        <v>0.53400000000000003</v>
      </c>
      <c r="I193" s="76"/>
      <c r="J193" s="348"/>
    </row>
    <row r="194" spans="1:10">
      <c r="A194" s="344" t="s">
        <v>171</v>
      </c>
      <c r="B194" s="345" t="s">
        <v>305</v>
      </c>
      <c r="C194" s="76" t="s">
        <v>188</v>
      </c>
      <c r="D194" s="343">
        <v>0.5</v>
      </c>
      <c r="E194" s="76" t="s">
        <v>174</v>
      </c>
      <c r="F194" s="343">
        <v>0.17799999999999999</v>
      </c>
      <c r="G194" s="76" t="s">
        <v>45</v>
      </c>
      <c r="H194" s="343">
        <v>0.23</v>
      </c>
      <c r="I194" s="76"/>
      <c r="J194" s="348"/>
    </row>
    <row r="195" spans="1:10">
      <c r="A195" s="344" t="s">
        <v>171</v>
      </c>
      <c r="B195" s="345" t="s">
        <v>306</v>
      </c>
      <c r="C195" s="76" t="s">
        <v>188</v>
      </c>
      <c r="D195" s="343">
        <v>0.5</v>
      </c>
      <c r="E195" s="76" t="s">
        <v>176</v>
      </c>
      <c r="F195" s="343">
        <v>0.218</v>
      </c>
      <c r="G195" s="76" t="s">
        <v>49</v>
      </c>
      <c r="H195" s="343">
        <v>0.27600000000000002</v>
      </c>
      <c r="I195" s="76"/>
      <c r="J195" s="348"/>
    </row>
    <row r="196" spans="1:10">
      <c r="A196" s="344" t="s">
        <v>171</v>
      </c>
      <c r="B196" s="345" t="s">
        <v>307</v>
      </c>
      <c r="C196" s="76" t="s">
        <v>188</v>
      </c>
      <c r="D196" s="343">
        <v>0.5</v>
      </c>
      <c r="E196" s="76" t="s">
        <v>178</v>
      </c>
      <c r="F196" s="343">
        <v>0.25800000000000001</v>
      </c>
      <c r="G196" s="76" t="s">
        <v>52</v>
      </c>
      <c r="H196" s="343">
        <v>0.32300000000000001</v>
      </c>
      <c r="I196" s="76"/>
      <c r="J196" s="348"/>
    </row>
    <row r="197" spans="1:10">
      <c r="A197" s="344" t="s">
        <v>171</v>
      </c>
      <c r="B197" s="345" t="s">
        <v>308</v>
      </c>
      <c r="C197" s="76" t="s">
        <v>188</v>
      </c>
      <c r="D197" s="343">
        <v>0.5</v>
      </c>
      <c r="E197" s="76" t="s">
        <v>180</v>
      </c>
      <c r="F197" s="343">
        <v>0.29799999999999999</v>
      </c>
      <c r="G197" s="76" t="s">
        <v>56</v>
      </c>
      <c r="H197" s="343">
        <v>0.37</v>
      </c>
      <c r="I197" s="76"/>
      <c r="J197" s="348"/>
    </row>
    <row r="198" spans="1:10">
      <c r="A198" s="344" t="s">
        <v>171</v>
      </c>
      <c r="B198" s="345" t="s">
        <v>309</v>
      </c>
      <c r="C198" s="76" t="s">
        <v>188</v>
      </c>
      <c r="D198" s="343">
        <v>0.5</v>
      </c>
      <c r="E198" s="76" t="s">
        <v>182</v>
      </c>
      <c r="F198" s="343">
        <v>0.379</v>
      </c>
      <c r="G198" s="76" t="s">
        <v>59</v>
      </c>
      <c r="H198" s="343">
        <v>0.46300000000000002</v>
      </c>
      <c r="I198" s="76"/>
      <c r="J198" s="348"/>
    </row>
    <row r="199" spans="1:10">
      <c r="A199" s="344" t="s">
        <v>171</v>
      </c>
      <c r="B199" s="345" t="s">
        <v>310</v>
      </c>
      <c r="C199" s="76" t="s">
        <v>188</v>
      </c>
      <c r="D199" s="343">
        <v>0.5</v>
      </c>
      <c r="E199" s="76" t="s">
        <v>184</v>
      </c>
      <c r="F199" s="343">
        <v>0.41899999999999998</v>
      </c>
      <c r="G199" s="76" t="s">
        <v>61</v>
      </c>
      <c r="H199" s="343">
        <v>0.51</v>
      </c>
      <c r="I199" s="76"/>
      <c r="J199" s="348"/>
    </row>
    <row r="200" spans="1:10">
      <c r="A200" s="344" t="s">
        <v>171</v>
      </c>
      <c r="B200" s="345" t="s">
        <v>311</v>
      </c>
      <c r="C200" s="76" t="s">
        <v>188</v>
      </c>
      <c r="D200" s="343">
        <v>0.5</v>
      </c>
      <c r="E200" s="76" t="s">
        <v>186</v>
      </c>
      <c r="F200" s="343">
        <v>0.45900000000000002</v>
      </c>
      <c r="G200" s="76" t="s">
        <v>63</v>
      </c>
      <c r="H200" s="343">
        <v>0.55700000000000005</v>
      </c>
      <c r="I200" s="76"/>
      <c r="J200" s="348"/>
    </row>
    <row r="201" spans="1:10">
      <c r="A201" s="344" t="s">
        <v>171</v>
      </c>
      <c r="B201" s="345" t="s">
        <v>312</v>
      </c>
      <c r="C201" s="76" t="s">
        <v>196</v>
      </c>
      <c r="D201" s="343">
        <v>0.52</v>
      </c>
      <c r="E201" s="76" t="s">
        <v>174</v>
      </c>
      <c r="F201" s="343">
        <v>0.17799999999999999</v>
      </c>
      <c r="G201" s="76" t="s">
        <v>66</v>
      </c>
      <c r="H201" s="343">
        <v>0.23899999999999999</v>
      </c>
      <c r="I201" s="76"/>
      <c r="J201" s="348"/>
    </row>
    <row r="202" spans="1:10">
      <c r="A202" s="344" t="s">
        <v>171</v>
      </c>
      <c r="B202" s="345" t="s">
        <v>313</v>
      </c>
      <c r="C202" s="76" t="s">
        <v>196</v>
      </c>
      <c r="D202" s="343">
        <v>0.52</v>
      </c>
      <c r="E202" s="76" t="s">
        <v>176</v>
      </c>
      <c r="F202" s="343">
        <v>0.218</v>
      </c>
      <c r="G202" s="76" t="s">
        <v>68</v>
      </c>
      <c r="H202" s="343">
        <v>0.28799999999999998</v>
      </c>
      <c r="I202" s="76"/>
      <c r="J202" s="348"/>
    </row>
    <row r="203" spans="1:10">
      <c r="A203" s="344" t="s">
        <v>171</v>
      </c>
      <c r="B203" s="345" t="s">
        <v>314</v>
      </c>
      <c r="C203" s="76" t="s">
        <v>196</v>
      </c>
      <c r="D203" s="343">
        <v>0.52</v>
      </c>
      <c r="E203" s="76" t="s">
        <v>178</v>
      </c>
      <c r="F203" s="343">
        <v>0.25800000000000001</v>
      </c>
      <c r="G203" s="76" t="s">
        <v>70</v>
      </c>
      <c r="H203" s="343">
        <v>0.33600000000000002</v>
      </c>
      <c r="I203" s="76"/>
      <c r="J203" s="348"/>
    </row>
    <row r="204" spans="1:10">
      <c r="A204" s="344" t="s">
        <v>171</v>
      </c>
      <c r="B204" s="345" t="s">
        <v>315</v>
      </c>
      <c r="C204" s="76" t="s">
        <v>196</v>
      </c>
      <c r="D204" s="343">
        <v>0.52</v>
      </c>
      <c r="E204" s="76" t="s">
        <v>180</v>
      </c>
      <c r="F204" s="343">
        <v>0.29799999999999999</v>
      </c>
      <c r="G204" s="76" t="s">
        <v>72</v>
      </c>
      <c r="H204" s="343">
        <v>0.38500000000000001</v>
      </c>
      <c r="I204" s="76"/>
      <c r="J204" s="348"/>
    </row>
    <row r="205" spans="1:10">
      <c r="A205" s="344" t="s">
        <v>171</v>
      </c>
      <c r="B205" s="345" t="s">
        <v>316</v>
      </c>
      <c r="C205" s="76" t="s">
        <v>196</v>
      </c>
      <c r="D205" s="343">
        <v>0.52</v>
      </c>
      <c r="E205" s="76" t="s">
        <v>182</v>
      </c>
      <c r="F205" s="343">
        <v>0.379</v>
      </c>
      <c r="G205" s="76" t="s">
        <v>74</v>
      </c>
      <c r="H205" s="343">
        <v>0.48199999999999998</v>
      </c>
      <c r="I205" s="76"/>
      <c r="J205" s="348"/>
    </row>
    <row r="206" spans="1:10">
      <c r="A206" s="344" t="s">
        <v>171</v>
      </c>
      <c r="B206" s="345" t="s">
        <v>317</v>
      </c>
      <c r="C206" s="76" t="s">
        <v>196</v>
      </c>
      <c r="D206" s="343">
        <v>0.52</v>
      </c>
      <c r="E206" s="76" t="s">
        <v>184</v>
      </c>
      <c r="F206" s="343">
        <v>0.41899999999999998</v>
      </c>
      <c r="G206" s="76" t="s">
        <v>76</v>
      </c>
      <c r="H206" s="343">
        <v>0.53100000000000003</v>
      </c>
      <c r="I206" s="76"/>
      <c r="J206" s="348"/>
    </row>
    <row r="207" spans="1:10">
      <c r="A207" s="344" t="s">
        <v>171</v>
      </c>
      <c r="B207" s="345" t="s">
        <v>318</v>
      </c>
      <c r="C207" s="76" t="s">
        <v>196</v>
      </c>
      <c r="D207" s="343">
        <v>0.52</v>
      </c>
      <c r="E207" s="76" t="s">
        <v>186</v>
      </c>
      <c r="F207" s="343">
        <v>0.45900000000000002</v>
      </c>
      <c r="G207" s="76" t="s">
        <v>78</v>
      </c>
      <c r="H207" s="343">
        <v>0.57899999999999996</v>
      </c>
      <c r="I207" s="76"/>
      <c r="J207" s="348"/>
    </row>
    <row r="208" spans="1:10">
      <c r="A208" s="344" t="s">
        <v>171</v>
      </c>
      <c r="B208" s="345" t="s">
        <v>319</v>
      </c>
      <c r="C208" s="76" t="s">
        <v>204</v>
      </c>
      <c r="D208" s="343">
        <v>0.53300000000000003</v>
      </c>
      <c r="E208" s="76" t="s">
        <v>174</v>
      </c>
      <c r="F208" s="343">
        <v>0.17799999999999999</v>
      </c>
      <c r="G208" s="76" t="s">
        <v>81</v>
      </c>
      <c r="H208" s="343">
        <v>0.245</v>
      </c>
      <c r="I208" s="76"/>
      <c r="J208" s="348"/>
    </row>
    <row r="209" spans="1:10">
      <c r="A209" s="344" t="s">
        <v>171</v>
      </c>
      <c r="B209" s="345" t="s">
        <v>320</v>
      </c>
      <c r="C209" s="76" t="s">
        <v>204</v>
      </c>
      <c r="D209" s="343">
        <v>0.53300000000000003</v>
      </c>
      <c r="E209" s="76" t="s">
        <v>176</v>
      </c>
      <c r="F209" s="343">
        <v>0.218</v>
      </c>
      <c r="G209" s="76" t="s">
        <v>83</v>
      </c>
      <c r="H209" s="343">
        <v>0.29499999999999998</v>
      </c>
      <c r="I209" s="76"/>
      <c r="J209" s="348"/>
    </row>
    <row r="210" spans="1:10">
      <c r="A210" s="344" t="s">
        <v>171</v>
      </c>
      <c r="B210" s="345" t="s">
        <v>321</v>
      </c>
      <c r="C210" s="76" t="s">
        <v>204</v>
      </c>
      <c r="D210" s="343">
        <v>0.53300000000000003</v>
      </c>
      <c r="E210" s="76" t="s">
        <v>178</v>
      </c>
      <c r="F210" s="343">
        <v>0.25800000000000001</v>
      </c>
      <c r="G210" s="76" t="s">
        <v>85</v>
      </c>
      <c r="H210" s="343">
        <v>0.34499999999999997</v>
      </c>
      <c r="I210" s="76"/>
      <c r="J210" s="348"/>
    </row>
    <row r="211" spans="1:10">
      <c r="A211" s="344" t="s">
        <v>171</v>
      </c>
      <c r="B211" s="345" t="s">
        <v>322</v>
      </c>
      <c r="C211" s="76" t="s">
        <v>204</v>
      </c>
      <c r="D211" s="343">
        <v>0.53300000000000003</v>
      </c>
      <c r="E211" s="76" t="s">
        <v>180</v>
      </c>
      <c r="F211" s="343">
        <v>0.29799999999999999</v>
      </c>
      <c r="G211" s="76" t="s">
        <v>87</v>
      </c>
      <c r="H211" s="343">
        <v>0.39500000000000002</v>
      </c>
      <c r="I211" s="76"/>
      <c r="J211" s="348"/>
    </row>
    <row r="212" spans="1:10">
      <c r="A212" s="344" t="s">
        <v>171</v>
      </c>
      <c r="B212" s="345" t="s">
        <v>323</v>
      </c>
      <c r="C212" s="76" t="s">
        <v>204</v>
      </c>
      <c r="D212" s="343">
        <v>0.53300000000000003</v>
      </c>
      <c r="E212" s="76" t="s">
        <v>182</v>
      </c>
      <c r="F212" s="343">
        <v>0.379</v>
      </c>
      <c r="G212" s="76" t="s">
        <v>89</v>
      </c>
      <c r="H212" s="343">
        <v>0.49399999999999999</v>
      </c>
      <c r="I212" s="76"/>
      <c r="J212" s="348"/>
    </row>
    <row r="213" spans="1:10">
      <c r="A213" s="344" t="s">
        <v>171</v>
      </c>
      <c r="B213" s="345" t="s">
        <v>324</v>
      </c>
      <c r="C213" s="76" t="s">
        <v>204</v>
      </c>
      <c r="D213" s="343">
        <v>0.53300000000000003</v>
      </c>
      <c r="E213" s="76" t="s">
        <v>184</v>
      </c>
      <c r="F213" s="343">
        <v>0.41899999999999998</v>
      </c>
      <c r="G213" s="76" t="s">
        <v>91</v>
      </c>
      <c r="H213" s="343">
        <v>0.54400000000000004</v>
      </c>
      <c r="I213" s="76"/>
      <c r="J213" s="348"/>
    </row>
    <row r="214" spans="1:10">
      <c r="A214" s="344" t="s">
        <v>171</v>
      </c>
      <c r="B214" s="345" t="s">
        <v>325</v>
      </c>
      <c r="C214" s="76" t="s">
        <v>204</v>
      </c>
      <c r="D214" s="343">
        <v>0.53300000000000003</v>
      </c>
      <c r="E214" s="76" t="s">
        <v>186</v>
      </c>
      <c r="F214" s="343">
        <v>0.45900000000000002</v>
      </c>
      <c r="G214" s="76" t="s">
        <v>93</v>
      </c>
      <c r="H214" s="343">
        <v>0.59399999999999997</v>
      </c>
      <c r="I214" s="76"/>
      <c r="J214" s="348"/>
    </row>
    <row r="215" spans="1:10">
      <c r="A215" s="344" t="s">
        <v>171</v>
      </c>
      <c r="B215" s="345" t="s">
        <v>326</v>
      </c>
      <c r="C215" s="76" t="s">
        <v>212</v>
      </c>
      <c r="D215" s="343">
        <v>0.56000000000000005</v>
      </c>
      <c r="E215" s="76" t="s">
        <v>174</v>
      </c>
      <c r="F215" s="343">
        <v>0.17799999999999999</v>
      </c>
      <c r="G215" s="76" t="s">
        <v>96</v>
      </c>
      <c r="H215" s="343">
        <v>0.25700000000000001</v>
      </c>
      <c r="I215" s="76"/>
      <c r="J215" s="348"/>
    </row>
    <row r="216" spans="1:10">
      <c r="A216" s="344" t="s">
        <v>171</v>
      </c>
      <c r="B216" s="345" t="s">
        <v>327</v>
      </c>
      <c r="C216" s="76" t="s">
        <v>212</v>
      </c>
      <c r="D216" s="343">
        <v>0.56000000000000005</v>
      </c>
      <c r="E216" s="76" t="s">
        <v>176</v>
      </c>
      <c r="F216" s="343">
        <v>0.218</v>
      </c>
      <c r="G216" s="76" t="s">
        <v>98</v>
      </c>
      <c r="H216" s="343">
        <v>0.31</v>
      </c>
      <c r="I216" s="76"/>
      <c r="J216" s="348"/>
    </row>
    <row r="217" spans="1:10">
      <c r="A217" s="344" t="s">
        <v>171</v>
      </c>
      <c r="B217" s="345" t="s">
        <v>328</v>
      </c>
      <c r="C217" s="76" t="s">
        <v>212</v>
      </c>
      <c r="D217" s="343">
        <v>0.56000000000000005</v>
      </c>
      <c r="E217" s="76" t="s">
        <v>178</v>
      </c>
      <c r="F217" s="343">
        <v>0.25800000000000001</v>
      </c>
      <c r="G217" s="76" t="s">
        <v>100</v>
      </c>
      <c r="H217" s="343">
        <v>0.36199999999999999</v>
      </c>
      <c r="I217" s="76"/>
      <c r="J217" s="348"/>
    </row>
    <row r="218" spans="1:10">
      <c r="A218" s="344" t="s">
        <v>171</v>
      </c>
      <c r="B218" s="345" t="s">
        <v>329</v>
      </c>
      <c r="C218" s="76" t="s">
        <v>212</v>
      </c>
      <c r="D218" s="343">
        <v>0.56000000000000005</v>
      </c>
      <c r="E218" s="76" t="s">
        <v>180</v>
      </c>
      <c r="F218" s="343">
        <v>0.29799999999999999</v>
      </c>
      <c r="G218" s="76" t="s">
        <v>102</v>
      </c>
      <c r="H218" s="343">
        <v>0.41499999999999998</v>
      </c>
      <c r="I218" s="76"/>
      <c r="J218" s="348"/>
    </row>
    <row r="219" spans="1:10">
      <c r="A219" s="344" t="s">
        <v>171</v>
      </c>
      <c r="B219" s="345" t="s">
        <v>330</v>
      </c>
      <c r="C219" s="76" t="s">
        <v>212</v>
      </c>
      <c r="D219" s="343">
        <v>0.56000000000000005</v>
      </c>
      <c r="E219" s="76" t="s">
        <v>182</v>
      </c>
      <c r="F219" s="343">
        <v>0.379</v>
      </c>
      <c r="G219" s="76" t="s">
        <v>104</v>
      </c>
      <c r="H219" s="343">
        <v>0.51900000000000002</v>
      </c>
      <c r="I219" s="76"/>
      <c r="J219" s="348"/>
    </row>
    <row r="220" spans="1:10">
      <c r="A220" s="344" t="s">
        <v>171</v>
      </c>
      <c r="B220" s="345" t="s">
        <v>331</v>
      </c>
      <c r="C220" s="76" t="s">
        <v>212</v>
      </c>
      <c r="D220" s="343">
        <v>0.56000000000000005</v>
      </c>
      <c r="E220" s="76" t="s">
        <v>184</v>
      </c>
      <c r="F220" s="343">
        <v>0.41899999999999998</v>
      </c>
      <c r="G220" s="76" t="s">
        <v>106</v>
      </c>
      <c r="H220" s="343">
        <v>0.57199999999999995</v>
      </c>
      <c r="I220" s="76"/>
      <c r="J220" s="348"/>
    </row>
    <row r="221" spans="1:10">
      <c r="A221" s="344" t="s">
        <v>171</v>
      </c>
      <c r="B221" s="345" t="s">
        <v>332</v>
      </c>
      <c r="C221" s="76" t="s">
        <v>212</v>
      </c>
      <c r="D221" s="343">
        <v>0.56000000000000005</v>
      </c>
      <c r="E221" s="76" t="s">
        <v>186</v>
      </c>
      <c r="F221" s="343">
        <v>0.45900000000000002</v>
      </c>
      <c r="G221" s="76" t="s">
        <v>108</v>
      </c>
      <c r="H221" s="343">
        <v>0.624</v>
      </c>
      <c r="I221" s="76"/>
      <c r="J221" s="348"/>
    </row>
    <row r="222" spans="1:10">
      <c r="A222" s="344" t="s">
        <v>171</v>
      </c>
      <c r="B222" s="345" t="s">
        <v>333</v>
      </c>
      <c r="C222" s="76" t="s">
        <v>220</v>
      </c>
      <c r="D222" s="343">
        <v>0.13100000000000001</v>
      </c>
      <c r="E222" s="76" t="s">
        <v>221</v>
      </c>
      <c r="F222" s="343">
        <v>9.7000000000000003E-2</v>
      </c>
      <c r="G222" s="76" t="s">
        <v>112</v>
      </c>
      <c r="H222" s="343">
        <v>3.5999999999999997E-2</v>
      </c>
      <c r="I222" s="76"/>
      <c r="J222" s="348"/>
    </row>
    <row r="223" spans="1:10">
      <c r="A223" s="344" t="s">
        <v>171</v>
      </c>
      <c r="B223" s="345" t="s">
        <v>334</v>
      </c>
      <c r="C223" s="76" t="s">
        <v>223</v>
      </c>
      <c r="D223" s="343">
        <v>8.4000000000000005E-2</v>
      </c>
      <c r="E223" s="76" t="s">
        <v>224</v>
      </c>
      <c r="F223" s="343">
        <v>6.4000000000000001E-2</v>
      </c>
      <c r="G223" s="76" t="s">
        <v>116</v>
      </c>
      <c r="H223" s="343">
        <v>1.6E-2</v>
      </c>
      <c r="I223" s="76"/>
      <c r="J223" s="348"/>
    </row>
    <row r="224" spans="1:10">
      <c r="A224" s="344" t="s">
        <v>335</v>
      </c>
      <c r="B224" s="345" t="s">
        <v>336</v>
      </c>
      <c r="C224" s="76" t="s">
        <v>119</v>
      </c>
      <c r="D224" s="343">
        <v>0.42099999999999999</v>
      </c>
      <c r="E224" s="76" t="s">
        <v>120</v>
      </c>
      <c r="F224" s="343">
        <v>0.156</v>
      </c>
      <c r="G224" s="76" t="s">
        <v>12</v>
      </c>
      <c r="H224" s="343">
        <v>0.22</v>
      </c>
      <c r="I224" s="76"/>
      <c r="J224" s="348"/>
    </row>
    <row r="225" spans="1:10">
      <c r="A225" s="344" t="s">
        <v>335</v>
      </c>
      <c r="B225" s="345" t="s">
        <v>337</v>
      </c>
      <c r="C225" s="76" t="s">
        <v>119</v>
      </c>
      <c r="D225" s="343">
        <v>0.42099999999999999</v>
      </c>
      <c r="E225" s="76" t="s">
        <v>122</v>
      </c>
      <c r="F225" s="343">
        <v>0.192</v>
      </c>
      <c r="G225" s="76" t="s">
        <v>16</v>
      </c>
      <c r="H225" s="343">
        <v>0.26500000000000001</v>
      </c>
      <c r="I225" s="76"/>
      <c r="J225" s="348"/>
    </row>
    <row r="226" spans="1:10">
      <c r="A226" s="344" t="s">
        <v>335</v>
      </c>
      <c r="B226" s="345" t="s">
        <v>338</v>
      </c>
      <c r="C226" s="76" t="s">
        <v>119</v>
      </c>
      <c r="D226" s="343">
        <v>0.42099999999999999</v>
      </c>
      <c r="E226" s="76" t="s">
        <v>124</v>
      </c>
      <c r="F226" s="343">
        <v>0.22700000000000001</v>
      </c>
      <c r="G226" s="76" t="s">
        <v>22</v>
      </c>
      <c r="H226" s="343">
        <v>0.31</v>
      </c>
      <c r="I226" s="76"/>
      <c r="J226" s="348"/>
    </row>
    <row r="227" spans="1:10">
      <c r="A227" s="344" t="s">
        <v>335</v>
      </c>
      <c r="B227" s="345" t="s">
        <v>339</v>
      </c>
      <c r="C227" s="76" t="s">
        <v>119</v>
      </c>
      <c r="D227" s="343">
        <v>0.42099999999999999</v>
      </c>
      <c r="E227" s="76" t="s">
        <v>126</v>
      </c>
      <c r="F227" s="343">
        <v>0.26200000000000001</v>
      </c>
      <c r="G227" s="76" t="s">
        <v>26</v>
      </c>
      <c r="H227" s="343">
        <v>0.35499999999999998</v>
      </c>
      <c r="I227" s="76"/>
      <c r="J227" s="348"/>
    </row>
    <row r="228" spans="1:10">
      <c r="A228" s="344" t="s">
        <v>335</v>
      </c>
      <c r="B228" s="345" t="s">
        <v>340</v>
      </c>
      <c r="C228" s="76" t="s">
        <v>119</v>
      </c>
      <c r="D228" s="343">
        <v>0.42099999999999999</v>
      </c>
      <c r="E228" s="76" t="s">
        <v>128</v>
      </c>
      <c r="F228" s="343">
        <v>0.33300000000000002</v>
      </c>
      <c r="G228" s="76" t="s">
        <v>31</v>
      </c>
      <c r="H228" s="343">
        <v>0.44500000000000001</v>
      </c>
      <c r="I228" s="76"/>
      <c r="J228" s="348"/>
    </row>
    <row r="229" spans="1:10">
      <c r="A229" s="344" t="s">
        <v>335</v>
      </c>
      <c r="B229" s="345" t="s">
        <v>341</v>
      </c>
      <c r="C229" s="76" t="s">
        <v>119</v>
      </c>
      <c r="D229" s="343">
        <v>0.42099999999999999</v>
      </c>
      <c r="E229" s="76" t="s">
        <v>130</v>
      </c>
      <c r="F229" s="343">
        <v>0.36799999999999999</v>
      </c>
      <c r="G229" s="76" t="s">
        <v>35</v>
      </c>
      <c r="H229" s="343">
        <v>0.48899999999999999</v>
      </c>
      <c r="I229" s="76"/>
      <c r="J229" s="348"/>
    </row>
    <row r="230" spans="1:10">
      <c r="A230" s="344" t="s">
        <v>335</v>
      </c>
      <c r="B230" s="345" t="s">
        <v>342</v>
      </c>
      <c r="C230" s="76" t="s">
        <v>119</v>
      </c>
      <c r="D230" s="343">
        <v>0.42099999999999999</v>
      </c>
      <c r="E230" s="76" t="s">
        <v>132</v>
      </c>
      <c r="F230" s="343">
        <v>0.40400000000000003</v>
      </c>
      <c r="G230" s="76" t="s">
        <v>40</v>
      </c>
      <c r="H230" s="343">
        <v>0.53400000000000003</v>
      </c>
      <c r="I230" s="76"/>
      <c r="J230" s="348"/>
    </row>
    <row r="231" spans="1:10">
      <c r="A231" s="344" t="s">
        <v>335</v>
      </c>
      <c r="B231" s="345" t="s">
        <v>343</v>
      </c>
      <c r="C231" s="76" t="s">
        <v>134</v>
      </c>
      <c r="D231" s="343">
        <v>0.439</v>
      </c>
      <c r="E231" s="76" t="s">
        <v>120</v>
      </c>
      <c r="F231" s="343">
        <v>0.156</v>
      </c>
      <c r="G231" s="76" t="s">
        <v>45</v>
      </c>
      <c r="H231" s="343">
        <v>0.23</v>
      </c>
      <c r="I231" s="76"/>
      <c r="J231" s="348"/>
    </row>
    <row r="232" spans="1:10">
      <c r="A232" s="344" t="s">
        <v>335</v>
      </c>
      <c r="B232" s="345" t="s">
        <v>344</v>
      </c>
      <c r="C232" s="76" t="s">
        <v>134</v>
      </c>
      <c r="D232" s="343">
        <v>0.439</v>
      </c>
      <c r="E232" s="76" t="s">
        <v>122</v>
      </c>
      <c r="F232" s="343">
        <v>0.192</v>
      </c>
      <c r="G232" s="76" t="s">
        <v>49</v>
      </c>
      <c r="H232" s="343">
        <v>0.27600000000000002</v>
      </c>
      <c r="I232" s="76"/>
      <c r="J232" s="348"/>
    </row>
    <row r="233" spans="1:10">
      <c r="A233" s="344" t="s">
        <v>335</v>
      </c>
      <c r="B233" s="345" t="s">
        <v>345</v>
      </c>
      <c r="C233" s="76" t="s">
        <v>134</v>
      </c>
      <c r="D233" s="343">
        <v>0.439</v>
      </c>
      <c r="E233" s="76" t="s">
        <v>124</v>
      </c>
      <c r="F233" s="343">
        <v>0.22700000000000001</v>
      </c>
      <c r="G233" s="76" t="s">
        <v>52</v>
      </c>
      <c r="H233" s="343">
        <v>0.32300000000000001</v>
      </c>
      <c r="I233" s="76"/>
      <c r="J233" s="348"/>
    </row>
    <row r="234" spans="1:10">
      <c r="A234" s="344" t="s">
        <v>335</v>
      </c>
      <c r="B234" s="345" t="s">
        <v>346</v>
      </c>
      <c r="C234" s="76" t="s">
        <v>134</v>
      </c>
      <c r="D234" s="343">
        <v>0.439</v>
      </c>
      <c r="E234" s="76" t="s">
        <v>126</v>
      </c>
      <c r="F234" s="343">
        <v>0.26200000000000001</v>
      </c>
      <c r="G234" s="76" t="s">
        <v>56</v>
      </c>
      <c r="H234" s="343">
        <v>0.37</v>
      </c>
      <c r="I234" s="76"/>
      <c r="J234" s="348"/>
    </row>
    <row r="235" spans="1:10">
      <c r="A235" s="344" t="s">
        <v>335</v>
      </c>
      <c r="B235" s="345" t="s">
        <v>347</v>
      </c>
      <c r="C235" s="76" t="s">
        <v>134</v>
      </c>
      <c r="D235" s="343">
        <v>0.439</v>
      </c>
      <c r="E235" s="76" t="s">
        <v>128</v>
      </c>
      <c r="F235" s="343">
        <v>0.33300000000000002</v>
      </c>
      <c r="G235" s="76" t="s">
        <v>59</v>
      </c>
      <c r="H235" s="343">
        <v>0.46300000000000002</v>
      </c>
      <c r="I235" s="76"/>
      <c r="J235" s="348"/>
    </row>
    <row r="236" spans="1:10">
      <c r="A236" s="344" t="s">
        <v>335</v>
      </c>
      <c r="B236" s="345" t="s">
        <v>348</v>
      </c>
      <c r="C236" s="76" t="s">
        <v>134</v>
      </c>
      <c r="D236" s="343">
        <v>0.439</v>
      </c>
      <c r="E236" s="76" t="s">
        <v>130</v>
      </c>
      <c r="F236" s="343">
        <v>0.36799999999999999</v>
      </c>
      <c r="G236" s="76" t="s">
        <v>61</v>
      </c>
      <c r="H236" s="343">
        <v>0.51</v>
      </c>
      <c r="I236" s="76"/>
      <c r="J236" s="348"/>
    </row>
    <row r="237" spans="1:10">
      <c r="A237" s="344" t="s">
        <v>335</v>
      </c>
      <c r="B237" s="345" t="s">
        <v>349</v>
      </c>
      <c r="C237" s="76" t="s">
        <v>134</v>
      </c>
      <c r="D237" s="343">
        <v>0.439</v>
      </c>
      <c r="E237" s="76" t="s">
        <v>132</v>
      </c>
      <c r="F237" s="343">
        <v>0.40400000000000003</v>
      </c>
      <c r="G237" s="76" t="s">
        <v>63</v>
      </c>
      <c r="H237" s="343">
        <v>0.55700000000000005</v>
      </c>
      <c r="I237" s="76"/>
      <c r="J237" s="348"/>
    </row>
    <row r="238" spans="1:10">
      <c r="A238" s="344" t="s">
        <v>335</v>
      </c>
      <c r="B238" s="345" t="s">
        <v>350</v>
      </c>
      <c r="C238" s="76" t="s">
        <v>142</v>
      </c>
      <c r="D238" s="343">
        <v>0.45700000000000002</v>
      </c>
      <c r="E238" s="76" t="s">
        <v>120</v>
      </c>
      <c r="F238" s="343">
        <v>0.156</v>
      </c>
      <c r="G238" s="76" t="s">
        <v>66</v>
      </c>
      <c r="H238" s="343">
        <v>0.23899999999999999</v>
      </c>
      <c r="I238" s="76"/>
      <c r="J238" s="348"/>
    </row>
    <row r="239" spans="1:10">
      <c r="A239" s="344" t="s">
        <v>335</v>
      </c>
      <c r="B239" s="345" t="s">
        <v>351</v>
      </c>
      <c r="C239" s="76" t="s">
        <v>142</v>
      </c>
      <c r="D239" s="343">
        <v>0.45700000000000002</v>
      </c>
      <c r="E239" s="76" t="s">
        <v>122</v>
      </c>
      <c r="F239" s="343">
        <v>0.192</v>
      </c>
      <c r="G239" s="76" t="s">
        <v>68</v>
      </c>
      <c r="H239" s="343">
        <v>0.28799999999999998</v>
      </c>
      <c r="I239" s="76"/>
      <c r="J239" s="348"/>
    </row>
    <row r="240" spans="1:10">
      <c r="A240" s="344" t="s">
        <v>335</v>
      </c>
      <c r="B240" s="345" t="s">
        <v>352</v>
      </c>
      <c r="C240" s="76" t="s">
        <v>142</v>
      </c>
      <c r="D240" s="343">
        <v>0.45700000000000002</v>
      </c>
      <c r="E240" s="76" t="s">
        <v>124</v>
      </c>
      <c r="F240" s="343">
        <v>0.22700000000000001</v>
      </c>
      <c r="G240" s="76" t="s">
        <v>70</v>
      </c>
      <c r="H240" s="343">
        <v>0.33600000000000002</v>
      </c>
      <c r="I240" s="76"/>
      <c r="J240" s="348"/>
    </row>
    <row r="241" spans="1:10">
      <c r="A241" s="344" t="s">
        <v>335</v>
      </c>
      <c r="B241" s="345" t="s">
        <v>353</v>
      </c>
      <c r="C241" s="76" t="s">
        <v>142</v>
      </c>
      <c r="D241" s="343">
        <v>0.45700000000000002</v>
      </c>
      <c r="E241" s="76" t="s">
        <v>126</v>
      </c>
      <c r="F241" s="343">
        <v>0.26200000000000001</v>
      </c>
      <c r="G241" s="76" t="s">
        <v>72</v>
      </c>
      <c r="H241" s="343">
        <v>0.38500000000000001</v>
      </c>
      <c r="I241" s="76"/>
      <c r="J241" s="348"/>
    </row>
    <row r="242" spans="1:10">
      <c r="A242" s="344" t="s">
        <v>335</v>
      </c>
      <c r="B242" s="345" t="s">
        <v>354</v>
      </c>
      <c r="C242" s="76" t="s">
        <v>142</v>
      </c>
      <c r="D242" s="343">
        <v>0.45700000000000002</v>
      </c>
      <c r="E242" s="76" t="s">
        <v>128</v>
      </c>
      <c r="F242" s="343">
        <v>0.33300000000000002</v>
      </c>
      <c r="G242" s="76" t="s">
        <v>74</v>
      </c>
      <c r="H242" s="343">
        <v>0.48199999999999998</v>
      </c>
      <c r="I242" s="76"/>
      <c r="J242" s="348"/>
    </row>
    <row r="243" spans="1:10">
      <c r="A243" s="344" t="s">
        <v>335</v>
      </c>
      <c r="B243" s="345" t="s">
        <v>355</v>
      </c>
      <c r="C243" s="76" t="s">
        <v>142</v>
      </c>
      <c r="D243" s="343">
        <v>0.45700000000000002</v>
      </c>
      <c r="E243" s="76" t="s">
        <v>130</v>
      </c>
      <c r="F243" s="343">
        <v>0.36799999999999999</v>
      </c>
      <c r="G243" s="76" t="s">
        <v>76</v>
      </c>
      <c r="H243" s="343">
        <v>0.53100000000000003</v>
      </c>
      <c r="I243" s="76"/>
      <c r="J243" s="348"/>
    </row>
    <row r="244" spans="1:10">
      <c r="A244" s="344" t="s">
        <v>335</v>
      </c>
      <c r="B244" s="345" t="s">
        <v>356</v>
      </c>
      <c r="C244" s="76" t="s">
        <v>142</v>
      </c>
      <c r="D244" s="343">
        <v>0.45700000000000002</v>
      </c>
      <c r="E244" s="76" t="s">
        <v>132</v>
      </c>
      <c r="F244" s="343">
        <v>0.40400000000000003</v>
      </c>
      <c r="G244" s="76" t="s">
        <v>78</v>
      </c>
      <c r="H244" s="343">
        <v>0.57899999999999996</v>
      </c>
      <c r="I244" s="76"/>
      <c r="J244" s="348"/>
    </row>
    <row r="245" spans="1:10">
      <c r="A245" s="344" t="s">
        <v>335</v>
      </c>
      <c r="B245" s="345" t="s">
        <v>357</v>
      </c>
      <c r="C245" s="76" t="s">
        <v>150</v>
      </c>
      <c r="D245" s="343">
        <v>0.46800000000000003</v>
      </c>
      <c r="E245" s="76" t="s">
        <v>120</v>
      </c>
      <c r="F245" s="343">
        <v>0.156</v>
      </c>
      <c r="G245" s="76" t="s">
        <v>81</v>
      </c>
      <c r="H245" s="343">
        <v>0.245</v>
      </c>
      <c r="I245" s="76"/>
      <c r="J245" s="348"/>
    </row>
    <row r="246" spans="1:10">
      <c r="A246" s="344" t="s">
        <v>335</v>
      </c>
      <c r="B246" s="345" t="s">
        <v>358</v>
      </c>
      <c r="C246" s="76" t="s">
        <v>150</v>
      </c>
      <c r="D246" s="343">
        <v>0.46800000000000003</v>
      </c>
      <c r="E246" s="76" t="s">
        <v>122</v>
      </c>
      <c r="F246" s="343">
        <v>0.192</v>
      </c>
      <c r="G246" s="76" t="s">
        <v>83</v>
      </c>
      <c r="H246" s="343">
        <v>0.29499999999999998</v>
      </c>
      <c r="I246" s="76"/>
      <c r="J246" s="348"/>
    </row>
    <row r="247" spans="1:10">
      <c r="A247" s="344" t="s">
        <v>335</v>
      </c>
      <c r="B247" s="345" t="s">
        <v>359</v>
      </c>
      <c r="C247" s="76" t="s">
        <v>150</v>
      </c>
      <c r="D247" s="343">
        <v>0.46800000000000003</v>
      </c>
      <c r="E247" s="76" t="s">
        <v>124</v>
      </c>
      <c r="F247" s="343">
        <v>0.22700000000000001</v>
      </c>
      <c r="G247" s="76" t="s">
        <v>85</v>
      </c>
      <c r="H247" s="343">
        <v>0.34499999999999997</v>
      </c>
      <c r="I247" s="76"/>
      <c r="J247" s="348"/>
    </row>
    <row r="248" spans="1:10">
      <c r="A248" s="344" t="s">
        <v>335</v>
      </c>
      <c r="B248" s="345" t="s">
        <v>360</v>
      </c>
      <c r="C248" s="76" t="s">
        <v>150</v>
      </c>
      <c r="D248" s="343">
        <v>0.46800000000000003</v>
      </c>
      <c r="E248" s="76" t="s">
        <v>126</v>
      </c>
      <c r="F248" s="343">
        <v>0.26200000000000001</v>
      </c>
      <c r="G248" s="76" t="s">
        <v>87</v>
      </c>
      <c r="H248" s="343">
        <v>0.39500000000000002</v>
      </c>
      <c r="I248" s="76"/>
      <c r="J248" s="348"/>
    </row>
    <row r="249" spans="1:10">
      <c r="A249" s="344" t="s">
        <v>335</v>
      </c>
      <c r="B249" s="345" t="s">
        <v>361</v>
      </c>
      <c r="C249" s="76" t="s">
        <v>150</v>
      </c>
      <c r="D249" s="343">
        <v>0.46800000000000003</v>
      </c>
      <c r="E249" s="76" t="s">
        <v>128</v>
      </c>
      <c r="F249" s="343">
        <v>0.33300000000000002</v>
      </c>
      <c r="G249" s="76" t="s">
        <v>89</v>
      </c>
      <c r="H249" s="343">
        <v>0.49399999999999999</v>
      </c>
      <c r="I249" s="76"/>
      <c r="J249" s="348"/>
    </row>
    <row r="250" spans="1:10">
      <c r="A250" s="344" t="s">
        <v>335</v>
      </c>
      <c r="B250" s="345" t="s">
        <v>362</v>
      </c>
      <c r="C250" s="76" t="s">
        <v>150</v>
      </c>
      <c r="D250" s="343">
        <v>0.46800000000000003</v>
      </c>
      <c r="E250" s="76" t="s">
        <v>130</v>
      </c>
      <c r="F250" s="343">
        <v>0.36799999999999999</v>
      </c>
      <c r="G250" s="76" t="s">
        <v>91</v>
      </c>
      <c r="H250" s="343">
        <v>0.54400000000000004</v>
      </c>
      <c r="I250" s="76"/>
      <c r="J250" s="348"/>
    </row>
    <row r="251" spans="1:10">
      <c r="A251" s="344" t="s">
        <v>335</v>
      </c>
      <c r="B251" s="345" t="s">
        <v>363</v>
      </c>
      <c r="C251" s="76" t="s">
        <v>150</v>
      </c>
      <c r="D251" s="343">
        <v>0.46800000000000003</v>
      </c>
      <c r="E251" s="76" t="s">
        <v>132</v>
      </c>
      <c r="F251" s="343">
        <v>0.40400000000000003</v>
      </c>
      <c r="G251" s="76" t="s">
        <v>93</v>
      </c>
      <c r="H251" s="343">
        <v>0.59399999999999997</v>
      </c>
      <c r="I251" s="76"/>
      <c r="J251" s="348"/>
    </row>
    <row r="252" spans="1:10">
      <c r="A252" s="344" t="s">
        <v>335</v>
      </c>
      <c r="B252" s="345" t="s">
        <v>364</v>
      </c>
      <c r="C252" s="76" t="s">
        <v>158</v>
      </c>
      <c r="D252" s="343">
        <v>0.49199999999999999</v>
      </c>
      <c r="E252" s="76" t="s">
        <v>120</v>
      </c>
      <c r="F252" s="343">
        <v>0.156</v>
      </c>
      <c r="G252" s="76" t="s">
        <v>96</v>
      </c>
      <c r="H252" s="343">
        <v>0.25700000000000001</v>
      </c>
      <c r="I252" s="76"/>
      <c r="J252" s="348"/>
    </row>
    <row r="253" spans="1:10">
      <c r="A253" s="344" t="s">
        <v>335</v>
      </c>
      <c r="B253" s="345" t="s">
        <v>365</v>
      </c>
      <c r="C253" s="76" t="s">
        <v>158</v>
      </c>
      <c r="D253" s="343">
        <v>0.49199999999999999</v>
      </c>
      <c r="E253" s="76" t="s">
        <v>122</v>
      </c>
      <c r="F253" s="343">
        <v>0.192</v>
      </c>
      <c r="G253" s="76" t="s">
        <v>98</v>
      </c>
      <c r="H253" s="343">
        <v>0.31</v>
      </c>
      <c r="I253" s="76"/>
      <c r="J253" s="348"/>
    </row>
    <row r="254" spans="1:10">
      <c r="A254" s="344" t="s">
        <v>335</v>
      </c>
      <c r="B254" s="345" t="s">
        <v>366</v>
      </c>
      <c r="C254" s="76" t="s">
        <v>158</v>
      </c>
      <c r="D254" s="343">
        <v>0.49199999999999999</v>
      </c>
      <c r="E254" s="76" t="s">
        <v>124</v>
      </c>
      <c r="F254" s="343">
        <v>0.22700000000000001</v>
      </c>
      <c r="G254" s="76" t="s">
        <v>100</v>
      </c>
      <c r="H254" s="343">
        <v>0.36199999999999999</v>
      </c>
      <c r="I254" s="76"/>
      <c r="J254" s="348"/>
    </row>
    <row r="255" spans="1:10">
      <c r="A255" s="344" t="s">
        <v>335</v>
      </c>
      <c r="B255" s="345" t="s">
        <v>367</v>
      </c>
      <c r="C255" s="76" t="s">
        <v>158</v>
      </c>
      <c r="D255" s="343">
        <v>0.49199999999999999</v>
      </c>
      <c r="E255" s="76" t="s">
        <v>126</v>
      </c>
      <c r="F255" s="343">
        <v>0.26200000000000001</v>
      </c>
      <c r="G255" s="76" t="s">
        <v>102</v>
      </c>
      <c r="H255" s="343">
        <v>0.41499999999999998</v>
      </c>
      <c r="I255" s="76"/>
      <c r="J255" s="348"/>
    </row>
    <row r="256" spans="1:10">
      <c r="A256" s="344" t="s">
        <v>335</v>
      </c>
      <c r="B256" s="345" t="s">
        <v>368</v>
      </c>
      <c r="C256" s="76" t="s">
        <v>158</v>
      </c>
      <c r="D256" s="343">
        <v>0.49199999999999999</v>
      </c>
      <c r="E256" s="76" t="s">
        <v>128</v>
      </c>
      <c r="F256" s="343">
        <v>0.33300000000000002</v>
      </c>
      <c r="G256" s="76" t="s">
        <v>104</v>
      </c>
      <c r="H256" s="343">
        <v>0.51900000000000002</v>
      </c>
      <c r="I256" s="76"/>
      <c r="J256" s="348"/>
    </row>
    <row r="257" spans="1:10">
      <c r="A257" s="344" t="s">
        <v>335</v>
      </c>
      <c r="B257" s="345" t="s">
        <v>369</v>
      </c>
      <c r="C257" s="76" t="s">
        <v>158</v>
      </c>
      <c r="D257" s="343">
        <v>0.49199999999999999</v>
      </c>
      <c r="E257" s="76" t="s">
        <v>130</v>
      </c>
      <c r="F257" s="343">
        <v>0.36799999999999999</v>
      </c>
      <c r="G257" s="76" t="s">
        <v>106</v>
      </c>
      <c r="H257" s="343">
        <v>0.57199999999999995</v>
      </c>
      <c r="I257" s="76"/>
      <c r="J257" s="348"/>
    </row>
    <row r="258" spans="1:10">
      <c r="A258" s="344" t="s">
        <v>335</v>
      </c>
      <c r="B258" s="345" t="s">
        <v>370</v>
      </c>
      <c r="C258" s="76" t="s">
        <v>158</v>
      </c>
      <c r="D258" s="343">
        <v>0.49199999999999999</v>
      </c>
      <c r="E258" s="76" t="s">
        <v>132</v>
      </c>
      <c r="F258" s="343">
        <v>0.40400000000000003</v>
      </c>
      <c r="G258" s="76" t="s">
        <v>108</v>
      </c>
      <c r="H258" s="343">
        <v>0.624</v>
      </c>
      <c r="I258" s="76"/>
      <c r="J258" s="348"/>
    </row>
    <row r="259" spans="1:10">
      <c r="A259" s="344" t="s">
        <v>335</v>
      </c>
      <c r="B259" s="345" t="s">
        <v>371</v>
      </c>
      <c r="C259" s="76" t="s">
        <v>166</v>
      </c>
      <c r="D259" s="343">
        <v>0.115</v>
      </c>
      <c r="E259" s="76" t="s">
        <v>167</v>
      </c>
      <c r="F259" s="343">
        <v>8.5000000000000006E-2</v>
      </c>
      <c r="G259" s="76" t="s">
        <v>112</v>
      </c>
      <c r="H259" s="343">
        <v>3.5999999999999997E-2</v>
      </c>
      <c r="I259" s="76"/>
      <c r="J259" s="348"/>
    </row>
    <row r="260" spans="1:10">
      <c r="A260" s="344" t="s">
        <v>335</v>
      </c>
      <c r="B260" s="345" t="s">
        <v>372</v>
      </c>
      <c r="C260" s="76" t="s">
        <v>169</v>
      </c>
      <c r="D260" s="343">
        <v>7.3999999999999996E-2</v>
      </c>
      <c r="E260" s="76" t="s">
        <v>170</v>
      </c>
      <c r="F260" s="343">
        <v>5.6000000000000001E-2</v>
      </c>
      <c r="G260" s="76" t="s">
        <v>116</v>
      </c>
      <c r="H260" s="343">
        <v>1.6E-2</v>
      </c>
      <c r="I260" s="76"/>
      <c r="J260" s="348"/>
    </row>
    <row r="261" spans="1:10">
      <c r="A261" s="344" t="s">
        <v>373</v>
      </c>
      <c r="B261" s="345" t="s">
        <v>374</v>
      </c>
      <c r="C261" s="76" t="s">
        <v>119</v>
      </c>
      <c r="D261" s="343">
        <v>0.42099999999999999</v>
      </c>
      <c r="E261" s="76" t="s">
        <v>120</v>
      </c>
      <c r="F261" s="343">
        <v>0.156</v>
      </c>
      <c r="G261" s="76" t="s">
        <v>12</v>
      </c>
      <c r="H261" s="343">
        <v>0.22</v>
      </c>
      <c r="I261" s="76"/>
      <c r="J261" s="348"/>
    </row>
    <row r="262" spans="1:10">
      <c r="A262" s="344" t="s">
        <v>373</v>
      </c>
      <c r="B262" s="345" t="s">
        <v>375</v>
      </c>
      <c r="C262" s="76" t="s">
        <v>119</v>
      </c>
      <c r="D262" s="343">
        <v>0.42099999999999999</v>
      </c>
      <c r="E262" s="76" t="s">
        <v>122</v>
      </c>
      <c r="F262" s="343">
        <v>0.192</v>
      </c>
      <c r="G262" s="76" t="s">
        <v>16</v>
      </c>
      <c r="H262" s="343">
        <v>0.26500000000000001</v>
      </c>
      <c r="I262" s="76"/>
      <c r="J262" s="348"/>
    </row>
    <row r="263" spans="1:10">
      <c r="A263" s="344" t="s">
        <v>373</v>
      </c>
      <c r="B263" s="345" t="s">
        <v>376</v>
      </c>
      <c r="C263" s="76" t="s">
        <v>119</v>
      </c>
      <c r="D263" s="343">
        <v>0.42099999999999999</v>
      </c>
      <c r="E263" s="76" t="s">
        <v>124</v>
      </c>
      <c r="F263" s="343">
        <v>0.22700000000000001</v>
      </c>
      <c r="G263" s="76" t="s">
        <v>22</v>
      </c>
      <c r="H263" s="343">
        <v>0.31</v>
      </c>
      <c r="I263" s="76"/>
      <c r="J263" s="348"/>
    </row>
    <row r="264" spans="1:10">
      <c r="A264" s="344" t="s">
        <v>373</v>
      </c>
      <c r="B264" s="345" t="s">
        <v>377</v>
      </c>
      <c r="C264" s="76" t="s">
        <v>119</v>
      </c>
      <c r="D264" s="343">
        <v>0.42099999999999999</v>
      </c>
      <c r="E264" s="76" t="s">
        <v>126</v>
      </c>
      <c r="F264" s="343">
        <v>0.26200000000000001</v>
      </c>
      <c r="G264" s="76" t="s">
        <v>26</v>
      </c>
      <c r="H264" s="343">
        <v>0.35499999999999998</v>
      </c>
      <c r="I264" s="76"/>
      <c r="J264" s="348"/>
    </row>
    <row r="265" spans="1:10">
      <c r="A265" s="344" t="s">
        <v>373</v>
      </c>
      <c r="B265" s="345" t="s">
        <v>378</v>
      </c>
      <c r="C265" s="76" t="s">
        <v>119</v>
      </c>
      <c r="D265" s="343">
        <v>0.42099999999999999</v>
      </c>
      <c r="E265" s="76" t="s">
        <v>128</v>
      </c>
      <c r="F265" s="343">
        <v>0.33300000000000002</v>
      </c>
      <c r="G265" s="76" t="s">
        <v>31</v>
      </c>
      <c r="H265" s="343">
        <v>0.44500000000000001</v>
      </c>
      <c r="I265" s="76"/>
      <c r="J265" s="348"/>
    </row>
    <row r="266" spans="1:10">
      <c r="A266" s="344" t="s">
        <v>373</v>
      </c>
      <c r="B266" s="345" t="s">
        <v>379</v>
      </c>
      <c r="C266" s="76" t="s">
        <v>119</v>
      </c>
      <c r="D266" s="343">
        <v>0.42099999999999999</v>
      </c>
      <c r="E266" s="76" t="s">
        <v>130</v>
      </c>
      <c r="F266" s="343">
        <v>0.36799999999999999</v>
      </c>
      <c r="G266" s="76" t="s">
        <v>35</v>
      </c>
      <c r="H266" s="343">
        <v>0.48899999999999999</v>
      </c>
      <c r="I266" s="76"/>
      <c r="J266" s="348"/>
    </row>
    <row r="267" spans="1:10">
      <c r="A267" s="344" t="s">
        <v>373</v>
      </c>
      <c r="B267" s="345" t="s">
        <v>380</v>
      </c>
      <c r="C267" s="76" t="s">
        <v>119</v>
      </c>
      <c r="D267" s="343">
        <v>0.42099999999999999</v>
      </c>
      <c r="E267" s="76" t="s">
        <v>132</v>
      </c>
      <c r="F267" s="343">
        <v>0.40400000000000003</v>
      </c>
      <c r="G267" s="76" t="s">
        <v>40</v>
      </c>
      <c r="H267" s="343">
        <v>0.53400000000000003</v>
      </c>
      <c r="I267" s="76"/>
      <c r="J267" s="348"/>
    </row>
    <row r="268" spans="1:10">
      <c r="A268" s="344" t="s">
        <v>373</v>
      </c>
      <c r="B268" s="345" t="s">
        <v>381</v>
      </c>
      <c r="C268" s="76" t="s">
        <v>134</v>
      </c>
      <c r="D268" s="343">
        <v>0.439</v>
      </c>
      <c r="E268" s="76" t="s">
        <v>120</v>
      </c>
      <c r="F268" s="343">
        <v>0.156</v>
      </c>
      <c r="G268" s="76" t="s">
        <v>45</v>
      </c>
      <c r="H268" s="343">
        <v>0.23</v>
      </c>
      <c r="I268" s="76"/>
      <c r="J268" s="348"/>
    </row>
    <row r="269" spans="1:10">
      <c r="A269" s="344" t="s">
        <v>373</v>
      </c>
      <c r="B269" s="345" t="s">
        <v>382</v>
      </c>
      <c r="C269" s="76" t="s">
        <v>134</v>
      </c>
      <c r="D269" s="343">
        <v>0.439</v>
      </c>
      <c r="E269" s="76" t="s">
        <v>122</v>
      </c>
      <c r="F269" s="343">
        <v>0.192</v>
      </c>
      <c r="G269" s="76" t="s">
        <v>49</v>
      </c>
      <c r="H269" s="343">
        <v>0.27600000000000002</v>
      </c>
      <c r="I269" s="76"/>
      <c r="J269" s="348"/>
    </row>
    <row r="270" spans="1:10">
      <c r="A270" s="344" t="s">
        <v>373</v>
      </c>
      <c r="B270" s="345" t="s">
        <v>383</v>
      </c>
      <c r="C270" s="76" t="s">
        <v>134</v>
      </c>
      <c r="D270" s="343">
        <v>0.439</v>
      </c>
      <c r="E270" s="76" t="s">
        <v>124</v>
      </c>
      <c r="F270" s="343">
        <v>0.22700000000000001</v>
      </c>
      <c r="G270" s="76" t="s">
        <v>52</v>
      </c>
      <c r="H270" s="343">
        <v>0.32300000000000001</v>
      </c>
      <c r="I270" s="76"/>
      <c r="J270" s="348"/>
    </row>
    <row r="271" spans="1:10">
      <c r="A271" s="344" t="s">
        <v>373</v>
      </c>
      <c r="B271" s="345" t="s">
        <v>384</v>
      </c>
      <c r="C271" s="76" t="s">
        <v>134</v>
      </c>
      <c r="D271" s="343">
        <v>0.439</v>
      </c>
      <c r="E271" s="76" t="s">
        <v>126</v>
      </c>
      <c r="F271" s="343">
        <v>0.26200000000000001</v>
      </c>
      <c r="G271" s="76" t="s">
        <v>56</v>
      </c>
      <c r="H271" s="343">
        <v>0.37</v>
      </c>
      <c r="I271" s="76"/>
      <c r="J271" s="348"/>
    </row>
    <row r="272" spans="1:10">
      <c r="A272" s="344" t="s">
        <v>373</v>
      </c>
      <c r="B272" s="345" t="s">
        <v>385</v>
      </c>
      <c r="C272" s="76" t="s">
        <v>134</v>
      </c>
      <c r="D272" s="343">
        <v>0.439</v>
      </c>
      <c r="E272" s="76" t="s">
        <v>128</v>
      </c>
      <c r="F272" s="343">
        <v>0.33300000000000002</v>
      </c>
      <c r="G272" s="76" t="s">
        <v>59</v>
      </c>
      <c r="H272" s="343">
        <v>0.46300000000000002</v>
      </c>
      <c r="I272" s="76"/>
      <c r="J272" s="348"/>
    </row>
    <row r="273" spans="1:10">
      <c r="A273" s="344" t="s">
        <v>373</v>
      </c>
      <c r="B273" s="345" t="s">
        <v>386</v>
      </c>
      <c r="C273" s="76" t="s">
        <v>134</v>
      </c>
      <c r="D273" s="343">
        <v>0.439</v>
      </c>
      <c r="E273" s="76" t="s">
        <v>130</v>
      </c>
      <c r="F273" s="343">
        <v>0.36799999999999999</v>
      </c>
      <c r="G273" s="76" t="s">
        <v>61</v>
      </c>
      <c r="H273" s="343">
        <v>0.51</v>
      </c>
      <c r="I273" s="76"/>
      <c r="J273" s="348"/>
    </row>
    <row r="274" spans="1:10">
      <c r="A274" s="344" t="s">
        <v>373</v>
      </c>
      <c r="B274" s="345" t="s">
        <v>387</v>
      </c>
      <c r="C274" s="76" t="s">
        <v>134</v>
      </c>
      <c r="D274" s="343">
        <v>0.439</v>
      </c>
      <c r="E274" s="76" t="s">
        <v>132</v>
      </c>
      <c r="F274" s="343">
        <v>0.40400000000000003</v>
      </c>
      <c r="G274" s="76" t="s">
        <v>63</v>
      </c>
      <c r="H274" s="343">
        <v>0.55700000000000005</v>
      </c>
      <c r="I274" s="76"/>
      <c r="J274" s="348"/>
    </row>
    <row r="275" spans="1:10">
      <c r="A275" s="344" t="s">
        <v>373</v>
      </c>
      <c r="B275" s="345" t="s">
        <v>388</v>
      </c>
      <c r="C275" s="76" t="s">
        <v>142</v>
      </c>
      <c r="D275" s="343">
        <v>0.45700000000000002</v>
      </c>
      <c r="E275" s="76" t="s">
        <v>120</v>
      </c>
      <c r="F275" s="343">
        <v>0.156</v>
      </c>
      <c r="G275" s="76" t="s">
        <v>66</v>
      </c>
      <c r="H275" s="343">
        <v>0.23899999999999999</v>
      </c>
      <c r="I275" s="76"/>
      <c r="J275" s="348"/>
    </row>
    <row r="276" spans="1:10">
      <c r="A276" s="344" t="s">
        <v>373</v>
      </c>
      <c r="B276" s="345" t="s">
        <v>389</v>
      </c>
      <c r="C276" s="76" t="s">
        <v>142</v>
      </c>
      <c r="D276" s="343">
        <v>0.45700000000000002</v>
      </c>
      <c r="E276" s="76" t="s">
        <v>122</v>
      </c>
      <c r="F276" s="343">
        <v>0.192</v>
      </c>
      <c r="G276" s="76" t="s">
        <v>68</v>
      </c>
      <c r="H276" s="343">
        <v>0.28799999999999998</v>
      </c>
      <c r="I276" s="76"/>
      <c r="J276" s="348"/>
    </row>
    <row r="277" spans="1:10">
      <c r="A277" s="344" t="s">
        <v>373</v>
      </c>
      <c r="B277" s="345" t="s">
        <v>390</v>
      </c>
      <c r="C277" s="76" t="s">
        <v>142</v>
      </c>
      <c r="D277" s="343">
        <v>0.45700000000000002</v>
      </c>
      <c r="E277" s="76" t="s">
        <v>124</v>
      </c>
      <c r="F277" s="343">
        <v>0.22700000000000001</v>
      </c>
      <c r="G277" s="76" t="s">
        <v>70</v>
      </c>
      <c r="H277" s="343">
        <v>0.33600000000000002</v>
      </c>
      <c r="I277" s="76"/>
      <c r="J277" s="348"/>
    </row>
    <row r="278" spans="1:10">
      <c r="A278" s="344" t="s">
        <v>373</v>
      </c>
      <c r="B278" s="345" t="s">
        <v>391</v>
      </c>
      <c r="C278" s="76" t="s">
        <v>142</v>
      </c>
      <c r="D278" s="343">
        <v>0.45700000000000002</v>
      </c>
      <c r="E278" s="76" t="s">
        <v>126</v>
      </c>
      <c r="F278" s="343">
        <v>0.26200000000000001</v>
      </c>
      <c r="G278" s="76" t="s">
        <v>72</v>
      </c>
      <c r="H278" s="343">
        <v>0.38500000000000001</v>
      </c>
      <c r="I278" s="76"/>
      <c r="J278" s="348"/>
    </row>
    <row r="279" spans="1:10">
      <c r="A279" s="344" t="s">
        <v>373</v>
      </c>
      <c r="B279" s="345" t="s">
        <v>392</v>
      </c>
      <c r="C279" s="76" t="s">
        <v>142</v>
      </c>
      <c r="D279" s="343">
        <v>0.45700000000000002</v>
      </c>
      <c r="E279" s="76" t="s">
        <v>128</v>
      </c>
      <c r="F279" s="343">
        <v>0.33300000000000002</v>
      </c>
      <c r="G279" s="76" t="s">
        <v>74</v>
      </c>
      <c r="H279" s="343">
        <v>0.48199999999999998</v>
      </c>
      <c r="I279" s="76"/>
      <c r="J279" s="348"/>
    </row>
    <row r="280" spans="1:10">
      <c r="A280" s="344" t="s">
        <v>373</v>
      </c>
      <c r="B280" s="345" t="s">
        <v>393</v>
      </c>
      <c r="C280" s="76" t="s">
        <v>142</v>
      </c>
      <c r="D280" s="343">
        <v>0.45700000000000002</v>
      </c>
      <c r="E280" s="76" t="s">
        <v>130</v>
      </c>
      <c r="F280" s="343">
        <v>0.36799999999999999</v>
      </c>
      <c r="G280" s="76" t="s">
        <v>76</v>
      </c>
      <c r="H280" s="343">
        <v>0.53100000000000003</v>
      </c>
      <c r="I280" s="76"/>
      <c r="J280" s="348"/>
    </row>
    <row r="281" spans="1:10">
      <c r="A281" s="344" t="s">
        <v>373</v>
      </c>
      <c r="B281" s="345" t="s">
        <v>394</v>
      </c>
      <c r="C281" s="76" t="s">
        <v>142</v>
      </c>
      <c r="D281" s="343">
        <v>0.45700000000000002</v>
      </c>
      <c r="E281" s="76" t="s">
        <v>132</v>
      </c>
      <c r="F281" s="343">
        <v>0.40400000000000003</v>
      </c>
      <c r="G281" s="76" t="s">
        <v>78</v>
      </c>
      <c r="H281" s="343">
        <v>0.57899999999999996</v>
      </c>
      <c r="I281" s="76"/>
      <c r="J281" s="348"/>
    </row>
    <row r="282" spans="1:10">
      <c r="A282" s="344" t="s">
        <v>373</v>
      </c>
      <c r="B282" s="345" t="s">
        <v>395</v>
      </c>
      <c r="C282" s="76" t="s">
        <v>150</v>
      </c>
      <c r="D282" s="343">
        <v>0.46800000000000003</v>
      </c>
      <c r="E282" s="76" t="s">
        <v>120</v>
      </c>
      <c r="F282" s="343">
        <v>0.156</v>
      </c>
      <c r="G282" s="76" t="s">
        <v>81</v>
      </c>
      <c r="H282" s="343">
        <v>0.245</v>
      </c>
      <c r="I282" s="76"/>
      <c r="J282" s="348"/>
    </row>
    <row r="283" spans="1:10">
      <c r="A283" s="344" t="s">
        <v>373</v>
      </c>
      <c r="B283" s="345" t="s">
        <v>396</v>
      </c>
      <c r="C283" s="76" t="s">
        <v>150</v>
      </c>
      <c r="D283" s="343">
        <v>0.46800000000000003</v>
      </c>
      <c r="E283" s="76" t="s">
        <v>122</v>
      </c>
      <c r="F283" s="343">
        <v>0.192</v>
      </c>
      <c r="G283" s="76" t="s">
        <v>83</v>
      </c>
      <c r="H283" s="343">
        <v>0.29499999999999998</v>
      </c>
      <c r="I283" s="76"/>
      <c r="J283" s="348"/>
    </row>
    <row r="284" spans="1:10">
      <c r="A284" s="344" t="s">
        <v>373</v>
      </c>
      <c r="B284" s="345" t="s">
        <v>397</v>
      </c>
      <c r="C284" s="76" t="s">
        <v>150</v>
      </c>
      <c r="D284" s="343">
        <v>0.46800000000000003</v>
      </c>
      <c r="E284" s="76" t="s">
        <v>124</v>
      </c>
      <c r="F284" s="343">
        <v>0.22700000000000001</v>
      </c>
      <c r="G284" s="76" t="s">
        <v>85</v>
      </c>
      <c r="H284" s="343">
        <v>0.34499999999999997</v>
      </c>
      <c r="I284" s="76"/>
      <c r="J284" s="348"/>
    </row>
    <row r="285" spans="1:10">
      <c r="A285" s="344" t="s">
        <v>373</v>
      </c>
      <c r="B285" s="345" t="s">
        <v>398</v>
      </c>
      <c r="C285" s="76" t="s">
        <v>150</v>
      </c>
      <c r="D285" s="343">
        <v>0.46800000000000003</v>
      </c>
      <c r="E285" s="76" t="s">
        <v>126</v>
      </c>
      <c r="F285" s="343">
        <v>0.26200000000000001</v>
      </c>
      <c r="G285" s="76" t="s">
        <v>87</v>
      </c>
      <c r="H285" s="343">
        <v>0.39500000000000002</v>
      </c>
      <c r="I285" s="76"/>
      <c r="J285" s="348"/>
    </row>
    <row r="286" spans="1:10">
      <c r="A286" s="344" t="s">
        <v>373</v>
      </c>
      <c r="B286" s="345" t="s">
        <v>399</v>
      </c>
      <c r="C286" s="76" t="s">
        <v>150</v>
      </c>
      <c r="D286" s="343">
        <v>0.46800000000000003</v>
      </c>
      <c r="E286" s="76" t="s">
        <v>128</v>
      </c>
      <c r="F286" s="343">
        <v>0.33300000000000002</v>
      </c>
      <c r="G286" s="76" t="s">
        <v>89</v>
      </c>
      <c r="H286" s="343">
        <v>0.49399999999999999</v>
      </c>
      <c r="I286" s="76"/>
      <c r="J286" s="348"/>
    </row>
    <row r="287" spans="1:10">
      <c r="A287" s="344" t="s">
        <v>373</v>
      </c>
      <c r="B287" s="345" t="s">
        <v>400</v>
      </c>
      <c r="C287" s="76" t="s">
        <v>150</v>
      </c>
      <c r="D287" s="343">
        <v>0.46800000000000003</v>
      </c>
      <c r="E287" s="76" t="s">
        <v>130</v>
      </c>
      <c r="F287" s="343">
        <v>0.36799999999999999</v>
      </c>
      <c r="G287" s="76" t="s">
        <v>91</v>
      </c>
      <c r="H287" s="343">
        <v>0.54400000000000004</v>
      </c>
      <c r="I287" s="76"/>
      <c r="J287" s="348"/>
    </row>
    <row r="288" spans="1:10">
      <c r="A288" s="344" t="s">
        <v>373</v>
      </c>
      <c r="B288" s="345" t="s">
        <v>401</v>
      </c>
      <c r="C288" s="76" t="s">
        <v>150</v>
      </c>
      <c r="D288" s="343">
        <v>0.46800000000000003</v>
      </c>
      <c r="E288" s="76" t="s">
        <v>132</v>
      </c>
      <c r="F288" s="343">
        <v>0.40400000000000003</v>
      </c>
      <c r="G288" s="76" t="s">
        <v>93</v>
      </c>
      <c r="H288" s="343">
        <v>0.59399999999999997</v>
      </c>
      <c r="I288" s="76"/>
      <c r="J288" s="348"/>
    </row>
    <row r="289" spans="1:10">
      <c r="A289" s="344" t="s">
        <v>373</v>
      </c>
      <c r="B289" s="345" t="s">
        <v>402</v>
      </c>
      <c r="C289" s="76" t="s">
        <v>158</v>
      </c>
      <c r="D289" s="343">
        <v>0.49199999999999999</v>
      </c>
      <c r="E289" s="76" t="s">
        <v>120</v>
      </c>
      <c r="F289" s="343">
        <v>0.156</v>
      </c>
      <c r="G289" s="76" t="s">
        <v>96</v>
      </c>
      <c r="H289" s="343">
        <v>0.25700000000000001</v>
      </c>
      <c r="I289" s="76"/>
      <c r="J289" s="348"/>
    </row>
    <row r="290" spans="1:10">
      <c r="A290" s="344" t="s">
        <v>373</v>
      </c>
      <c r="B290" s="345" t="s">
        <v>403</v>
      </c>
      <c r="C290" s="76" t="s">
        <v>158</v>
      </c>
      <c r="D290" s="343">
        <v>0.49199999999999999</v>
      </c>
      <c r="E290" s="76" t="s">
        <v>122</v>
      </c>
      <c r="F290" s="343">
        <v>0.192</v>
      </c>
      <c r="G290" s="76" t="s">
        <v>98</v>
      </c>
      <c r="H290" s="343">
        <v>0.31</v>
      </c>
      <c r="I290" s="76"/>
      <c r="J290" s="348"/>
    </row>
    <row r="291" spans="1:10">
      <c r="A291" s="344" t="s">
        <v>373</v>
      </c>
      <c r="B291" s="345" t="s">
        <v>404</v>
      </c>
      <c r="C291" s="76" t="s">
        <v>158</v>
      </c>
      <c r="D291" s="343">
        <v>0.49199999999999999</v>
      </c>
      <c r="E291" s="76" t="s">
        <v>124</v>
      </c>
      <c r="F291" s="343">
        <v>0.22700000000000001</v>
      </c>
      <c r="G291" s="76" t="s">
        <v>100</v>
      </c>
      <c r="H291" s="343">
        <v>0.36199999999999999</v>
      </c>
      <c r="I291" s="76"/>
      <c r="J291" s="348"/>
    </row>
    <row r="292" spans="1:10">
      <c r="A292" s="344" t="s">
        <v>373</v>
      </c>
      <c r="B292" s="345" t="s">
        <v>405</v>
      </c>
      <c r="C292" s="76" t="s">
        <v>158</v>
      </c>
      <c r="D292" s="343">
        <v>0.49199999999999999</v>
      </c>
      <c r="E292" s="76" t="s">
        <v>126</v>
      </c>
      <c r="F292" s="343">
        <v>0.26200000000000001</v>
      </c>
      <c r="G292" s="76" t="s">
        <v>102</v>
      </c>
      <c r="H292" s="343">
        <v>0.41499999999999998</v>
      </c>
      <c r="I292" s="76"/>
      <c r="J292" s="348"/>
    </row>
    <row r="293" spans="1:10">
      <c r="A293" s="344" t="s">
        <v>373</v>
      </c>
      <c r="B293" s="345" t="s">
        <v>406</v>
      </c>
      <c r="C293" s="76" t="s">
        <v>158</v>
      </c>
      <c r="D293" s="343">
        <v>0.49199999999999999</v>
      </c>
      <c r="E293" s="76" t="s">
        <v>128</v>
      </c>
      <c r="F293" s="343">
        <v>0.33300000000000002</v>
      </c>
      <c r="G293" s="76" t="s">
        <v>104</v>
      </c>
      <c r="H293" s="343">
        <v>0.51900000000000002</v>
      </c>
      <c r="I293" s="76"/>
      <c r="J293" s="348"/>
    </row>
    <row r="294" spans="1:10">
      <c r="A294" s="344" t="s">
        <v>373</v>
      </c>
      <c r="B294" s="345" t="s">
        <v>407</v>
      </c>
      <c r="C294" s="76" t="s">
        <v>158</v>
      </c>
      <c r="D294" s="343">
        <v>0.49199999999999999</v>
      </c>
      <c r="E294" s="76" t="s">
        <v>130</v>
      </c>
      <c r="F294" s="343">
        <v>0.36799999999999999</v>
      </c>
      <c r="G294" s="76" t="s">
        <v>106</v>
      </c>
      <c r="H294" s="343">
        <v>0.57199999999999995</v>
      </c>
      <c r="I294" s="76"/>
      <c r="J294" s="348"/>
    </row>
    <row r="295" spans="1:10">
      <c r="A295" s="344" t="s">
        <v>373</v>
      </c>
      <c r="B295" s="345" t="s">
        <v>408</v>
      </c>
      <c r="C295" s="76" t="s">
        <v>158</v>
      </c>
      <c r="D295" s="343">
        <v>0.49199999999999999</v>
      </c>
      <c r="E295" s="76" t="s">
        <v>132</v>
      </c>
      <c r="F295" s="343">
        <v>0.40400000000000003</v>
      </c>
      <c r="G295" s="76" t="s">
        <v>108</v>
      </c>
      <c r="H295" s="343">
        <v>0.624</v>
      </c>
      <c r="I295" s="76"/>
      <c r="J295" s="348"/>
    </row>
    <row r="296" spans="1:10">
      <c r="A296" s="344" t="s">
        <v>373</v>
      </c>
      <c r="B296" s="345" t="s">
        <v>409</v>
      </c>
      <c r="C296" s="76" t="s">
        <v>166</v>
      </c>
      <c r="D296" s="343">
        <v>0.115</v>
      </c>
      <c r="E296" s="76" t="s">
        <v>167</v>
      </c>
      <c r="F296" s="343">
        <v>8.5000000000000006E-2</v>
      </c>
      <c r="G296" s="76" t="s">
        <v>112</v>
      </c>
      <c r="H296" s="343">
        <v>3.5999999999999997E-2</v>
      </c>
      <c r="I296" s="76"/>
      <c r="J296" s="348"/>
    </row>
    <row r="297" spans="1:10">
      <c r="A297" s="344" t="s">
        <v>373</v>
      </c>
      <c r="B297" s="345" t="s">
        <v>410</v>
      </c>
      <c r="C297" s="76" t="s">
        <v>169</v>
      </c>
      <c r="D297" s="343">
        <v>7.3999999999999996E-2</v>
      </c>
      <c r="E297" s="76" t="s">
        <v>170</v>
      </c>
      <c r="F297" s="343">
        <v>5.6000000000000001E-2</v>
      </c>
      <c r="G297" s="76" t="s">
        <v>116</v>
      </c>
      <c r="H297" s="343">
        <v>1.6E-2</v>
      </c>
      <c r="I297" s="76"/>
      <c r="J297" s="348"/>
    </row>
    <row r="298" spans="1:10">
      <c r="A298" s="344" t="s">
        <v>335</v>
      </c>
      <c r="B298" s="345" t="s">
        <v>411</v>
      </c>
      <c r="C298" s="76" t="s">
        <v>119</v>
      </c>
      <c r="D298" s="343">
        <v>0.42099999999999999</v>
      </c>
      <c r="E298" s="76" t="s">
        <v>120</v>
      </c>
      <c r="F298" s="343">
        <v>0.156</v>
      </c>
      <c r="G298" s="76" t="s">
        <v>12</v>
      </c>
      <c r="H298" s="343">
        <v>0.22</v>
      </c>
      <c r="I298" s="76"/>
      <c r="J298" s="348"/>
    </row>
    <row r="299" spans="1:10">
      <c r="A299" s="344" t="s">
        <v>335</v>
      </c>
      <c r="B299" s="345" t="s">
        <v>412</v>
      </c>
      <c r="C299" s="76" t="s">
        <v>119</v>
      </c>
      <c r="D299" s="343">
        <v>0.42099999999999999</v>
      </c>
      <c r="E299" s="76" t="s">
        <v>122</v>
      </c>
      <c r="F299" s="343">
        <v>0.192</v>
      </c>
      <c r="G299" s="76" t="s">
        <v>16</v>
      </c>
      <c r="H299" s="343">
        <v>0.26500000000000001</v>
      </c>
      <c r="I299" s="76"/>
      <c r="J299" s="348"/>
    </row>
    <row r="300" spans="1:10">
      <c r="A300" s="344" t="s">
        <v>335</v>
      </c>
      <c r="B300" s="345" t="s">
        <v>413</v>
      </c>
      <c r="C300" s="76" t="s">
        <v>119</v>
      </c>
      <c r="D300" s="343">
        <v>0.42099999999999999</v>
      </c>
      <c r="E300" s="76" t="s">
        <v>124</v>
      </c>
      <c r="F300" s="343">
        <v>0.22700000000000001</v>
      </c>
      <c r="G300" s="76" t="s">
        <v>22</v>
      </c>
      <c r="H300" s="343">
        <v>0.31</v>
      </c>
      <c r="I300" s="76"/>
      <c r="J300" s="348"/>
    </row>
    <row r="301" spans="1:10">
      <c r="A301" s="344" t="s">
        <v>335</v>
      </c>
      <c r="B301" s="345" t="s">
        <v>414</v>
      </c>
      <c r="C301" s="76" t="s">
        <v>119</v>
      </c>
      <c r="D301" s="343">
        <v>0.42099999999999999</v>
      </c>
      <c r="E301" s="76" t="s">
        <v>126</v>
      </c>
      <c r="F301" s="343">
        <v>0.26200000000000001</v>
      </c>
      <c r="G301" s="76" t="s">
        <v>26</v>
      </c>
      <c r="H301" s="343">
        <v>0.35499999999999998</v>
      </c>
      <c r="I301" s="76"/>
      <c r="J301" s="348"/>
    </row>
    <row r="302" spans="1:10">
      <c r="A302" s="344" t="s">
        <v>335</v>
      </c>
      <c r="B302" s="345" t="s">
        <v>415</v>
      </c>
      <c r="C302" s="76" t="s">
        <v>119</v>
      </c>
      <c r="D302" s="343">
        <v>0.42099999999999999</v>
      </c>
      <c r="E302" s="76" t="s">
        <v>128</v>
      </c>
      <c r="F302" s="343">
        <v>0.33300000000000002</v>
      </c>
      <c r="G302" s="76" t="s">
        <v>31</v>
      </c>
      <c r="H302" s="343">
        <v>0.44500000000000001</v>
      </c>
      <c r="I302" s="76"/>
      <c r="J302" s="348"/>
    </row>
    <row r="303" spans="1:10">
      <c r="A303" s="344" t="s">
        <v>335</v>
      </c>
      <c r="B303" s="345" t="s">
        <v>416</v>
      </c>
      <c r="C303" s="76" t="s">
        <v>119</v>
      </c>
      <c r="D303" s="343">
        <v>0.42099999999999999</v>
      </c>
      <c r="E303" s="76" t="s">
        <v>130</v>
      </c>
      <c r="F303" s="343">
        <v>0.36799999999999999</v>
      </c>
      <c r="G303" s="76" t="s">
        <v>35</v>
      </c>
      <c r="H303" s="343">
        <v>0.48899999999999999</v>
      </c>
      <c r="I303" s="76"/>
      <c r="J303" s="348"/>
    </row>
    <row r="304" spans="1:10">
      <c r="A304" s="344" t="s">
        <v>335</v>
      </c>
      <c r="B304" s="345" t="s">
        <v>417</v>
      </c>
      <c r="C304" s="76" t="s">
        <v>119</v>
      </c>
      <c r="D304" s="343">
        <v>0.42099999999999999</v>
      </c>
      <c r="E304" s="76" t="s">
        <v>132</v>
      </c>
      <c r="F304" s="343">
        <v>0.40400000000000003</v>
      </c>
      <c r="G304" s="76" t="s">
        <v>40</v>
      </c>
      <c r="H304" s="343">
        <v>0.53400000000000003</v>
      </c>
      <c r="I304" s="76"/>
      <c r="J304" s="348"/>
    </row>
    <row r="305" spans="1:10">
      <c r="A305" s="344" t="s">
        <v>335</v>
      </c>
      <c r="B305" s="345" t="s">
        <v>418</v>
      </c>
      <c r="C305" s="76" t="s">
        <v>134</v>
      </c>
      <c r="D305" s="343">
        <v>0.439</v>
      </c>
      <c r="E305" s="76" t="s">
        <v>120</v>
      </c>
      <c r="F305" s="343">
        <v>0.156</v>
      </c>
      <c r="G305" s="76" t="s">
        <v>45</v>
      </c>
      <c r="H305" s="343">
        <v>0.23</v>
      </c>
      <c r="I305" s="76"/>
      <c r="J305" s="348"/>
    </row>
    <row r="306" spans="1:10">
      <c r="A306" s="344" t="s">
        <v>335</v>
      </c>
      <c r="B306" s="345" t="s">
        <v>419</v>
      </c>
      <c r="C306" s="76" t="s">
        <v>134</v>
      </c>
      <c r="D306" s="343">
        <v>0.439</v>
      </c>
      <c r="E306" s="76" t="s">
        <v>122</v>
      </c>
      <c r="F306" s="343">
        <v>0.192</v>
      </c>
      <c r="G306" s="76" t="s">
        <v>49</v>
      </c>
      <c r="H306" s="343">
        <v>0.27600000000000002</v>
      </c>
      <c r="I306" s="76"/>
      <c r="J306" s="348"/>
    </row>
    <row r="307" spans="1:10">
      <c r="A307" s="344" t="s">
        <v>335</v>
      </c>
      <c r="B307" s="345" t="s">
        <v>420</v>
      </c>
      <c r="C307" s="76" t="s">
        <v>134</v>
      </c>
      <c r="D307" s="343">
        <v>0.439</v>
      </c>
      <c r="E307" s="76" t="s">
        <v>124</v>
      </c>
      <c r="F307" s="343">
        <v>0.22700000000000001</v>
      </c>
      <c r="G307" s="76" t="s">
        <v>52</v>
      </c>
      <c r="H307" s="343">
        <v>0.32300000000000001</v>
      </c>
      <c r="I307" s="76"/>
      <c r="J307" s="348"/>
    </row>
    <row r="308" spans="1:10">
      <c r="A308" s="344" t="s">
        <v>335</v>
      </c>
      <c r="B308" s="345" t="s">
        <v>421</v>
      </c>
      <c r="C308" s="76" t="s">
        <v>134</v>
      </c>
      <c r="D308" s="343">
        <v>0.439</v>
      </c>
      <c r="E308" s="76" t="s">
        <v>126</v>
      </c>
      <c r="F308" s="343">
        <v>0.26200000000000001</v>
      </c>
      <c r="G308" s="76" t="s">
        <v>56</v>
      </c>
      <c r="H308" s="343">
        <v>0.37</v>
      </c>
      <c r="I308" s="76"/>
      <c r="J308" s="348"/>
    </row>
    <row r="309" spans="1:10">
      <c r="A309" s="344" t="s">
        <v>335</v>
      </c>
      <c r="B309" s="345" t="s">
        <v>422</v>
      </c>
      <c r="C309" s="76" t="s">
        <v>134</v>
      </c>
      <c r="D309" s="343">
        <v>0.439</v>
      </c>
      <c r="E309" s="76" t="s">
        <v>128</v>
      </c>
      <c r="F309" s="343">
        <v>0.33300000000000002</v>
      </c>
      <c r="G309" s="76" t="s">
        <v>59</v>
      </c>
      <c r="H309" s="343">
        <v>0.46300000000000002</v>
      </c>
      <c r="I309" s="76"/>
      <c r="J309" s="348"/>
    </row>
    <row r="310" spans="1:10">
      <c r="A310" s="344" t="s">
        <v>335</v>
      </c>
      <c r="B310" s="345" t="s">
        <v>423</v>
      </c>
      <c r="C310" s="76" t="s">
        <v>134</v>
      </c>
      <c r="D310" s="343">
        <v>0.439</v>
      </c>
      <c r="E310" s="76" t="s">
        <v>130</v>
      </c>
      <c r="F310" s="343">
        <v>0.36799999999999999</v>
      </c>
      <c r="G310" s="76" t="s">
        <v>61</v>
      </c>
      <c r="H310" s="343">
        <v>0.51</v>
      </c>
      <c r="I310" s="76"/>
      <c r="J310" s="348"/>
    </row>
    <row r="311" spans="1:10">
      <c r="A311" s="344" t="s">
        <v>335</v>
      </c>
      <c r="B311" s="345" t="s">
        <v>424</v>
      </c>
      <c r="C311" s="76" t="s">
        <v>134</v>
      </c>
      <c r="D311" s="343">
        <v>0.439</v>
      </c>
      <c r="E311" s="76" t="s">
        <v>132</v>
      </c>
      <c r="F311" s="343">
        <v>0.40400000000000003</v>
      </c>
      <c r="G311" s="76" t="s">
        <v>63</v>
      </c>
      <c r="H311" s="343">
        <v>0.55700000000000005</v>
      </c>
      <c r="I311" s="76"/>
      <c r="J311" s="348"/>
    </row>
    <row r="312" spans="1:10">
      <c r="A312" s="344" t="s">
        <v>335</v>
      </c>
      <c r="B312" s="345" t="s">
        <v>425</v>
      </c>
      <c r="C312" s="76" t="s">
        <v>142</v>
      </c>
      <c r="D312" s="343">
        <v>0.45700000000000002</v>
      </c>
      <c r="E312" s="76" t="s">
        <v>120</v>
      </c>
      <c r="F312" s="343">
        <v>0.156</v>
      </c>
      <c r="G312" s="76" t="s">
        <v>66</v>
      </c>
      <c r="H312" s="343">
        <v>0.23899999999999999</v>
      </c>
      <c r="I312" s="76"/>
      <c r="J312" s="348"/>
    </row>
    <row r="313" spans="1:10">
      <c r="A313" s="344" t="s">
        <v>335</v>
      </c>
      <c r="B313" s="345" t="s">
        <v>426</v>
      </c>
      <c r="C313" s="76" t="s">
        <v>142</v>
      </c>
      <c r="D313" s="343">
        <v>0.45700000000000002</v>
      </c>
      <c r="E313" s="76" t="s">
        <v>122</v>
      </c>
      <c r="F313" s="343">
        <v>0.192</v>
      </c>
      <c r="G313" s="76" t="s">
        <v>68</v>
      </c>
      <c r="H313" s="343">
        <v>0.28799999999999998</v>
      </c>
      <c r="I313" s="76"/>
      <c r="J313" s="348"/>
    </row>
    <row r="314" spans="1:10">
      <c r="A314" s="344" t="s">
        <v>335</v>
      </c>
      <c r="B314" s="345" t="s">
        <v>427</v>
      </c>
      <c r="C314" s="76" t="s">
        <v>142</v>
      </c>
      <c r="D314" s="343">
        <v>0.45700000000000002</v>
      </c>
      <c r="E314" s="76" t="s">
        <v>124</v>
      </c>
      <c r="F314" s="343">
        <v>0.22700000000000001</v>
      </c>
      <c r="G314" s="76" t="s">
        <v>70</v>
      </c>
      <c r="H314" s="343">
        <v>0.33600000000000002</v>
      </c>
      <c r="I314" s="76"/>
      <c r="J314" s="348"/>
    </row>
    <row r="315" spans="1:10">
      <c r="A315" s="344" t="s">
        <v>335</v>
      </c>
      <c r="B315" s="345" t="s">
        <v>428</v>
      </c>
      <c r="C315" s="76" t="s">
        <v>142</v>
      </c>
      <c r="D315" s="343">
        <v>0.45700000000000002</v>
      </c>
      <c r="E315" s="76" t="s">
        <v>126</v>
      </c>
      <c r="F315" s="343">
        <v>0.26200000000000001</v>
      </c>
      <c r="G315" s="76" t="s">
        <v>72</v>
      </c>
      <c r="H315" s="343">
        <v>0.38500000000000001</v>
      </c>
      <c r="I315" s="76"/>
      <c r="J315" s="348"/>
    </row>
    <row r="316" spans="1:10">
      <c r="A316" s="344" t="s">
        <v>335</v>
      </c>
      <c r="B316" s="345" t="s">
        <v>429</v>
      </c>
      <c r="C316" s="76" t="s">
        <v>142</v>
      </c>
      <c r="D316" s="343">
        <v>0.45700000000000002</v>
      </c>
      <c r="E316" s="76" t="s">
        <v>128</v>
      </c>
      <c r="F316" s="343">
        <v>0.33300000000000002</v>
      </c>
      <c r="G316" s="76" t="s">
        <v>74</v>
      </c>
      <c r="H316" s="343">
        <v>0.48199999999999998</v>
      </c>
      <c r="I316" s="76"/>
      <c r="J316" s="348"/>
    </row>
    <row r="317" spans="1:10">
      <c r="A317" s="344" t="s">
        <v>335</v>
      </c>
      <c r="B317" s="345" t="s">
        <v>430</v>
      </c>
      <c r="C317" s="76" t="s">
        <v>142</v>
      </c>
      <c r="D317" s="343">
        <v>0.45700000000000002</v>
      </c>
      <c r="E317" s="76" t="s">
        <v>130</v>
      </c>
      <c r="F317" s="343">
        <v>0.36799999999999999</v>
      </c>
      <c r="G317" s="76" t="s">
        <v>76</v>
      </c>
      <c r="H317" s="343">
        <v>0.53100000000000003</v>
      </c>
      <c r="I317" s="76"/>
      <c r="J317" s="348"/>
    </row>
    <row r="318" spans="1:10">
      <c r="A318" s="344" t="s">
        <v>335</v>
      </c>
      <c r="B318" s="345" t="s">
        <v>431</v>
      </c>
      <c r="C318" s="76" t="s">
        <v>142</v>
      </c>
      <c r="D318" s="343">
        <v>0.45700000000000002</v>
      </c>
      <c r="E318" s="76" t="s">
        <v>132</v>
      </c>
      <c r="F318" s="343">
        <v>0.40400000000000003</v>
      </c>
      <c r="G318" s="76" t="s">
        <v>78</v>
      </c>
      <c r="H318" s="343">
        <v>0.57899999999999996</v>
      </c>
      <c r="I318" s="76"/>
      <c r="J318" s="348"/>
    </row>
    <row r="319" spans="1:10">
      <c r="A319" s="344" t="s">
        <v>335</v>
      </c>
      <c r="B319" s="345" t="s">
        <v>432</v>
      </c>
      <c r="C319" s="76" t="s">
        <v>150</v>
      </c>
      <c r="D319" s="343">
        <v>0.46800000000000003</v>
      </c>
      <c r="E319" s="76" t="s">
        <v>120</v>
      </c>
      <c r="F319" s="343">
        <v>0.156</v>
      </c>
      <c r="G319" s="76" t="s">
        <v>81</v>
      </c>
      <c r="H319" s="343">
        <v>0.245</v>
      </c>
      <c r="I319" s="76"/>
      <c r="J319" s="348"/>
    </row>
    <row r="320" spans="1:10">
      <c r="A320" s="344" t="s">
        <v>335</v>
      </c>
      <c r="B320" s="345" t="s">
        <v>433</v>
      </c>
      <c r="C320" s="76" t="s">
        <v>150</v>
      </c>
      <c r="D320" s="343">
        <v>0.46800000000000003</v>
      </c>
      <c r="E320" s="76" t="s">
        <v>122</v>
      </c>
      <c r="F320" s="343">
        <v>0.192</v>
      </c>
      <c r="G320" s="76" t="s">
        <v>83</v>
      </c>
      <c r="H320" s="343">
        <v>0.29499999999999998</v>
      </c>
      <c r="I320" s="76"/>
      <c r="J320" s="348"/>
    </row>
    <row r="321" spans="1:10">
      <c r="A321" s="344" t="s">
        <v>335</v>
      </c>
      <c r="B321" s="345" t="s">
        <v>434</v>
      </c>
      <c r="C321" s="76" t="s">
        <v>150</v>
      </c>
      <c r="D321" s="343">
        <v>0.46800000000000003</v>
      </c>
      <c r="E321" s="76" t="s">
        <v>124</v>
      </c>
      <c r="F321" s="343">
        <v>0.22700000000000001</v>
      </c>
      <c r="G321" s="76" t="s">
        <v>85</v>
      </c>
      <c r="H321" s="343">
        <v>0.34499999999999997</v>
      </c>
      <c r="I321" s="76"/>
      <c r="J321" s="348"/>
    </row>
    <row r="322" spans="1:10">
      <c r="A322" s="344" t="s">
        <v>335</v>
      </c>
      <c r="B322" s="345" t="s">
        <v>435</v>
      </c>
      <c r="C322" s="76" t="s">
        <v>150</v>
      </c>
      <c r="D322" s="343">
        <v>0.46800000000000003</v>
      </c>
      <c r="E322" s="76" t="s">
        <v>126</v>
      </c>
      <c r="F322" s="343">
        <v>0.26200000000000001</v>
      </c>
      <c r="G322" s="76" t="s">
        <v>87</v>
      </c>
      <c r="H322" s="343">
        <v>0.39500000000000002</v>
      </c>
      <c r="I322" s="76"/>
      <c r="J322" s="348"/>
    </row>
    <row r="323" spans="1:10">
      <c r="A323" s="344" t="s">
        <v>335</v>
      </c>
      <c r="B323" s="345" t="s">
        <v>436</v>
      </c>
      <c r="C323" s="76" t="s">
        <v>150</v>
      </c>
      <c r="D323" s="343">
        <v>0.46800000000000003</v>
      </c>
      <c r="E323" s="76" t="s">
        <v>128</v>
      </c>
      <c r="F323" s="343">
        <v>0.33300000000000002</v>
      </c>
      <c r="G323" s="76" t="s">
        <v>89</v>
      </c>
      <c r="H323" s="343">
        <v>0.49399999999999999</v>
      </c>
      <c r="I323" s="76"/>
      <c r="J323" s="348"/>
    </row>
    <row r="324" spans="1:10">
      <c r="A324" s="344" t="s">
        <v>335</v>
      </c>
      <c r="B324" s="345" t="s">
        <v>437</v>
      </c>
      <c r="C324" s="76" t="s">
        <v>150</v>
      </c>
      <c r="D324" s="343">
        <v>0.46800000000000003</v>
      </c>
      <c r="E324" s="76" t="s">
        <v>130</v>
      </c>
      <c r="F324" s="343">
        <v>0.36799999999999999</v>
      </c>
      <c r="G324" s="76" t="s">
        <v>91</v>
      </c>
      <c r="H324" s="343">
        <v>0.54400000000000004</v>
      </c>
      <c r="I324" s="76"/>
      <c r="J324" s="348"/>
    </row>
    <row r="325" spans="1:10">
      <c r="A325" s="344" t="s">
        <v>335</v>
      </c>
      <c r="B325" s="345" t="s">
        <v>438</v>
      </c>
      <c r="C325" s="76" t="s">
        <v>150</v>
      </c>
      <c r="D325" s="343">
        <v>0.46800000000000003</v>
      </c>
      <c r="E325" s="76" t="s">
        <v>132</v>
      </c>
      <c r="F325" s="343">
        <v>0.40400000000000003</v>
      </c>
      <c r="G325" s="76" t="s">
        <v>93</v>
      </c>
      <c r="H325" s="343">
        <v>0.59399999999999997</v>
      </c>
      <c r="I325" s="76"/>
      <c r="J325" s="348"/>
    </row>
    <row r="326" spans="1:10">
      <c r="A326" s="344" t="s">
        <v>335</v>
      </c>
      <c r="B326" s="345" t="s">
        <v>439</v>
      </c>
      <c r="C326" s="76" t="s">
        <v>158</v>
      </c>
      <c r="D326" s="343">
        <v>0.49199999999999999</v>
      </c>
      <c r="E326" s="76" t="s">
        <v>120</v>
      </c>
      <c r="F326" s="343">
        <v>0.156</v>
      </c>
      <c r="G326" s="76" t="s">
        <v>96</v>
      </c>
      <c r="H326" s="343">
        <v>0.25700000000000001</v>
      </c>
      <c r="I326" s="76"/>
      <c r="J326" s="348"/>
    </row>
    <row r="327" spans="1:10">
      <c r="A327" s="344" t="s">
        <v>335</v>
      </c>
      <c r="B327" s="345" t="s">
        <v>440</v>
      </c>
      <c r="C327" s="76" t="s">
        <v>158</v>
      </c>
      <c r="D327" s="343">
        <v>0.49199999999999999</v>
      </c>
      <c r="E327" s="76" t="s">
        <v>122</v>
      </c>
      <c r="F327" s="343">
        <v>0.192</v>
      </c>
      <c r="G327" s="76" t="s">
        <v>98</v>
      </c>
      <c r="H327" s="343">
        <v>0.31</v>
      </c>
      <c r="I327" s="76"/>
      <c r="J327" s="348"/>
    </row>
    <row r="328" spans="1:10">
      <c r="A328" s="344" t="s">
        <v>335</v>
      </c>
      <c r="B328" s="345" t="s">
        <v>441</v>
      </c>
      <c r="C328" s="76" t="s">
        <v>158</v>
      </c>
      <c r="D328" s="343">
        <v>0.49199999999999999</v>
      </c>
      <c r="E328" s="76" t="s">
        <v>124</v>
      </c>
      <c r="F328" s="343">
        <v>0.22700000000000001</v>
      </c>
      <c r="G328" s="76" t="s">
        <v>100</v>
      </c>
      <c r="H328" s="343">
        <v>0.36199999999999999</v>
      </c>
      <c r="I328" s="76"/>
      <c r="J328" s="348"/>
    </row>
    <row r="329" spans="1:10">
      <c r="A329" s="344" t="s">
        <v>335</v>
      </c>
      <c r="B329" s="345" t="s">
        <v>442</v>
      </c>
      <c r="C329" s="76" t="s">
        <v>158</v>
      </c>
      <c r="D329" s="343">
        <v>0.49199999999999999</v>
      </c>
      <c r="E329" s="76" t="s">
        <v>126</v>
      </c>
      <c r="F329" s="343">
        <v>0.26200000000000001</v>
      </c>
      <c r="G329" s="76" t="s">
        <v>102</v>
      </c>
      <c r="H329" s="343">
        <v>0.41499999999999998</v>
      </c>
      <c r="I329" s="76"/>
      <c r="J329" s="348"/>
    </row>
    <row r="330" spans="1:10">
      <c r="A330" s="344" t="s">
        <v>335</v>
      </c>
      <c r="B330" s="345" t="s">
        <v>443</v>
      </c>
      <c r="C330" s="76" t="s">
        <v>158</v>
      </c>
      <c r="D330" s="343">
        <v>0.49199999999999999</v>
      </c>
      <c r="E330" s="76" t="s">
        <v>128</v>
      </c>
      <c r="F330" s="343">
        <v>0.33300000000000002</v>
      </c>
      <c r="G330" s="76" t="s">
        <v>104</v>
      </c>
      <c r="H330" s="343">
        <v>0.51900000000000002</v>
      </c>
      <c r="I330" s="76"/>
      <c r="J330" s="348"/>
    </row>
    <row r="331" spans="1:10">
      <c r="A331" s="344" t="s">
        <v>335</v>
      </c>
      <c r="B331" s="345" t="s">
        <v>444</v>
      </c>
      <c r="C331" s="76" t="s">
        <v>158</v>
      </c>
      <c r="D331" s="343">
        <v>0.49199999999999999</v>
      </c>
      <c r="E331" s="76" t="s">
        <v>130</v>
      </c>
      <c r="F331" s="343">
        <v>0.36799999999999999</v>
      </c>
      <c r="G331" s="76" t="s">
        <v>106</v>
      </c>
      <c r="H331" s="343">
        <v>0.57199999999999995</v>
      </c>
      <c r="I331" s="76"/>
      <c r="J331" s="348"/>
    </row>
    <row r="332" spans="1:10">
      <c r="A332" s="344" t="s">
        <v>335</v>
      </c>
      <c r="B332" s="345" t="s">
        <v>445</v>
      </c>
      <c r="C332" s="76" t="s">
        <v>158</v>
      </c>
      <c r="D332" s="343">
        <v>0.49199999999999999</v>
      </c>
      <c r="E332" s="76" t="s">
        <v>132</v>
      </c>
      <c r="F332" s="343">
        <v>0.40400000000000003</v>
      </c>
      <c r="G332" s="76" t="s">
        <v>108</v>
      </c>
      <c r="H332" s="343">
        <v>0.624</v>
      </c>
      <c r="I332" s="76"/>
      <c r="J332" s="348"/>
    </row>
    <row r="333" spans="1:10">
      <c r="A333" s="344" t="s">
        <v>335</v>
      </c>
      <c r="B333" s="345" t="s">
        <v>446</v>
      </c>
      <c r="C333" s="76" t="s">
        <v>166</v>
      </c>
      <c r="D333" s="343">
        <v>0.115</v>
      </c>
      <c r="E333" s="76" t="s">
        <v>167</v>
      </c>
      <c r="F333" s="343">
        <v>8.5000000000000006E-2</v>
      </c>
      <c r="G333" s="76" t="s">
        <v>112</v>
      </c>
      <c r="H333" s="343">
        <v>3.5999999999999997E-2</v>
      </c>
      <c r="I333" s="76"/>
      <c r="J333" s="348"/>
    </row>
    <row r="334" spans="1:10">
      <c r="A334" s="344" t="s">
        <v>335</v>
      </c>
      <c r="B334" s="345" t="s">
        <v>447</v>
      </c>
      <c r="C334" s="76" t="s">
        <v>169</v>
      </c>
      <c r="D334" s="343">
        <v>7.3999999999999996E-2</v>
      </c>
      <c r="E334" s="76" t="s">
        <v>170</v>
      </c>
      <c r="F334" s="343">
        <v>5.6000000000000001E-2</v>
      </c>
      <c r="G334" s="76" t="s">
        <v>116</v>
      </c>
      <c r="H334" s="343">
        <v>1.6E-2</v>
      </c>
      <c r="I334" s="76"/>
      <c r="J334" s="348"/>
    </row>
    <row r="335" spans="1:10">
      <c r="A335" s="344" t="s">
        <v>373</v>
      </c>
      <c r="B335" s="345" t="s">
        <v>448</v>
      </c>
      <c r="C335" s="76" t="s">
        <v>119</v>
      </c>
      <c r="D335" s="343">
        <v>0.42099999999999999</v>
      </c>
      <c r="E335" s="76" t="s">
        <v>120</v>
      </c>
      <c r="F335" s="343">
        <v>0.156</v>
      </c>
      <c r="G335" s="76" t="s">
        <v>12</v>
      </c>
      <c r="H335" s="343">
        <v>0.22</v>
      </c>
      <c r="I335" s="76"/>
      <c r="J335" s="348"/>
    </row>
    <row r="336" spans="1:10">
      <c r="A336" s="344" t="s">
        <v>373</v>
      </c>
      <c r="B336" s="345" t="s">
        <v>449</v>
      </c>
      <c r="C336" s="76" t="s">
        <v>119</v>
      </c>
      <c r="D336" s="343">
        <v>0.42099999999999999</v>
      </c>
      <c r="E336" s="76" t="s">
        <v>122</v>
      </c>
      <c r="F336" s="343">
        <v>0.192</v>
      </c>
      <c r="G336" s="76" t="s">
        <v>16</v>
      </c>
      <c r="H336" s="343">
        <v>0.26500000000000001</v>
      </c>
      <c r="I336" s="76"/>
      <c r="J336" s="348"/>
    </row>
    <row r="337" spans="1:10">
      <c r="A337" s="344" t="s">
        <v>373</v>
      </c>
      <c r="B337" s="345" t="s">
        <v>450</v>
      </c>
      <c r="C337" s="76" t="s">
        <v>119</v>
      </c>
      <c r="D337" s="343">
        <v>0.42099999999999999</v>
      </c>
      <c r="E337" s="76" t="s">
        <v>124</v>
      </c>
      <c r="F337" s="343">
        <v>0.22700000000000001</v>
      </c>
      <c r="G337" s="76" t="s">
        <v>22</v>
      </c>
      <c r="H337" s="343">
        <v>0.31</v>
      </c>
      <c r="I337" s="76"/>
      <c r="J337" s="348"/>
    </row>
    <row r="338" spans="1:10">
      <c r="A338" s="344" t="s">
        <v>373</v>
      </c>
      <c r="B338" s="345" t="s">
        <v>451</v>
      </c>
      <c r="C338" s="76" t="s">
        <v>119</v>
      </c>
      <c r="D338" s="343">
        <v>0.42099999999999999</v>
      </c>
      <c r="E338" s="76" t="s">
        <v>126</v>
      </c>
      <c r="F338" s="343">
        <v>0.26200000000000001</v>
      </c>
      <c r="G338" s="76" t="s">
        <v>26</v>
      </c>
      <c r="H338" s="343">
        <v>0.35499999999999998</v>
      </c>
      <c r="I338" s="76"/>
      <c r="J338" s="348"/>
    </row>
    <row r="339" spans="1:10">
      <c r="A339" s="344" t="s">
        <v>373</v>
      </c>
      <c r="B339" s="345" t="s">
        <v>452</v>
      </c>
      <c r="C339" s="76" t="s">
        <v>119</v>
      </c>
      <c r="D339" s="343">
        <v>0.42099999999999999</v>
      </c>
      <c r="E339" s="76" t="s">
        <v>128</v>
      </c>
      <c r="F339" s="343">
        <v>0.33300000000000002</v>
      </c>
      <c r="G339" s="76" t="s">
        <v>31</v>
      </c>
      <c r="H339" s="343">
        <v>0.44500000000000001</v>
      </c>
      <c r="I339" s="76"/>
      <c r="J339" s="348"/>
    </row>
    <row r="340" spans="1:10">
      <c r="A340" s="344" t="s">
        <v>373</v>
      </c>
      <c r="B340" s="345" t="s">
        <v>453</v>
      </c>
      <c r="C340" s="76" t="s">
        <v>119</v>
      </c>
      <c r="D340" s="343">
        <v>0.42099999999999999</v>
      </c>
      <c r="E340" s="76" t="s">
        <v>130</v>
      </c>
      <c r="F340" s="343">
        <v>0.36799999999999999</v>
      </c>
      <c r="G340" s="76" t="s">
        <v>35</v>
      </c>
      <c r="H340" s="343">
        <v>0.48899999999999999</v>
      </c>
      <c r="I340" s="76"/>
      <c r="J340" s="348"/>
    </row>
    <row r="341" spans="1:10">
      <c r="A341" s="344" t="s">
        <v>373</v>
      </c>
      <c r="B341" s="345" t="s">
        <v>454</v>
      </c>
      <c r="C341" s="76" t="s">
        <v>119</v>
      </c>
      <c r="D341" s="343">
        <v>0.42099999999999999</v>
      </c>
      <c r="E341" s="76" t="s">
        <v>132</v>
      </c>
      <c r="F341" s="343">
        <v>0.40400000000000003</v>
      </c>
      <c r="G341" s="76" t="s">
        <v>40</v>
      </c>
      <c r="H341" s="343">
        <v>0.53400000000000003</v>
      </c>
      <c r="I341" s="76"/>
      <c r="J341" s="348"/>
    </row>
    <row r="342" spans="1:10">
      <c r="A342" s="344" t="s">
        <v>373</v>
      </c>
      <c r="B342" s="345" t="s">
        <v>455</v>
      </c>
      <c r="C342" s="76" t="s">
        <v>134</v>
      </c>
      <c r="D342" s="343">
        <v>0.439</v>
      </c>
      <c r="E342" s="76" t="s">
        <v>120</v>
      </c>
      <c r="F342" s="343">
        <v>0.156</v>
      </c>
      <c r="G342" s="76" t="s">
        <v>45</v>
      </c>
      <c r="H342" s="343">
        <v>0.23</v>
      </c>
      <c r="I342" s="76"/>
      <c r="J342" s="348"/>
    </row>
    <row r="343" spans="1:10">
      <c r="A343" s="344" t="s">
        <v>373</v>
      </c>
      <c r="B343" s="345" t="s">
        <v>456</v>
      </c>
      <c r="C343" s="76" t="s">
        <v>134</v>
      </c>
      <c r="D343" s="343">
        <v>0.439</v>
      </c>
      <c r="E343" s="76" t="s">
        <v>122</v>
      </c>
      <c r="F343" s="343">
        <v>0.192</v>
      </c>
      <c r="G343" s="76" t="s">
        <v>49</v>
      </c>
      <c r="H343" s="343">
        <v>0.27600000000000002</v>
      </c>
      <c r="I343" s="76"/>
      <c r="J343" s="348"/>
    </row>
    <row r="344" spans="1:10">
      <c r="A344" s="344" t="s">
        <v>373</v>
      </c>
      <c r="B344" s="345" t="s">
        <v>457</v>
      </c>
      <c r="C344" s="76" t="s">
        <v>134</v>
      </c>
      <c r="D344" s="343">
        <v>0.439</v>
      </c>
      <c r="E344" s="76" t="s">
        <v>124</v>
      </c>
      <c r="F344" s="343">
        <v>0.22700000000000001</v>
      </c>
      <c r="G344" s="76" t="s">
        <v>52</v>
      </c>
      <c r="H344" s="343">
        <v>0.32300000000000001</v>
      </c>
      <c r="I344" s="76"/>
      <c r="J344" s="348"/>
    </row>
    <row r="345" spans="1:10">
      <c r="A345" s="344" t="s">
        <v>373</v>
      </c>
      <c r="B345" s="345" t="s">
        <v>458</v>
      </c>
      <c r="C345" s="76" t="s">
        <v>134</v>
      </c>
      <c r="D345" s="343">
        <v>0.439</v>
      </c>
      <c r="E345" s="76" t="s">
        <v>126</v>
      </c>
      <c r="F345" s="343">
        <v>0.26200000000000001</v>
      </c>
      <c r="G345" s="76" t="s">
        <v>56</v>
      </c>
      <c r="H345" s="343">
        <v>0.37</v>
      </c>
      <c r="I345" s="76"/>
      <c r="J345" s="348"/>
    </row>
    <row r="346" spans="1:10">
      <c r="A346" s="344" t="s">
        <v>373</v>
      </c>
      <c r="B346" s="345" t="s">
        <v>459</v>
      </c>
      <c r="C346" s="76" t="s">
        <v>134</v>
      </c>
      <c r="D346" s="343">
        <v>0.439</v>
      </c>
      <c r="E346" s="76" t="s">
        <v>128</v>
      </c>
      <c r="F346" s="343">
        <v>0.33300000000000002</v>
      </c>
      <c r="G346" s="76" t="s">
        <v>59</v>
      </c>
      <c r="H346" s="343">
        <v>0.46300000000000002</v>
      </c>
      <c r="I346" s="76"/>
      <c r="J346" s="348"/>
    </row>
    <row r="347" spans="1:10">
      <c r="A347" s="344" t="s">
        <v>373</v>
      </c>
      <c r="B347" s="345" t="s">
        <v>460</v>
      </c>
      <c r="C347" s="76" t="s">
        <v>134</v>
      </c>
      <c r="D347" s="343">
        <v>0.439</v>
      </c>
      <c r="E347" s="76" t="s">
        <v>130</v>
      </c>
      <c r="F347" s="343">
        <v>0.36799999999999999</v>
      </c>
      <c r="G347" s="76" t="s">
        <v>61</v>
      </c>
      <c r="H347" s="343">
        <v>0.51</v>
      </c>
      <c r="I347" s="76"/>
      <c r="J347" s="348"/>
    </row>
    <row r="348" spans="1:10">
      <c r="A348" s="344" t="s">
        <v>373</v>
      </c>
      <c r="B348" s="345" t="s">
        <v>461</v>
      </c>
      <c r="C348" s="76" t="s">
        <v>134</v>
      </c>
      <c r="D348" s="343">
        <v>0.439</v>
      </c>
      <c r="E348" s="76" t="s">
        <v>132</v>
      </c>
      <c r="F348" s="343">
        <v>0.40400000000000003</v>
      </c>
      <c r="G348" s="76" t="s">
        <v>63</v>
      </c>
      <c r="H348" s="343">
        <v>0.55700000000000005</v>
      </c>
      <c r="I348" s="76"/>
      <c r="J348" s="348"/>
    </row>
    <row r="349" spans="1:10">
      <c r="A349" s="344" t="s">
        <v>373</v>
      </c>
      <c r="B349" s="345" t="s">
        <v>462</v>
      </c>
      <c r="C349" s="76" t="s">
        <v>142</v>
      </c>
      <c r="D349" s="343">
        <v>0.45700000000000002</v>
      </c>
      <c r="E349" s="76" t="s">
        <v>120</v>
      </c>
      <c r="F349" s="343">
        <v>0.156</v>
      </c>
      <c r="G349" s="76" t="s">
        <v>66</v>
      </c>
      <c r="H349" s="343">
        <v>0.23899999999999999</v>
      </c>
      <c r="I349" s="76"/>
      <c r="J349" s="348"/>
    </row>
    <row r="350" spans="1:10">
      <c r="A350" s="344" t="s">
        <v>373</v>
      </c>
      <c r="B350" s="345" t="s">
        <v>463</v>
      </c>
      <c r="C350" s="76" t="s">
        <v>142</v>
      </c>
      <c r="D350" s="343">
        <v>0.45700000000000002</v>
      </c>
      <c r="E350" s="76" t="s">
        <v>122</v>
      </c>
      <c r="F350" s="343">
        <v>0.192</v>
      </c>
      <c r="G350" s="76" t="s">
        <v>68</v>
      </c>
      <c r="H350" s="343">
        <v>0.28799999999999998</v>
      </c>
      <c r="I350" s="76"/>
      <c r="J350" s="348"/>
    </row>
    <row r="351" spans="1:10">
      <c r="A351" s="344" t="s">
        <v>373</v>
      </c>
      <c r="B351" s="345" t="s">
        <v>464</v>
      </c>
      <c r="C351" s="76" t="s">
        <v>142</v>
      </c>
      <c r="D351" s="343">
        <v>0.45700000000000002</v>
      </c>
      <c r="E351" s="76" t="s">
        <v>124</v>
      </c>
      <c r="F351" s="343">
        <v>0.22700000000000001</v>
      </c>
      <c r="G351" s="76" t="s">
        <v>70</v>
      </c>
      <c r="H351" s="343">
        <v>0.33600000000000002</v>
      </c>
      <c r="I351" s="76"/>
      <c r="J351" s="348"/>
    </row>
    <row r="352" spans="1:10">
      <c r="A352" s="344" t="s">
        <v>373</v>
      </c>
      <c r="B352" s="345" t="s">
        <v>465</v>
      </c>
      <c r="C352" s="76" t="s">
        <v>142</v>
      </c>
      <c r="D352" s="343">
        <v>0.45700000000000002</v>
      </c>
      <c r="E352" s="76" t="s">
        <v>126</v>
      </c>
      <c r="F352" s="343">
        <v>0.26200000000000001</v>
      </c>
      <c r="G352" s="76" t="s">
        <v>72</v>
      </c>
      <c r="H352" s="343">
        <v>0.38500000000000001</v>
      </c>
      <c r="I352" s="76"/>
      <c r="J352" s="348"/>
    </row>
    <row r="353" spans="1:10">
      <c r="A353" s="344" t="s">
        <v>373</v>
      </c>
      <c r="B353" s="345" t="s">
        <v>466</v>
      </c>
      <c r="C353" s="76" t="s">
        <v>142</v>
      </c>
      <c r="D353" s="343">
        <v>0.45700000000000002</v>
      </c>
      <c r="E353" s="76" t="s">
        <v>128</v>
      </c>
      <c r="F353" s="343">
        <v>0.33300000000000002</v>
      </c>
      <c r="G353" s="76" t="s">
        <v>74</v>
      </c>
      <c r="H353" s="343">
        <v>0.48199999999999998</v>
      </c>
      <c r="I353" s="76"/>
      <c r="J353" s="348"/>
    </row>
    <row r="354" spans="1:10">
      <c r="A354" s="344" t="s">
        <v>373</v>
      </c>
      <c r="B354" s="345" t="s">
        <v>467</v>
      </c>
      <c r="C354" s="76" t="s">
        <v>142</v>
      </c>
      <c r="D354" s="343">
        <v>0.45700000000000002</v>
      </c>
      <c r="E354" s="76" t="s">
        <v>130</v>
      </c>
      <c r="F354" s="343">
        <v>0.36799999999999999</v>
      </c>
      <c r="G354" s="76" t="s">
        <v>76</v>
      </c>
      <c r="H354" s="343">
        <v>0.53100000000000003</v>
      </c>
      <c r="I354" s="76"/>
      <c r="J354" s="348"/>
    </row>
    <row r="355" spans="1:10">
      <c r="A355" s="344" t="s">
        <v>373</v>
      </c>
      <c r="B355" s="345" t="s">
        <v>468</v>
      </c>
      <c r="C355" s="76" t="s">
        <v>142</v>
      </c>
      <c r="D355" s="343">
        <v>0.45700000000000002</v>
      </c>
      <c r="E355" s="76" t="s">
        <v>132</v>
      </c>
      <c r="F355" s="343">
        <v>0.40400000000000003</v>
      </c>
      <c r="G355" s="76" t="s">
        <v>78</v>
      </c>
      <c r="H355" s="343">
        <v>0.57899999999999996</v>
      </c>
      <c r="I355" s="76"/>
      <c r="J355" s="348"/>
    </row>
    <row r="356" spans="1:10">
      <c r="A356" s="344" t="s">
        <v>373</v>
      </c>
      <c r="B356" s="345" t="s">
        <v>469</v>
      </c>
      <c r="C356" s="76" t="s">
        <v>150</v>
      </c>
      <c r="D356" s="343">
        <v>0.46800000000000003</v>
      </c>
      <c r="E356" s="76" t="s">
        <v>120</v>
      </c>
      <c r="F356" s="343">
        <v>0.156</v>
      </c>
      <c r="G356" s="76" t="s">
        <v>81</v>
      </c>
      <c r="H356" s="343">
        <v>0.245</v>
      </c>
      <c r="I356" s="76"/>
      <c r="J356" s="348"/>
    </row>
    <row r="357" spans="1:10">
      <c r="A357" s="344" t="s">
        <v>373</v>
      </c>
      <c r="B357" s="345" t="s">
        <v>470</v>
      </c>
      <c r="C357" s="76" t="s">
        <v>150</v>
      </c>
      <c r="D357" s="343">
        <v>0.46800000000000003</v>
      </c>
      <c r="E357" s="76" t="s">
        <v>122</v>
      </c>
      <c r="F357" s="343">
        <v>0.192</v>
      </c>
      <c r="G357" s="76" t="s">
        <v>83</v>
      </c>
      <c r="H357" s="343">
        <v>0.29499999999999998</v>
      </c>
      <c r="I357" s="76"/>
      <c r="J357" s="348"/>
    </row>
    <row r="358" spans="1:10">
      <c r="A358" s="344" t="s">
        <v>373</v>
      </c>
      <c r="B358" s="345" t="s">
        <v>471</v>
      </c>
      <c r="C358" s="76" t="s">
        <v>150</v>
      </c>
      <c r="D358" s="343">
        <v>0.46800000000000003</v>
      </c>
      <c r="E358" s="76" t="s">
        <v>124</v>
      </c>
      <c r="F358" s="343">
        <v>0.22700000000000001</v>
      </c>
      <c r="G358" s="76" t="s">
        <v>85</v>
      </c>
      <c r="H358" s="343">
        <v>0.34499999999999997</v>
      </c>
      <c r="I358" s="76"/>
      <c r="J358" s="348"/>
    </row>
    <row r="359" spans="1:10">
      <c r="A359" s="344" t="s">
        <v>373</v>
      </c>
      <c r="B359" s="345" t="s">
        <v>472</v>
      </c>
      <c r="C359" s="76" t="s">
        <v>150</v>
      </c>
      <c r="D359" s="343">
        <v>0.46800000000000003</v>
      </c>
      <c r="E359" s="76" t="s">
        <v>126</v>
      </c>
      <c r="F359" s="343">
        <v>0.26200000000000001</v>
      </c>
      <c r="G359" s="76" t="s">
        <v>87</v>
      </c>
      <c r="H359" s="343">
        <v>0.39500000000000002</v>
      </c>
      <c r="I359" s="76"/>
      <c r="J359" s="348"/>
    </row>
    <row r="360" spans="1:10">
      <c r="A360" s="344" t="s">
        <v>373</v>
      </c>
      <c r="B360" s="345" t="s">
        <v>473</v>
      </c>
      <c r="C360" s="76" t="s">
        <v>150</v>
      </c>
      <c r="D360" s="343">
        <v>0.46800000000000003</v>
      </c>
      <c r="E360" s="76" t="s">
        <v>128</v>
      </c>
      <c r="F360" s="343">
        <v>0.33300000000000002</v>
      </c>
      <c r="G360" s="76" t="s">
        <v>89</v>
      </c>
      <c r="H360" s="343">
        <v>0.49399999999999999</v>
      </c>
      <c r="I360" s="76"/>
      <c r="J360" s="348"/>
    </row>
    <row r="361" spans="1:10">
      <c r="A361" s="344" t="s">
        <v>373</v>
      </c>
      <c r="B361" s="345" t="s">
        <v>474</v>
      </c>
      <c r="C361" s="76" t="s">
        <v>150</v>
      </c>
      <c r="D361" s="343">
        <v>0.46800000000000003</v>
      </c>
      <c r="E361" s="76" t="s">
        <v>130</v>
      </c>
      <c r="F361" s="343">
        <v>0.36799999999999999</v>
      </c>
      <c r="G361" s="76" t="s">
        <v>91</v>
      </c>
      <c r="H361" s="343">
        <v>0.54400000000000004</v>
      </c>
      <c r="I361" s="76"/>
      <c r="J361" s="348"/>
    </row>
    <row r="362" spans="1:10">
      <c r="A362" s="344" t="s">
        <v>373</v>
      </c>
      <c r="B362" s="345" t="s">
        <v>475</v>
      </c>
      <c r="C362" s="76" t="s">
        <v>150</v>
      </c>
      <c r="D362" s="343">
        <v>0.46800000000000003</v>
      </c>
      <c r="E362" s="76" t="s">
        <v>132</v>
      </c>
      <c r="F362" s="343">
        <v>0.40400000000000003</v>
      </c>
      <c r="G362" s="76" t="s">
        <v>93</v>
      </c>
      <c r="H362" s="343">
        <v>0.59399999999999997</v>
      </c>
      <c r="I362" s="76"/>
      <c r="J362" s="348"/>
    </row>
    <row r="363" spans="1:10">
      <c r="A363" s="344" t="s">
        <v>373</v>
      </c>
      <c r="B363" s="345" t="s">
        <v>476</v>
      </c>
      <c r="C363" s="76" t="s">
        <v>158</v>
      </c>
      <c r="D363" s="343">
        <v>0.49199999999999999</v>
      </c>
      <c r="E363" s="76" t="s">
        <v>120</v>
      </c>
      <c r="F363" s="343">
        <v>0.156</v>
      </c>
      <c r="G363" s="76" t="s">
        <v>96</v>
      </c>
      <c r="H363" s="343">
        <v>0.25700000000000001</v>
      </c>
      <c r="I363" s="76"/>
      <c r="J363" s="348"/>
    </row>
    <row r="364" spans="1:10">
      <c r="A364" s="344" t="s">
        <v>373</v>
      </c>
      <c r="B364" s="345" t="s">
        <v>477</v>
      </c>
      <c r="C364" s="76" t="s">
        <v>158</v>
      </c>
      <c r="D364" s="343">
        <v>0.49199999999999999</v>
      </c>
      <c r="E364" s="76" t="s">
        <v>122</v>
      </c>
      <c r="F364" s="343">
        <v>0.192</v>
      </c>
      <c r="G364" s="76" t="s">
        <v>98</v>
      </c>
      <c r="H364" s="343">
        <v>0.31</v>
      </c>
      <c r="I364" s="76"/>
      <c r="J364" s="348"/>
    </row>
    <row r="365" spans="1:10">
      <c r="A365" s="344" t="s">
        <v>373</v>
      </c>
      <c r="B365" s="345" t="s">
        <v>478</v>
      </c>
      <c r="C365" s="76" t="s">
        <v>158</v>
      </c>
      <c r="D365" s="343">
        <v>0.49199999999999999</v>
      </c>
      <c r="E365" s="76" t="s">
        <v>124</v>
      </c>
      <c r="F365" s="343">
        <v>0.22700000000000001</v>
      </c>
      <c r="G365" s="76" t="s">
        <v>100</v>
      </c>
      <c r="H365" s="343">
        <v>0.36199999999999999</v>
      </c>
      <c r="I365" s="76"/>
      <c r="J365" s="348"/>
    </row>
    <row r="366" spans="1:10">
      <c r="A366" s="344" t="s">
        <v>373</v>
      </c>
      <c r="B366" s="345" t="s">
        <v>479</v>
      </c>
      <c r="C366" s="76" t="s">
        <v>158</v>
      </c>
      <c r="D366" s="343">
        <v>0.49199999999999999</v>
      </c>
      <c r="E366" s="76" t="s">
        <v>126</v>
      </c>
      <c r="F366" s="343">
        <v>0.26200000000000001</v>
      </c>
      <c r="G366" s="76" t="s">
        <v>102</v>
      </c>
      <c r="H366" s="343">
        <v>0.41499999999999998</v>
      </c>
      <c r="I366" s="76"/>
      <c r="J366" s="348"/>
    </row>
    <row r="367" spans="1:10">
      <c r="A367" s="344" t="s">
        <v>373</v>
      </c>
      <c r="B367" s="345" t="s">
        <v>480</v>
      </c>
      <c r="C367" s="76" t="s">
        <v>158</v>
      </c>
      <c r="D367" s="343">
        <v>0.49199999999999999</v>
      </c>
      <c r="E367" s="76" t="s">
        <v>128</v>
      </c>
      <c r="F367" s="343">
        <v>0.33300000000000002</v>
      </c>
      <c r="G367" s="76" t="s">
        <v>104</v>
      </c>
      <c r="H367" s="343">
        <v>0.51900000000000002</v>
      </c>
      <c r="I367" s="76"/>
      <c r="J367" s="348"/>
    </row>
    <row r="368" spans="1:10">
      <c r="A368" s="344" t="s">
        <v>373</v>
      </c>
      <c r="B368" s="345" t="s">
        <v>481</v>
      </c>
      <c r="C368" s="76" t="s">
        <v>158</v>
      </c>
      <c r="D368" s="343">
        <v>0.49199999999999999</v>
      </c>
      <c r="E368" s="76" t="s">
        <v>130</v>
      </c>
      <c r="F368" s="343">
        <v>0.36799999999999999</v>
      </c>
      <c r="G368" s="76" t="s">
        <v>106</v>
      </c>
      <c r="H368" s="343">
        <v>0.57199999999999995</v>
      </c>
      <c r="I368" s="76"/>
      <c r="J368" s="348"/>
    </row>
    <row r="369" spans="1:10">
      <c r="A369" s="344" t="s">
        <v>373</v>
      </c>
      <c r="B369" s="345" t="s">
        <v>482</v>
      </c>
      <c r="C369" s="76" t="s">
        <v>158</v>
      </c>
      <c r="D369" s="343">
        <v>0.49199999999999999</v>
      </c>
      <c r="E369" s="76" t="s">
        <v>132</v>
      </c>
      <c r="F369" s="343">
        <v>0.40400000000000003</v>
      </c>
      <c r="G369" s="76" t="s">
        <v>108</v>
      </c>
      <c r="H369" s="343">
        <v>0.624</v>
      </c>
      <c r="I369" s="76"/>
      <c r="J369" s="348"/>
    </row>
    <row r="370" spans="1:10">
      <c r="A370" s="344" t="s">
        <v>373</v>
      </c>
      <c r="B370" s="345" t="s">
        <v>483</v>
      </c>
      <c r="C370" s="76" t="s">
        <v>166</v>
      </c>
      <c r="D370" s="343">
        <v>0.115</v>
      </c>
      <c r="E370" s="76" t="s">
        <v>167</v>
      </c>
      <c r="F370" s="343">
        <v>8.5000000000000006E-2</v>
      </c>
      <c r="G370" s="76" t="s">
        <v>112</v>
      </c>
      <c r="H370" s="343">
        <v>3.5999999999999997E-2</v>
      </c>
      <c r="I370" s="76"/>
      <c r="J370" s="348"/>
    </row>
    <row r="371" spans="1:10">
      <c r="A371" s="344" t="s">
        <v>373</v>
      </c>
      <c r="B371" s="345" t="s">
        <v>484</v>
      </c>
      <c r="C371" s="76" t="s">
        <v>169</v>
      </c>
      <c r="D371" s="343">
        <v>7.3999999999999996E-2</v>
      </c>
      <c r="E371" s="76" t="s">
        <v>170</v>
      </c>
      <c r="F371" s="343">
        <v>5.6000000000000001E-2</v>
      </c>
      <c r="G371" s="76" t="s">
        <v>116</v>
      </c>
      <c r="H371" s="343">
        <v>1.6E-2</v>
      </c>
      <c r="I371" s="76"/>
      <c r="J371" s="348"/>
    </row>
    <row r="372" spans="1:10">
      <c r="A372" s="344" t="s">
        <v>485</v>
      </c>
      <c r="B372" s="345" t="s">
        <v>486</v>
      </c>
      <c r="C372" s="76" t="s">
        <v>10</v>
      </c>
      <c r="D372" s="343">
        <v>0.33400000000000002</v>
      </c>
      <c r="E372" s="76" t="s">
        <v>11</v>
      </c>
      <c r="F372" s="343">
        <v>0.124</v>
      </c>
      <c r="G372" s="76" t="s">
        <v>487</v>
      </c>
      <c r="H372" s="343">
        <v>0.36699999999999999</v>
      </c>
      <c r="I372" s="76"/>
      <c r="J372" s="348"/>
    </row>
    <row r="373" spans="1:10">
      <c r="A373" s="344" t="s">
        <v>485</v>
      </c>
      <c r="B373" s="345" t="s">
        <v>488</v>
      </c>
      <c r="C373" s="76" t="s">
        <v>10</v>
      </c>
      <c r="D373" s="343">
        <v>0.33400000000000002</v>
      </c>
      <c r="E373" s="76" t="s">
        <v>15</v>
      </c>
      <c r="F373" s="343">
        <v>0.152</v>
      </c>
      <c r="G373" s="76" t="s">
        <v>489</v>
      </c>
      <c r="H373" s="343">
        <v>0.442</v>
      </c>
      <c r="I373" s="76"/>
      <c r="J373" s="348"/>
    </row>
    <row r="374" spans="1:10">
      <c r="A374" s="344" t="s">
        <v>485</v>
      </c>
      <c r="B374" s="345" t="s">
        <v>490</v>
      </c>
      <c r="C374" s="76" t="s">
        <v>10</v>
      </c>
      <c r="D374" s="343">
        <v>0.33400000000000002</v>
      </c>
      <c r="E374" s="76" t="s">
        <v>21</v>
      </c>
      <c r="F374" s="343">
        <v>0.18</v>
      </c>
      <c r="G374" s="76" t="s">
        <v>491</v>
      </c>
      <c r="H374" s="343">
        <v>0.51700000000000002</v>
      </c>
      <c r="I374" s="76"/>
      <c r="J374" s="348"/>
    </row>
    <row r="375" spans="1:10">
      <c r="A375" s="344" t="s">
        <v>485</v>
      </c>
      <c r="B375" s="345" t="s">
        <v>492</v>
      </c>
      <c r="C375" s="76" t="s">
        <v>10</v>
      </c>
      <c r="D375" s="343">
        <v>0.33400000000000002</v>
      </c>
      <c r="E375" s="76" t="s">
        <v>25</v>
      </c>
      <c r="F375" s="343">
        <v>0.20799999999999999</v>
      </c>
      <c r="G375" s="76" t="s">
        <v>493</v>
      </c>
      <c r="H375" s="343">
        <v>0.59199999999999997</v>
      </c>
      <c r="I375" s="76"/>
      <c r="J375" s="348"/>
    </row>
    <row r="376" spans="1:10">
      <c r="A376" s="344" t="s">
        <v>485</v>
      </c>
      <c r="B376" s="345" t="s">
        <v>494</v>
      </c>
      <c r="C376" s="76" t="s">
        <v>10</v>
      </c>
      <c r="D376" s="343">
        <v>0.33400000000000002</v>
      </c>
      <c r="E376" s="76" t="s">
        <v>30</v>
      </c>
      <c r="F376" s="343">
        <v>0.26400000000000001</v>
      </c>
      <c r="G376" s="76" t="s">
        <v>495</v>
      </c>
      <c r="H376" s="343">
        <v>0.74099999999999999</v>
      </c>
      <c r="I376" s="76"/>
      <c r="J376" s="348"/>
    </row>
    <row r="377" spans="1:10">
      <c r="A377" s="344" t="s">
        <v>485</v>
      </c>
      <c r="B377" s="345" t="s">
        <v>496</v>
      </c>
      <c r="C377" s="76" t="s">
        <v>10</v>
      </c>
      <c r="D377" s="343">
        <v>0.33400000000000002</v>
      </c>
      <c r="E377" s="76" t="s">
        <v>34</v>
      </c>
      <c r="F377" s="343">
        <v>0.29199999999999998</v>
      </c>
      <c r="G377" s="76" t="s">
        <v>497</v>
      </c>
      <c r="H377" s="343">
        <v>0.81599999999999995</v>
      </c>
      <c r="I377" s="76"/>
      <c r="J377" s="348"/>
    </row>
    <row r="378" spans="1:10">
      <c r="A378" s="344" t="s">
        <v>485</v>
      </c>
      <c r="B378" s="345" t="s">
        <v>498</v>
      </c>
      <c r="C378" s="76" t="s">
        <v>10</v>
      </c>
      <c r="D378" s="343">
        <v>0.33400000000000002</v>
      </c>
      <c r="E378" s="76" t="s">
        <v>39</v>
      </c>
      <c r="F378" s="343">
        <v>0.32</v>
      </c>
      <c r="G378" s="76" t="s">
        <v>499</v>
      </c>
      <c r="H378" s="343">
        <v>0.89100000000000001</v>
      </c>
      <c r="I378" s="76"/>
      <c r="J378" s="348"/>
    </row>
    <row r="379" spans="1:10">
      <c r="A379" s="344" t="s">
        <v>485</v>
      </c>
      <c r="B379" s="345" t="s">
        <v>500</v>
      </c>
      <c r="C379" s="76" t="s">
        <v>44</v>
      </c>
      <c r="D379" s="343">
        <v>0.34799999999999998</v>
      </c>
      <c r="E379" s="76" t="s">
        <v>11</v>
      </c>
      <c r="F379" s="343">
        <v>0.124</v>
      </c>
      <c r="G379" s="76" t="s">
        <v>501</v>
      </c>
      <c r="H379" s="343">
        <v>0.38300000000000001</v>
      </c>
      <c r="I379" s="76"/>
      <c r="J379" s="348"/>
    </row>
    <row r="380" spans="1:10">
      <c r="A380" s="344" t="s">
        <v>485</v>
      </c>
      <c r="B380" s="345" t="s">
        <v>502</v>
      </c>
      <c r="C380" s="76" t="s">
        <v>44</v>
      </c>
      <c r="D380" s="343">
        <v>0.34799999999999998</v>
      </c>
      <c r="E380" s="76" t="s">
        <v>15</v>
      </c>
      <c r="F380" s="343">
        <v>0.152</v>
      </c>
      <c r="G380" s="76" t="s">
        <v>503</v>
      </c>
      <c r="H380" s="343">
        <v>0.46100000000000002</v>
      </c>
      <c r="I380" s="76"/>
      <c r="J380" s="348"/>
    </row>
    <row r="381" spans="1:10">
      <c r="A381" s="344" t="s">
        <v>485</v>
      </c>
      <c r="B381" s="345" t="s">
        <v>504</v>
      </c>
      <c r="C381" s="76" t="s">
        <v>44</v>
      </c>
      <c r="D381" s="343">
        <v>0.34799999999999998</v>
      </c>
      <c r="E381" s="76" t="s">
        <v>21</v>
      </c>
      <c r="F381" s="343">
        <v>0.18</v>
      </c>
      <c r="G381" s="76" t="s">
        <v>505</v>
      </c>
      <c r="H381" s="343">
        <v>0.53900000000000003</v>
      </c>
      <c r="I381" s="76"/>
      <c r="J381" s="348"/>
    </row>
    <row r="382" spans="1:10">
      <c r="A382" s="344" t="s">
        <v>485</v>
      </c>
      <c r="B382" s="345" t="s">
        <v>506</v>
      </c>
      <c r="C382" s="76" t="s">
        <v>44</v>
      </c>
      <c r="D382" s="343">
        <v>0.34799999999999998</v>
      </c>
      <c r="E382" s="76" t="s">
        <v>25</v>
      </c>
      <c r="F382" s="343">
        <v>0.20799999999999999</v>
      </c>
      <c r="G382" s="76" t="s">
        <v>507</v>
      </c>
      <c r="H382" s="343">
        <v>0.61599999999999999</v>
      </c>
      <c r="I382" s="76"/>
      <c r="J382" s="348"/>
    </row>
    <row r="383" spans="1:10">
      <c r="A383" s="344" t="s">
        <v>485</v>
      </c>
      <c r="B383" s="345" t="s">
        <v>508</v>
      </c>
      <c r="C383" s="76" t="s">
        <v>44</v>
      </c>
      <c r="D383" s="343">
        <v>0.34799999999999998</v>
      </c>
      <c r="E383" s="76" t="s">
        <v>30</v>
      </c>
      <c r="F383" s="343">
        <v>0.26400000000000001</v>
      </c>
      <c r="G383" s="76" t="s">
        <v>509</v>
      </c>
      <c r="H383" s="343">
        <v>0.77200000000000002</v>
      </c>
      <c r="I383" s="76"/>
      <c r="J383" s="348"/>
    </row>
    <row r="384" spans="1:10">
      <c r="A384" s="344" t="s">
        <v>485</v>
      </c>
      <c r="B384" s="345" t="s">
        <v>510</v>
      </c>
      <c r="C384" s="76" t="s">
        <v>44</v>
      </c>
      <c r="D384" s="343">
        <v>0.34799999999999998</v>
      </c>
      <c r="E384" s="76" t="s">
        <v>34</v>
      </c>
      <c r="F384" s="343">
        <v>0.29199999999999998</v>
      </c>
      <c r="G384" s="76" t="s">
        <v>511</v>
      </c>
      <c r="H384" s="343">
        <v>0.85</v>
      </c>
      <c r="I384" s="76"/>
      <c r="J384" s="348"/>
    </row>
    <row r="385" spans="1:10">
      <c r="A385" s="344" t="s">
        <v>485</v>
      </c>
      <c r="B385" s="345" t="s">
        <v>512</v>
      </c>
      <c r="C385" s="76" t="s">
        <v>44</v>
      </c>
      <c r="D385" s="343">
        <v>0.34799999999999998</v>
      </c>
      <c r="E385" s="76" t="s">
        <v>39</v>
      </c>
      <c r="F385" s="343">
        <v>0.32</v>
      </c>
      <c r="G385" s="76" t="s">
        <v>513</v>
      </c>
      <c r="H385" s="343">
        <v>0.92800000000000005</v>
      </c>
      <c r="I385" s="76"/>
      <c r="J385" s="348"/>
    </row>
    <row r="386" spans="1:10">
      <c r="A386" s="344" t="s">
        <v>485</v>
      </c>
      <c r="B386" s="345" t="s">
        <v>514</v>
      </c>
      <c r="C386" s="76" t="s">
        <v>65</v>
      </c>
      <c r="D386" s="343">
        <v>0.36199999999999999</v>
      </c>
      <c r="E386" s="76" t="s">
        <v>11</v>
      </c>
      <c r="F386" s="343">
        <v>0.124</v>
      </c>
      <c r="G386" s="76" t="s">
        <v>515</v>
      </c>
      <c r="H386" s="343">
        <v>0.39800000000000002</v>
      </c>
      <c r="I386" s="76"/>
      <c r="J386" s="348"/>
    </row>
    <row r="387" spans="1:10">
      <c r="A387" s="344" t="s">
        <v>485</v>
      </c>
      <c r="B387" s="345" t="s">
        <v>516</v>
      </c>
      <c r="C387" s="76" t="s">
        <v>65</v>
      </c>
      <c r="D387" s="343">
        <v>0.36199999999999999</v>
      </c>
      <c r="E387" s="76" t="s">
        <v>15</v>
      </c>
      <c r="F387" s="343">
        <v>0.152</v>
      </c>
      <c r="G387" s="76" t="s">
        <v>517</v>
      </c>
      <c r="H387" s="343">
        <v>0.47899999999999998</v>
      </c>
      <c r="I387" s="76"/>
      <c r="J387" s="348"/>
    </row>
    <row r="388" spans="1:10">
      <c r="A388" s="344" t="s">
        <v>485</v>
      </c>
      <c r="B388" s="345" t="s">
        <v>518</v>
      </c>
      <c r="C388" s="76" t="s">
        <v>65</v>
      </c>
      <c r="D388" s="343">
        <v>0.36199999999999999</v>
      </c>
      <c r="E388" s="76" t="s">
        <v>21</v>
      </c>
      <c r="F388" s="343">
        <v>0.18</v>
      </c>
      <c r="G388" s="76" t="s">
        <v>519</v>
      </c>
      <c r="H388" s="343">
        <v>0.56000000000000005</v>
      </c>
      <c r="I388" s="76"/>
      <c r="J388" s="348"/>
    </row>
    <row r="389" spans="1:10">
      <c r="A389" s="344" t="s">
        <v>485</v>
      </c>
      <c r="B389" s="345" t="s">
        <v>520</v>
      </c>
      <c r="C389" s="76" t="s">
        <v>65</v>
      </c>
      <c r="D389" s="343">
        <v>0.36199999999999999</v>
      </c>
      <c r="E389" s="76" t="s">
        <v>25</v>
      </c>
      <c r="F389" s="343">
        <v>0.20799999999999999</v>
      </c>
      <c r="G389" s="76" t="s">
        <v>521</v>
      </c>
      <c r="H389" s="343">
        <v>0.64100000000000001</v>
      </c>
      <c r="I389" s="76"/>
      <c r="J389" s="348"/>
    </row>
    <row r="390" spans="1:10">
      <c r="A390" s="344" t="s">
        <v>485</v>
      </c>
      <c r="B390" s="345" t="s">
        <v>522</v>
      </c>
      <c r="C390" s="76" t="s">
        <v>65</v>
      </c>
      <c r="D390" s="343">
        <v>0.36199999999999999</v>
      </c>
      <c r="E390" s="76" t="s">
        <v>30</v>
      </c>
      <c r="F390" s="343">
        <v>0.26400000000000001</v>
      </c>
      <c r="G390" s="76" t="s">
        <v>523</v>
      </c>
      <c r="H390" s="343">
        <v>0.80300000000000005</v>
      </c>
      <c r="I390" s="76"/>
      <c r="J390" s="348"/>
    </row>
    <row r="391" spans="1:10">
      <c r="A391" s="344" t="s">
        <v>485</v>
      </c>
      <c r="B391" s="345" t="s">
        <v>524</v>
      </c>
      <c r="C391" s="76" t="s">
        <v>65</v>
      </c>
      <c r="D391" s="343">
        <v>0.36199999999999999</v>
      </c>
      <c r="E391" s="76" t="s">
        <v>34</v>
      </c>
      <c r="F391" s="343">
        <v>0.29199999999999998</v>
      </c>
      <c r="G391" s="76" t="s">
        <v>525</v>
      </c>
      <c r="H391" s="343">
        <v>0.88400000000000001</v>
      </c>
      <c r="I391" s="76"/>
      <c r="J391" s="348"/>
    </row>
    <row r="392" spans="1:10">
      <c r="A392" s="344" t="s">
        <v>485</v>
      </c>
      <c r="B392" s="345" t="s">
        <v>526</v>
      </c>
      <c r="C392" s="76" t="s">
        <v>65</v>
      </c>
      <c r="D392" s="343">
        <v>0.36199999999999999</v>
      </c>
      <c r="E392" s="76" t="s">
        <v>39</v>
      </c>
      <c r="F392" s="343">
        <v>0.32</v>
      </c>
      <c r="G392" s="76" t="s">
        <v>527</v>
      </c>
      <c r="H392" s="343">
        <v>0.96499999999999997</v>
      </c>
      <c r="I392" s="76"/>
      <c r="J392" s="348"/>
    </row>
    <row r="393" spans="1:10">
      <c r="A393" s="344" t="s">
        <v>485</v>
      </c>
      <c r="B393" s="345" t="s">
        <v>528</v>
      </c>
      <c r="C393" s="76" t="s">
        <v>80</v>
      </c>
      <c r="D393" s="343">
        <v>0.372</v>
      </c>
      <c r="E393" s="76" t="s">
        <v>11</v>
      </c>
      <c r="F393" s="343">
        <v>0.124</v>
      </c>
      <c r="G393" s="76" t="s">
        <v>529</v>
      </c>
      <c r="H393" s="343">
        <v>0.40899999999999997</v>
      </c>
      <c r="I393" s="76"/>
      <c r="J393" s="348"/>
    </row>
    <row r="394" spans="1:10">
      <c r="A394" s="344" t="s">
        <v>485</v>
      </c>
      <c r="B394" s="345" t="s">
        <v>530</v>
      </c>
      <c r="C394" s="76" t="s">
        <v>80</v>
      </c>
      <c r="D394" s="343">
        <v>0.372</v>
      </c>
      <c r="E394" s="76" t="s">
        <v>15</v>
      </c>
      <c r="F394" s="343">
        <v>0.152</v>
      </c>
      <c r="G394" s="76" t="s">
        <v>531</v>
      </c>
      <c r="H394" s="343">
        <v>0.49199999999999999</v>
      </c>
      <c r="I394" s="76"/>
      <c r="J394" s="348"/>
    </row>
    <row r="395" spans="1:10">
      <c r="A395" s="344" t="s">
        <v>485</v>
      </c>
      <c r="B395" s="345" t="s">
        <v>532</v>
      </c>
      <c r="C395" s="76" t="s">
        <v>80</v>
      </c>
      <c r="D395" s="343">
        <v>0.372</v>
      </c>
      <c r="E395" s="76" t="s">
        <v>21</v>
      </c>
      <c r="F395" s="343">
        <v>0.18</v>
      </c>
      <c r="G395" s="76" t="s">
        <v>533</v>
      </c>
      <c r="H395" s="343">
        <v>0.57499999999999996</v>
      </c>
      <c r="I395" s="76"/>
      <c r="J395" s="348"/>
    </row>
    <row r="396" spans="1:10">
      <c r="A396" s="344" t="s">
        <v>485</v>
      </c>
      <c r="B396" s="345" t="s">
        <v>534</v>
      </c>
      <c r="C396" s="76" t="s">
        <v>80</v>
      </c>
      <c r="D396" s="343">
        <v>0.372</v>
      </c>
      <c r="E396" s="76" t="s">
        <v>25</v>
      </c>
      <c r="F396" s="343">
        <v>0.20799999999999999</v>
      </c>
      <c r="G396" s="76" t="s">
        <v>535</v>
      </c>
      <c r="H396" s="343">
        <v>0.65800000000000003</v>
      </c>
      <c r="I396" s="76"/>
      <c r="J396" s="348"/>
    </row>
    <row r="397" spans="1:10">
      <c r="A397" s="344" t="s">
        <v>485</v>
      </c>
      <c r="B397" s="345" t="s">
        <v>536</v>
      </c>
      <c r="C397" s="76" t="s">
        <v>80</v>
      </c>
      <c r="D397" s="343">
        <v>0.372</v>
      </c>
      <c r="E397" s="76" t="s">
        <v>30</v>
      </c>
      <c r="F397" s="343">
        <v>0.26400000000000001</v>
      </c>
      <c r="G397" s="76" t="s">
        <v>537</v>
      </c>
      <c r="H397" s="343">
        <v>0.82399999999999995</v>
      </c>
      <c r="I397" s="76"/>
      <c r="J397" s="348"/>
    </row>
    <row r="398" spans="1:10">
      <c r="A398" s="344" t="s">
        <v>485</v>
      </c>
      <c r="B398" s="345" t="s">
        <v>538</v>
      </c>
      <c r="C398" s="76" t="s">
        <v>80</v>
      </c>
      <c r="D398" s="343">
        <v>0.372</v>
      </c>
      <c r="E398" s="76" t="s">
        <v>34</v>
      </c>
      <c r="F398" s="343">
        <v>0.29199999999999998</v>
      </c>
      <c r="G398" s="76" t="s">
        <v>539</v>
      </c>
      <c r="H398" s="343">
        <v>0.90700000000000003</v>
      </c>
      <c r="I398" s="76"/>
      <c r="J398" s="348"/>
    </row>
    <row r="399" spans="1:10">
      <c r="A399" s="344" t="s">
        <v>485</v>
      </c>
      <c r="B399" s="345" t="s">
        <v>540</v>
      </c>
      <c r="C399" s="76" t="s">
        <v>80</v>
      </c>
      <c r="D399" s="343">
        <v>0.372</v>
      </c>
      <c r="E399" s="76" t="s">
        <v>39</v>
      </c>
      <c r="F399" s="343">
        <v>0.32</v>
      </c>
      <c r="G399" s="76" t="s">
        <v>541</v>
      </c>
      <c r="H399" s="343">
        <v>0.99</v>
      </c>
      <c r="I399" s="76"/>
      <c r="J399" s="348"/>
    </row>
    <row r="400" spans="1:10">
      <c r="A400" s="344" t="s">
        <v>485</v>
      </c>
      <c r="B400" s="345" t="s">
        <v>542</v>
      </c>
      <c r="C400" s="76" t="s">
        <v>95</v>
      </c>
      <c r="D400" s="343">
        <v>0.39</v>
      </c>
      <c r="E400" s="76" t="s">
        <v>11</v>
      </c>
      <c r="F400" s="343">
        <v>0.124</v>
      </c>
      <c r="G400" s="76" t="s">
        <v>543</v>
      </c>
      <c r="H400" s="343">
        <v>0.42899999999999999</v>
      </c>
      <c r="I400" s="76"/>
      <c r="J400" s="348"/>
    </row>
    <row r="401" spans="1:10">
      <c r="A401" s="344" t="s">
        <v>485</v>
      </c>
      <c r="B401" s="345" t="s">
        <v>544</v>
      </c>
      <c r="C401" s="76" t="s">
        <v>95</v>
      </c>
      <c r="D401" s="343">
        <v>0.39</v>
      </c>
      <c r="E401" s="76" t="s">
        <v>15</v>
      </c>
      <c r="F401" s="343">
        <v>0.152</v>
      </c>
      <c r="G401" s="76" t="s">
        <v>545</v>
      </c>
      <c r="H401" s="343">
        <v>0.51600000000000001</v>
      </c>
      <c r="I401" s="76"/>
      <c r="J401" s="348"/>
    </row>
    <row r="402" spans="1:10">
      <c r="A402" s="344" t="s">
        <v>485</v>
      </c>
      <c r="B402" s="345" t="s">
        <v>546</v>
      </c>
      <c r="C402" s="76" t="s">
        <v>95</v>
      </c>
      <c r="D402" s="343">
        <v>0.39</v>
      </c>
      <c r="E402" s="76" t="s">
        <v>21</v>
      </c>
      <c r="F402" s="343">
        <v>0.18</v>
      </c>
      <c r="G402" s="76" t="s">
        <v>547</v>
      </c>
      <c r="H402" s="343">
        <v>0.60399999999999998</v>
      </c>
      <c r="I402" s="76"/>
      <c r="J402" s="348"/>
    </row>
    <row r="403" spans="1:10">
      <c r="A403" s="344" t="s">
        <v>485</v>
      </c>
      <c r="B403" s="345" t="s">
        <v>548</v>
      </c>
      <c r="C403" s="76" t="s">
        <v>95</v>
      </c>
      <c r="D403" s="343">
        <v>0.39</v>
      </c>
      <c r="E403" s="76" t="s">
        <v>25</v>
      </c>
      <c r="F403" s="343">
        <v>0.20799999999999999</v>
      </c>
      <c r="G403" s="76" t="s">
        <v>549</v>
      </c>
      <c r="H403" s="343">
        <v>0.69099999999999995</v>
      </c>
      <c r="I403" s="76"/>
      <c r="J403" s="348"/>
    </row>
    <row r="404" spans="1:10">
      <c r="A404" s="344" t="s">
        <v>485</v>
      </c>
      <c r="B404" s="345" t="s">
        <v>550</v>
      </c>
      <c r="C404" s="76" t="s">
        <v>95</v>
      </c>
      <c r="D404" s="343">
        <v>0.39</v>
      </c>
      <c r="E404" s="76" t="s">
        <v>30</v>
      </c>
      <c r="F404" s="343">
        <v>0.26400000000000001</v>
      </c>
      <c r="G404" s="76" t="s">
        <v>551</v>
      </c>
      <c r="H404" s="343">
        <v>0.86499999999999999</v>
      </c>
      <c r="I404" s="76"/>
      <c r="J404" s="348"/>
    </row>
    <row r="405" spans="1:10">
      <c r="A405" s="344" t="s">
        <v>485</v>
      </c>
      <c r="B405" s="345" t="s">
        <v>552</v>
      </c>
      <c r="C405" s="76" t="s">
        <v>95</v>
      </c>
      <c r="D405" s="343">
        <v>0.39</v>
      </c>
      <c r="E405" s="76" t="s">
        <v>34</v>
      </c>
      <c r="F405" s="343">
        <v>0.29199999999999998</v>
      </c>
      <c r="G405" s="76" t="s">
        <v>553</v>
      </c>
      <c r="H405" s="343">
        <v>0.95299999999999996</v>
      </c>
      <c r="I405" s="76"/>
      <c r="J405" s="348"/>
    </row>
    <row r="406" spans="1:10">
      <c r="A406" s="344" t="s">
        <v>485</v>
      </c>
      <c r="B406" s="345" t="s">
        <v>554</v>
      </c>
      <c r="C406" s="76" t="s">
        <v>95</v>
      </c>
      <c r="D406" s="343">
        <v>0.39</v>
      </c>
      <c r="E406" s="76" t="s">
        <v>39</v>
      </c>
      <c r="F406" s="343">
        <v>0.32</v>
      </c>
      <c r="G406" s="76" t="s">
        <v>555</v>
      </c>
      <c r="H406" s="343">
        <v>1.04</v>
      </c>
      <c r="I406" s="76"/>
      <c r="J406" s="348"/>
    </row>
    <row r="407" spans="1:10">
      <c r="A407" s="344" t="s">
        <v>485</v>
      </c>
      <c r="B407" s="345" t="s">
        <v>556</v>
      </c>
      <c r="C407" s="76" t="s">
        <v>110</v>
      </c>
      <c r="D407" s="343">
        <v>9.0999999999999998E-2</v>
      </c>
      <c r="E407" s="76" t="s">
        <v>111</v>
      </c>
      <c r="F407" s="343">
        <v>6.8000000000000005E-2</v>
      </c>
      <c r="G407" s="76" t="s">
        <v>557</v>
      </c>
      <c r="H407" s="343"/>
      <c r="I407" s="76"/>
      <c r="J407" s="348"/>
    </row>
    <row r="408" spans="1:10">
      <c r="A408" s="344" t="s">
        <v>485</v>
      </c>
      <c r="B408" s="345" t="s">
        <v>558</v>
      </c>
      <c r="C408" s="76" t="s">
        <v>114</v>
      </c>
      <c r="D408" s="343"/>
      <c r="E408" s="76" t="s">
        <v>115</v>
      </c>
      <c r="F408" s="343"/>
      <c r="G408" s="76" t="s">
        <v>559</v>
      </c>
      <c r="H408" s="343">
        <v>2.7E-2</v>
      </c>
      <c r="I408" s="76"/>
      <c r="J408" s="348"/>
    </row>
    <row r="409" spans="1:10">
      <c r="A409" s="344" t="s">
        <v>560</v>
      </c>
      <c r="B409" s="345" t="s">
        <v>561</v>
      </c>
      <c r="C409" s="76" t="s">
        <v>173</v>
      </c>
      <c r="D409" s="343">
        <v>0.47899999999999998</v>
      </c>
      <c r="E409" s="76" t="s">
        <v>174</v>
      </c>
      <c r="F409" s="343">
        <v>0.17799999999999999</v>
      </c>
      <c r="G409" s="76" t="s">
        <v>12</v>
      </c>
      <c r="H409" s="343">
        <v>0.22</v>
      </c>
      <c r="I409" s="76"/>
      <c r="J409" s="348"/>
    </row>
    <row r="410" spans="1:10">
      <c r="A410" s="344" t="s">
        <v>560</v>
      </c>
      <c r="B410" s="345" t="s">
        <v>562</v>
      </c>
      <c r="C410" s="76" t="s">
        <v>173</v>
      </c>
      <c r="D410" s="343">
        <v>0.47899999999999998</v>
      </c>
      <c r="E410" s="76" t="s">
        <v>176</v>
      </c>
      <c r="F410" s="343">
        <v>0.218</v>
      </c>
      <c r="G410" s="76" t="s">
        <v>16</v>
      </c>
      <c r="H410" s="343">
        <v>0.26500000000000001</v>
      </c>
      <c r="I410" s="76"/>
      <c r="J410" s="348"/>
    </row>
    <row r="411" spans="1:10">
      <c r="A411" s="344" t="s">
        <v>560</v>
      </c>
      <c r="B411" s="345" t="s">
        <v>563</v>
      </c>
      <c r="C411" s="76" t="s">
        <v>173</v>
      </c>
      <c r="D411" s="343">
        <v>0.47899999999999998</v>
      </c>
      <c r="E411" s="76" t="s">
        <v>178</v>
      </c>
      <c r="F411" s="343">
        <v>0.25800000000000001</v>
      </c>
      <c r="G411" s="76" t="s">
        <v>22</v>
      </c>
      <c r="H411" s="343">
        <v>0.31</v>
      </c>
      <c r="I411" s="76"/>
      <c r="J411" s="348"/>
    </row>
    <row r="412" spans="1:10">
      <c r="A412" s="344" t="s">
        <v>560</v>
      </c>
      <c r="B412" s="345" t="s">
        <v>564</v>
      </c>
      <c r="C412" s="76" t="s">
        <v>173</v>
      </c>
      <c r="D412" s="343">
        <v>0.47899999999999998</v>
      </c>
      <c r="E412" s="76" t="s">
        <v>180</v>
      </c>
      <c r="F412" s="343">
        <v>0.29799999999999999</v>
      </c>
      <c r="G412" s="76" t="s">
        <v>26</v>
      </c>
      <c r="H412" s="343">
        <v>0.35499999999999998</v>
      </c>
      <c r="I412" s="76"/>
      <c r="J412" s="348"/>
    </row>
    <row r="413" spans="1:10">
      <c r="A413" s="344" t="s">
        <v>560</v>
      </c>
      <c r="B413" s="345" t="s">
        <v>565</v>
      </c>
      <c r="C413" s="76" t="s">
        <v>173</v>
      </c>
      <c r="D413" s="343">
        <v>0.47899999999999998</v>
      </c>
      <c r="E413" s="76" t="s">
        <v>182</v>
      </c>
      <c r="F413" s="343">
        <v>0.379</v>
      </c>
      <c r="G413" s="76" t="s">
        <v>31</v>
      </c>
      <c r="H413" s="343">
        <v>0.44500000000000001</v>
      </c>
      <c r="I413" s="76"/>
      <c r="J413" s="348"/>
    </row>
    <row r="414" spans="1:10">
      <c r="A414" s="344" t="s">
        <v>560</v>
      </c>
      <c r="B414" s="345" t="s">
        <v>566</v>
      </c>
      <c r="C414" s="76" t="s">
        <v>173</v>
      </c>
      <c r="D414" s="343">
        <v>0.47899999999999998</v>
      </c>
      <c r="E414" s="76" t="s">
        <v>184</v>
      </c>
      <c r="F414" s="343">
        <v>0.41899999999999998</v>
      </c>
      <c r="G414" s="76" t="s">
        <v>35</v>
      </c>
      <c r="H414" s="343">
        <v>0.48899999999999999</v>
      </c>
      <c r="I414" s="76"/>
      <c r="J414" s="348"/>
    </row>
    <row r="415" spans="1:10">
      <c r="A415" s="344" t="s">
        <v>560</v>
      </c>
      <c r="B415" s="345" t="s">
        <v>567</v>
      </c>
      <c r="C415" s="76" t="s">
        <v>173</v>
      </c>
      <c r="D415" s="343">
        <v>0.47899999999999998</v>
      </c>
      <c r="E415" s="76" t="s">
        <v>186</v>
      </c>
      <c r="F415" s="343">
        <v>0.45900000000000002</v>
      </c>
      <c r="G415" s="76" t="s">
        <v>40</v>
      </c>
      <c r="H415" s="343">
        <v>0.53400000000000003</v>
      </c>
      <c r="I415" s="76"/>
      <c r="J415" s="348"/>
    </row>
    <row r="416" spans="1:10">
      <c r="A416" s="344" t="s">
        <v>560</v>
      </c>
      <c r="B416" s="345" t="s">
        <v>568</v>
      </c>
      <c r="C416" s="76" t="s">
        <v>188</v>
      </c>
      <c r="D416" s="343">
        <v>0.5</v>
      </c>
      <c r="E416" s="76" t="s">
        <v>174</v>
      </c>
      <c r="F416" s="343">
        <v>0.17799999999999999</v>
      </c>
      <c r="G416" s="76" t="s">
        <v>45</v>
      </c>
      <c r="H416" s="343">
        <v>0.23</v>
      </c>
      <c r="I416" s="76"/>
      <c r="J416" s="348"/>
    </row>
    <row r="417" spans="1:10">
      <c r="A417" s="344" t="s">
        <v>560</v>
      </c>
      <c r="B417" s="345" t="s">
        <v>569</v>
      </c>
      <c r="C417" s="76" t="s">
        <v>188</v>
      </c>
      <c r="D417" s="343">
        <v>0.5</v>
      </c>
      <c r="E417" s="76" t="s">
        <v>176</v>
      </c>
      <c r="F417" s="343">
        <v>0.218</v>
      </c>
      <c r="G417" s="76" t="s">
        <v>49</v>
      </c>
      <c r="H417" s="343">
        <v>0.27600000000000002</v>
      </c>
      <c r="I417" s="76"/>
      <c r="J417" s="348"/>
    </row>
    <row r="418" spans="1:10">
      <c r="A418" s="344" t="s">
        <v>560</v>
      </c>
      <c r="B418" s="345" t="s">
        <v>570</v>
      </c>
      <c r="C418" s="76" t="s">
        <v>188</v>
      </c>
      <c r="D418" s="343">
        <v>0.5</v>
      </c>
      <c r="E418" s="76" t="s">
        <v>178</v>
      </c>
      <c r="F418" s="343">
        <v>0.25800000000000001</v>
      </c>
      <c r="G418" s="76" t="s">
        <v>52</v>
      </c>
      <c r="H418" s="343">
        <v>0.32300000000000001</v>
      </c>
      <c r="I418" s="76"/>
      <c r="J418" s="348"/>
    </row>
    <row r="419" spans="1:10">
      <c r="A419" s="344" t="s">
        <v>560</v>
      </c>
      <c r="B419" s="345" t="s">
        <v>571</v>
      </c>
      <c r="C419" s="76" t="s">
        <v>188</v>
      </c>
      <c r="D419" s="343">
        <v>0.5</v>
      </c>
      <c r="E419" s="76" t="s">
        <v>180</v>
      </c>
      <c r="F419" s="343">
        <v>0.29799999999999999</v>
      </c>
      <c r="G419" s="76" t="s">
        <v>56</v>
      </c>
      <c r="H419" s="343">
        <v>0.37</v>
      </c>
      <c r="I419" s="76"/>
      <c r="J419" s="348"/>
    </row>
    <row r="420" spans="1:10">
      <c r="A420" s="344" t="s">
        <v>560</v>
      </c>
      <c r="B420" s="345" t="s">
        <v>572</v>
      </c>
      <c r="C420" s="76" t="s">
        <v>188</v>
      </c>
      <c r="D420" s="343">
        <v>0.5</v>
      </c>
      <c r="E420" s="76" t="s">
        <v>182</v>
      </c>
      <c r="F420" s="343">
        <v>0.379</v>
      </c>
      <c r="G420" s="76" t="s">
        <v>59</v>
      </c>
      <c r="H420" s="343">
        <v>0.46300000000000002</v>
      </c>
      <c r="I420" s="76"/>
      <c r="J420" s="348"/>
    </row>
    <row r="421" spans="1:10">
      <c r="A421" s="344" t="s">
        <v>560</v>
      </c>
      <c r="B421" s="345" t="s">
        <v>573</v>
      </c>
      <c r="C421" s="76" t="s">
        <v>188</v>
      </c>
      <c r="D421" s="343">
        <v>0.5</v>
      </c>
      <c r="E421" s="76" t="s">
        <v>184</v>
      </c>
      <c r="F421" s="343">
        <v>0.41899999999999998</v>
      </c>
      <c r="G421" s="76" t="s">
        <v>61</v>
      </c>
      <c r="H421" s="343">
        <v>0.51</v>
      </c>
      <c r="I421" s="76"/>
      <c r="J421" s="348"/>
    </row>
    <row r="422" spans="1:10">
      <c r="A422" s="344" t="s">
        <v>560</v>
      </c>
      <c r="B422" s="345" t="s">
        <v>574</v>
      </c>
      <c r="C422" s="76" t="s">
        <v>188</v>
      </c>
      <c r="D422" s="343">
        <v>0.5</v>
      </c>
      <c r="E422" s="76" t="s">
        <v>186</v>
      </c>
      <c r="F422" s="343">
        <v>0.45900000000000002</v>
      </c>
      <c r="G422" s="76" t="s">
        <v>63</v>
      </c>
      <c r="H422" s="343">
        <v>0.55700000000000005</v>
      </c>
      <c r="I422" s="76"/>
      <c r="J422" s="348"/>
    </row>
    <row r="423" spans="1:10">
      <c r="A423" s="344" t="s">
        <v>560</v>
      </c>
      <c r="B423" s="345" t="s">
        <v>575</v>
      </c>
      <c r="C423" s="76" t="s">
        <v>196</v>
      </c>
      <c r="D423" s="343">
        <v>0.52</v>
      </c>
      <c r="E423" s="76" t="s">
        <v>174</v>
      </c>
      <c r="F423" s="343">
        <v>0.17799999999999999</v>
      </c>
      <c r="G423" s="76" t="s">
        <v>66</v>
      </c>
      <c r="H423" s="343">
        <v>0.23899999999999999</v>
      </c>
      <c r="I423" s="76"/>
      <c r="J423" s="348"/>
    </row>
    <row r="424" spans="1:10">
      <c r="A424" s="344" t="s">
        <v>560</v>
      </c>
      <c r="B424" s="345" t="s">
        <v>576</v>
      </c>
      <c r="C424" s="76" t="s">
        <v>196</v>
      </c>
      <c r="D424" s="343">
        <v>0.52</v>
      </c>
      <c r="E424" s="76" t="s">
        <v>176</v>
      </c>
      <c r="F424" s="343">
        <v>0.218</v>
      </c>
      <c r="G424" s="76" t="s">
        <v>68</v>
      </c>
      <c r="H424" s="343">
        <v>0.28799999999999998</v>
      </c>
      <c r="I424" s="76"/>
      <c r="J424" s="348"/>
    </row>
    <row r="425" spans="1:10">
      <c r="A425" s="344" t="s">
        <v>560</v>
      </c>
      <c r="B425" s="345" t="s">
        <v>577</v>
      </c>
      <c r="C425" s="76" t="s">
        <v>196</v>
      </c>
      <c r="D425" s="343">
        <v>0.52</v>
      </c>
      <c r="E425" s="76" t="s">
        <v>178</v>
      </c>
      <c r="F425" s="343">
        <v>0.25800000000000001</v>
      </c>
      <c r="G425" s="76" t="s">
        <v>70</v>
      </c>
      <c r="H425" s="343">
        <v>0.33600000000000002</v>
      </c>
      <c r="I425" s="76"/>
      <c r="J425" s="348"/>
    </row>
    <row r="426" spans="1:10">
      <c r="A426" s="344" t="s">
        <v>560</v>
      </c>
      <c r="B426" s="345" t="s">
        <v>578</v>
      </c>
      <c r="C426" s="76" t="s">
        <v>196</v>
      </c>
      <c r="D426" s="343">
        <v>0.52</v>
      </c>
      <c r="E426" s="76" t="s">
        <v>180</v>
      </c>
      <c r="F426" s="343">
        <v>0.29799999999999999</v>
      </c>
      <c r="G426" s="76" t="s">
        <v>72</v>
      </c>
      <c r="H426" s="343">
        <v>0.38500000000000001</v>
      </c>
      <c r="I426" s="76"/>
      <c r="J426" s="348"/>
    </row>
    <row r="427" spans="1:10">
      <c r="A427" s="344" t="s">
        <v>560</v>
      </c>
      <c r="B427" s="345" t="s">
        <v>579</v>
      </c>
      <c r="C427" s="76" t="s">
        <v>196</v>
      </c>
      <c r="D427" s="343">
        <v>0.52</v>
      </c>
      <c r="E427" s="76" t="s">
        <v>182</v>
      </c>
      <c r="F427" s="343">
        <v>0.379</v>
      </c>
      <c r="G427" s="76" t="s">
        <v>74</v>
      </c>
      <c r="H427" s="343">
        <v>0.48199999999999998</v>
      </c>
      <c r="I427" s="76"/>
      <c r="J427" s="348"/>
    </row>
    <row r="428" spans="1:10">
      <c r="A428" s="344" t="s">
        <v>560</v>
      </c>
      <c r="B428" s="345" t="s">
        <v>580</v>
      </c>
      <c r="C428" s="76" t="s">
        <v>196</v>
      </c>
      <c r="D428" s="343">
        <v>0.52</v>
      </c>
      <c r="E428" s="76" t="s">
        <v>184</v>
      </c>
      <c r="F428" s="343">
        <v>0.41899999999999998</v>
      </c>
      <c r="G428" s="76" t="s">
        <v>76</v>
      </c>
      <c r="H428" s="343">
        <v>0.53100000000000003</v>
      </c>
      <c r="I428" s="76"/>
      <c r="J428" s="348"/>
    </row>
    <row r="429" spans="1:10">
      <c r="A429" s="344" t="s">
        <v>560</v>
      </c>
      <c r="B429" s="345" t="s">
        <v>581</v>
      </c>
      <c r="C429" s="76" t="s">
        <v>196</v>
      </c>
      <c r="D429" s="343">
        <v>0.52</v>
      </c>
      <c r="E429" s="76" t="s">
        <v>186</v>
      </c>
      <c r="F429" s="343">
        <v>0.45900000000000002</v>
      </c>
      <c r="G429" s="76" t="s">
        <v>78</v>
      </c>
      <c r="H429" s="343">
        <v>0.57899999999999996</v>
      </c>
      <c r="I429" s="76"/>
      <c r="J429" s="348"/>
    </row>
    <row r="430" spans="1:10">
      <c r="A430" s="344" t="s">
        <v>560</v>
      </c>
      <c r="B430" s="345" t="s">
        <v>582</v>
      </c>
      <c r="C430" s="76" t="s">
        <v>204</v>
      </c>
      <c r="D430" s="343">
        <v>0.53300000000000003</v>
      </c>
      <c r="E430" s="76" t="s">
        <v>174</v>
      </c>
      <c r="F430" s="343">
        <v>0.17799999999999999</v>
      </c>
      <c r="G430" s="76" t="s">
        <v>81</v>
      </c>
      <c r="H430" s="343">
        <v>0.245</v>
      </c>
      <c r="I430" s="76"/>
      <c r="J430" s="348"/>
    </row>
    <row r="431" spans="1:10">
      <c r="A431" s="344" t="s">
        <v>560</v>
      </c>
      <c r="B431" s="345" t="s">
        <v>583</v>
      </c>
      <c r="C431" s="76" t="s">
        <v>204</v>
      </c>
      <c r="D431" s="343">
        <v>0.53300000000000003</v>
      </c>
      <c r="E431" s="76" t="s">
        <v>176</v>
      </c>
      <c r="F431" s="343">
        <v>0.218</v>
      </c>
      <c r="G431" s="76" t="s">
        <v>83</v>
      </c>
      <c r="H431" s="343">
        <v>0.29499999999999998</v>
      </c>
      <c r="I431" s="76"/>
      <c r="J431" s="348"/>
    </row>
    <row r="432" spans="1:10">
      <c r="A432" s="344" t="s">
        <v>560</v>
      </c>
      <c r="B432" s="345" t="s">
        <v>584</v>
      </c>
      <c r="C432" s="76" t="s">
        <v>204</v>
      </c>
      <c r="D432" s="343">
        <v>0.53300000000000003</v>
      </c>
      <c r="E432" s="76" t="s">
        <v>178</v>
      </c>
      <c r="F432" s="343">
        <v>0.25800000000000001</v>
      </c>
      <c r="G432" s="76" t="s">
        <v>85</v>
      </c>
      <c r="H432" s="343">
        <v>0.34499999999999997</v>
      </c>
      <c r="I432" s="76"/>
      <c r="J432" s="348"/>
    </row>
    <row r="433" spans="1:10">
      <c r="A433" s="344" t="s">
        <v>560</v>
      </c>
      <c r="B433" s="345" t="s">
        <v>585</v>
      </c>
      <c r="C433" s="76" t="s">
        <v>204</v>
      </c>
      <c r="D433" s="343">
        <v>0.53300000000000003</v>
      </c>
      <c r="E433" s="76" t="s">
        <v>180</v>
      </c>
      <c r="F433" s="343">
        <v>0.29799999999999999</v>
      </c>
      <c r="G433" s="76" t="s">
        <v>87</v>
      </c>
      <c r="H433" s="343">
        <v>0.39500000000000002</v>
      </c>
      <c r="I433" s="76"/>
      <c r="J433" s="348"/>
    </row>
    <row r="434" spans="1:10">
      <c r="A434" s="344" t="s">
        <v>560</v>
      </c>
      <c r="B434" s="345" t="s">
        <v>586</v>
      </c>
      <c r="C434" s="76" t="s">
        <v>204</v>
      </c>
      <c r="D434" s="343">
        <v>0.53300000000000003</v>
      </c>
      <c r="E434" s="76" t="s">
        <v>182</v>
      </c>
      <c r="F434" s="343">
        <v>0.379</v>
      </c>
      <c r="G434" s="76" t="s">
        <v>89</v>
      </c>
      <c r="H434" s="343">
        <v>0.49399999999999999</v>
      </c>
      <c r="I434" s="76"/>
      <c r="J434" s="348"/>
    </row>
    <row r="435" spans="1:10">
      <c r="A435" s="344" t="s">
        <v>560</v>
      </c>
      <c r="B435" s="345" t="s">
        <v>587</v>
      </c>
      <c r="C435" s="76" t="s">
        <v>204</v>
      </c>
      <c r="D435" s="343">
        <v>0.53300000000000003</v>
      </c>
      <c r="E435" s="76" t="s">
        <v>184</v>
      </c>
      <c r="F435" s="343">
        <v>0.41899999999999998</v>
      </c>
      <c r="G435" s="76" t="s">
        <v>91</v>
      </c>
      <c r="H435" s="343">
        <v>0.54400000000000004</v>
      </c>
      <c r="I435" s="76"/>
      <c r="J435" s="348"/>
    </row>
    <row r="436" spans="1:10">
      <c r="A436" s="344" t="s">
        <v>560</v>
      </c>
      <c r="B436" s="345" t="s">
        <v>588</v>
      </c>
      <c r="C436" s="76" t="s">
        <v>204</v>
      </c>
      <c r="D436" s="343">
        <v>0.53300000000000003</v>
      </c>
      <c r="E436" s="76" t="s">
        <v>186</v>
      </c>
      <c r="F436" s="343">
        <v>0.45900000000000002</v>
      </c>
      <c r="G436" s="76" t="s">
        <v>93</v>
      </c>
      <c r="H436" s="343">
        <v>0.59399999999999997</v>
      </c>
      <c r="I436" s="76"/>
      <c r="J436" s="348"/>
    </row>
    <row r="437" spans="1:10">
      <c r="A437" s="344" t="s">
        <v>560</v>
      </c>
      <c r="B437" s="345" t="s">
        <v>589</v>
      </c>
      <c r="C437" s="76" t="s">
        <v>212</v>
      </c>
      <c r="D437" s="343">
        <v>0.56000000000000005</v>
      </c>
      <c r="E437" s="76" t="s">
        <v>174</v>
      </c>
      <c r="F437" s="343">
        <v>0.17799999999999999</v>
      </c>
      <c r="G437" s="76" t="s">
        <v>96</v>
      </c>
      <c r="H437" s="343">
        <v>0.25700000000000001</v>
      </c>
      <c r="I437" s="76"/>
      <c r="J437" s="348"/>
    </row>
    <row r="438" spans="1:10">
      <c r="A438" s="344" t="s">
        <v>560</v>
      </c>
      <c r="B438" s="345" t="s">
        <v>590</v>
      </c>
      <c r="C438" s="76" t="s">
        <v>212</v>
      </c>
      <c r="D438" s="343">
        <v>0.56000000000000005</v>
      </c>
      <c r="E438" s="76" t="s">
        <v>176</v>
      </c>
      <c r="F438" s="343">
        <v>0.218</v>
      </c>
      <c r="G438" s="76" t="s">
        <v>98</v>
      </c>
      <c r="H438" s="343">
        <v>0.31</v>
      </c>
      <c r="I438" s="76"/>
      <c r="J438" s="348"/>
    </row>
    <row r="439" spans="1:10">
      <c r="A439" s="344" t="s">
        <v>560</v>
      </c>
      <c r="B439" s="345" t="s">
        <v>591</v>
      </c>
      <c r="C439" s="76" t="s">
        <v>212</v>
      </c>
      <c r="D439" s="343">
        <v>0.56000000000000005</v>
      </c>
      <c r="E439" s="76" t="s">
        <v>178</v>
      </c>
      <c r="F439" s="343">
        <v>0.25800000000000001</v>
      </c>
      <c r="G439" s="76" t="s">
        <v>100</v>
      </c>
      <c r="H439" s="343">
        <v>0.36199999999999999</v>
      </c>
      <c r="I439" s="76"/>
      <c r="J439" s="348"/>
    </row>
    <row r="440" spans="1:10">
      <c r="A440" s="344" t="s">
        <v>560</v>
      </c>
      <c r="B440" s="345" t="s">
        <v>592</v>
      </c>
      <c r="C440" s="76" t="s">
        <v>212</v>
      </c>
      <c r="D440" s="343">
        <v>0.56000000000000005</v>
      </c>
      <c r="E440" s="76" t="s">
        <v>180</v>
      </c>
      <c r="F440" s="343">
        <v>0.29799999999999999</v>
      </c>
      <c r="G440" s="76" t="s">
        <v>102</v>
      </c>
      <c r="H440" s="343">
        <v>0.41499999999999998</v>
      </c>
      <c r="I440" s="76"/>
      <c r="J440" s="348"/>
    </row>
    <row r="441" spans="1:10">
      <c r="A441" s="344" t="s">
        <v>560</v>
      </c>
      <c r="B441" s="345" t="s">
        <v>593</v>
      </c>
      <c r="C441" s="76" t="s">
        <v>212</v>
      </c>
      <c r="D441" s="343">
        <v>0.56000000000000005</v>
      </c>
      <c r="E441" s="76" t="s">
        <v>182</v>
      </c>
      <c r="F441" s="343">
        <v>0.379</v>
      </c>
      <c r="G441" s="76" t="s">
        <v>104</v>
      </c>
      <c r="H441" s="343">
        <v>0.51900000000000002</v>
      </c>
      <c r="I441" s="76"/>
      <c r="J441" s="348"/>
    </row>
    <row r="442" spans="1:10">
      <c r="A442" s="344" t="s">
        <v>560</v>
      </c>
      <c r="B442" s="345" t="s">
        <v>594</v>
      </c>
      <c r="C442" s="76" t="s">
        <v>212</v>
      </c>
      <c r="D442" s="343">
        <v>0.56000000000000005</v>
      </c>
      <c r="E442" s="76" t="s">
        <v>184</v>
      </c>
      <c r="F442" s="343">
        <v>0.41899999999999998</v>
      </c>
      <c r="G442" s="76" t="s">
        <v>106</v>
      </c>
      <c r="H442" s="343">
        <v>0.57199999999999995</v>
      </c>
      <c r="I442" s="76"/>
      <c r="J442" s="348"/>
    </row>
    <row r="443" spans="1:10">
      <c r="A443" s="344" t="s">
        <v>560</v>
      </c>
      <c r="B443" s="345" t="s">
        <v>595</v>
      </c>
      <c r="C443" s="76" t="s">
        <v>212</v>
      </c>
      <c r="D443" s="343">
        <v>0.56000000000000005</v>
      </c>
      <c r="E443" s="76" t="s">
        <v>186</v>
      </c>
      <c r="F443" s="343">
        <v>0.45900000000000002</v>
      </c>
      <c r="G443" s="76" t="s">
        <v>108</v>
      </c>
      <c r="H443" s="343">
        <v>0.624</v>
      </c>
      <c r="I443" s="76"/>
      <c r="J443" s="348"/>
    </row>
    <row r="444" spans="1:10">
      <c r="A444" s="344" t="s">
        <v>560</v>
      </c>
      <c r="B444" s="345" t="s">
        <v>596</v>
      </c>
      <c r="C444" s="76" t="s">
        <v>220</v>
      </c>
      <c r="D444" s="343">
        <v>0.13100000000000001</v>
      </c>
      <c r="E444" s="76" t="s">
        <v>221</v>
      </c>
      <c r="F444" s="343">
        <v>9.7000000000000003E-2</v>
      </c>
      <c r="G444" s="76" t="s">
        <v>112</v>
      </c>
      <c r="H444" s="343">
        <v>3.5999999999999997E-2</v>
      </c>
      <c r="I444" s="76"/>
      <c r="J444" s="348"/>
    </row>
    <row r="445" spans="1:10">
      <c r="A445" s="344" t="s">
        <v>560</v>
      </c>
      <c r="B445" s="345" t="s">
        <v>597</v>
      </c>
      <c r="C445" s="76" t="s">
        <v>223</v>
      </c>
      <c r="D445" s="343">
        <v>8.4000000000000005E-2</v>
      </c>
      <c r="E445" s="76" t="s">
        <v>224</v>
      </c>
      <c r="F445" s="343">
        <v>6.4000000000000001E-2</v>
      </c>
      <c r="G445" s="76" t="s">
        <v>116</v>
      </c>
      <c r="H445" s="343">
        <v>1.6E-2</v>
      </c>
      <c r="I445" s="76"/>
      <c r="J445" s="348"/>
    </row>
    <row r="446" spans="1:10">
      <c r="A446" s="344" t="s">
        <v>598</v>
      </c>
      <c r="B446" s="345" t="s">
        <v>599</v>
      </c>
      <c r="C446" s="76" t="s">
        <v>600</v>
      </c>
      <c r="D446" s="343">
        <v>8.6999999999999994E-2</v>
      </c>
      <c r="E446" s="76" t="s">
        <v>601</v>
      </c>
      <c r="F446" s="343">
        <v>0.30199999999999999</v>
      </c>
      <c r="G446" s="76" t="s">
        <v>12</v>
      </c>
      <c r="H446" s="343">
        <v>0.22</v>
      </c>
      <c r="I446" s="76"/>
      <c r="J446" s="348"/>
    </row>
    <row r="447" spans="1:10">
      <c r="A447" s="344" t="s">
        <v>598</v>
      </c>
      <c r="B447" s="345" t="s">
        <v>602</v>
      </c>
      <c r="C447" s="76" t="s">
        <v>600</v>
      </c>
      <c r="D447" s="343">
        <v>8.6999999999999994E-2</v>
      </c>
      <c r="E447" s="76" t="s">
        <v>603</v>
      </c>
      <c r="F447" s="343">
        <v>0.377</v>
      </c>
      <c r="G447" s="76" t="s">
        <v>16</v>
      </c>
      <c r="H447" s="343">
        <v>0.26500000000000001</v>
      </c>
      <c r="I447" s="76"/>
      <c r="J447" s="348"/>
    </row>
    <row r="448" spans="1:10">
      <c r="A448" s="344" t="s">
        <v>598</v>
      </c>
      <c r="B448" s="345" t="s">
        <v>604</v>
      </c>
      <c r="C448" s="76" t="s">
        <v>600</v>
      </c>
      <c r="D448" s="343">
        <v>8.6999999999999994E-2</v>
      </c>
      <c r="E448" s="76" t="s">
        <v>605</v>
      </c>
      <c r="F448" s="343">
        <v>0.45300000000000001</v>
      </c>
      <c r="G448" s="76" t="s">
        <v>22</v>
      </c>
      <c r="H448" s="343">
        <v>0.31</v>
      </c>
      <c r="I448" s="76"/>
      <c r="J448" s="348"/>
    </row>
    <row r="449" spans="1:10">
      <c r="A449" s="344" t="s">
        <v>598</v>
      </c>
      <c r="B449" s="345" t="s">
        <v>606</v>
      </c>
      <c r="C449" s="76" t="s">
        <v>600</v>
      </c>
      <c r="D449" s="343">
        <v>8.6999999999999994E-2</v>
      </c>
      <c r="E449" s="76" t="s">
        <v>607</v>
      </c>
      <c r="F449" s="343">
        <v>0.52800000000000002</v>
      </c>
      <c r="G449" s="76" t="s">
        <v>26</v>
      </c>
      <c r="H449" s="343">
        <v>0.35499999999999998</v>
      </c>
      <c r="I449" s="76"/>
      <c r="J449" s="348"/>
    </row>
    <row r="450" spans="1:10">
      <c r="A450" s="344" t="s">
        <v>598</v>
      </c>
      <c r="B450" s="345" t="s">
        <v>608</v>
      </c>
      <c r="C450" s="76" t="s">
        <v>600</v>
      </c>
      <c r="D450" s="343">
        <v>8.6999999999999994E-2</v>
      </c>
      <c r="E450" s="76" t="s">
        <v>609</v>
      </c>
      <c r="F450" s="343">
        <v>0.67900000000000005</v>
      </c>
      <c r="G450" s="76" t="s">
        <v>31</v>
      </c>
      <c r="H450" s="343">
        <v>0.44500000000000001</v>
      </c>
      <c r="I450" s="76"/>
      <c r="J450" s="348"/>
    </row>
    <row r="451" spans="1:10">
      <c r="A451" s="344" t="s">
        <v>598</v>
      </c>
      <c r="B451" s="345" t="s">
        <v>610</v>
      </c>
      <c r="C451" s="76" t="s">
        <v>600</v>
      </c>
      <c r="D451" s="343">
        <v>8.6999999999999994E-2</v>
      </c>
      <c r="E451" s="76" t="s">
        <v>611</v>
      </c>
      <c r="F451" s="343">
        <v>0.754</v>
      </c>
      <c r="G451" s="76" t="s">
        <v>35</v>
      </c>
      <c r="H451" s="343">
        <v>0.48899999999999999</v>
      </c>
      <c r="I451" s="76"/>
      <c r="J451" s="348"/>
    </row>
    <row r="452" spans="1:10">
      <c r="A452" s="344" t="s">
        <v>598</v>
      </c>
      <c r="B452" s="345" t="s">
        <v>612</v>
      </c>
      <c r="C452" s="76" t="s">
        <v>600</v>
      </c>
      <c r="D452" s="343">
        <v>8.6999999999999994E-2</v>
      </c>
      <c r="E452" s="76" t="s">
        <v>613</v>
      </c>
      <c r="F452" s="343">
        <v>0.83</v>
      </c>
      <c r="G452" s="76" t="s">
        <v>40</v>
      </c>
      <c r="H452" s="343">
        <v>0.53400000000000003</v>
      </c>
      <c r="I452" s="76"/>
      <c r="J452" s="348"/>
    </row>
    <row r="453" spans="1:10">
      <c r="A453" s="344" t="s">
        <v>598</v>
      </c>
      <c r="B453" s="345" t="s">
        <v>614</v>
      </c>
      <c r="C453" s="76" t="s">
        <v>615</v>
      </c>
      <c r="D453" s="343">
        <v>0.93700000000000006</v>
      </c>
      <c r="E453" s="76" t="s">
        <v>601</v>
      </c>
      <c r="F453" s="343">
        <v>0.30199999999999999</v>
      </c>
      <c r="G453" s="76" t="s">
        <v>45</v>
      </c>
      <c r="H453" s="343">
        <v>0.23</v>
      </c>
      <c r="I453" s="76"/>
      <c r="J453" s="348"/>
    </row>
    <row r="454" spans="1:10">
      <c r="A454" s="344" t="s">
        <v>598</v>
      </c>
      <c r="B454" s="345" t="s">
        <v>616</v>
      </c>
      <c r="C454" s="76" t="s">
        <v>615</v>
      </c>
      <c r="D454" s="343">
        <v>0.93700000000000006</v>
      </c>
      <c r="E454" s="76" t="s">
        <v>603</v>
      </c>
      <c r="F454" s="343">
        <v>0.377</v>
      </c>
      <c r="G454" s="76" t="s">
        <v>49</v>
      </c>
      <c r="H454" s="343">
        <v>0.27600000000000002</v>
      </c>
      <c r="I454" s="76"/>
      <c r="J454" s="348"/>
    </row>
    <row r="455" spans="1:10">
      <c r="A455" s="344" t="s">
        <v>598</v>
      </c>
      <c r="B455" s="345" t="s">
        <v>617</v>
      </c>
      <c r="C455" s="76" t="s">
        <v>615</v>
      </c>
      <c r="D455" s="343">
        <v>0.93700000000000006</v>
      </c>
      <c r="E455" s="76" t="s">
        <v>605</v>
      </c>
      <c r="F455" s="343">
        <v>0.45300000000000001</v>
      </c>
      <c r="G455" s="76" t="s">
        <v>52</v>
      </c>
      <c r="H455" s="343">
        <v>0.32300000000000001</v>
      </c>
      <c r="I455" s="76"/>
      <c r="J455" s="348"/>
    </row>
    <row r="456" spans="1:10">
      <c r="A456" s="344" t="s">
        <v>598</v>
      </c>
      <c r="B456" s="345" t="s">
        <v>618</v>
      </c>
      <c r="C456" s="76" t="s">
        <v>615</v>
      </c>
      <c r="D456" s="343">
        <v>0.93700000000000006</v>
      </c>
      <c r="E456" s="76" t="s">
        <v>607</v>
      </c>
      <c r="F456" s="343">
        <v>0.52800000000000002</v>
      </c>
      <c r="G456" s="76" t="s">
        <v>56</v>
      </c>
      <c r="H456" s="343">
        <v>0.37</v>
      </c>
      <c r="I456" s="76"/>
      <c r="J456" s="348"/>
    </row>
    <row r="457" spans="1:10">
      <c r="A457" s="344" t="s">
        <v>598</v>
      </c>
      <c r="B457" s="345" t="s">
        <v>619</v>
      </c>
      <c r="C457" s="76" t="s">
        <v>615</v>
      </c>
      <c r="D457" s="343">
        <v>0.93700000000000006</v>
      </c>
      <c r="E457" s="76" t="s">
        <v>609</v>
      </c>
      <c r="F457" s="343">
        <v>0.67900000000000005</v>
      </c>
      <c r="G457" s="76" t="s">
        <v>59</v>
      </c>
      <c r="H457" s="343">
        <v>0.46300000000000002</v>
      </c>
      <c r="I457" s="76"/>
      <c r="J457" s="348"/>
    </row>
    <row r="458" spans="1:10">
      <c r="A458" s="344" t="s">
        <v>598</v>
      </c>
      <c r="B458" s="345" t="s">
        <v>620</v>
      </c>
      <c r="C458" s="76" t="s">
        <v>615</v>
      </c>
      <c r="D458" s="343">
        <v>0.93700000000000006</v>
      </c>
      <c r="E458" s="76" t="s">
        <v>611</v>
      </c>
      <c r="F458" s="343">
        <v>0.754</v>
      </c>
      <c r="G458" s="76" t="s">
        <v>61</v>
      </c>
      <c r="H458" s="343">
        <v>0.51</v>
      </c>
      <c r="I458" s="76"/>
      <c r="J458" s="348"/>
    </row>
    <row r="459" spans="1:10">
      <c r="A459" s="344" t="s">
        <v>598</v>
      </c>
      <c r="B459" s="345" t="s">
        <v>621</v>
      </c>
      <c r="C459" s="76" t="s">
        <v>615</v>
      </c>
      <c r="D459" s="343">
        <v>0.93700000000000006</v>
      </c>
      <c r="E459" s="76" t="s">
        <v>613</v>
      </c>
      <c r="F459" s="343">
        <v>0.83</v>
      </c>
      <c r="G459" s="76" t="s">
        <v>63</v>
      </c>
      <c r="H459" s="343">
        <v>0.55700000000000005</v>
      </c>
      <c r="I459" s="76"/>
      <c r="J459" s="348"/>
    </row>
    <row r="460" spans="1:10">
      <c r="A460" s="344" t="s">
        <v>598</v>
      </c>
      <c r="B460" s="345" t="s">
        <v>622</v>
      </c>
      <c r="C460" s="76" t="s">
        <v>615</v>
      </c>
      <c r="D460" s="343">
        <v>0.93700000000000006</v>
      </c>
      <c r="E460" s="76" t="s">
        <v>601</v>
      </c>
      <c r="F460" s="343">
        <v>0.30199999999999999</v>
      </c>
      <c r="G460" s="76" t="s">
        <v>66</v>
      </c>
      <c r="H460" s="343">
        <v>0.23899999999999999</v>
      </c>
      <c r="I460" s="76"/>
      <c r="J460" s="348"/>
    </row>
    <row r="461" spans="1:10">
      <c r="A461" s="344" t="s">
        <v>598</v>
      </c>
      <c r="B461" s="345" t="s">
        <v>623</v>
      </c>
      <c r="C461" s="76" t="s">
        <v>624</v>
      </c>
      <c r="D461" s="343">
        <v>0.97399999999999998</v>
      </c>
      <c r="E461" s="76" t="s">
        <v>603</v>
      </c>
      <c r="F461" s="343">
        <v>0.377</v>
      </c>
      <c r="G461" s="76" t="s">
        <v>68</v>
      </c>
      <c r="H461" s="343">
        <v>0.28799999999999998</v>
      </c>
      <c r="I461" s="76"/>
      <c r="J461" s="348"/>
    </row>
    <row r="462" spans="1:10">
      <c r="A462" s="344" t="s">
        <v>598</v>
      </c>
      <c r="B462" s="345" t="s">
        <v>625</v>
      </c>
      <c r="C462" s="76" t="s">
        <v>624</v>
      </c>
      <c r="D462" s="343">
        <v>0.97399999999999998</v>
      </c>
      <c r="E462" s="76" t="s">
        <v>605</v>
      </c>
      <c r="F462" s="343">
        <v>0.45300000000000001</v>
      </c>
      <c r="G462" s="76" t="s">
        <v>70</v>
      </c>
      <c r="H462" s="343">
        <v>0.33600000000000002</v>
      </c>
      <c r="I462" s="76"/>
      <c r="J462" s="348"/>
    </row>
    <row r="463" spans="1:10">
      <c r="A463" s="344" t="s">
        <v>598</v>
      </c>
      <c r="B463" s="345" t="s">
        <v>626</v>
      </c>
      <c r="C463" s="76" t="s">
        <v>624</v>
      </c>
      <c r="D463" s="343">
        <v>0.97399999999999998</v>
      </c>
      <c r="E463" s="76" t="s">
        <v>607</v>
      </c>
      <c r="F463" s="343">
        <v>0.52800000000000002</v>
      </c>
      <c r="G463" s="76" t="s">
        <v>72</v>
      </c>
      <c r="H463" s="343">
        <v>0.38500000000000001</v>
      </c>
      <c r="I463" s="76"/>
      <c r="J463" s="348"/>
    </row>
    <row r="464" spans="1:10">
      <c r="A464" s="344" t="s">
        <v>598</v>
      </c>
      <c r="B464" s="345" t="s">
        <v>627</v>
      </c>
      <c r="C464" s="76" t="s">
        <v>624</v>
      </c>
      <c r="D464" s="343">
        <v>0.97399999999999998</v>
      </c>
      <c r="E464" s="76" t="s">
        <v>609</v>
      </c>
      <c r="F464" s="343">
        <v>0.67900000000000005</v>
      </c>
      <c r="G464" s="76" t="s">
        <v>74</v>
      </c>
      <c r="H464" s="343">
        <v>0.48199999999999998</v>
      </c>
      <c r="I464" s="76"/>
      <c r="J464" s="348"/>
    </row>
    <row r="465" spans="1:10">
      <c r="A465" s="344" t="s">
        <v>598</v>
      </c>
      <c r="B465" s="345" t="s">
        <v>628</v>
      </c>
      <c r="C465" s="76" t="s">
        <v>624</v>
      </c>
      <c r="D465" s="343">
        <v>0.97399999999999998</v>
      </c>
      <c r="E465" s="76" t="s">
        <v>611</v>
      </c>
      <c r="F465" s="343">
        <v>0.754</v>
      </c>
      <c r="G465" s="76" t="s">
        <v>76</v>
      </c>
      <c r="H465" s="343">
        <v>0.53100000000000003</v>
      </c>
      <c r="I465" s="76"/>
      <c r="J465" s="348"/>
    </row>
    <row r="466" spans="1:10">
      <c r="A466" s="344" t="s">
        <v>598</v>
      </c>
      <c r="B466" s="345" t="s">
        <v>629</v>
      </c>
      <c r="C466" s="76" t="s">
        <v>624</v>
      </c>
      <c r="D466" s="343">
        <v>0.97399999999999998</v>
      </c>
      <c r="E466" s="76" t="s">
        <v>613</v>
      </c>
      <c r="F466" s="343">
        <v>0.83</v>
      </c>
      <c r="G466" s="76" t="s">
        <v>78</v>
      </c>
      <c r="H466" s="343">
        <v>0.57899999999999996</v>
      </c>
      <c r="I466" s="76"/>
      <c r="J466" s="348"/>
    </row>
    <row r="467" spans="1:10">
      <c r="A467" s="344" t="s">
        <v>598</v>
      </c>
      <c r="B467" s="345" t="s">
        <v>630</v>
      </c>
      <c r="C467" s="76" t="s">
        <v>631</v>
      </c>
      <c r="D467" s="343">
        <v>1</v>
      </c>
      <c r="E467" s="76" t="s">
        <v>601</v>
      </c>
      <c r="F467" s="343">
        <v>0.30199999999999999</v>
      </c>
      <c r="G467" s="76" t="s">
        <v>81</v>
      </c>
      <c r="H467" s="343">
        <v>0.245</v>
      </c>
      <c r="I467" s="76"/>
      <c r="J467" s="348"/>
    </row>
    <row r="468" spans="1:10">
      <c r="A468" s="344" t="s">
        <v>598</v>
      </c>
      <c r="B468" s="345" t="s">
        <v>632</v>
      </c>
      <c r="C468" s="76" t="s">
        <v>631</v>
      </c>
      <c r="D468" s="343">
        <v>1</v>
      </c>
      <c r="E468" s="76" t="s">
        <v>603</v>
      </c>
      <c r="F468" s="343">
        <v>0.377</v>
      </c>
      <c r="G468" s="76" t="s">
        <v>83</v>
      </c>
      <c r="H468" s="343">
        <v>0.29499999999999998</v>
      </c>
      <c r="I468" s="76"/>
      <c r="J468" s="348"/>
    </row>
    <row r="469" spans="1:10">
      <c r="A469" s="344" t="s">
        <v>598</v>
      </c>
      <c r="B469" s="345" t="s">
        <v>633</v>
      </c>
      <c r="C469" s="76" t="s">
        <v>631</v>
      </c>
      <c r="D469" s="343">
        <v>1</v>
      </c>
      <c r="E469" s="76" t="s">
        <v>605</v>
      </c>
      <c r="F469" s="343">
        <v>0.45300000000000001</v>
      </c>
      <c r="G469" s="76" t="s">
        <v>85</v>
      </c>
      <c r="H469" s="343">
        <v>0.34499999999999997</v>
      </c>
      <c r="I469" s="76"/>
      <c r="J469" s="348"/>
    </row>
    <row r="470" spans="1:10">
      <c r="A470" s="344" t="s">
        <v>598</v>
      </c>
      <c r="B470" s="345" t="s">
        <v>634</v>
      </c>
      <c r="C470" s="76" t="s">
        <v>631</v>
      </c>
      <c r="D470" s="343">
        <v>1</v>
      </c>
      <c r="E470" s="76" t="s">
        <v>607</v>
      </c>
      <c r="F470" s="343">
        <v>0.52800000000000002</v>
      </c>
      <c r="G470" s="76" t="s">
        <v>87</v>
      </c>
      <c r="H470" s="343">
        <v>0.39500000000000002</v>
      </c>
      <c r="I470" s="76"/>
      <c r="J470" s="348"/>
    </row>
    <row r="471" spans="1:10">
      <c r="A471" s="344" t="s">
        <v>598</v>
      </c>
      <c r="B471" s="345" t="s">
        <v>635</v>
      </c>
      <c r="C471" s="76" t="s">
        <v>631</v>
      </c>
      <c r="D471" s="343">
        <v>1</v>
      </c>
      <c r="E471" s="76" t="s">
        <v>609</v>
      </c>
      <c r="F471" s="343">
        <v>0.67900000000000005</v>
      </c>
      <c r="G471" s="76" t="s">
        <v>89</v>
      </c>
      <c r="H471" s="343">
        <v>0.49399999999999999</v>
      </c>
      <c r="I471" s="76"/>
      <c r="J471" s="348"/>
    </row>
    <row r="472" spans="1:10">
      <c r="A472" s="344" t="s">
        <v>598</v>
      </c>
      <c r="B472" s="345" t="s">
        <v>636</v>
      </c>
      <c r="C472" s="76" t="s">
        <v>631</v>
      </c>
      <c r="D472" s="343">
        <v>1</v>
      </c>
      <c r="E472" s="76" t="s">
        <v>611</v>
      </c>
      <c r="F472" s="343">
        <v>0.754</v>
      </c>
      <c r="G472" s="76" t="s">
        <v>91</v>
      </c>
      <c r="H472" s="343">
        <v>0.54400000000000004</v>
      </c>
      <c r="I472" s="76"/>
      <c r="J472" s="348"/>
    </row>
    <row r="473" spans="1:10">
      <c r="A473" s="344" t="s">
        <v>598</v>
      </c>
      <c r="B473" s="345" t="s">
        <v>637</v>
      </c>
      <c r="C473" s="76" t="s">
        <v>631</v>
      </c>
      <c r="D473" s="343">
        <v>1</v>
      </c>
      <c r="E473" s="76" t="s">
        <v>613</v>
      </c>
      <c r="F473" s="343">
        <v>0.83</v>
      </c>
      <c r="G473" s="76" t="s">
        <v>93</v>
      </c>
      <c r="H473" s="343">
        <v>0.59399999999999997</v>
      </c>
      <c r="I473" s="76"/>
      <c r="J473" s="348"/>
    </row>
    <row r="474" spans="1:10">
      <c r="A474" s="344" t="s">
        <v>598</v>
      </c>
      <c r="B474" s="345" t="s">
        <v>638</v>
      </c>
      <c r="C474" s="76" t="s">
        <v>639</v>
      </c>
      <c r="D474" s="343">
        <v>1.05</v>
      </c>
      <c r="E474" s="76" t="s">
        <v>601</v>
      </c>
      <c r="F474" s="343">
        <v>0.30199999999999999</v>
      </c>
      <c r="G474" s="76" t="s">
        <v>96</v>
      </c>
      <c r="H474" s="343">
        <v>0.25700000000000001</v>
      </c>
      <c r="I474" s="76"/>
      <c r="J474" s="348"/>
    </row>
    <row r="475" spans="1:10">
      <c r="A475" s="344" t="s">
        <v>598</v>
      </c>
      <c r="B475" s="345" t="s">
        <v>640</v>
      </c>
      <c r="C475" s="76" t="s">
        <v>639</v>
      </c>
      <c r="D475" s="343">
        <v>1.05</v>
      </c>
      <c r="E475" s="76" t="s">
        <v>603</v>
      </c>
      <c r="F475" s="343">
        <v>0.377</v>
      </c>
      <c r="G475" s="76" t="s">
        <v>98</v>
      </c>
      <c r="H475" s="343">
        <v>0.31</v>
      </c>
      <c r="I475" s="76"/>
      <c r="J475" s="348"/>
    </row>
    <row r="476" spans="1:10">
      <c r="A476" s="344" t="s">
        <v>598</v>
      </c>
      <c r="B476" s="345" t="s">
        <v>641</v>
      </c>
      <c r="C476" s="76" t="s">
        <v>639</v>
      </c>
      <c r="D476" s="343">
        <v>1.05</v>
      </c>
      <c r="E476" s="76" t="s">
        <v>605</v>
      </c>
      <c r="F476" s="343">
        <v>0.45300000000000001</v>
      </c>
      <c r="G476" s="76" t="s">
        <v>100</v>
      </c>
      <c r="H476" s="343">
        <v>0.36199999999999999</v>
      </c>
      <c r="I476" s="76"/>
      <c r="J476" s="348"/>
    </row>
    <row r="477" spans="1:10">
      <c r="A477" s="344" t="s">
        <v>598</v>
      </c>
      <c r="B477" s="345" t="s">
        <v>642</v>
      </c>
      <c r="C477" s="76" t="s">
        <v>639</v>
      </c>
      <c r="D477" s="343">
        <v>1.05</v>
      </c>
      <c r="E477" s="76" t="s">
        <v>607</v>
      </c>
      <c r="F477" s="343">
        <v>0.52800000000000002</v>
      </c>
      <c r="G477" s="76" t="s">
        <v>102</v>
      </c>
      <c r="H477" s="343">
        <v>0.41499999999999998</v>
      </c>
      <c r="I477" s="76"/>
      <c r="J477" s="348"/>
    </row>
    <row r="478" spans="1:10">
      <c r="A478" s="344" t="s">
        <v>598</v>
      </c>
      <c r="B478" s="345" t="s">
        <v>643</v>
      </c>
      <c r="C478" s="76" t="s">
        <v>639</v>
      </c>
      <c r="D478" s="343">
        <v>1.05</v>
      </c>
      <c r="E478" s="76" t="s">
        <v>609</v>
      </c>
      <c r="F478" s="343">
        <v>0.67900000000000005</v>
      </c>
      <c r="G478" s="76" t="s">
        <v>104</v>
      </c>
      <c r="H478" s="343">
        <v>0.51900000000000002</v>
      </c>
      <c r="I478" s="76"/>
      <c r="J478" s="348"/>
    </row>
    <row r="479" spans="1:10">
      <c r="A479" s="344" t="s">
        <v>598</v>
      </c>
      <c r="B479" s="345" t="s">
        <v>644</v>
      </c>
      <c r="C479" s="76" t="s">
        <v>639</v>
      </c>
      <c r="D479" s="343">
        <v>1.05</v>
      </c>
      <c r="E479" s="76" t="s">
        <v>611</v>
      </c>
      <c r="F479" s="343">
        <v>0.754</v>
      </c>
      <c r="G479" s="76" t="s">
        <v>106</v>
      </c>
      <c r="H479" s="343">
        <v>0.57199999999999995</v>
      </c>
      <c r="I479" s="76"/>
      <c r="J479" s="348"/>
    </row>
    <row r="480" spans="1:10">
      <c r="A480" s="344" t="s">
        <v>598</v>
      </c>
      <c r="B480" s="345" t="s">
        <v>645</v>
      </c>
      <c r="C480" s="76" t="s">
        <v>639</v>
      </c>
      <c r="D480" s="343">
        <v>1.05</v>
      </c>
      <c r="E480" s="76" t="s">
        <v>613</v>
      </c>
      <c r="F480" s="343">
        <v>0.83</v>
      </c>
      <c r="G480" s="76" t="s">
        <v>108</v>
      </c>
      <c r="H480" s="343">
        <v>0.624</v>
      </c>
      <c r="I480" s="76"/>
      <c r="J480" s="348"/>
    </row>
    <row r="481" spans="1:10">
      <c r="A481" s="344" t="s">
        <v>598</v>
      </c>
      <c r="B481" s="345" t="s">
        <v>646</v>
      </c>
      <c r="C481" s="76" t="s">
        <v>647</v>
      </c>
      <c r="D481" s="343">
        <v>0.245</v>
      </c>
      <c r="E481" s="76" t="s">
        <v>648</v>
      </c>
      <c r="F481" s="343">
        <v>0.151</v>
      </c>
      <c r="G481" s="76" t="s">
        <v>112</v>
      </c>
      <c r="H481" s="343">
        <v>3.5999999999999997E-2</v>
      </c>
      <c r="I481" s="76"/>
      <c r="J481" s="348"/>
    </row>
    <row r="482" spans="1:10">
      <c r="A482" s="344" t="s">
        <v>598</v>
      </c>
      <c r="B482" s="345" t="s">
        <v>649</v>
      </c>
      <c r="C482" s="76" t="s">
        <v>650</v>
      </c>
      <c r="D482" s="343">
        <v>0.157</v>
      </c>
      <c r="E482" s="76" t="s">
        <v>651</v>
      </c>
      <c r="F482" s="343">
        <v>8.7999999999999995E-2</v>
      </c>
      <c r="G482" s="76" t="s">
        <v>116</v>
      </c>
      <c r="H482" s="343">
        <v>1.6E-2</v>
      </c>
      <c r="I482" s="76"/>
      <c r="J482" s="348"/>
    </row>
    <row r="483" spans="1:10">
      <c r="A483" s="344" t="s">
        <v>598</v>
      </c>
      <c r="B483" s="345" t="s">
        <v>599</v>
      </c>
      <c r="C483" s="76" t="s">
        <v>600</v>
      </c>
      <c r="D483" s="343">
        <v>8.6999999999999994E-2</v>
      </c>
      <c r="E483" s="76" t="s">
        <v>601</v>
      </c>
      <c r="F483" s="343">
        <v>0.30199999999999999</v>
      </c>
      <c r="G483" s="76" t="s">
        <v>12</v>
      </c>
      <c r="H483" s="343">
        <v>0.22</v>
      </c>
      <c r="I483" s="76"/>
      <c r="J483" s="348"/>
    </row>
    <row r="484" spans="1:10">
      <c r="A484" s="344" t="s">
        <v>598</v>
      </c>
      <c r="B484" s="345" t="s">
        <v>602</v>
      </c>
      <c r="C484" s="76" t="s">
        <v>600</v>
      </c>
      <c r="D484" s="343">
        <v>8.6999999999999994E-2</v>
      </c>
      <c r="E484" s="76" t="s">
        <v>603</v>
      </c>
      <c r="F484" s="343">
        <v>0.377</v>
      </c>
      <c r="G484" s="76" t="s">
        <v>16</v>
      </c>
      <c r="H484" s="343">
        <v>0.26500000000000001</v>
      </c>
      <c r="I484" s="76"/>
      <c r="J484" s="348"/>
    </row>
    <row r="485" spans="1:10">
      <c r="A485" s="344" t="s">
        <v>598</v>
      </c>
      <c r="B485" s="345" t="s">
        <v>604</v>
      </c>
      <c r="C485" s="76" t="s">
        <v>600</v>
      </c>
      <c r="D485" s="343">
        <v>8.6999999999999994E-2</v>
      </c>
      <c r="E485" s="76" t="s">
        <v>605</v>
      </c>
      <c r="F485" s="343">
        <v>0.45300000000000001</v>
      </c>
      <c r="G485" s="76" t="s">
        <v>22</v>
      </c>
      <c r="H485" s="343">
        <v>0.31</v>
      </c>
      <c r="I485" s="76"/>
      <c r="J485" s="348"/>
    </row>
    <row r="486" spans="1:10">
      <c r="A486" s="344" t="s">
        <v>598</v>
      </c>
      <c r="B486" s="345" t="s">
        <v>606</v>
      </c>
      <c r="C486" s="76" t="s">
        <v>600</v>
      </c>
      <c r="D486" s="343">
        <v>8.6999999999999994E-2</v>
      </c>
      <c r="E486" s="76" t="s">
        <v>607</v>
      </c>
      <c r="F486" s="343">
        <v>0.52800000000000002</v>
      </c>
      <c r="G486" s="76" t="s">
        <v>26</v>
      </c>
      <c r="H486" s="343">
        <v>0.35499999999999998</v>
      </c>
      <c r="I486" s="76"/>
      <c r="J486" s="348"/>
    </row>
    <row r="487" spans="1:10">
      <c r="A487" s="344" t="s">
        <v>598</v>
      </c>
      <c r="B487" s="345" t="s">
        <v>608</v>
      </c>
      <c r="C487" s="76" t="s">
        <v>600</v>
      </c>
      <c r="D487" s="343">
        <v>8.6999999999999994E-2</v>
      </c>
      <c r="E487" s="76" t="s">
        <v>609</v>
      </c>
      <c r="F487" s="343">
        <v>0.67900000000000005</v>
      </c>
      <c r="G487" s="76" t="s">
        <v>31</v>
      </c>
      <c r="H487" s="343">
        <v>0.44500000000000001</v>
      </c>
      <c r="I487" s="76"/>
      <c r="J487" s="348"/>
    </row>
    <row r="488" spans="1:10">
      <c r="A488" s="344" t="s">
        <v>598</v>
      </c>
      <c r="B488" s="345" t="s">
        <v>610</v>
      </c>
      <c r="C488" s="76" t="s">
        <v>600</v>
      </c>
      <c r="D488" s="343">
        <v>8.6999999999999994E-2</v>
      </c>
      <c r="E488" s="76" t="s">
        <v>611</v>
      </c>
      <c r="F488" s="343">
        <v>0.754</v>
      </c>
      <c r="G488" s="76" t="s">
        <v>35</v>
      </c>
      <c r="H488" s="343">
        <v>0.48899999999999999</v>
      </c>
      <c r="I488" s="76"/>
      <c r="J488" s="348"/>
    </row>
    <row r="489" spans="1:10">
      <c r="A489" s="344" t="s">
        <v>598</v>
      </c>
      <c r="B489" s="345" t="s">
        <v>612</v>
      </c>
      <c r="C489" s="76" t="s">
        <v>600</v>
      </c>
      <c r="D489" s="343">
        <v>8.6999999999999994E-2</v>
      </c>
      <c r="E489" s="76" t="s">
        <v>613</v>
      </c>
      <c r="F489" s="343">
        <v>0.83</v>
      </c>
      <c r="G489" s="76" t="s">
        <v>40</v>
      </c>
      <c r="H489" s="343">
        <v>0.53400000000000003</v>
      </c>
      <c r="I489" s="76"/>
      <c r="J489" s="348"/>
    </row>
    <row r="490" spans="1:10">
      <c r="A490" s="344" t="s">
        <v>598</v>
      </c>
      <c r="B490" s="345" t="s">
        <v>614</v>
      </c>
      <c r="C490" s="76" t="s">
        <v>615</v>
      </c>
      <c r="D490" s="343">
        <v>0.93700000000000006</v>
      </c>
      <c r="E490" s="76" t="s">
        <v>601</v>
      </c>
      <c r="F490" s="343">
        <v>0.30199999999999999</v>
      </c>
      <c r="G490" s="76" t="s">
        <v>45</v>
      </c>
      <c r="H490" s="343">
        <v>0.23</v>
      </c>
      <c r="I490" s="76"/>
      <c r="J490" s="348"/>
    </row>
    <row r="491" spans="1:10">
      <c r="A491" s="344" t="s">
        <v>598</v>
      </c>
      <c r="B491" s="345" t="s">
        <v>616</v>
      </c>
      <c r="C491" s="76" t="s">
        <v>615</v>
      </c>
      <c r="D491" s="343">
        <v>0.93700000000000006</v>
      </c>
      <c r="E491" s="76" t="s">
        <v>603</v>
      </c>
      <c r="F491" s="343">
        <v>0.377</v>
      </c>
      <c r="G491" s="76" t="s">
        <v>49</v>
      </c>
      <c r="H491" s="343">
        <v>0.27600000000000002</v>
      </c>
      <c r="I491" s="76"/>
      <c r="J491" s="348"/>
    </row>
    <row r="492" spans="1:10">
      <c r="A492" s="344" t="s">
        <v>598</v>
      </c>
      <c r="B492" s="345" t="s">
        <v>617</v>
      </c>
      <c r="C492" s="76" t="s">
        <v>615</v>
      </c>
      <c r="D492" s="343">
        <v>0.93700000000000006</v>
      </c>
      <c r="E492" s="76" t="s">
        <v>605</v>
      </c>
      <c r="F492" s="343">
        <v>0.45300000000000001</v>
      </c>
      <c r="G492" s="76" t="s">
        <v>52</v>
      </c>
      <c r="H492" s="343">
        <v>0.32300000000000001</v>
      </c>
      <c r="I492" s="76"/>
      <c r="J492" s="348"/>
    </row>
    <row r="493" spans="1:10">
      <c r="A493" s="344" t="s">
        <v>598</v>
      </c>
      <c r="B493" s="345" t="s">
        <v>618</v>
      </c>
      <c r="C493" s="76" t="s">
        <v>615</v>
      </c>
      <c r="D493" s="343">
        <v>0.93700000000000006</v>
      </c>
      <c r="E493" s="76" t="s">
        <v>607</v>
      </c>
      <c r="F493" s="343">
        <v>0.52800000000000002</v>
      </c>
      <c r="G493" s="76" t="s">
        <v>56</v>
      </c>
      <c r="H493" s="343">
        <v>0.37</v>
      </c>
      <c r="I493" s="76"/>
      <c r="J493" s="348"/>
    </row>
    <row r="494" spans="1:10">
      <c r="A494" s="344" t="s">
        <v>598</v>
      </c>
      <c r="B494" s="345" t="s">
        <v>619</v>
      </c>
      <c r="C494" s="76" t="s">
        <v>615</v>
      </c>
      <c r="D494" s="343">
        <v>0.93700000000000006</v>
      </c>
      <c r="E494" s="76" t="s">
        <v>609</v>
      </c>
      <c r="F494" s="343">
        <v>0.67900000000000005</v>
      </c>
      <c r="G494" s="76" t="s">
        <v>59</v>
      </c>
      <c r="H494" s="343">
        <v>0.46300000000000002</v>
      </c>
      <c r="I494" s="76"/>
      <c r="J494" s="348"/>
    </row>
    <row r="495" spans="1:10">
      <c r="A495" s="344" t="s">
        <v>598</v>
      </c>
      <c r="B495" s="345" t="s">
        <v>620</v>
      </c>
      <c r="C495" s="76" t="s">
        <v>615</v>
      </c>
      <c r="D495" s="343">
        <v>0.93700000000000006</v>
      </c>
      <c r="E495" s="76" t="s">
        <v>611</v>
      </c>
      <c r="F495" s="343">
        <v>0.754</v>
      </c>
      <c r="G495" s="76" t="s">
        <v>61</v>
      </c>
      <c r="H495" s="343">
        <v>0.51</v>
      </c>
      <c r="I495" s="76"/>
      <c r="J495" s="348"/>
    </row>
    <row r="496" spans="1:10">
      <c r="A496" s="344" t="s">
        <v>598</v>
      </c>
      <c r="B496" s="345" t="s">
        <v>621</v>
      </c>
      <c r="C496" s="76" t="s">
        <v>615</v>
      </c>
      <c r="D496" s="343">
        <v>0.93700000000000006</v>
      </c>
      <c r="E496" s="76" t="s">
        <v>613</v>
      </c>
      <c r="F496" s="343">
        <v>0.83</v>
      </c>
      <c r="G496" s="76" t="s">
        <v>63</v>
      </c>
      <c r="H496" s="343">
        <v>0.55700000000000005</v>
      </c>
      <c r="I496" s="76"/>
      <c r="J496" s="348"/>
    </row>
    <row r="497" spans="1:10">
      <c r="A497" s="344" t="s">
        <v>598</v>
      </c>
      <c r="B497" s="345" t="s">
        <v>622</v>
      </c>
      <c r="C497" s="76" t="s">
        <v>615</v>
      </c>
      <c r="D497" s="343">
        <v>0.93700000000000006</v>
      </c>
      <c r="E497" s="76" t="s">
        <v>601</v>
      </c>
      <c r="F497" s="343">
        <v>0.30199999999999999</v>
      </c>
      <c r="G497" s="76" t="s">
        <v>66</v>
      </c>
      <c r="H497" s="343">
        <v>0.23899999999999999</v>
      </c>
      <c r="I497" s="76"/>
      <c r="J497" s="348"/>
    </row>
    <row r="498" spans="1:10">
      <c r="A498" s="344" t="s">
        <v>598</v>
      </c>
      <c r="B498" s="345" t="s">
        <v>623</v>
      </c>
      <c r="C498" s="76" t="s">
        <v>624</v>
      </c>
      <c r="D498" s="343">
        <v>0.97399999999999998</v>
      </c>
      <c r="E498" s="76" t="s">
        <v>603</v>
      </c>
      <c r="F498" s="343">
        <v>0.377</v>
      </c>
      <c r="G498" s="76" t="s">
        <v>68</v>
      </c>
      <c r="H498" s="343">
        <v>0.28799999999999998</v>
      </c>
      <c r="I498" s="76"/>
      <c r="J498" s="348"/>
    </row>
    <row r="499" spans="1:10">
      <c r="A499" s="344" t="s">
        <v>598</v>
      </c>
      <c r="B499" s="345" t="s">
        <v>625</v>
      </c>
      <c r="C499" s="76" t="s">
        <v>624</v>
      </c>
      <c r="D499" s="343">
        <v>0.97399999999999998</v>
      </c>
      <c r="E499" s="76" t="s">
        <v>605</v>
      </c>
      <c r="F499" s="343">
        <v>0.45300000000000001</v>
      </c>
      <c r="G499" s="76" t="s">
        <v>70</v>
      </c>
      <c r="H499" s="343">
        <v>0.33600000000000002</v>
      </c>
      <c r="I499" s="76"/>
      <c r="J499" s="348"/>
    </row>
    <row r="500" spans="1:10">
      <c r="A500" s="344" t="s">
        <v>598</v>
      </c>
      <c r="B500" s="345" t="s">
        <v>626</v>
      </c>
      <c r="C500" s="76" t="s">
        <v>624</v>
      </c>
      <c r="D500" s="343">
        <v>0.97399999999999998</v>
      </c>
      <c r="E500" s="76" t="s">
        <v>607</v>
      </c>
      <c r="F500" s="343">
        <v>0.52800000000000002</v>
      </c>
      <c r="G500" s="76" t="s">
        <v>72</v>
      </c>
      <c r="H500" s="343">
        <v>0.38500000000000001</v>
      </c>
      <c r="I500" s="76"/>
      <c r="J500" s="348"/>
    </row>
    <row r="501" spans="1:10">
      <c r="A501" s="344" t="s">
        <v>598</v>
      </c>
      <c r="B501" s="345" t="s">
        <v>627</v>
      </c>
      <c r="C501" s="76" t="s">
        <v>624</v>
      </c>
      <c r="D501" s="343">
        <v>0.97399999999999998</v>
      </c>
      <c r="E501" s="76" t="s">
        <v>609</v>
      </c>
      <c r="F501" s="343">
        <v>0.67900000000000005</v>
      </c>
      <c r="G501" s="76" t="s">
        <v>74</v>
      </c>
      <c r="H501" s="343">
        <v>0.48199999999999998</v>
      </c>
      <c r="I501" s="76"/>
      <c r="J501" s="348"/>
    </row>
    <row r="502" spans="1:10">
      <c r="A502" s="344" t="s">
        <v>598</v>
      </c>
      <c r="B502" s="345" t="s">
        <v>628</v>
      </c>
      <c r="C502" s="76" t="s">
        <v>624</v>
      </c>
      <c r="D502" s="343">
        <v>0.97399999999999998</v>
      </c>
      <c r="E502" s="76" t="s">
        <v>611</v>
      </c>
      <c r="F502" s="343">
        <v>0.754</v>
      </c>
      <c r="G502" s="76" t="s">
        <v>76</v>
      </c>
      <c r="H502" s="343">
        <v>0.53100000000000003</v>
      </c>
      <c r="I502" s="76"/>
      <c r="J502" s="348"/>
    </row>
    <row r="503" spans="1:10">
      <c r="A503" s="344" t="s">
        <v>598</v>
      </c>
      <c r="B503" s="345" t="s">
        <v>629</v>
      </c>
      <c r="C503" s="76" t="s">
        <v>624</v>
      </c>
      <c r="D503" s="343">
        <v>0.97399999999999998</v>
      </c>
      <c r="E503" s="76" t="s">
        <v>613</v>
      </c>
      <c r="F503" s="343">
        <v>0.83</v>
      </c>
      <c r="G503" s="76" t="s">
        <v>78</v>
      </c>
      <c r="H503" s="343">
        <v>0.57899999999999996</v>
      </c>
      <c r="I503" s="76"/>
      <c r="J503" s="348"/>
    </row>
    <row r="504" spans="1:10">
      <c r="A504" s="344" t="s">
        <v>598</v>
      </c>
      <c r="B504" s="345" t="s">
        <v>630</v>
      </c>
      <c r="C504" s="76" t="s">
        <v>631</v>
      </c>
      <c r="D504" s="343">
        <v>1</v>
      </c>
      <c r="E504" s="76" t="s">
        <v>601</v>
      </c>
      <c r="F504" s="343">
        <v>0.30199999999999999</v>
      </c>
      <c r="G504" s="76" t="s">
        <v>81</v>
      </c>
      <c r="H504" s="343">
        <v>0.245</v>
      </c>
      <c r="I504" s="76"/>
      <c r="J504" s="348"/>
    </row>
    <row r="505" spans="1:10">
      <c r="A505" s="344" t="s">
        <v>598</v>
      </c>
      <c r="B505" s="345" t="s">
        <v>632</v>
      </c>
      <c r="C505" s="76" t="s">
        <v>631</v>
      </c>
      <c r="D505" s="343">
        <v>1</v>
      </c>
      <c r="E505" s="76" t="s">
        <v>603</v>
      </c>
      <c r="F505" s="343">
        <v>0.377</v>
      </c>
      <c r="G505" s="76" t="s">
        <v>83</v>
      </c>
      <c r="H505" s="343">
        <v>0.29499999999999998</v>
      </c>
      <c r="I505" s="76"/>
      <c r="J505" s="348"/>
    </row>
    <row r="506" spans="1:10">
      <c r="A506" s="344" t="s">
        <v>598</v>
      </c>
      <c r="B506" s="345" t="s">
        <v>633</v>
      </c>
      <c r="C506" s="76" t="s">
        <v>631</v>
      </c>
      <c r="D506" s="343">
        <v>1</v>
      </c>
      <c r="E506" s="76" t="s">
        <v>605</v>
      </c>
      <c r="F506" s="343">
        <v>0.45300000000000001</v>
      </c>
      <c r="G506" s="76" t="s">
        <v>85</v>
      </c>
      <c r="H506" s="343">
        <v>0.34499999999999997</v>
      </c>
      <c r="I506" s="76"/>
      <c r="J506" s="348"/>
    </row>
    <row r="507" spans="1:10">
      <c r="A507" s="344" t="s">
        <v>598</v>
      </c>
      <c r="B507" s="345" t="s">
        <v>634</v>
      </c>
      <c r="C507" s="76" t="s">
        <v>631</v>
      </c>
      <c r="D507" s="343">
        <v>1</v>
      </c>
      <c r="E507" s="76" t="s">
        <v>607</v>
      </c>
      <c r="F507" s="343">
        <v>0.52800000000000002</v>
      </c>
      <c r="G507" s="76" t="s">
        <v>87</v>
      </c>
      <c r="H507" s="343">
        <v>0.39500000000000002</v>
      </c>
      <c r="I507" s="76"/>
      <c r="J507" s="348"/>
    </row>
    <row r="508" spans="1:10">
      <c r="A508" s="344" t="s">
        <v>598</v>
      </c>
      <c r="B508" s="345" t="s">
        <v>635</v>
      </c>
      <c r="C508" s="76" t="s">
        <v>631</v>
      </c>
      <c r="D508" s="343">
        <v>1</v>
      </c>
      <c r="E508" s="76" t="s">
        <v>609</v>
      </c>
      <c r="F508" s="343">
        <v>0.67900000000000005</v>
      </c>
      <c r="G508" s="76" t="s">
        <v>89</v>
      </c>
      <c r="H508" s="343">
        <v>0.49399999999999999</v>
      </c>
      <c r="I508" s="76"/>
      <c r="J508" s="348"/>
    </row>
    <row r="509" spans="1:10">
      <c r="A509" s="344" t="s">
        <v>598</v>
      </c>
      <c r="B509" s="345" t="s">
        <v>636</v>
      </c>
      <c r="C509" s="76" t="s">
        <v>631</v>
      </c>
      <c r="D509" s="343">
        <v>1</v>
      </c>
      <c r="E509" s="76" t="s">
        <v>611</v>
      </c>
      <c r="F509" s="343">
        <v>0.754</v>
      </c>
      <c r="G509" s="76" t="s">
        <v>91</v>
      </c>
      <c r="H509" s="343">
        <v>0.54400000000000004</v>
      </c>
      <c r="I509" s="76"/>
      <c r="J509" s="348"/>
    </row>
    <row r="510" spans="1:10">
      <c r="A510" s="344" t="s">
        <v>598</v>
      </c>
      <c r="B510" s="345" t="s">
        <v>637</v>
      </c>
      <c r="C510" s="76" t="s">
        <v>631</v>
      </c>
      <c r="D510" s="343">
        <v>1</v>
      </c>
      <c r="E510" s="76" t="s">
        <v>613</v>
      </c>
      <c r="F510" s="343">
        <v>0.83</v>
      </c>
      <c r="G510" s="76" t="s">
        <v>93</v>
      </c>
      <c r="H510" s="343">
        <v>0.59399999999999997</v>
      </c>
      <c r="I510" s="76"/>
      <c r="J510" s="348"/>
    </row>
    <row r="511" spans="1:10">
      <c r="A511" s="344" t="s">
        <v>598</v>
      </c>
      <c r="B511" s="345" t="s">
        <v>638</v>
      </c>
      <c r="C511" s="76" t="s">
        <v>639</v>
      </c>
      <c r="D511" s="343">
        <v>1.05</v>
      </c>
      <c r="E511" s="76" t="s">
        <v>601</v>
      </c>
      <c r="F511" s="343">
        <v>0.30199999999999999</v>
      </c>
      <c r="G511" s="76" t="s">
        <v>96</v>
      </c>
      <c r="H511" s="343">
        <v>0.25700000000000001</v>
      </c>
      <c r="I511" s="76"/>
      <c r="J511" s="348"/>
    </row>
    <row r="512" spans="1:10">
      <c r="A512" s="344" t="s">
        <v>598</v>
      </c>
      <c r="B512" s="345" t="s">
        <v>640</v>
      </c>
      <c r="C512" s="76" t="s">
        <v>639</v>
      </c>
      <c r="D512" s="343">
        <v>1.05</v>
      </c>
      <c r="E512" s="76" t="s">
        <v>603</v>
      </c>
      <c r="F512" s="343">
        <v>0.377</v>
      </c>
      <c r="G512" s="76" t="s">
        <v>98</v>
      </c>
      <c r="H512" s="343">
        <v>0.31</v>
      </c>
      <c r="I512" s="76"/>
      <c r="J512" s="348"/>
    </row>
    <row r="513" spans="1:10">
      <c r="A513" s="344" t="s">
        <v>598</v>
      </c>
      <c r="B513" s="345" t="s">
        <v>641</v>
      </c>
      <c r="C513" s="76" t="s">
        <v>639</v>
      </c>
      <c r="D513" s="343">
        <v>1.05</v>
      </c>
      <c r="E513" s="76" t="s">
        <v>605</v>
      </c>
      <c r="F513" s="343">
        <v>0.45300000000000001</v>
      </c>
      <c r="G513" s="76" t="s">
        <v>100</v>
      </c>
      <c r="H513" s="343">
        <v>0.36199999999999999</v>
      </c>
      <c r="I513" s="76"/>
      <c r="J513" s="348"/>
    </row>
    <row r="514" spans="1:10">
      <c r="A514" s="344" t="s">
        <v>598</v>
      </c>
      <c r="B514" s="345" t="s">
        <v>642</v>
      </c>
      <c r="C514" s="76" t="s">
        <v>639</v>
      </c>
      <c r="D514" s="343">
        <v>1.05</v>
      </c>
      <c r="E514" s="76" t="s">
        <v>607</v>
      </c>
      <c r="F514" s="343">
        <v>0.52800000000000002</v>
      </c>
      <c r="G514" s="76" t="s">
        <v>102</v>
      </c>
      <c r="H514" s="343">
        <v>0.41499999999999998</v>
      </c>
      <c r="I514" s="76"/>
      <c r="J514" s="348"/>
    </row>
    <row r="515" spans="1:10">
      <c r="A515" s="344" t="s">
        <v>598</v>
      </c>
      <c r="B515" s="345" t="s">
        <v>643</v>
      </c>
      <c r="C515" s="76" t="s">
        <v>639</v>
      </c>
      <c r="D515" s="343">
        <v>1.05</v>
      </c>
      <c r="E515" s="76" t="s">
        <v>609</v>
      </c>
      <c r="F515" s="343">
        <v>0.67900000000000005</v>
      </c>
      <c r="G515" s="76" t="s">
        <v>104</v>
      </c>
      <c r="H515" s="343">
        <v>0.51900000000000002</v>
      </c>
      <c r="I515" s="76"/>
      <c r="J515" s="348"/>
    </row>
    <row r="516" spans="1:10">
      <c r="A516" s="344" t="s">
        <v>598</v>
      </c>
      <c r="B516" s="345" t="s">
        <v>644</v>
      </c>
      <c r="C516" s="76" t="s">
        <v>639</v>
      </c>
      <c r="D516" s="343">
        <v>1.05</v>
      </c>
      <c r="E516" s="76" t="s">
        <v>611</v>
      </c>
      <c r="F516" s="343">
        <v>0.754</v>
      </c>
      <c r="G516" s="76" t="s">
        <v>106</v>
      </c>
      <c r="H516" s="343">
        <v>0.57199999999999995</v>
      </c>
      <c r="I516" s="76"/>
      <c r="J516" s="348"/>
    </row>
    <row r="517" spans="1:10">
      <c r="A517" s="344" t="s">
        <v>598</v>
      </c>
      <c r="B517" s="345" t="s">
        <v>645</v>
      </c>
      <c r="C517" s="76" t="s">
        <v>639</v>
      </c>
      <c r="D517" s="343">
        <v>1.05</v>
      </c>
      <c r="E517" s="76" t="s">
        <v>613</v>
      </c>
      <c r="F517" s="343">
        <v>0.83</v>
      </c>
      <c r="G517" s="76" t="s">
        <v>108</v>
      </c>
      <c r="H517" s="343">
        <v>0.624</v>
      </c>
      <c r="I517" s="76"/>
      <c r="J517" s="348"/>
    </row>
    <row r="518" spans="1:10">
      <c r="A518" s="344" t="s">
        <v>598</v>
      </c>
      <c r="B518" s="345" t="s">
        <v>646</v>
      </c>
      <c r="C518" s="76" t="s">
        <v>647</v>
      </c>
      <c r="D518" s="343">
        <v>0.245</v>
      </c>
      <c r="E518" s="76" t="s">
        <v>648</v>
      </c>
      <c r="F518" s="343">
        <v>0.151</v>
      </c>
      <c r="G518" s="76" t="s">
        <v>112</v>
      </c>
      <c r="H518" s="343">
        <v>3.5999999999999997E-2</v>
      </c>
      <c r="I518" s="76"/>
      <c r="J518" s="348"/>
    </row>
    <row r="519" spans="1:10">
      <c r="A519" s="344" t="s">
        <v>598</v>
      </c>
      <c r="B519" s="345" t="s">
        <v>649</v>
      </c>
      <c r="C519" s="76" t="s">
        <v>650</v>
      </c>
      <c r="D519" s="343">
        <v>0.157</v>
      </c>
      <c r="E519" s="76" t="s">
        <v>651</v>
      </c>
      <c r="F519" s="343">
        <v>8.7999999999999995E-2</v>
      </c>
      <c r="G519" s="76" t="s">
        <v>116</v>
      </c>
      <c r="H519" s="343">
        <v>1.6E-2</v>
      </c>
      <c r="I519" s="76"/>
      <c r="J519" s="348"/>
    </row>
    <row r="520" spans="1:10">
      <c r="A520" s="344" t="s">
        <v>652</v>
      </c>
      <c r="B520" s="345" t="s">
        <v>653</v>
      </c>
      <c r="C520" s="76" t="s">
        <v>654</v>
      </c>
      <c r="D520" s="343">
        <v>0.627</v>
      </c>
      <c r="E520" s="76" t="s">
        <v>655</v>
      </c>
      <c r="F520" s="343">
        <v>0.21</v>
      </c>
      <c r="G520" s="76" t="s">
        <v>656</v>
      </c>
      <c r="H520" s="343">
        <v>0.435</v>
      </c>
      <c r="I520" s="76"/>
      <c r="J520" s="348"/>
    </row>
    <row r="521" spans="1:10">
      <c r="A521" s="344" t="s">
        <v>652</v>
      </c>
      <c r="B521" s="345" t="s">
        <v>657</v>
      </c>
      <c r="C521" s="76" t="s">
        <v>654</v>
      </c>
      <c r="D521" s="343">
        <v>0.627</v>
      </c>
      <c r="E521" s="76" t="s">
        <v>658</v>
      </c>
      <c r="F521" s="343">
        <v>0.26300000000000001</v>
      </c>
      <c r="G521" s="76" t="s">
        <v>659</v>
      </c>
      <c r="H521" s="343">
        <v>0.52400000000000002</v>
      </c>
      <c r="I521" s="76"/>
      <c r="J521" s="348"/>
    </row>
    <row r="522" spans="1:10">
      <c r="A522" s="344" t="s">
        <v>652</v>
      </c>
      <c r="B522" s="345" t="s">
        <v>660</v>
      </c>
      <c r="C522" s="76" t="s">
        <v>654</v>
      </c>
      <c r="D522" s="343">
        <v>0.627</v>
      </c>
      <c r="E522" s="76" t="s">
        <v>661</v>
      </c>
      <c r="F522" s="343">
        <v>0.315</v>
      </c>
      <c r="G522" s="76" t="s">
        <v>662</v>
      </c>
      <c r="H522" s="343">
        <v>0.61299999999999999</v>
      </c>
      <c r="I522" s="76"/>
      <c r="J522" s="348"/>
    </row>
    <row r="523" spans="1:10">
      <c r="A523" s="344" t="s">
        <v>652</v>
      </c>
      <c r="B523" s="345" t="s">
        <v>663</v>
      </c>
      <c r="C523" s="76" t="s">
        <v>654</v>
      </c>
      <c r="D523" s="343">
        <v>0.627</v>
      </c>
      <c r="E523" s="76" t="s">
        <v>664</v>
      </c>
      <c r="F523" s="343">
        <v>0.36799999999999999</v>
      </c>
      <c r="G523" s="76" t="s">
        <v>665</v>
      </c>
      <c r="H523" s="343">
        <v>0.70099999999999996</v>
      </c>
      <c r="I523" s="76"/>
      <c r="J523" s="348"/>
    </row>
    <row r="524" spans="1:10">
      <c r="A524" s="344" t="s">
        <v>652</v>
      </c>
      <c r="B524" s="345" t="s">
        <v>666</v>
      </c>
      <c r="C524" s="76" t="s">
        <v>654</v>
      </c>
      <c r="D524" s="343">
        <v>0.627</v>
      </c>
      <c r="E524" s="76" t="s">
        <v>667</v>
      </c>
      <c r="F524" s="343">
        <v>0.47299999999999998</v>
      </c>
      <c r="G524" s="76" t="s">
        <v>668</v>
      </c>
      <c r="H524" s="343">
        <v>0.878</v>
      </c>
      <c r="I524" s="76"/>
      <c r="J524" s="348"/>
    </row>
    <row r="525" spans="1:10">
      <c r="A525" s="344" t="s">
        <v>652</v>
      </c>
      <c r="B525" s="345" t="s">
        <v>669</v>
      </c>
      <c r="C525" s="76" t="s">
        <v>654</v>
      </c>
      <c r="D525" s="343">
        <v>0.627</v>
      </c>
      <c r="E525" s="76" t="s">
        <v>670</v>
      </c>
      <c r="F525" s="343">
        <v>0.52600000000000002</v>
      </c>
      <c r="G525" s="76" t="s">
        <v>671</v>
      </c>
      <c r="H525" s="343">
        <v>0.96699999999999997</v>
      </c>
      <c r="I525" s="76"/>
      <c r="J525" s="348"/>
    </row>
    <row r="526" spans="1:10">
      <c r="A526" s="344" t="s">
        <v>652</v>
      </c>
      <c r="B526" s="345" t="s">
        <v>672</v>
      </c>
      <c r="C526" s="76" t="s">
        <v>654</v>
      </c>
      <c r="D526" s="343">
        <v>0.627</v>
      </c>
      <c r="E526" s="76" t="s">
        <v>673</v>
      </c>
      <c r="F526" s="343">
        <v>0.57799999999999996</v>
      </c>
      <c r="G526" s="76" t="s">
        <v>674</v>
      </c>
      <c r="H526" s="343">
        <v>1.0549999999999999</v>
      </c>
      <c r="I526" s="76"/>
      <c r="J526" s="348"/>
    </row>
    <row r="527" spans="1:10">
      <c r="A527" s="344" t="s">
        <v>652</v>
      </c>
      <c r="B527" s="345" t="s">
        <v>675</v>
      </c>
      <c r="C527" s="76" t="s">
        <v>676</v>
      </c>
      <c r="D527" s="343">
        <v>0.65300000000000002</v>
      </c>
      <c r="E527" s="76" t="s">
        <v>655</v>
      </c>
      <c r="F527" s="343">
        <v>0.21</v>
      </c>
      <c r="G527" s="76" t="s">
        <v>677</v>
      </c>
      <c r="H527" s="343">
        <v>0.45400000000000001</v>
      </c>
      <c r="I527" s="76"/>
      <c r="J527" s="348"/>
    </row>
    <row r="528" spans="1:10">
      <c r="A528" s="344" t="s">
        <v>652</v>
      </c>
      <c r="B528" s="345" t="s">
        <v>678</v>
      </c>
      <c r="C528" s="76" t="s">
        <v>676</v>
      </c>
      <c r="D528" s="343">
        <v>0.65300000000000002</v>
      </c>
      <c r="E528" s="76" t="s">
        <v>658</v>
      </c>
      <c r="F528" s="343">
        <v>0.26300000000000001</v>
      </c>
      <c r="G528" s="76" t="s">
        <v>679</v>
      </c>
      <c r="H528" s="343">
        <v>0.54600000000000004</v>
      </c>
      <c r="I528" s="76"/>
      <c r="J528" s="348"/>
    </row>
    <row r="529" spans="1:10">
      <c r="A529" s="344" t="s">
        <v>652</v>
      </c>
      <c r="B529" s="345" t="s">
        <v>680</v>
      </c>
      <c r="C529" s="76" t="s">
        <v>676</v>
      </c>
      <c r="D529" s="343">
        <v>0.65300000000000002</v>
      </c>
      <c r="E529" s="76" t="s">
        <v>661</v>
      </c>
      <c r="F529" s="343">
        <v>0.315</v>
      </c>
      <c r="G529" s="76" t="s">
        <v>681</v>
      </c>
      <c r="H529" s="343">
        <v>0.63800000000000001</v>
      </c>
      <c r="I529" s="76"/>
      <c r="J529" s="348"/>
    </row>
    <row r="530" spans="1:10">
      <c r="A530" s="344" t="s">
        <v>652</v>
      </c>
      <c r="B530" s="345" t="s">
        <v>682</v>
      </c>
      <c r="C530" s="76" t="s">
        <v>676</v>
      </c>
      <c r="D530" s="343">
        <v>0.65300000000000002</v>
      </c>
      <c r="E530" s="76" t="s">
        <v>664</v>
      </c>
      <c r="F530" s="343">
        <v>0.36799999999999999</v>
      </c>
      <c r="G530" s="76" t="s">
        <v>683</v>
      </c>
      <c r="H530" s="343">
        <v>0.73099999999999998</v>
      </c>
      <c r="I530" s="76"/>
      <c r="J530" s="348"/>
    </row>
    <row r="531" spans="1:10">
      <c r="A531" s="344" t="s">
        <v>652</v>
      </c>
      <c r="B531" s="345" t="s">
        <v>684</v>
      </c>
      <c r="C531" s="76" t="s">
        <v>676</v>
      </c>
      <c r="D531" s="343">
        <v>0.65300000000000002</v>
      </c>
      <c r="E531" s="76" t="s">
        <v>667</v>
      </c>
      <c r="F531" s="343">
        <v>0.47299999999999998</v>
      </c>
      <c r="G531" s="76" t="s">
        <v>685</v>
      </c>
      <c r="H531" s="343">
        <v>0.91500000000000004</v>
      </c>
      <c r="I531" s="76"/>
      <c r="J531" s="348"/>
    </row>
    <row r="532" spans="1:10">
      <c r="A532" s="344" t="s">
        <v>652</v>
      </c>
      <c r="B532" s="345" t="s">
        <v>686</v>
      </c>
      <c r="C532" s="76" t="s">
        <v>676</v>
      </c>
      <c r="D532" s="343">
        <v>0.65300000000000002</v>
      </c>
      <c r="E532" s="76" t="s">
        <v>670</v>
      </c>
      <c r="F532" s="343">
        <v>0.52600000000000002</v>
      </c>
      <c r="G532" s="76" t="s">
        <v>687</v>
      </c>
      <c r="H532" s="343">
        <v>1.0069999999999999</v>
      </c>
      <c r="I532" s="76"/>
      <c r="J532" s="348"/>
    </row>
    <row r="533" spans="1:10">
      <c r="A533" s="344" t="s">
        <v>652</v>
      </c>
      <c r="B533" s="345" t="s">
        <v>688</v>
      </c>
      <c r="C533" s="76" t="s">
        <v>676</v>
      </c>
      <c r="D533" s="343">
        <v>0.65300000000000002</v>
      </c>
      <c r="E533" s="76" t="s">
        <v>673</v>
      </c>
      <c r="F533" s="343">
        <v>0.57799999999999996</v>
      </c>
      <c r="G533" s="76" t="s">
        <v>689</v>
      </c>
      <c r="H533" s="343">
        <v>1.1000000000000001</v>
      </c>
      <c r="I533" s="76"/>
      <c r="J533" s="348"/>
    </row>
    <row r="534" spans="1:10">
      <c r="A534" s="344" t="s">
        <v>652</v>
      </c>
      <c r="B534" s="345" t="s">
        <v>690</v>
      </c>
      <c r="C534" s="76" t="s">
        <v>691</v>
      </c>
      <c r="D534" s="343">
        <v>0.67900000000000005</v>
      </c>
      <c r="E534" s="76" t="s">
        <v>655</v>
      </c>
      <c r="F534" s="343">
        <v>0.21</v>
      </c>
      <c r="G534" s="76" t="s">
        <v>692</v>
      </c>
      <c r="H534" s="343">
        <v>0.47199999999999998</v>
      </c>
      <c r="I534" s="76"/>
      <c r="J534" s="348"/>
    </row>
    <row r="535" spans="1:10">
      <c r="A535" s="344" t="s">
        <v>652</v>
      </c>
      <c r="B535" s="345" t="s">
        <v>693</v>
      </c>
      <c r="C535" s="76" t="s">
        <v>691</v>
      </c>
      <c r="D535" s="343">
        <v>0.67900000000000005</v>
      </c>
      <c r="E535" s="76" t="s">
        <v>658</v>
      </c>
      <c r="F535" s="343">
        <v>0.26300000000000001</v>
      </c>
      <c r="G535" s="76" t="s">
        <v>694</v>
      </c>
      <c r="H535" s="343">
        <v>0.56799999999999995</v>
      </c>
      <c r="I535" s="76"/>
      <c r="J535" s="348"/>
    </row>
    <row r="536" spans="1:10">
      <c r="A536" s="344" t="s">
        <v>652</v>
      </c>
      <c r="B536" s="345" t="s">
        <v>695</v>
      </c>
      <c r="C536" s="76" t="s">
        <v>691</v>
      </c>
      <c r="D536" s="343">
        <v>0.67900000000000005</v>
      </c>
      <c r="E536" s="76" t="s">
        <v>661</v>
      </c>
      <c r="F536" s="343">
        <v>0.315</v>
      </c>
      <c r="G536" s="76" t="s">
        <v>696</v>
      </c>
      <c r="H536" s="343">
        <v>0.66400000000000003</v>
      </c>
      <c r="I536" s="76"/>
      <c r="J536" s="348"/>
    </row>
    <row r="537" spans="1:10">
      <c r="A537" s="344" t="s">
        <v>652</v>
      </c>
      <c r="B537" s="345" t="s">
        <v>697</v>
      </c>
      <c r="C537" s="76" t="s">
        <v>691</v>
      </c>
      <c r="D537" s="343">
        <v>0.67900000000000005</v>
      </c>
      <c r="E537" s="76" t="s">
        <v>664</v>
      </c>
      <c r="F537" s="343">
        <v>0.36799999999999999</v>
      </c>
      <c r="G537" s="76" t="s">
        <v>698</v>
      </c>
      <c r="H537" s="343">
        <v>0.76</v>
      </c>
      <c r="I537" s="76"/>
      <c r="J537" s="348"/>
    </row>
    <row r="538" spans="1:10">
      <c r="A538" s="344" t="s">
        <v>652</v>
      </c>
      <c r="B538" s="345" t="s">
        <v>699</v>
      </c>
      <c r="C538" s="76" t="s">
        <v>691</v>
      </c>
      <c r="D538" s="343">
        <v>0.67900000000000005</v>
      </c>
      <c r="E538" s="76" t="s">
        <v>667</v>
      </c>
      <c r="F538" s="343">
        <v>0.47299999999999998</v>
      </c>
      <c r="G538" s="76" t="s">
        <v>700</v>
      </c>
      <c r="H538" s="343">
        <v>0.95199999999999996</v>
      </c>
      <c r="I538" s="76"/>
      <c r="J538" s="348"/>
    </row>
    <row r="539" spans="1:10">
      <c r="A539" s="344" t="s">
        <v>652</v>
      </c>
      <c r="B539" s="345" t="s">
        <v>701</v>
      </c>
      <c r="C539" s="76" t="s">
        <v>691</v>
      </c>
      <c r="D539" s="343">
        <v>0.67900000000000005</v>
      </c>
      <c r="E539" s="76" t="s">
        <v>670</v>
      </c>
      <c r="F539" s="343">
        <v>0.52600000000000002</v>
      </c>
      <c r="G539" s="76" t="s">
        <v>702</v>
      </c>
      <c r="H539" s="343">
        <v>1.048</v>
      </c>
      <c r="I539" s="76"/>
      <c r="J539" s="348"/>
    </row>
    <row r="540" spans="1:10">
      <c r="A540" s="344" t="s">
        <v>652</v>
      </c>
      <c r="B540" s="345" t="s">
        <v>703</v>
      </c>
      <c r="C540" s="76" t="s">
        <v>691</v>
      </c>
      <c r="D540" s="343">
        <v>0.67900000000000005</v>
      </c>
      <c r="E540" s="76" t="s">
        <v>673</v>
      </c>
      <c r="F540" s="343">
        <v>0.57799999999999996</v>
      </c>
      <c r="G540" s="76" t="s">
        <v>704</v>
      </c>
      <c r="H540" s="343">
        <v>1.1439999999999999</v>
      </c>
      <c r="I540" s="76"/>
      <c r="J540" s="348"/>
    </row>
    <row r="541" spans="1:10">
      <c r="A541" s="344" t="s">
        <v>652</v>
      </c>
      <c r="B541" s="345" t="s">
        <v>705</v>
      </c>
      <c r="C541" s="76" t="s">
        <v>706</v>
      </c>
      <c r="D541" s="343">
        <v>0.69699999999999995</v>
      </c>
      <c r="E541" s="76" t="s">
        <v>655</v>
      </c>
      <c r="F541" s="343">
        <v>0.21</v>
      </c>
      <c r="G541" s="76" t="s">
        <v>707</v>
      </c>
      <c r="H541" s="343">
        <v>0.48399999999999999</v>
      </c>
      <c r="I541" s="76"/>
      <c r="J541" s="348"/>
    </row>
    <row r="542" spans="1:10">
      <c r="A542" s="344" t="s">
        <v>652</v>
      </c>
      <c r="B542" s="345" t="s">
        <v>708</v>
      </c>
      <c r="C542" s="76" t="s">
        <v>706</v>
      </c>
      <c r="D542" s="343">
        <v>0.69699999999999995</v>
      </c>
      <c r="E542" s="76" t="s">
        <v>658</v>
      </c>
      <c r="F542" s="343">
        <v>0.26300000000000001</v>
      </c>
      <c r="G542" s="76" t="s">
        <v>709</v>
      </c>
      <c r="H542" s="343">
        <v>0.58299999999999996</v>
      </c>
      <c r="I542" s="76"/>
      <c r="J542" s="348"/>
    </row>
    <row r="543" spans="1:10">
      <c r="A543" s="344" t="s">
        <v>652</v>
      </c>
      <c r="B543" s="345" t="s">
        <v>710</v>
      </c>
      <c r="C543" s="76" t="s">
        <v>706</v>
      </c>
      <c r="D543" s="343">
        <v>0.69699999999999995</v>
      </c>
      <c r="E543" s="76" t="s">
        <v>661</v>
      </c>
      <c r="F543" s="343">
        <v>0.315</v>
      </c>
      <c r="G543" s="76" t="s">
        <v>711</v>
      </c>
      <c r="H543" s="343">
        <v>0.68100000000000005</v>
      </c>
      <c r="I543" s="76"/>
      <c r="J543" s="348"/>
    </row>
    <row r="544" spans="1:10">
      <c r="A544" s="344" t="s">
        <v>652</v>
      </c>
      <c r="B544" s="345" t="s">
        <v>712</v>
      </c>
      <c r="C544" s="76" t="s">
        <v>706</v>
      </c>
      <c r="D544" s="343">
        <v>0.69699999999999995</v>
      </c>
      <c r="E544" s="76" t="s">
        <v>664</v>
      </c>
      <c r="F544" s="343">
        <v>0.36799999999999999</v>
      </c>
      <c r="G544" s="76" t="s">
        <v>713</v>
      </c>
      <c r="H544" s="343">
        <v>0.78</v>
      </c>
      <c r="I544" s="76"/>
      <c r="J544" s="348"/>
    </row>
    <row r="545" spans="1:10">
      <c r="A545" s="344" t="s">
        <v>652</v>
      </c>
      <c r="B545" s="345" t="s">
        <v>714</v>
      </c>
      <c r="C545" s="76" t="s">
        <v>706</v>
      </c>
      <c r="D545" s="343">
        <v>0.69699999999999995</v>
      </c>
      <c r="E545" s="76" t="s">
        <v>667</v>
      </c>
      <c r="F545" s="343">
        <v>0.47299999999999998</v>
      </c>
      <c r="G545" s="76" t="s">
        <v>715</v>
      </c>
      <c r="H545" s="343">
        <v>0.97699999999999998</v>
      </c>
      <c r="I545" s="76"/>
      <c r="J545" s="348"/>
    </row>
    <row r="546" spans="1:10">
      <c r="A546" s="344" t="s">
        <v>652</v>
      </c>
      <c r="B546" s="345" t="s">
        <v>716</v>
      </c>
      <c r="C546" s="76" t="s">
        <v>706</v>
      </c>
      <c r="D546" s="343">
        <v>0.69699999999999995</v>
      </c>
      <c r="E546" s="76" t="s">
        <v>670</v>
      </c>
      <c r="F546" s="343">
        <v>0.52600000000000002</v>
      </c>
      <c r="G546" s="76" t="s">
        <v>717</v>
      </c>
      <c r="H546" s="343">
        <v>1.075</v>
      </c>
      <c r="I546" s="76"/>
      <c r="J546" s="348"/>
    </row>
    <row r="547" spans="1:10">
      <c r="A547" s="344" t="s">
        <v>652</v>
      </c>
      <c r="B547" s="345" t="s">
        <v>718</v>
      </c>
      <c r="C547" s="76" t="s">
        <v>706</v>
      </c>
      <c r="D547" s="343">
        <v>0.69699999999999995</v>
      </c>
      <c r="E547" s="76" t="s">
        <v>673</v>
      </c>
      <c r="F547" s="343">
        <v>0.57799999999999996</v>
      </c>
      <c r="G547" s="76" t="s">
        <v>719</v>
      </c>
      <c r="H547" s="343">
        <v>1.1739999999999999</v>
      </c>
      <c r="I547" s="76"/>
      <c r="J547" s="348"/>
    </row>
    <row r="548" spans="1:10">
      <c r="A548" s="344" t="s">
        <v>652</v>
      </c>
      <c r="B548" s="345" t="s">
        <v>720</v>
      </c>
      <c r="C548" s="76" t="s">
        <v>721</v>
      </c>
      <c r="D548" s="343">
        <v>0.73199999999999998</v>
      </c>
      <c r="E548" s="76" t="s">
        <v>655</v>
      </c>
      <c r="F548" s="343">
        <v>0.21</v>
      </c>
      <c r="G548" s="76" t="s">
        <v>722</v>
      </c>
      <c r="H548" s="343">
        <v>0.50900000000000001</v>
      </c>
      <c r="I548" s="76"/>
      <c r="J548" s="348"/>
    </row>
    <row r="549" spans="1:10">
      <c r="A549" s="344" t="s">
        <v>652</v>
      </c>
      <c r="B549" s="345" t="s">
        <v>723</v>
      </c>
      <c r="C549" s="76" t="s">
        <v>721</v>
      </c>
      <c r="D549" s="343">
        <v>0.73199999999999998</v>
      </c>
      <c r="E549" s="76" t="s">
        <v>658</v>
      </c>
      <c r="F549" s="343">
        <v>0.26300000000000001</v>
      </c>
      <c r="G549" s="76" t="s">
        <v>724</v>
      </c>
      <c r="H549" s="343">
        <v>0.61199999999999999</v>
      </c>
      <c r="I549" s="76"/>
      <c r="J549" s="348"/>
    </row>
    <row r="550" spans="1:10">
      <c r="A550" s="344" t="s">
        <v>652</v>
      </c>
      <c r="B550" s="345" t="s">
        <v>725</v>
      </c>
      <c r="C550" s="76" t="s">
        <v>721</v>
      </c>
      <c r="D550" s="343">
        <v>0.73199999999999998</v>
      </c>
      <c r="E550" s="76" t="s">
        <v>661</v>
      </c>
      <c r="F550" s="343">
        <v>0.315</v>
      </c>
      <c r="G550" s="76" t="s">
        <v>726</v>
      </c>
      <c r="H550" s="343">
        <v>0.71499999999999997</v>
      </c>
      <c r="I550" s="76"/>
      <c r="J550" s="348"/>
    </row>
    <row r="551" spans="1:10">
      <c r="A551" s="344" t="s">
        <v>652</v>
      </c>
      <c r="B551" s="345" t="s">
        <v>727</v>
      </c>
      <c r="C551" s="76" t="s">
        <v>721</v>
      </c>
      <c r="D551" s="343">
        <v>0.73199999999999998</v>
      </c>
      <c r="E551" s="76" t="s">
        <v>664</v>
      </c>
      <c r="F551" s="343">
        <v>0.36799999999999999</v>
      </c>
      <c r="G551" s="76" t="s">
        <v>728</v>
      </c>
      <c r="H551" s="343">
        <v>0.81899999999999995</v>
      </c>
      <c r="I551" s="76"/>
      <c r="J551" s="348"/>
    </row>
    <row r="552" spans="1:10">
      <c r="A552" s="344" t="s">
        <v>652</v>
      </c>
      <c r="B552" s="345" t="s">
        <v>729</v>
      </c>
      <c r="C552" s="76" t="s">
        <v>721</v>
      </c>
      <c r="D552" s="343">
        <v>0.73199999999999998</v>
      </c>
      <c r="E552" s="76" t="s">
        <v>667</v>
      </c>
      <c r="F552" s="343">
        <v>0.47299999999999998</v>
      </c>
      <c r="G552" s="76" t="s">
        <v>730</v>
      </c>
      <c r="H552" s="343">
        <v>1.026</v>
      </c>
      <c r="I552" s="76"/>
      <c r="J552" s="348"/>
    </row>
    <row r="553" spans="1:10">
      <c r="A553" s="344" t="s">
        <v>652</v>
      </c>
      <c r="B553" s="345" t="s">
        <v>731</v>
      </c>
      <c r="C553" s="76" t="s">
        <v>721</v>
      </c>
      <c r="D553" s="343">
        <v>0.73199999999999998</v>
      </c>
      <c r="E553" s="76" t="s">
        <v>670</v>
      </c>
      <c r="F553" s="343">
        <v>0.52600000000000002</v>
      </c>
      <c r="G553" s="76" t="s">
        <v>732</v>
      </c>
      <c r="H553" s="343">
        <v>1.129</v>
      </c>
      <c r="I553" s="76"/>
      <c r="J553" s="348"/>
    </row>
    <row r="554" spans="1:10">
      <c r="A554" s="344" t="s">
        <v>652</v>
      </c>
      <c r="B554" s="345" t="s">
        <v>733</v>
      </c>
      <c r="C554" s="76" t="s">
        <v>721</v>
      </c>
      <c r="D554" s="343">
        <v>0.73199999999999998</v>
      </c>
      <c r="E554" s="76" t="s">
        <v>673</v>
      </c>
      <c r="F554" s="343">
        <v>0.57799999999999996</v>
      </c>
      <c r="G554" s="76" t="s">
        <v>734</v>
      </c>
      <c r="H554" s="343">
        <v>1.2330000000000001</v>
      </c>
      <c r="I554" s="76"/>
      <c r="J554" s="348"/>
    </row>
    <row r="555" spans="1:10">
      <c r="A555" s="344" t="s">
        <v>652</v>
      </c>
      <c r="B555" s="345" t="s">
        <v>735</v>
      </c>
      <c r="C555" s="76" t="s">
        <v>736</v>
      </c>
      <c r="D555" s="343">
        <v>0.17100000000000001</v>
      </c>
      <c r="E555" s="76" t="s">
        <v>737</v>
      </c>
      <c r="F555" s="343">
        <v>0.105</v>
      </c>
      <c r="G555" s="76" t="s">
        <v>738</v>
      </c>
      <c r="H555" s="343"/>
      <c r="I555" s="76"/>
      <c r="J555" s="348"/>
    </row>
    <row r="556" spans="1:10">
      <c r="A556" s="344" t="s">
        <v>652</v>
      </c>
      <c r="B556" s="345" t="s">
        <v>739</v>
      </c>
      <c r="C556" s="76" t="s">
        <v>740</v>
      </c>
      <c r="D556" s="343">
        <v>0.11</v>
      </c>
      <c r="E556" s="76" t="s">
        <v>741</v>
      </c>
      <c r="F556" s="343">
        <v>6.0999999999999999E-2</v>
      </c>
      <c r="G556" s="76" t="s">
        <v>742</v>
      </c>
      <c r="H556" s="343">
        <v>3.2000000000000001E-2</v>
      </c>
      <c r="I556" s="76"/>
      <c r="J556" s="348"/>
    </row>
    <row r="557" spans="1:10">
      <c r="A557" s="344" t="s">
        <v>743</v>
      </c>
      <c r="B557" s="345" t="s">
        <v>744</v>
      </c>
      <c r="C557" s="76" t="s">
        <v>745</v>
      </c>
      <c r="D557" s="343">
        <v>0.79</v>
      </c>
      <c r="E557" s="76" t="s">
        <v>746</v>
      </c>
      <c r="F557" s="343">
        <v>0.26500000000000001</v>
      </c>
      <c r="G557" s="76" t="s">
        <v>747</v>
      </c>
      <c r="H557" s="343">
        <v>0.871</v>
      </c>
      <c r="I557" s="76"/>
      <c r="J557" s="348"/>
    </row>
    <row r="558" spans="1:10">
      <c r="A558" s="344" t="s">
        <v>743</v>
      </c>
      <c r="B558" s="345" t="s">
        <v>748</v>
      </c>
      <c r="C558" s="76" t="s">
        <v>745</v>
      </c>
      <c r="D558" s="343">
        <v>0.79</v>
      </c>
      <c r="E558" s="76" t="s">
        <v>749</v>
      </c>
      <c r="F558" s="343">
        <v>0.33100000000000002</v>
      </c>
      <c r="G558" s="76" t="s">
        <v>750</v>
      </c>
      <c r="H558" s="343">
        <v>1.048</v>
      </c>
      <c r="I558" s="76"/>
      <c r="J558" s="348"/>
    </row>
    <row r="559" spans="1:10">
      <c r="A559" s="344" t="s">
        <v>743</v>
      </c>
      <c r="B559" s="345" t="s">
        <v>751</v>
      </c>
      <c r="C559" s="76" t="s">
        <v>745</v>
      </c>
      <c r="D559" s="343">
        <v>0.79</v>
      </c>
      <c r="E559" s="76" t="s">
        <v>752</v>
      </c>
      <c r="F559" s="343">
        <v>0.39800000000000002</v>
      </c>
      <c r="G559" s="76" t="s">
        <v>753</v>
      </c>
      <c r="H559" s="343">
        <v>1.2250000000000001</v>
      </c>
      <c r="I559" s="76"/>
      <c r="J559" s="348"/>
    </row>
    <row r="560" spans="1:10">
      <c r="A560" s="344" t="s">
        <v>743</v>
      </c>
      <c r="B560" s="345" t="s">
        <v>754</v>
      </c>
      <c r="C560" s="76" t="s">
        <v>745</v>
      </c>
      <c r="D560" s="343">
        <v>0.79</v>
      </c>
      <c r="E560" s="76" t="s">
        <v>755</v>
      </c>
      <c r="F560" s="343">
        <v>0.46400000000000002</v>
      </c>
      <c r="G560" s="76" t="s">
        <v>756</v>
      </c>
      <c r="H560" s="343">
        <v>1.4019999999999999</v>
      </c>
      <c r="I560" s="76"/>
      <c r="J560" s="348"/>
    </row>
    <row r="561" spans="1:10">
      <c r="A561" s="344" t="s">
        <v>743</v>
      </c>
      <c r="B561" s="345" t="s">
        <v>757</v>
      </c>
      <c r="C561" s="76" t="s">
        <v>745</v>
      </c>
      <c r="D561" s="343">
        <v>0.79</v>
      </c>
      <c r="E561" s="76" t="s">
        <v>758</v>
      </c>
      <c r="F561" s="343">
        <v>0.59699999999999998</v>
      </c>
      <c r="G561" s="76" t="s">
        <v>759</v>
      </c>
      <c r="H561" s="343">
        <v>1.7569999999999999</v>
      </c>
      <c r="I561" s="76"/>
      <c r="J561" s="348"/>
    </row>
    <row r="562" spans="1:10">
      <c r="A562" s="344" t="s">
        <v>743</v>
      </c>
      <c r="B562" s="345" t="s">
        <v>760</v>
      </c>
      <c r="C562" s="76" t="s">
        <v>745</v>
      </c>
      <c r="D562" s="343">
        <v>0.79</v>
      </c>
      <c r="E562" s="76" t="s">
        <v>761</v>
      </c>
      <c r="F562" s="343">
        <v>0.66300000000000003</v>
      </c>
      <c r="G562" s="76" t="s">
        <v>762</v>
      </c>
      <c r="H562" s="343">
        <v>1.9339999999999999</v>
      </c>
      <c r="I562" s="76"/>
      <c r="J562" s="348"/>
    </row>
    <row r="563" spans="1:10">
      <c r="A563" s="344" t="s">
        <v>743</v>
      </c>
      <c r="B563" s="345" t="s">
        <v>763</v>
      </c>
      <c r="C563" s="76" t="s">
        <v>745</v>
      </c>
      <c r="D563" s="343">
        <v>0.79</v>
      </c>
      <c r="E563" s="76" t="s">
        <v>764</v>
      </c>
      <c r="F563" s="343">
        <v>0.72899999999999998</v>
      </c>
      <c r="G563" s="76" t="s">
        <v>765</v>
      </c>
      <c r="H563" s="343">
        <v>2.1110000000000002</v>
      </c>
      <c r="I563" s="76"/>
      <c r="J563" s="348"/>
    </row>
    <row r="564" spans="1:10">
      <c r="A564" s="344" t="s">
        <v>743</v>
      </c>
      <c r="B564" s="345" t="s">
        <v>766</v>
      </c>
      <c r="C564" s="76" t="s">
        <v>767</v>
      </c>
      <c r="D564" s="343">
        <v>0.82299999999999995</v>
      </c>
      <c r="E564" s="76" t="s">
        <v>746</v>
      </c>
      <c r="F564" s="343">
        <v>0.26500000000000001</v>
      </c>
      <c r="G564" s="76" t="s">
        <v>768</v>
      </c>
      <c r="H564" s="343">
        <v>0.90700000000000003</v>
      </c>
      <c r="I564" s="76"/>
      <c r="J564" s="348"/>
    </row>
    <row r="565" spans="1:10">
      <c r="A565" s="344" t="s">
        <v>743</v>
      </c>
      <c r="B565" s="345" t="s">
        <v>769</v>
      </c>
      <c r="C565" s="76" t="s">
        <v>767</v>
      </c>
      <c r="D565" s="343">
        <v>0.82299999999999995</v>
      </c>
      <c r="E565" s="76" t="s">
        <v>749</v>
      </c>
      <c r="F565" s="343">
        <v>0.33100000000000002</v>
      </c>
      <c r="G565" s="76" t="s">
        <v>770</v>
      </c>
      <c r="H565" s="343">
        <v>1.0920000000000001</v>
      </c>
      <c r="I565" s="76"/>
      <c r="J565" s="348"/>
    </row>
    <row r="566" spans="1:10">
      <c r="A566" s="344" t="s">
        <v>743</v>
      </c>
      <c r="B566" s="345" t="s">
        <v>771</v>
      </c>
      <c r="C566" s="76" t="s">
        <v>767</v>
      </c>
      <c r="D566" s="343">
        <v>0.82299999999999995</v>
      </c>
      <c r="E566" s="76" t="s">
        <v>752</v>
      </c>
      <c r="F566" s="343">
        <v>0.39800000000000002</v>
      </c>
      <c r="G566" s="76" t="s">
        <v>772</v>
      </c>
      <c r="H566" s="343">
        <v>1.2769999999999999</v>
      </c>
      <c r="I566" s="76"/>
      <c r="J566" s="348"/>
    </row>
    <row r="567" spans="1:10">
      <c r="A567" s="344" t="s">
        <v>743</v>
      </c>
      <c r="B567" s="345" t="s">
        <v>773</v>
      </c>
      <c r="C567" s="76" t="s">
        <v>767</v>
      </c>
      <c r="D567" s="343">
        <v>0.82299999999999995</v>
      </c>
      <c r="E567" s="76" t="s">
        <v>755</v>
      </c>
      <c r="F567" s="343">
        <v>0.46400000000000002</v>
      </c>
      <c r="G567" s="76" t="s">
        <v>774</v>
      </c>
      <c r="H567" s="343">
        <v>1.4610000000000001</v>
      </c>
      <c r="I567" s="76"/>
      <c r="J567" s="348"/>
    </row>
    <row r="568" spans="1:10">
      <c r="A568" s="344" t="s">
        <v>743</v>
      </c>
      <c r="B568" s="345" t="s">
        <v>775</v>
      </c>
      <c r="C568" s="76" t="s">
        <v>767</v>
      </c>
      <c r="D568" s="343">
        <v>0.82299999999999995</v>
      </c>
      <c r="E568" s="76" t="s">
        <v>758</v>
      </c>
      <c r="F568" s="343">
        <v>0.59699999999999998</v>
      </c>
      <c r="G568" s="76" t="s">
        <v>776</v>
      </c>
      <c r="H568" s="343">
        <v>1.83</v>
      </c>
      <c r="I568" s="76"/>
      <c r="J568" s="348"/>
    </row>
    <row r="569" spans="1:10">
      <c r="A569" s="344" t="s">
        <v>743</v>
      </c>
      <c r="B569" s="345" t="s">
        <v>777</v>
      </c>
      <c r="C569" s="76" t="s">
        <v>767</v>
      </c>
      <c r="D569" s="343">
        <v>0.82299999999999995</v>
      </c>
      <c r="E569" s="76" t="s">
        <v>761</v>
      </c>
      <c r="F569" s="343">
        <v>0.66300000000000003</v>
      </c>
      <c r="G569" s="76" t="s">
        <v>778</v>
      </c>
      <c r="H569" s="343">
        <v>2.0150000000000001</v>
      </c>
      <c r="I569" s="76"/>
      <c r="J569" s="348"/>
    </row>
    <row r="570" spans="1:10">
      <c r="A570" s="344" t="s">
        <v>743</v>
      </c>
      <c r="B570" s="345" t="s">
        <v>779</v>
      </c>
      <c r="C570" s="76" t="s">
        <v>767</v>
      </c>
      <c r="D570" s="343">
        <v>0.82299999999999995</v>
      </c>
      <c r="E570" s="76" t="s">
        <v>764</v>
      </c>
      <c r="F570" s="343">
        <v>0.72899999999999998</v>
      </c>
      <c r="G570" s="76" t="s">
        <v>780</v>
      </c>
      <c r="H570" s="343">
        <v>2.1989999999999998</v>
      </c>
      <c r="I570" s="76"/>
      <c r="J570" s="348"/>
    </row>
    <row r="571" spans="1:10">
      <c r="A571" s="344" t="s">
        <v>743</v>
      </c>
      <c r="B571" s="345" t="s">
        <v>781</v>
      </c>
      <c r="C571" s="76" t="s">
        <v>782</v>
      </c>
      <c r="D571" s="343">
        <v>0.85599999999999998</v>
      </c>
      <c r="E571" s="76" t="s">
        <v>746</v>
      </c>
      <c r="F571" s="343">
        <v>0.26500000000000001</v>
      </c>
      <c r="G571" s="76" t="s">
        <v>783</v>
      </c>
      <c r="H571" s="343">
        <v>0.94399999999999995</v>
      </c>
      <c r="I571" s="76"/>
      <c r="J571" s="348"/>
    </row>
    <row r="572" spans="1:10">
      <c r="A572" s="344" t="s">
        <v>743</v>
      </c>
      <c r="B572" s="345" t="s">
        <v>784</v>
      </c>
      <c r="C572" s="76" t="s">
        <v>782</v>
      </c>
      <c r="D572" s="343">
        <v>0.85599999999999998</v>
      </c>
      <c r="E572" s="76" t="s">
        <v>749</v>
      </c>
      <c r="F572" s="343">
        <v>0.33100000000000002</v>
      </c>
      <c r="G572" s="76" t="s">
        <v>785</v>
      </c>
      <c r="H572" s="343">
        <v>1.1359999999999999</v>
      </c>
      <c r="I572" s="76"/>
      <c r="J572" s="348"/>
    </row>
    <row r="573" spans="1:10">
      <c r="A573" s="344" t="s">
        <v>743</v>
      </c>
      <c r="B573" s="345" t="s">
        <v>786</v>
      </c>
      <c r="C573" s="76" t="s">
        <v>782</v>
      </c>
      <c r="D573" s="343">
        <v>0.85599999999999998</v>
      </c>
      <c r="E573" s="76" t="s">
        <v>752</v>
      </c>
      <c r="F573" s="343">
        <v>0.39800000000000002</v>
      </c>
      <c r="G573" s="76" t="s">
        <v>787</v>
      </c>
      <c r="H573" s="343">
        <v>1.3280000000000001</v>
      </c>
      <c r="I573" s="76"/>
      <c r="J573" s="348"/>
    </row>
    <row r="574" spans="1:10">
      <c r="A574" s="344" t="s">
        <v>743</v>
      </c>
      <c r="B574" s="345" t="s">
        <v>788</v>
      </c>
      <c r="C574" s="76" t="s">
        <v>782</v>
      </c>
      <c r="D574" s="343">
        <v>0.85599999999999998</v>
      </c>
      <c r="E574" s="76" t="s">
        <v>755</v>
      </c>
      <c r="F574" s="343">
        <v>0.46400000000000002</v>
      </c>
      <c r="G574" s="76" t="s">
        <v>789</v>
      </c>
      <c r="H574" s="343">
        <v>1.52</v>
      </c>
      <c r="I574" s="76"/>
      <c r="J574" s="348"/>
    </row>
    <row r="575" spans="1:10">
      <c r="A575" s="344" t="s">
        <v>743</v>
      </c>
      <c r="B575" s="345" t="s">
        <v>790</v>
      </c>
      <c r="C575" s="76" t="s">
        <v>782</v>
      </c>
      <c r="D575" s="343">
        <v>0.85599999999999998</v>
      </c>
      <c r="E575" s="76" t="s">
        <v>758</v>
      </c>
      <c r="F575" s="343">
        <v>0.59699999999999998</v>
      </c>
      <c r="G575" s="76" t="s">
        <v>791</v>
      </c>
      <c r="H575" s="343">
        <v>1.9039999999999999</v>
      </c>
      <c r="I575" s="76"/>
      <c r="J575" s="348"/>
    </row>
    <row r="576" spans="1:10">
      <c r="A576" s="344" t="s">
        <v>743</v>
      </c>
      <c r="B576" s="345" t="s">
        <v>792</v>
      </c>
      <c r="C576" s="76" t="s">
        <v>782</v>
      </c>
      <c r="D576" s="343">
        <v>0.85599999999999998</v>
      </c>
      <c r="E576" s="76" t="s">
        <v>761</v>
      </c>
      <c r="F576" s="343">
        <v>0.66300000000000003</v>
      </c>
      <c r="G576" s="76" t="s">
        <v>793</v>
      </c>
      <c r="H576" s="343">
        <v>2.0960000000000001</v>
      </c>
      <c r="I576" s="76"/>
      <c r="J576" s="348"/>
    </row>
    <row r="577" spans="1:10">
      <c r="A577" s="344" t="s">
        <v>743</v>
      </c>
      <c r="B577" s="345" t="s">
        <v>794</v>
      </c>
      <c r="C577" s="76" t="s">
        <v>782</v>
      </c>
      <c r="D577" s="343">
        <v>0.85599999999999998</v>
      </c>
      <c r="E577" s="76" t="s">
        <v>764</v>
      </c>
      <c r="F577" s="343">
        <v>0.72899999999999998</v>
      </c>
      <c r="G577" s="76" t="s">
        <v>795</v>
      </c>
      <c r="H577" s="343">
        <v>2.2879999999999998</v>
      </c>
      <c r="I577" s="76"/>
      <c r="J577" s="348"/>
    </row>
    <row r="578" spans="1:10">
      <c r="A578" s="344" t="s">
        <v>743</v>
      </c>
      <c r="B578" s="345" t="s">
        <v>796</v>
      </c>
      <c r="C578" s="76" t="s">
        <v>797</v>
      </c>
      <c r="D578" s="343">
        <v>0.878</v>
      </c>
      <c r="E578" s="76" t="s">
        <v>746</v>
      </c>
      <c r="F578" s="343">
        <v>0.26500000000000001</v>
      </c>
      <c r="G578" s="76" t="s">
        <v>798</v>
      </c>
      <c r="H578" s="343">
        <v>0.96799999999999997</v>
      </c>
      <c r="I578" s="76"/>
      <c r="J578" s="348"/>
    </row>
    <row r="579" spans="1:10">
      <c r="A579" s="344" t="s">
        <v>743</v>
      </c>
      <c r="B579" s="345" t="s">
        <v>799</v>
      </c>
      <c r="C579" s="76" t="s">
        <v>797</v>
      </c>
      <c r="D579" s="343">
        <v>0.878</v>
      </c>
      <c r="E579" s="76" t="s">
        <v>749</v>
      </c>
      <c r="F579" s="343">
        <v>0.33100000000000002</v>
      </c>
      <c r="G579" s="76" t="s">
        <v>800</v>
      </c>
      <c r="H579" s="343">
        <v>1.165</v>
      </c>
      <c r="I579" s="76"/>
      <c r="J579" s="348"/>
    </row>
    <row r="580" spans="1:10">
      <c r="A580" s="344" t="s">
        <v>743</v>
      </c>
      <c r="B580" s="345" t="s">
        <v>801</v>
      </c>
      <c r="C580" s="76" t="s">
        <v>797</v>
      </c>
      <c r="D580" s="343">
        <v>0.878</v>
      </c>
      <c r="E580" s="76" t="s">
        <v>752</v>
      </c>
      <c r="F580" s="343">
        <v>0.39800000000000002</v>
      </c>
      <c r="G580" s="76" t="s">
        <v>802</v>
      </c>
      <c r="H580" s="343">
        <v>1.3620000000000001</v>
      </c>
      <c r="I580" s="76"/>
      <c r="J580" s="348"/>
    </row>
    <row r="581" spans="1:10">
      <c r="A581" s="344" t="s">
        <v>743</v>
      </c>
      <c r="B581" s="345" t="s">
        <v>803</v>
      </c>
      <c r="C581" s="76" t="s">
        <v>797</v>
      </c>
      <c r="D581" s="343">
        <v>0.878</v>
      </c>
      <c r="E581" s="76" t="s">
        <v>755</v>
      </c>
      <c r="F581" s="343">
        <v>0.46400000000000002</v>
      </c>
      <c r="G581" s="76" t="s">
        <v>804</v>
      </c>
      <c r="H581" s="343">
        <v>1.5589999999999999</v>
      </c>
      <c r="I581" s="76"/>
      <c r="J581" s="348"/>
    </row>
    <row r="582" spans="1:10">
      <c r="A582" s="344" t="s">
        <v>743</v>
      </c>
      <c r="B582" s="345" t="s">
        <v>805</v>
      </c>
      <c r="C582" s="76" t="s">
        <v>797</v>
      </c>
      <c r="D582" s="343">
        <v>0.878</v>
      </c>
      <c r="E582" s="76" t="s">
        <v>758</v>
      </c>
      <c r="F582" s="343">
        <v>0.59699999999999998</v>
      </c>
      <c r="G582" s="76" t="s">
        <v>806</v>
      </c>
      <c r="H582" s="343">
        <v>1.9530000000000001</v>
      </c>
      <c r="I582" s="76"/>
      <c r="J582" s="348"/>
    </row>
    <row r="583" spans="1:10">
      <c r="A583" s="344" t="s">
        <v>743</v>
      </c>
      <c r="B583" s="345" t="s">
        <v>807</v>
      </c>
      <c r="C583" s="76" t="s">
        <v>797</v>
      </c>
      <c r="D583" s="343">
        <v>0.878</v>
      </c>
      <c r="E583" s="76" t="s">
        <v>761</v>
      </c>
      <c r="F583" s="343">
        <v>0.66300000000000003</v>
      </c>
      <c r="G583" s="76" t="s">
        <v>808</v>
      </c>
      <c r="H583" s="343">
        <v>2.15</v>
      </c>
      <c r="I583" s="76"/>
      <c r="J583" s="348"/>
    </row>
    <row r="584" spans="1:10">
      <c r="A584" s="344" t="s">
        <v>743</v>
      </c>
      <c r="B584" s="345" t="s">
        <v>809</v>
      </c>
      <c r="C584" s="76" t="s">
        <v>797</v>
      </c>
      <c r="D584" s="343">
        <v>0.878</v>
      </c>
      <c r="E584" s="76" t="s">
        <v>764</v>
      </c>
      <c r="F584" s="343">
        <v>0.72899999999999998</v>
      </c>
      <c r="G584" s="76" t="s">
        <v>810</v>
      </c>
      <c r="H584" s="343">
        <v>2.347</v>
      </c>
      <c r="I584" s="76"/>
      <c r="J584" s="348"/>
    </row>
    <row r="585" spans="1:10">
      <c r="A585" s="344" t="s">
        <v>743</v>
      </c>
      <c r="B585" s="345" t="s">
        <v>811</v>
      </c>
      <c r="C585" s="76" t="s">
        <v>812</v>
      </c>
      <c r="D585" s="343">
        <v>0.92300000000000004</v>
      </c>
      <c r="E585" s="76" t="s">
        <v>746</v>
      </c>
      <c r="F585" s="343">
        <v>0.26500000000000001</v>
      </c>
      <c r="G585" s="76" t="s">
        <v>813</v>
      </c>
      <c r="H585" s="343">
        <v>1.0169999999999999</v>
      </c>
      <c r="I585" s="76"/>
      <c r="J585" s="348"/>
    </row>
    <row r="586" spans="1:10">
      <c r="A586" s="344" t="s">
        <v>743</v>
      </c>
      <c r="B586" s="345" t="s">
        <v>814</v>
      </c>
      <c r="C586" s="76" t="s">
        <v>812</v>
      </c>
      <c r="D586" s="343">
        <v>0.92300000000000004</v>
      </c>
      <c r="E586" s="76" t="s">
        <v>749</v>
      </c>
      <c r="F586" s="343">
        <v>0.33100000000000002</v>
      </c>
      <c r="G586" s="76" t="s">
        <v>815</v>
      </c>
      <c r="H586" s="343">
        <v>1.224</v>
      </c>
      <c r="I586" s="76"/>
      <c r="J586" s="348"/>
    </row>
    <row r="587" spans="1:10">
      <c r="A587" s="344" t="s">
        <v>743</v>
      </c>
      <c r="B587" s="345" t="s">
        <v>816</v>
      </c>
      <c r="C587" s="76" t="s">
        <v>812</v>
      </c>
      <c r="D587" s="343">
        <v>0.92300000000000004</v>
      </c>
      <c r="E587" s="76" t="s">
        <v>752</v>
      </c>
      <c r="F587" s="343">
        <v>0.39800000000000002</v>
      </c>
      <c r="G587" s="76" t="s">
        <v>817</v>
      </c>
      <c r="H587" s="343">
        <v>1.431</v>
      </c>
      <c r="I587" s="76"/>
      <c r="J587" s="348"/>
    </row>
    <row r="588" spans="1:10">
      <c r="A588" s="344" t="s">
        <v>743</v>
      </c>
      <c r="B588" s="345" t="s">
        <v>818</v>
      </c>
      <c r="C588" s="76" t="s">
        <v>812</v>
      </c>
      <c r="D588" s="343">
        <v>0.92300000000000004</v>
      </c>
      <c r="E588" s="76" t="s">
        <v>755</v>
      </c>
      <c r="F588" s="343">
        <v>0.46400000000000002</v>
      </c>
      <c r="G588" s="76" t="s">
        <v>819</v>
      </c>
      <c r="H588" s="343">
        <v>1.6379999999999999</v>
      </c>
      <c r="I588" s="76"/>
      <c r="J588" s="348"/>
    </row>
    <row r="589" spans="1:10">
      <c r="A589" s="344" t="s">
        <v>743</v>
      </c>
      <c r="B589" s="345" t="s">
        <v>820</v>
      </c>
      <c r="C589" s="76" t="s">
        <v>812</v>
      </c>
      <c r="D589" s="343">
        <v>0.92300000000000004</v>
      </c>
      <c r="E589" s="76" t="s">
        <v>758</v>
      </c>
      <c r="F589" s="343">
        <v>0.59699999999999998</v>
      </c>
      <c r="G589" s="76" t="s">
        <v>821</v>
      </c>
      <c r="H589" s="343">
        <v>2.0510000000000002</v>
      </c>
      <c r="I589" s="76"/>
      <c r="J589" s="348"/>
    </row>
    <row r="590" spans="1:10">
      <c r="A590" s="344" t="s">
        <v>743</v>
      </c>
      <c r="B590" s="345" t="s">
        <v>822</v>
      </c>
      <c r="C590" s="76" t="s">
        <v>812</v>
      </c>
      <c r="D590" s="343">
        <v>0.92300000000000004</v>
      </c>
      <c r="E590" s="76" t="s">
        <v>761</v>
      </c>
      <c r="F590" s="343">
        <v>0.66300000000000003</v>
      </c>
      <c r="G590" s="76" t="s">
        <v>823</v>
      </c>
      <c r="H590" s="343">
        <v>2.258</v>
      </c>
      <c r="I590" s="76"/>
      <c r="J590" s="348"/>
    </row>
    <row r="591" spans="1:10">
      <c r="A591" s="344" t="s">
        <v>743</v>
      </c>
      <c r="B591" s="345" t="s">
        <v>824</v>
      </c>
      <c r="C591" s="76" t="s">
        <v>812</v>
      </c>
      <c r="D591" s="343">
        <v>0.92300000000000004</v>
      </c>
      <c r="E591" s="76" t="s">
        <v>764</v>
      </c>
      <c r="F591" s="343">
        <v>0.72899999999999998</v>
      </c>
      <c r="G591" s="76" t="s">
        <v>825</v>
      </c>
      <c r="H591" s="343">
        <v>2.4649999999999999</v>
      </c>
      <c r="I591" s="76"/>
      <c r="J591" s="348"/>
    </row>
    <row r="592" spans="1:10">
      <c r="A592" s="344" t="s">
        <v>743</v>
      </c>
      <c r="B592" s="345" t="s">
        <v>826</v>
      </c>
      <c r="C592" s="76" t="s">
        <v>827</v>
      </c>
      <c r="D592" s="343">
        <v>0.215</v>
      </c>
      <c r="E592" s="76" t="s">
        <v>828</v>
      </c>
      <c r="F592" s="343">
        <v>0.13300000000000001</v>
      </c>
      <c r="G592" s="76" t="s">
        <v>829</v>
      </c>
      <c r="H592" s="343">
        <v>0.14099999999999999</v>
      </c>
      <c r="I592" s="76"/>
      <c r="J592" s="348"/>
    </row>
    <row r="593" spans="1:10">
      <c r="A593" s="344" t="s">
        <v>743</v>
      </c>
      <c r="B593" s="345" t="s">
        <v>830</v>
      </c>
      <c r="C593" s="76" t="s">
        <v>831</v>
      </c>
      <c r="D593" s="343">
        <v>0.13800000000000001</v>
      </c>
      <c r="E593" s="76" t="s">
        <v>832</v>
      </c>
      <c r="F593" s="343">
        <v>7.6999999999999999E-2</v>
      </c>
      <c r="G593" s="76" t="s">
        <v>833</v>
      </c>
      <c r="H593" s="343">
        <v>6.5000000000000002E-2</v>
      </c>
      <c r="I593" s="76"/>
      <c r="J593" s="348"/>
    </row>
    <row r="594" spans="1:10">
      <c r="A594" s="344" t="s">
        <v>834</v>
      </c>
      <c r="B594" s="345" t="s">
        <v>835</v>
      </c>
      <c r="C594" s="76" t="s">
        <v>600</v>
      </c>
      <c r="D594" s="343">
        <v>8.6999999999999994E-2</v>
      </c>
      <c r="E594" s="76" t="s">
        <v>601</v>
      </c>
      <c r="F594" s="343">
        <v>0.30199999999999999</v>
      </c>
      <c r="G594" s="76" t="s">
        <v>836</v>
      </c>
      <c r="H594" s="343">
        <v>1.306</v>
      </c>
      <c r="I594" s="76"/>
      <c r="J594" s="348"/>
    </row>
    <row r="595" spans="1:10">
      <c r="A595" s="344" t="s">
        <v>834</v>
      </c>
      <c r="B595" s="345" t="s">
        <v>837</v>
      </c>
      <c r="C595" s="76" t="s">
        <v>600</v>
      </c>
      <c r="D595" s="343">
        <v>8.6999999999999994E-2</v>
      </c>
      <c r="E595" s="76" t="s">
        <v>603</v>
      </c>
      <c r="F595" s="343">
        <v>0.377</v>
      </c>
      <c r="G595" s="76" t="s">
        <v>838</v>
      </c>
      <c r="H595" s="343">
        <v>1.5720000000000001</v>
      </c>
      <c r="I595" s="76"/>
      <c r="J595" s="348"/>
    </row>
    <row r="596" spans="1:10">
      <c r="A596" s="344" t="s">
        <v>834</v>
      </c>
      <c r="B596" s="345" t="s">
        <v>839</v>
      </c>
      <c r="C596" s="76" t="s">
        <v>600</v>
      </c>
      <c r="D596" s="343">
        <v>8.6999999999999994E-2</v>
      </c>
      <c r="E596" s="76" t="s">
        <v>605</v>
      </c>
      <c r="F596" s="343">
        <v>0.45300000000000001</v>
      </c>
      <c r="G596" s="76" t="s">
        <v>840</v>
      </c>
      <c r="H596" s="343">
        <v>1.8380000000000001</v>
      </c>
      <c r="I596" s="76"/>
      <c r="J596" s="348"/>
    </row>
    <row r="597" spans="1:10">
      <c r="A597" s="344" t="s">
        <v>834</v>
      </c>
      <c r="B597" s="345" t="s">
        <v>841</v>
      </c>
      <c r="C597" s="76" t="s">
        <v>600</v>
      </c>
      <c r="D597" s="343">
        <v>8.6999999999999994E-2</v>
      </c>
      <c r="E597" s="76" t="s">
        <v>607</v>
      </c>
      <c r="F597" s="343">
        <v>0.52800000000000002</v>
      </c>
      <c r="G597" s="76" t="s">
        <v>842</v>
      </c>
      <c r="H597" s="343">
        <v>2.1030000000000002</v>
      </c>
      <c r="I597" s="76"/>
      <c r="J597" s="348"/>
    </row>
    <row r="598" spans="1:10">
      <c r="A598" s="344" t="s">
        <v>834</v>
      </c>
      <c r="B598" s="345" t="s">
        <v>843</v>
      </c>
      <c r="C598" s="76" t="s">
        <v>600</v>
      </c>
      <c r="D598" s="343">
        <v>8.6999999999999994E-2</v>
      </c>
      <c r="E598" s="76" t="s">
        <v>609</v>
      </c>
      <c r="F598" s="343">
        <v>0.67900000000000005</v>
      </c>
      <c r="G598" s="76" t="s">
        <v>844</v>
      </c>
      <c r="H598" s="343">
        <v>2.6349999999999998</v>
      </c>
      <c r="I598" s="76"/>
      <c r="J598" s="348"/>
    </row>
    <row r="599" spans="1:10">
      <c r="A599" s="344" t="s">
        <v>834</v>
      </c>
      <c r="B599" s="345" t="s">
        <v>845</v>
      </c>
      <c r="C599" s="76" t="s">
        <v>600</v>
      </c>
      <c r="D599" s="343">
        <v>8.6999999999999994E-2</v>
      </c>
      <c r="E599" s="76" t="s">
        <v>611</v>
      </c>
      <c r="F599" s="343">
        <v>0.754</v>
      </c>
      <c r="G599" s="76" t="s">
        <v>846</v>
      </c>
      <c r="H599" s="343">
        <v>2.9009999999999998</v>
      </c>
      <c r="I599" s="76"/>
      <c r="J599" s="348"/>
    </row>
    <row r="600" spans="1:10">
      <c r="A600" s="344" t="s">
        <v>834</v>
      </c>
      <c r="B600" s="345" t="s">
        <v>847</v>
      </c>
      <c r="C600" s="76" t="s">
        <v>600</v>
      </c>
      <c r="D600" s="343">
        <v>8.6999999999999994E-2</v>
      </c>
      <c r="E600" s="76" t="s">
        <v>613</v>
      </c>
      <c r="F600" s="343">
        <v>0.83</v>
      </c>
      <c r="G600" s="76" t="s">
        <v>848</v>
      </c>
      <c r="H600" s="343">
        <v>3.1659999999999999</v>
      </c>
      <c r="I600" s="76"/>
      <c r="J600" s="348"/>
    </row>
    <row r="601" spans="1:10">
      <c r="A601" s="344" t="s">
        <v>834</v>
      </c>
      <c r="B601" s="345" t="s">
        <v>849</v>
      </c>
      <c r="C601" s="76" t="s">
        <v>615</v>
      </c>
      <c r="D601" s="343">
        <v>0.93700000000000006</v>
      </c>
      <c r="E601" s="76" t="s">
        <v>601</v>
      </c>
      <c r="F601" s="343">
        <v>0.30199999999999999</v>
      </c>
      <c r="G601" s="76" t="s">
        <v>850</v>
      </c>
      <c r="H601" s="343">
        <v>1.361</v>
      </c>
      <c r="I601" s="76"/>
      <c r="J601" s="348"/>
    </row>
    <row r="602" spans="1:10">
      <c r="A602" s="344" t="s">
        <v>834</v>
      </c>
      <c r="B602" s="345" t="s">
        <v>851</v>
      </c>
      <c r="C602" s="76" t="s">
        <v>615</v>
      </c>
      <c r="D602" s="343">
        <v>0.93700000000000006</v>
      </c>
      <c r="E602" s="76" t="s">
        <v>603</v>
      </c>
      <c r="F602" s="343">
        <v>0.377</v>
      </c>
      <c r="G602" s="76" t="s">
        <v>852</v>
      </c>
      <c r="H602" s="343">
        <v>1.6379999999999999</v>
      </c>
      <c r="I602" s="76"/>
      <c r="J602" s="348"/>
    </row>
    <row r="603" spans="1:10">
      <c r="A603" s="344" t="s">
        <v>834</v>
      </c>
      <c r="B603" s="345" t="s">
        <v>853</v>
      </c>
      <c r="C603" s="76" t="s">
        <v>615</v>
      </c>
      <c r="D603" s="343">
        <v>0.93700000000000006</v>
      </c>
      <c r="E603" s="76" t="s">
        <v>605</v>
      </c>
      <c r="F603" s="343">
        <v>0.45300000000000001</v>
      </c>
      <c r="G603" s="76" t="s">
        <v>854</v>
      </c>
      <c r="H603" s="343">
        <v>1.915</v>
      </c>
      <c r="I603" s="76"/>
      <c r="J603" s="348"/>
    </row>
    <row r="604" spans="1:10">
      <c r="A604" s="344" t="s">
        <v>834</v>
      </c>
      <c r="B604" s="345" t="s">
        <v>855</v>
      </c>
      <c r="C604" s="76" t="s">
        <v>615</v>
      </c>
      <c r="D604" s="343">
        <v>0.93700000000000006</v>
      </c>
      <c r="E604" s="76" t="s">
        <v>607</v>
      </c>
      <c r="F604" s="343">
        <v>0.52800000000000002</v>
      </c>
      <c r="G604" s="76" t="s">
        <v>856</v>
      </c>
      <c r="H604" s="343">
        <v>2.1920000000000002</v>
      </c>
      <c r="I604" s="76"/>
      <c r="J604" s="348"/>
    </row>
    <row r="605" spans="1:10">
      <c r="A605" s="344" t="s">
        <v>834</v>
      </c>
      <c r="B605" s="345" t="s">
        <v>857</v>
      </c>
      <c r="C605" s="76" t="s">
        <v>615</v>
      </c>
      <c r="D605" s="343">
        <v>0.93700000000000006</v>
      </c>
      <c r="E605" s="76" t="s">
        <v>609</v>
      </c>
      <c r="F605" s="343">
        <v>0.67900000000000005</v>
      </c>
      <c r="G605" s="76" t="s">
        <v>858</v>
      </c>
      <c r="H605" s="343">
        <v>2.7450000000000001</v>
      </c>
      <c r="I605" s="76"/>
      <c r="J605" s="348"/>
    </row>
    <row r="606" spans="1:10">
      <c r="A606" s="344" t="s">
        <v>834</v>
      </c>
      <c r="B606" s="345" t="s">
        <v>859</v>
      </c>
      <c r="C606" s="76" t="s">
        <v>615</v>
      </c>
      <c r="D606" s="343">
        <v>0.93700000000000006</v>
      </c>
      <c r="E606" s="76" t="s">
        <v>611</v>
      </c>
      <c r="F606" s="343">
        <v>0.754</v>
      </c>
      <c r="G606" s="76" t="s">
        <v>860</v>
      </c>
      <c r="H606" s="343">
        <v>3.0219999999999998</v>
      </c>
      <c r="I606" s="76"/>
      <c r="J606" s="348"/>
    </row>
    <row r="607" spans="1:10">
      <c r="A607" s="344" t="s">
        <v>834</v>
      </c>
      <c r="B607" s="345" t="s">
        <v>861</v>
      </c>
      <c r="C607" s="76" t="s">
        <v>615</v>
      </c>
      <c r="D607" s="343">
        <v>0.93700000000000006</v>
      </c>
      <c r="E607" s="76" t="s">
        <v>613</v>
      </c>
      <c r="F607" s="343">
        <v>0.83</v>
      </c>
      <c r="G607" s="76" t="s">
        <v>862</v>
      </c>
      <c r="H607" s="343">
        <v>3.2989999999999999</v>
      </c>
      <c r="I607" s="76"/>
      <c r="J607" s="348"/>
    </row>
    <row r="608" spans="1:10">
      <c r="A608" s="344" t="s">
        <v>834</v>
      </c>
      <c r="B608" s="345" t="s">
        <v>863</v>
      </c>
      <c r="C608" s="76" t="s">
        <v>624</v>
      </c>
      <c r="D608" s="343">
        <v>0.97399999999999998</v>
      </c>
      <c r="E608" s="76" t="s">
        <v>601</v>
      </c>
      <c r="F608" s="343">
        <v>0.30199999999999999</v>
      </c>
      <c r="G608" s="76" t="s">
        <v>864</v>
      </c>
      <c r="H608" s="343">
        <v>1.4159999999999999</v>
      </c>
      <c r="I608" s="76"/>
      <c r="J608" s="348"/>
    </row>
    <row r="609" spans="1:10">
      <c r="A609" s="344" t="s">
        <v>834</v>
      </c>
      <c r="B609" s="345" t="s">
        <v>865</v>
      </c>
      <c r="C609" s="76" t="s">
        <v>624</v>
      </c>
      <c r="D609" s="343">
        <v>0.97399999999999998</v>
      </c>
      <c r="E609" s="76" t="s">
        <v>603</v>
      </c>
      <c r="F609" s="343">
        <v>0.377</v>
      </c>
      <c r="G609" s="76" t="s">
        <v>866</v>
      </c>
      <c r="H609" s="343">
        <v>1.704</v>
      </c>
      <c r="I609" s="76"/>
      <c r="J609" s="348"/>
    </row>
    <row r="610" spans="1:10">
      <c r="A610" s="344" t="s">
        <v>834</v>
      </c>
      <c r="B610" s="345" t="s">
        <v>867</v>
      </c>
      <c r="C610" s="76" t="s">
        <v>624</v>
      </c>
      <c r="D610" s="343">
        <v>0.97399999999999998</v>
      </c>
      <c r="E610" s="76" t="s">
        <v>605</v>
      </c>
      <c r="F610" s="343">
        <v>0.45300000000000001</v>
      </c>
      <c r="G610" s="76" t="s">
        <v>868</v>
      </c>
      <c r="H610" s="343">
        <v>1.992</v>
      </c>
      <c r="I610" s="76"/>
      <c r="J610" s="348"/>
    </row>
    <row r="611" spans="1:10">
      <c r="A611" s="344" t="s">
        <v>834</v>
      </c>
      <c r="B611" s="345" t="s">
        <v>869</v>
      </c>
      <c r="C611" s="76" t="s">
        <v>624</v>
      </c>
      <c r="D611" s="343">
        <v>0.97399999999999998</v>
      </c>
      <c r="E611" s="76" t="s">
        <v>607</v>
      </c>
      <c r="F611" s="343">
        <v>0.52800000000000002</v>
      </c>
      <c r="G611" s="76" t="s">
        <v>870</v>
      </c>
      <c r="H611" s="343">
        <v>2.2799999999999998</v>
      </c>
      <c r="I611" s="76"/>
      <c r="J611" s="348"/>
    </row>
    <row r="612" spans="1:10">
      <c r="A612" s="344" t="s">
        <v>834</v>
      </c>
      <c r="B612" s="345" t="s">
        <v>871</v>
      </c>
      <c r="C612" s="76" t="s">
        <v>624</v>
      </c>
      <c r="D612" s="343">
        <v>0.97399999999999998</v>
      </c>
      <c r="E612" s="76" t="s">
        <v>609</v>
      </c>
      <c r="F612" s="343">
        <v>0.67900000000000005</v>
      </c>
      <c r="G612" s="76" t="s">
        <v>872</v>
      </c>
      <c r="H612" s="343">
        <v>2.8559999999999999</v>
      </c>
      <c r="I612" s="76"/>
      <c r="J612" s="348"/>
    </row>
    <row r="613" spans="1:10">
      <c r="A613" s="344" t="s">
        <v>834</v>
      </c>
      <c r="B613" s="345" t="s">
        <v>873</v>
      </c>
      <c r="C613" s="76" t="s">
        <v>624</v>
      </c>
      <c r="D613" s="343">
        <v>0.97399999999999998</v>
      </c>
      <c r="E613" s="76" t="s">
        <v>611</v>
      </c>
      <c r="F613" s="343">
        <v>0.754</v>
      </c>
      <c r="G613" s="76" t="s">
        <v>874</v>
      </c>
      <c r="H613" s="343">
        <v>3.1440000000000001</v>
      </c>
      <c r="I613" s="76"/>
      <c r="J613" s="348"/>
    </row>
    <row r="614" spans="1:10">
      <c r="A614" s="344" t="s">
        <v>834</v>
      </c>
      <c r="B614" s="345" t="s">
        <v>875</v>
      </c>
      <c r="C614" s="76" t="s">
        <v>624</v>
      </c>
      <c r="D614" s="343">
        <v>0.97399999999999998</v>
      </c>
      <c r="E614" s="76" t="s">
        <v>613</v>
      </c>
      <c r="F614" s="343">
        <v>0.83</v>
      </c>
      <c r="G614" s="76" t="s">
        <v>876</v>
      </c>
      <c r="H614" s="343">
        <v>3.4319999999999999</v>
      </c>
      <c r="I614" s="76"/>
      <c r="J614" s="348"/>
    </row>
    <row r="615" spans="1:10">
      <c r="A615" s="344" t="s">
        <v>834</v>
      </c>
      <c r="B615" s="345" t="s">
        <v>877</v>
      </c>
      <c r="C615" s="76" t="s">
        <v>631</v>
      </c>
      <c r="D615" s="343">
        <v>1</v>
      </c>
      <c r="E615" s="76" t="s">
        <v>601</v>
      </c>
      <c r="F615" s="343">
        <v>0.30199999999999999</v>
      </c>
      <c r="G615" s="76" t="s">
        <v>878</v>
      </c>
      <c r="H615" s="343">
        <v>1.4530000000000001</v>
      </c>
      <c r="I615" s="76"/>
      <c r="J615" s="348"/>
    </row>
    <row r="616" spans="1:10">
      <c r="A616" s="344" t="s">
        <v>834</v>
      </c>
      <c r="B616" s="345" t="s">
        <v>879</v>
      </c>
      <c r="C616" s="76" t="s">
        <v>631</v>
      </c>
      <c r="D616" s="343">
        <v>1</v>
      </c>
      <c r="E616" s="76" t="s">
        <v>603</v>
      </c>
      <c r="F616" s="343">
        <v>0.377</v>
      </c>
      <c r="G616" s="76" t="s">
        <v>880</v>
      </c>
      <c r="H616" s="343">
        <v>1.748</v>
      </c>
      <c r="I616" s="76"/>
      <c r="J616" s="348"/>
    </row>
    <row r="617" spans="1:10">
      <c r="A617" s="344" t="s">
        <v>834</v>
      </c>
      <c r="B617" s="345" t="s">
        <v>881</v>
      </c>
      <c r="C617" s="76" t="s">
        <v>631</v>
      </c>
      <c r="D617" s="343">
        <v>1</v>
      </c>
      <c r="E617" s="76" t="s">
        <v>605</v>
      </c>
      <c r="F617" s="343">
        <v>0.45300000000000001</v>
      </c>
      <c r="G617" s="76" t="s">
        <v>882</v>
      </c>
      <c r="H617" s="343">
        <v>2.0430000000000001</v>
      </c>
      <c r="I617" s="76"/>
      <c r="J617" s="348"/>
    </row>
    <row r="618" spans="1:10">
      <c r="A618" s="344" t="s">
        <v>834</v>
      </c>
      <c r="B618" s="345" t="s">
        <v>883</v>
      </c>
      <c r="C618" s="76" t="s">
        <v>631</v>
      </c>
      <c r="D618" s="343">
        <v>1</v>
      </c>
      <c r="E618" s="76" t="s">
        <v>607</v>
      </c>
      <c r="F618" s="343">
        <v>0.52800000000000002</v>
      </c>
      <c r="G618" s="76" t="s">
        <v>884</v>
      </c>
      <c r="H618" s="343">
        <v>2.339</v>
      </c>
      <c r="I618" s="76"/>
      <c r="J618" s="348"/>
    </row>
    <row r="619" spans="1:10">
      <c r="A619" s="344" t="s">
        <v>834</v>
      </c>
      <c r="B619" s="345" t="s">
        <v>885</v>
      </c>
      <c r="C619" s="76" t="s">
        <v>631</v>
      </c>
      <c r="D619" s="343">
        <v>1</v>
      </c>
      <c r="E619" s="76" t="s">
        <v>609</v>
      </c>
      <c r="F619" s="343">
        <v>0.67900000000000005</v>
      </c>
      <c r="G619" s="76" t="s">
        <v>886</v>
      </c>
      <c r="H619" s="343">
        <v>2.93</v>
      </c>
      <c r="I619" s="76"/>
      <c r="J619" s="348"/>
    </row>
    <row r="620" spans="1:10">
      <c r="A620" s="344" t="s">
        <v>834</v>
      </c>
      <c r="B620" s="345" t="s">
        <v>887</v>
      </c>
      <c r="C620" s="76" t="s">
        <v>631</v>
      </c>
      <c r="D620" s="343">
        <v>1</v>
      </c>
      <c r="E620" s="76" t="s">
        <v>611</v>
      </c>
      <c r="F620" s="343">
        <v>0.754</v>
      </c>
      <c r="G620" s="76" t="s">
        <v>888</v>
      </c>
      <c r="H620" s="343">
        <v>3.2250000000000001</v>
      </c>
      <c r="I620" s="76"/>
      <c r="J620" s="348"/>
    </row>
    <row r="621" spans="1:10">
      <c r="A621" s="344" t="s">
        <v>834</v>
      </c>
      <c r="B621" s="345" t="s">
        <v>889</v>
      </c>
      <c r="C621" s="76" t="s">
        <v>631</v>
      </c>
      <c r="D621" s="343">
        <v>1</v>
      </c>
      <c r="E621" s="76" t="s">
        <v>613</v>
      </c>
      <c r="F621" s="343">
        <v>0.83</v>
      </c>
      <c r="G621" s="76" t="s">
        <v>890</v>
      </c>
      <c r="H621" s="343">
        <v>3.5209999999999999</v>
      </c>
      <c r="I621" s="76"/>
      <c r="J621" s="348"/>
    </row>
    <row r="622" spans="1:10">
      <c r="A622" s="344" t="s">
        <v>834</v>
      </c>
      <c r="B622" s="345" t="s">
        <v>891</v>
      </c>
      <c r="C622" s="76" t="s">
        <v>639</v>
      </c>
      <c r="D622" s="343">
        <v>1.05</v>
      </c>
      <c r="E622" s="76" t="s">
        <v>601</v>
      </c>
      <c r="F622" s="343">
        <v>0.30199999999999999</v>
      </c>
      <c r="G622" s="76" t="s">
        <v>892</v>
      </c>
      <c r="H622" s="343">
        <v>1.526</v>
      </c>
      <c r="I622" s="76"/>
      <c r="J622" s="348"/>
    </row>
    <row r="623" spans="1:10">
      <c r="A623" s="344" t="s">
        <v>834</v>
      </c>
      <c r="B623" s="345" t="s">
        <v>893</v>
      </c>
      <c r="C623" s="76" t="s">
        <v>639</v>
      </c>
      <c r="D623" s="343">
        <v>1.05</v>
      </c>
      <c r="E623" s="76" t="s">
        <v>603</v>
      </c>
      <c r="F623" s="343">
        <v>0.377</v>
      </c>
      <c r="G623" s="76" t="s">
        <v>894</v>
      </c>
      <c r="H623" s="343">
        <v>1.8360000000000001</v>
      </c>
      <c r="I623" s="76"/>
      <c r="J623" s="348"/>
    </row>
    <row r="624" spans="1:10">
      <c r="A624" s="344" t="s">
        <v>834</v>
      </c>
      <c r="B624" s="345" t="s">
        <v>895</v>
      </c>
      <c r="C624" s="76" t="s">
        <v>639</v>
      </c>
      <c r="D624" s="343">
        <v>1.05</v>
      </c>
      <c r="E624" s="76" t="s">
        <v>605</v>
      </c>
      <c r="F624" s="343">
        <v>0.45300000000000001</v>
      </c>
      <c r="G624" s="76" t="s">
        <v>896</v>
      </c>
      <c r="H624" s="343">
        <v>2.1459999999999999</v>
      </c>
      <c r="I624" s="76"/>
      <c r="J624" s="348"/>
    </row>
    <row r="625" spans="1:10">
      <c r="A625" s="344" t="s">
        <v>834</v>
      </c>
      <c r="B625" s="345" t="s">
        <v>897</v>
      </c>
      <c r="C625" s="76" t="s">
        <v>639</v>
      </c>
      <c r="D625" s="343">
        <v>1.05</v>
      </c>
      <c r="E625" s="76" t="s">
        <v>607</v>
      </c>
      <c r="F625" s="343">
        <v>0.52800000000000002</v>
      </c>
      <c r="G625" s="76" t="s">
        <v>898</v>
      </c>
      <c r="H625" s="343">
        <v>2.4569999999999999</v>
      </c>
      <c r="I625" s="76"/>
      <c r="J625" s="348"/>
    </row>
    <row r="626" spans="1:10">
      <c r="A626" s="344" t="s">
        <v>834</v>
      </c>
      <c r="B626" s="345" t="s">
        <v>899</v>
      </c>
      <c r="C626" s="76" t="s">
        <v>639</v>
      </c>
      <c r="D626" s="343">
        <v>1.05</v>
      </c>
      <c r="E626" s="76" t="s">
        <v>609</v>
      </c>
      <c r="F626" s="343">
        <v>0.67900000000000005</v>
      </c>
      <c r="G626" s="76" t="s">
        <v>900</v>
      </c>
      <c r="H626" s="343">
        <v>3.077</v>
      </c>
      <c r="I626" s="76"/>
      <c r="J626" s="348"/>
    </row>
    <row r="627" spans="1:10">
      <c r="A627" s="344" t="s">
        <v>834</v>
      </c>
      <c r="B627" s="345" t="s">
        <v>901</v>
      </c>
      <c r="C627" s="76" t="s">
        <v>639</v>
      </c>
      <c r="D627" s="343">
        <v>1.05</v>
      </c>
      <c r="E627" s="76" t="s">
        <v>611</v>
      </c>
      <c r="F627" s="343">
        <v>0.754</v>
      </c>
      <c r="G627" s="76" t="s">
        <v>902</v>
      </c>
      <c r="H627" s="343">
        <v>3.387</v>
      </c>
      <c r="I627" s="76"/>
      <c r="J627" s="348"/>
    </row>
    <row r="628" spans="1:10">
      <c r="A628" s="344" t="s">
        <v>834</v>
      </c>
      <c r="B628" s="345" t="s">
        <v>903</v>
      </c>
      <c r="C628" s="76" t="s">
        <v>639</v>
      </c>
      <c r="D628" s="343">
        <v>1.05</v>
      </c>
      <c r="E628" s="76" t="s">
        <v>613</v>
      </c>
      <c r="F628" s="343">
        <v>0.83</v>
      </c>
      <c r="G628" s="76" t="s">
        <v>904</v>
      </c>
      <c r="H628" s="343">
        <v>3.698</v>
      </c>
      <c r="I628" s="76"/>
      <c r="J628" s="348"/>
    </row>
    <row r="629" spans="1:10">
      <c r="A629" s="344" t="s">
        <v>834</v>
      </c>
      <c r="B629" s="345" t="s">
        <v>905</v>
      </c>
      <c r="C629" s="76" t="s">
        <v>647</v>
      </c>
      <c r="D629" s="343">
        <v>0.245</v>
      </c>
      <c r="E629" s="76" t="s">
        <v>648</v>
      </c>
      <c r="F629" s="343">
        <v>0.151</v>
      </c>
      <c r="G629" s="76" t="s">
        <v>906</v>
      </c>
      <c r="H629" s="343"/>
      <c r="I629" s="76"/>
      <c r="J629" s="348"/>
    </row>
    <row r="630" spans="1:10">
      <c r="A630" s="344" t="s">
        <v>834</v>
      </c>
      <c r="B630" s="345" t="s">
        <v>907</v>
      </c>
      <c r="C630" s="76" t="s">
        <v>650</v>
      </c>
      <c r="D630" s="343">
        <v>0.157</v>
      </c>
      <c r="E630" s="76" t="s">
        <v>651</v>
      </c>
      <c r="F630" s="343">
        <v>8.7999999999999995E-2</v>
      </c>
      <c r="G630" s="76" t="s">
        <v>908</v>
      </c>
      <c r="H630" s="343"/>
      <c r="I630" s="76"/>
      <c r="J630" s="348"/>
    </row>
    <row r="631" spans="1:10">
      <c r="A631" s="344" t="s">
        <v>909</v>
      </c>
      <c r="B631" s="345" t="s">
        <v>910</v>
      </c>
      <c r="C631" s="76" t="s">
        <v>911</v>
      </c>
      <c r="D631" s="343">
        <v>0.73599999999999999</v>
      </c>
      <c r="E631" s="76" t="s">
        <v>912</v>
      </c>
      <c r="F631" s="343">
        <v>0.247</v>
      </c>
      <c r="G631" s="76" t="s">
        <v>913</v>
      </c>
      <c r="H631" s="343">
        <v>2.722</v>
      </c>
      <c r="I631" s="286" t="s">
        <v>914</v>
      </c>
      <c r="J631" s="349">
        <v>3.4020000000000001</v>
      </c>
    </row>
    <row r="632" spans="1:10">
      <c r="A632" s="344" t="s">
        <v>909</v>
      </c>
      <c r="B632" s="345" t="s">
        <v>915</v>
      </c>
      <c r="C632" s="76" t="s">
        <v>911</v>
      </c>
      <c r="D632" s="343">
        <v>0.73599999999999999</v>
      </c>
      <c r="E632" s="76" t="s">
        <v>916</v>
      </c>
      <c r="F632" s="343">
        <v>0.309</v>
      </c>
      <c r="G632" s="76" t="s">
        <v>917</v>
      </c>
      <c r="H632" s="343">
        <v>3.2749999999999999</v>
      </c>
      <c r="I632" s="286" t="s">
        <v>918</v>
      </c>
      <c r="J632" s="349">
        <v>4.0940000000000003</v>
      </c>
    </row>
    <row r="633" spans="1:10">
      <c r="A633" s="344" t="s">
        <v>909</v>
      </c>
      <c r="B633" s="345" t="s">
        <v>919</v>
      </c>
      <c r="C633" s="76" t="s">
        <v>911</v>
      </c>
      <c r="D633" s="343">
        <v>0.73599999999999999</v>
      </c>
      <c r="E633" s="76" t="s">
        <v>920</v>
      </c>
      <c r="F633" s="343">
        <v>0.37</v>
      </c>
      <c r="G633" s="76" t="s">
        <v>921</v>
      </c>
      <c r="H633" s="343">
        <v>3.8290000000000002</v>
      </c>
      <c r="I633" s="286" t="s">
        <v>922</v>
      </c>
      <c r="J633" s="349">
        <v>4.7859999999999996</v>
      </c>
    </row>
    <row r="634" spans="1:10">
      <c r="A634" s="344" t="s">
        <v>909</v>
      </c>
      <c r="B634" s="345" t="s">
        <v>923</v>
      </c>
      <c r="C634" s="76" t="s">
        <v>911</v>
      </c>
      <c r="D634" s="343">
        <v>0.73599999999999999</v>
      </c>
      <c r="E634" s="76" t="s">
        <v>924</v>
      </c>
      <c r="F634" s="343">
        <v>0.432</v>
      </c>
      <c r="G634" s="76" t="s">
        <v>925</v>
      </c>
      <c r="H634" s="343">
        <v>4.3819999999999997</v>
      </c>
      <c r="I634" s="286" t="s">
        <v>926</v>
      </c>
      <c r="J634" s="349">
        <v>5.4779999999999998</v>
      </c>
    </row>
    <row r="635" spans="1:10">
      <c r="A635" s="344" t="s">
        <v>909</v>
      </c>
      <c r="B635" s="345" t="s">
        <v>927</v>
      </c>
      <c r="C635" s="76" t="s">
        <v>911</v>
      </c>
      <c r="D635" s="343">
        <v>0.73599999999999999</v>
      </c>
      <c r="E635" s="76" t="s">
        <v>928</v>
      </c>
      <c r="F635" s="343">
        <v>0.55500000000000005</v>
      </c>
      <c r="G635" s="76" t="s">
        <v>929</v>
      </c>
      <c r="H635" s="343">
        <v>5.4889999999999999</v>
      </c>
      <c r="I635" s="286" t="s">
        <v>930</v>
      </c>
      <c r="J635" s="349">
        <v>6.8620000000000001</v>
      </c>
    </row>
    <row r="636" spans="1:10">
      <c r="A636" s="344" t="s">
        <v>909</v>
      </c>
      <c r="B636" s="345" t="s">
        <v>931</v>
      </c>
      <c r="C636" s="76" t="s">
        <v>911</v>
      </c>
      <c r="D636" s="343">
        <v>0.73599999999999999</v>
      </c>
      <c r="E636" s="76" t="s">
        <v>932</v>
      </c>
      <c r="F636" s="343">
        <v>0.61699999999999999</v>
      </c>
      <c r="G636" s="76" t="s">
        <v>933</v>
      </c>
      <c r="H636" s="343">
        <v>6.0430000000000001</v>
      </c>
      <c r="I636" s="286" t="s">
        <v>934</v>
      </c>
      <c r="J636" s="349">
        <v>7.5540000000000003</v>
      </c>
    </row>
    <row r="637" spans="1:10">
      <c r="A637" s="344" t="s">
        <v>909</v>
      </c>
      <c r="B637" s="345" t="s">
        <v>935</v>
      </c>
      <c r="C637" s="76" t="s">
        <v>911</v>
      </c>
      <c r="D637" s="343">
        <v>0.73599999999999999</v>
      </c>
      <c r="E637" s="76" t="s">
        <v>936</v>
      </c>
      <c r="F637" s="343">
        <v>0.67900000000000005</v>
      </c>
      <c r="G637" s="76" t="s">
        <v>937</v>
      </c>
      <c r="H637" s="343">
        <v>6.5960000000000001</v>
      </c>
      <c r="I637" s="286" t="s">
        <v>938</v>
      </c>
      <c r="J637" s="349">
        <v>8.2460000000000004</v>
      </c>
    </row>
    <row r="638" spans="1:10">
      <c r="A638" s="344" t="s">
        <v>909</v>
      </c>
      <c r="B638" s="345" t="s">
        <v>939</v>
      </c>
      <c r="C638" s="76" t="s">
        <v>940</v>
      </c>
      <c r="D638" s="343">
        <v>0.76600000000000001</v>
      </c>
      <c r="E638" s="76" t="s">
        <v>912</v>
      </c>
      <c r="F638" s="343">
        <v>0.247</v>
      </c>
      <c r="G638" s="76" t="s">
        <v>941</v>
      </c>
      <c r="H638" s="343">
        <v>2.8359999999999999</v>
      </c>
      <c r="I638" s="286" t="s">
        <v>942</v>
      </c>
      <c r="J638" s="349">
        <v>3.5449999999999999</v>
      </c>
    </row>
    <row r="639" spans="1:10">
      <c r="A639" s="344" t="s">
        <v>909</v>
      </c>
      <c r="B639" s="345" t="s">
        <v>943</v>
      </c>
      <c r="C639" s="76" t="s">
        <v>940</v>
      </c>
      <c r="D639" s="343">
        <v>0.76600000000000001</v>
      </c>
      <c r="E639" s="76" t="s">
        <v>916</v>
      </c>
      <c r="F639" s="343">
        <v>0.309</v>
      </c>
      <c r="G639" s="76" t="s">
        <v>944</v>
      </c>
      <c r="H639" s="343">
        <v>3.4129999999999998</v>
      </c>
      <c r="I639" s="286" t="s">
        <v>945</v>
      </c>
      <c r="J639" s="349">
        <v>4.266</v>
      </c>
    </row>
    <row r="640" spans="1:10">
      <c r="A640" s="344" t="s">
        <v>909</v>
      </c>
      <c r="B640" s="345" t="s">
        <v>946</v>
      </c>
      <c r="C640" s="76" t="s">
        <v>940</v>
      </c>
      <c r="D640" s="343">
        <v>0.76600000000000001</v>
      </c>
      <c r="E640" s="76" t="s">
        <v>920</v>
      </c>
      <c r="F640" s="343">
        <v>0.37</v>
      </c>
      <c r="G640" s="76" t="s">
        <v>947</v>
      </c>
      <c r="H640" s="343">
        <v>3.9889999999999999</v>
      </c>
      <c r="I640" s="286" t="s">
        <v>948</v>
      </c>
      <c r="J640" s="349">
        <v>4.9870000000000001</v>
      </c>
    </row>
    <row r="641" spans="1:10">
      <c r="A641" s="344" t="s">
        <v>909</v>
      </c>
      <c r="B641" s="345" t="s">
        <v>949</v>
      </c>
      <c r="C641" s="76" t="s">
        <v>940</v>
      </c>
      <c r="D641" s="343">
        <v>0.76600000000000001</v>
      </c>
      <c r="E641" s="76" t="s">
        <v>924</v>
      </c>
      <c r="F641" s="343">
        <v>0.432</v>
      </c>
      <c r="G641" s="76" t="s">
        <v>950</v>
      </c>
      <c r="H641" s="343">
        <v>4.5659999999999998</v>
      </c>
      <c r="I641" s="286" t="s">
        <v>951</v>
      </c>
      <c r="J641" s="349">
        <v>5.7080000000000002</v>
      </c>
    </row>
    <row r="642" spans="1:10">
      <c r="A642" s="344" t="s">
        <v>909</v>
      </c>
      <c r="B642" s="345" t="s">
        <v>952</v>
      </c>
      <c r="C642" s="76" t="s">
        <v>940</v>
      </c>
      <c r="D642" s="343">
        <v>0.76600000000000001</v>
      </c>
      <c r="E642" s="76" t="s">
        <v>928</v>
      </c>
      <c r="F642" s="343">
        <v>0.55500000000000005</v>
      </c>
      <c r="G642" s="76" t="s">
        <v>953</v>
      </c>
      <c r="H642" s="343">
        <v>5.72</v>
      </c>
      <c r="I642" s="286" t="s">
        <v>954</v>
      </c>
      <c r="J642" s="349">
        <v>7.15</v>
      </c>
    </row>
    <row r="643" spans="1:10">
      <c r="A643" s="344" t="s">
        <v>909</v>
      </c>
      <c r="B643" s="345" t="s">
        <v>955</v>
      </c>
      <c r="C643" s="76" t="s">
        <v>940</v>
      </c>
      <c r="D643" s="343">
        <v>0.76600000000000001</v>
      </c>
      <c r="E643" s="76" t="s">
        <v>932</v>
      </c>
      <c r="F643" s="343">
        <v>0.61699999999999999</v>
      </c>
      <c r="G643" s="76" t="s">
        <v>956</v>
      </c>
      <c r="H643" s="343">
        <v>6.2960000000000003</v>
      </c>
      <c r="I643" s="286" t="s">
        <v>957</v>
      </c>
      <c r="J643" s="349">
        <v>7.8710000000000004</v>
      </c>
    </row>
    <row r="644" spans="1:10">
      <c r="A644" s="344" t="s">
        <v>909</v>
      </c>
      <c r="B644" s="345" t="s">
        <v>958</v>
      </c>
      <c r="C644" s="76" t="s">
        <v>940</v>
      </c>
      <c r="D644" s="343">
        <v>0.76600000000000001</v>
      </c>
      <c r="E644" s="76" t="s">
        <v>936</v>
      </c>
      <c r="F644" s="343">
        <v>0.67900000000000005</v>
      </c>
      <c r="G644" s="76" t="s">
        <v>959</v>
      </c>
      <c r="H644" s="343">
        <v>6.8730000000000002</v>
      </c>
      <c r="I644" s="286" t="s">
        <v>960</v>
      </c>
      <c r="J644" s="349">
        <v>8.5920000000000005</v>
      </c>
    </row>
    <row r="645" spans="1:10">
      <c r="A645" s="344" t="s">
        <v>909</v>
      </c>
      <c r="B645" s="345" t="s">
        <v>961</v>
      </c>
      <c r="C645" s="76" t="s">
        <v>962</v>
      </c>
      <c r="D645" s="343">
        <v>0.79700000000000004</v>
      </c>
      <c r="E645" s="76" t="s">
        <v>912</v>
      </c>
      <c r="F645" s="343">
        <v>0.247</v>
      </c>
      <c r="G645" s="76" t="s">
        <v>963</v>
      </c>
      <c r="H645" s="343">
        <v>2.95</v>
      </c>
      <c r="I645" s="286" t="s">
        <v>964</v>
      </c>
      <c r="J645" s="349">
        <v>3.6869999999999998</v>
      </c>
    </row>
    <row r="646" spans="1:10">
      <c r="A646" s="344" t="s">
        <v>909</v>
      </c>
      <c r="B646" s="345" t="s">
        <v>965</v>
      </c>
      <c r="C646" s="76" t="s">
        <v>962</v>
      </c>
      <c r="D646" s="343">
        <v>0.79700000000000004</v>
      </c>
      <c r="E646" s="76" t="s">
        <v>916</v>
      </c>
      <c r="F646" s="343">
        <v>0.309</v>
      </c>
      <c r="G646" s="76" t="s">
        <v>966</v>
      </c>
      <c r="H646" s="343">
        <v>3.55</v>
      </c>
      <c r="I646" s="286" t="s">
        <v>967</v>
      </c>
      <c r="J646" s="349">
        <v>4.4370000000000003</v>
      </c>
    </row>
    <row r="647" spans="1:10">
      <c r="A647" s="344" t="s">
        <v>909</v>
      </c>
      <c r="B647" s="345" t="s">
        <v>968</v>
      </c>
      <c r="C647" s="76" t="s">
        <v>962</v>
      </c>
      <c r="D647" s="343">
        <v>0.79700000000000004</v>
      </c>
      <c r="E647" s="76" t="s">
        <v>920</v>
      </c>
      <c r="F647" s="343">
        <v>0.37</v>
      </c>
      <c r="G647" s="76" t="s">
        <v>969</v>
      </c>
      <c r="H647" s="343">
        <v>4.1500000000000004</v>
      </c>
      <c r="I647" s="286" t="s">
        <v>970</v>
      </c>
      <c r="J647" s="349">
        <v>5.1870000000000003</v>
      </c>
    </row>
    <row r="648" spans="1:10">
      <c r="A648" s="344" t="s">
        <v>909</v>
      </c>
      <c r="B648" s="345" t="s">
        <v>971</v>
      </c>
      <c r="C648" s="76" t="s">
        <v>962</v>
      </c>
      <c r="D648" s="343">
        <v>0.79700000000000004</v>
      </c>
      <c r="E648" s="76" t="s">
        <v>924</v>
      </c>
      <c r="F648" s="343">
        <v>0.432</v>
      </c>
      <c r="G648" s="76" t="s">
        <v>972</v>
      </c>
      <c r="H648" s="343">
        <v>4.75</v>
      </c>
      <c r="I648" s="286" t="s">
        <v>973</v>
      </c>
      <c r="J648" s="349">
        <v>5.9370000000000003</v>
      </c>
    </row>
    <row r="649" spans="1:10">
      <c r="A649" s="344" t="s">
        <v>909</v>
      </c>
      <c r="B649" s="345" t="s">
        <v>974</v>
      </c>
      <c r="C649" s="76" t="s">
        <v>962</v>
      </c>
      <c r="D649" s="343">
        <v>0.79700000000000004</v>
      </c>
      <c r="E649" s="76" t="s">
        <v>928</v>
      </c>
      <c r="F649" s="343">
        <v>0.55500000000000005</v>
      </c>
      <c r="G649" s="76" t="s">
        <v>975</v>
      </c>
      <c r="H649" s="343">
        <v>5.95</v>
      </c>
      <c r="I649" s="286" t="s">
        <v>976</v>
      </c>
      <c r="J649" s="349">
        <v>7.4370000000000003</v>
      </c>
    </row>
    <row r="650" spans="1:10">
      <c r="A650" s="344" t="s">
        <v>909</v>
      </c>
      <c r="B650" s="345" t="s">
        <v>977</v>
      </c>
      <c r="C650" s="76" t="s">
        <v>962</v>
      </c>
      <c r="D650" s="343">
        <v>0.79700000000000004</v>
      </c>
      <c r="E650" s="76" t="s">
        <v>932</v>
      </c>
      <c r="F650" s="343">
        <v>0.61699999999999999</v>
      </c>
      <c r="G650" s="76" t="s">
        <v>978</v>
      </c>
      <c r="H650" s="343">
        <v>6.55</v>
      </c>
      <c r="I650" s="286" t="s">
        <v>979</v>
      </c>
      <c r="J650" s="349">
        <v>8.1869999999999994</v>
      </c>
    </row>
    <row r="651" spans="1:10">
      <c r="A651" s="344" t="s">
        <v>909</v>
      </c>
      <c r="B651" s="345" t="s">
        <v>980</v>
      </c>
      <c r="C651" s="76" t="s">
        <v>962</v>
      </c>
      <c r="D651" s="343">
        <v>0.79700000000000004</v>
      </c>
      <c r="E651" s="76" t="s">
        <v>936</v>
      </c>
      <c r="F651" s="343">
        <v>0.67900000000000005</v>
      </c>
      <c r="G651" s="76" t="s">
        <v>981</v>
      </c>
      <c r="H651" s="343">
        <v>7.15</v>
      </c>
      <c r="I651" s="286" t="s">
        <v>982</v>
      </c>
      <c r="J651" s="349">
        <v>8.9369999999999994</v>
      </c>
    </row>
    <row r="652" spans="1:10">
      <c r="A652" s="344" t="s">
        <v>909</v>
      </c>
      <c r="B652" s="345" t="s">
        <v>983</v>
      </c>
      <c r="C652" s="76" t="s">
        <v>984</v>
      </c>
      <c r="D652" s="343">
        <v>0.81799999999999995</v>
      </c>
      <c r="E652" s="76" t="s">
        <v>912</v>
      </c>
      <c r="F652" s="343">
        <v>0.247</v>
      </c>
      <c r="G652" s="76" t="s">
        <v>985</v>
      </c>
      <c r="H652" s="343">
        <v>3.0259999999999998</v>
      </c>
      <c r="I652" s="286" t="s">
        <v>986</v>
      </c>
      <c r="J652" s="349">
        <v>3.7829999999999999</v>
      </c>
    </row>
    <row r="653" spans="1:10">
      <c r="A653" s="344" t="s">
        <v>909</v>
      </c>
      <c r="B653" s="345" t="s">
        <v>987</v>
      </c>
      <c r="C653" s="76" t="s">
        <v>984</v>
      </c>
      <c r="D653" s="343">
        <v>0.81799999999999995</v>
      </c>
      <c r="E653" s="76" t="s">
        <v>916</v>
      </c>
      <c r="F653" s="343">
        <v>0.309</v>
      </c>
      <c r="G653" s="76" t="s">
        <v>988</v>
      </c>
      <c r="H653" s="343">
        <v>3.6419999999999999</v>
      </c>
      <c r="I653" s="286" t="s">
        <v>989</v>
      </c>
      <c r="J653" s="349">
        <v>4.5519999999999996</v>
      </c>
    </row>
    <row r="654" spans="1:10">
      <c r="A654" s="344" t="s">
        <v>909</v>
      </c>
      <c r="B654" s="345" t="s">
        <v>990</v>
      </c>
      <c r="C654" s="76" t="s">
        <v>984</v>
      </c>
      <c r="D654" s="343">
        <v>0.81799999999999995</v>
      </c>
      <c r="E654" s="76" t="s">
        <v>920</v>
      </c>
      <c r="F654" s="343">
        <v>0.37</v>
      </c>
      <c r="G654" s="76" t="s">
        <v>991</v>
      </c>
      <c r="H654" s="343">
        <v>4.2569999999999997</v>
      </c>
      <c r="I654" s="286" t="s">
        <v>992</v>
      </c>
      <c r="J654" s="349">
        <v>5.3209999999999997</v>
      </c>
    </row>
    <row r="655" spans="1:10">
      <c r="A655" s="344" t="s">
        <v>909</v>
      </c>
      <c r="B655" s="345" t="s">
        <v>993</v>
      </c>
      <c r="C655" s="76" t="s">
        <v>984</v>
      </c>
      <c r="D655" s="343">
        <v>0.81799999999999995</v>
      </c>
      <c r="E655" s="76" t="s">
        <v>924</v>
      </c>
      <c r="F655" s="343">
        <v>0.432</v>
      </c>
      <c r="G655" s="76" t="s">
        <v>994</v>
      </c>
      <c r="H655" s="343">
        <v>4.8730000000000002</v>
      </c>
      <c r="I655" s="286" t="s">
        <v>995</v>
      </c>
      <c r="J655" s="349">
        <v>6.0910000000000002</v>
      </c>
    </row>
    <row r="656" spans="1:10">
      <c r="A656" s="344" t="s">
        <v>909</v>
      </c>
      <c r="B656" s="345" t="s">
        <v>996</v>
      </c>
      <c r="C656" s="76" t="s">
        <v>984</v>
      </c>
      <c r="D656" s="343">
        <v>0.81799999999999995</v>
      </c>
      <c r="E656" s="76" t="s">
        <v>928</v>
      </c>
      <c r="F656" s="343">
        <v>0.55500000000000005</v>
      </c>
      <c r="G656" s="76" t="s">
        <v>997</v>
      </c>
      <c r="H656" s="343">
        <v>6.1040000000000001</v>
      </c>
      <c r="I656" s="286" t="s">
        <v>998</v>
      </c>
      <c r="J656" s="349">
        <v>7.6289999999999996</v>
      </c>
    </row>
    <row r="657" spans="1:10">
      <c r="A657" s="344" t="s">
        <v>909</v>
      </c>
      <c r="B657" s="345" t="s">
        <v>999</v>
      </c>
      <c r="C657" s="76" t="s">
        <v>984</v>
      </c>
      <c r="D657" s="343">
        <v>0.81799999999999995</v>
      </c>
      <c r="E657" s="76" t="s">
        <v>932</v>
      </c>
      <c r="F657" s="343">
        <v>0.61699999999999999</v>
      </c>
      <c r="G657" s="76" t="s">
        <v>1000</v>
      </c>
      <c r="H657" s="343">
        <v>6.7190000000000003</v>
      </c>
      <c r="I657" s="286" t="s">
        <v>1001</v>
      </c>
      <c r="J657" s="349">
        <v>8.3989999999999991</v>
      </c>
    </row>
    <row r="658" spans="1:10">
      <c r="A658" s="344" t="s">
        <v>909</v>
      </c>
      <c r="B658" s="345" t="s">
        <v>1002</v>
      </c>
      <c r="C658" s="76" t="s">
        <v>984</v>
      </c>
      <c r="D658" s="343">
        <v>0.81799999999999995</v>
      </c>
      <c r="E658" s="76" t="s">
        <v>936</v>
      </c>
      <c r="F658" s="343">
        <v>0.67900000000000005</v>
      </c>
      <c r="G658" s="76" t="s">
        <v>1003</v>
      </c>
      <c r="H658" s="343">
        <v>7.335</v>
      </c>
      <c r="I658" s="286" t="s">
        <v>1004</v>
      </c>
      <c r="J658" s="349">
        <v>9.1679999999999993</v>
      </c>
    </row>
    <row r="659" spans="1:10">
      <c r="A659" s="344" t="s">
        <v>909</v>
      </c>
      <c r="B659" s="345" t="s">
        <v>1005</v>
      </c>
      <c r="C659" s="76" t="s">
        <v>1006</v>
      </c>
      <c r="D659" s="343">
        <v>0.85899999999999999</v>
      </c>
      <c r="E659" s="76" t="s">
        <v>912</v>
      </c>
      <c r="F659" s="343">
        <v>0.247</v>
      </c>
      <c r="G659" s="76" t="s">
        <v>1007</v>
      </c>
      <c r="H659" s="343">
        <v>3.1779999999999999</v>
      </c>
      <c r="I659" s="286" t="s">
        <v>1008</v>
      </c>
      <c r="J659" s="349">
        <v>3.9729999999999999</v>
      </c>
    </row>
    <row r="660" spans="1:10">
      <c r="A660" s="344" t="s">
        <v>909</v>
      </c>
      <c r="B660" s="345" t="s">
        <v>1009</v>
      </c>
      <c r="C660" s="76" t="s">
        <v>1006</v>
      </c>
      <c r="D660" s="343">
        <v>0.85899999999999999</v>
      </c>
      <c r="E660" s="76" t="s">
        <v>916</v>
      </c>
      <c r="F660" s="343">
        <v>0.309</v>
      </c>
      <c r="G660" s="76" t="s">
        <v>1010</v>
      </c>
      <c r="H660" s="343">
        <v>3.8250000000000002</v>
      </c>
      <c r="I660" s="286" t="s">
        <v>1011</v>
      </c>
      <c r="J660" s="349">
        <v>4.7809999999999997</v>
      </c>
    </row>
    <row r="661" spans="1:10">
      <c r="A661" s="344" t="s">
        <v>909</v>
      </c>
      <c r="B661" s="345" t="s">
        <v>1012</v>
      </c>
      <c r="C661" s="76" t="s">
        <v>1006</v>
      </c>
      <c r="D661" s="343">
        <v>0.85899999999999999</v>
      </c>
      <c r="E661" s="76" t="s">
        <v>920</v>
      </c>
      <c r="F661" s="343">
        <v>0.37</v>
      </c>
      <c r="G661" s="76" t="s">
        <v>1013</v>
      </c>
      <c r="H661" s="343">
        <v>4.4710000000000001</v>
      </c>
      <c r="I661" s="286" t="s">
        <v>1014</v>
      </c>
      <c r="J661" s="349">
        <v>5.5890000000000004</v>
      </c>
    </row>
    <row r="662" spans="1:10">
      <c r="A662" s="344" t="s">
        <v>909</v>
      </c>
      <c r="B662" s="345" t="s">
        <v>1015</v>
      </c>
      <c r="C662" s="76" t="s">
        <v>1006</v>
      </c>
      <c r="D662" s="343">
        <v>0.85899999999999999</v>
      </c>
      <c r="E662" s="76" t="s">
        <v>924</v>
      </c>
      <c r="F662" s="343">
        <v>0.432</v>
      </c>
      <c r="G662" s="76" t="s">
        <v>1016</v>
      </c>
      <c r="H662" s="343">
        <v>5.1180000000000003</v>
      </c>
      <c r="I662" s="286" t="s">
        <v>1017</v>
      </c>
      <c r="J662" s="349">
        <v>6.3970000000000002</v>
      </c>
    </row>
    <row r="663" spans="1:10">
      <c r="A663" s="344" t="s">
        <v>909</v>
      </c>
      <c r="B663" s="345" t="s">
        <v>1018</v>
      </c>
      <c r="C663" s="76" t="s">
        <v>1006</v>
      </c>
      <c r="D663" s="343">
        <v>0.85899999999999999</v>
      </c>
      <c r="E663" s="76" t="s">
        <v>928</v>
      </c>
      <c r="F663" s="343">
        <v>0.55500000000000005</v>
      </c>
      <c r="G663" s="76" t="s">
        <v>1019</v>
      </c>
      <c r="H663" s="343">
        <v>6.4109999999999996</v>
      </c>
      <c r="I663" s="286" t="s">
        <v>1020</v>
      </c>
      <c r="J663" s="349">
        <v>8.0129999999999999</v>
      </c>
    </row>
    <row r="664" spans="1:10">
      <c r="A664" s="344" t="s">
        <v>909</v>
      </c>
      <c r="B664" s="345" t="s">
        <v>1021</v>
      </c>
      <c r="C664" s="76" t="s">
        <v>1006</v>
      </c>
      <c r="D664" s="343">
        <v>0.85899999999999999</v>
      </c>
      <c r="E664" s="76" t="s">
        <v>932</v>
      </c>
      <c r="F664" s="343">
        <v>0.61699999999999999</v>
      </c>
      <c r="G664" s="76" t="s">
        <v>1022</v>
      </c>
      <c r="H664" s="343">
        <v>7.0570000000000004</v>
      </c>
      <c r="I664" s="286" t="s">
        <v>1023</v>
      </c>
      <c r="J664" s="349">
        <v>8.8209999999999997</v>
      </c>
    </row>
    <row r="665" spans="1:10">
      <c r="A665" s="344" t="s">
        <v>909</v>
      </c>
      <c r="B665" s="345" t="s">
        <v>1024</v>
      </c>
      <c r="C665" s="76" t="s">
        <v>1006</v>
      </c>
      <c r="D665" s="343">
        <v>0.85899999999999999</v>
      </c>
      <c r="E665" s="76" t="s">
        <v>936</v>
      </c>
      <c r="F665" s="343">
        <v>0.67900000000000005</v>
      </c>
      <c r="G665" s="76" t="s">
        <v>1025</v>
      </c>
      <c r="H665" s="343">
        <v>7.7039999999999997</v>
      </c>
      <c r="I665" s="286" t="s">
        <v>1026</v>
      </c>
      <c r="J665" s="349">
        <v>9.6289999999999996</v>
      </c>
    </row>
    <row r="666" spans="1:10">
      <c r="A666" s="344" t="s">
        <v>909</v>
      </c>
      <c r="B666" s="345" t="s">
        <v>1027</v>
      </c>
      <c r="C666" s="76" t="s">
        <v>1028</v>
      </c>
      <c r="D666" s="343">
        <v>0.20100000000000001</v>
      </c>
      <c r="E666" s="76" t="s">
        <v>1029</v>
      </c>
      <c r="F666" s="343">
        <v>0.123</v>
      </c>
      <c r="G666" s="76" t="s">
        <v>1030</v>
      </c>
      <c r="H666" s="343"/>
      <c r="I666" s="286" t="s">
        <v>1031</v>
      </c>
      <c r="J666" s="349"/>
    </row>
    <row r="667" spans="1:10">
      <c r="A667" s="344" t="s">
        <v>909</v>
      </c>
      <c r="B667" s="345" t="s">
        <v>1032</v>
      </c>
      <c r="C667" s="76" t="s">
        <v>1033</v>
      </c>
      <c r="D667" s="343">
        <v>0.129</v>
      </c>
      <c r="E667" s="76" t="s">
        <v>1034</v>
      </c>
      <c r="F667" s="343">
        <v>7.1999999999999995E-2</v>
      </c>
      <c r="G667" s="76" t="s">
        <v>1035</v>
      </c>
      <c r="H667" s="343">
        <v>0.20200000000000001</v>
      </c>
      <c r="I667" s="286" t="s">
        <v>1036</v>
      </c>
      <c r="J667" s="349">
        <v>0.252</v>
      </c>
    </row>
    <row r="668" spans="1:10">
      <c r="A668" s="344" t="s">
        <v>1037</v>
      </c>
      <c r="B668" s="345" t="s">
        <v>1038</v>
      </c>
      <c r="C668" s="76" t="s">
        <v>1039</v>
      </c>
      <c r="D668" s="343">
        <v>0.84399999999999997</v>
      </c>
      <c r="E668" s="76" t="s">
        <v>1040</v>
      </c>
      <c r="F668" s="343">
        <v>0.28299999999999997</v>
      </c>
      <c r="G668" s="286" t="s">
        <v>914</v>
      </c>
      <c r="H668" s="239">
        <v>3.4020000000000001</v>
      </c>
      <c r="I668" s="286" t="s">
        <v>1041</v>
      </c>
      <c r="J668" s="349">
        <v>4.0819999999999999</v>
      </c>
    </row>
    <row r="669" spans="1:10">
      <c r="A669" s="344" t="s">
        <v>1037</v>
      </c>
      <c r="B669" s="345" t="s">
        <v>1042</v>
      </c>
      <c r="C669" s="76" t="s">
        <v>1039</v>
      </c>
      <c r="D669" s="343">
        <v>0.84399999999999997</v>
      </c>
      <c r="E669" s="76" t="s">
        <v>1043</v>
      </c>
      <c r="F669" s="343">
        <v>0.35399999999999998</v>
      </c>
      <c r="G669" s="286" t="s">
        <v>918</v>
      </c>
      <c r="H669" s="239">
        <v>4.0940000000000003</v>
      </c>
      <c r="I669" s="286" t="s">
        <v>1044</v>
      </c>
      <c r="J669" s="349">
        <v>4.9130000000000003</v>
      </c>
    </row>
    <row r="670" spans="1:10">
      <c r="A670" s="344" t="s">
        <v>1037</v>
      </c>
      <c r="B670" s="345" t="s">
        <v>1045</v>
      </c>
      <c r="C670" s="76" t="s">
        <v>1039</v>
      </c>
      <c r="D670" s="343">
        <v>0.84399999999999997</v>
      </c>
      <c r="E670" s="76" t="s">
        <v>1046</v>
      </c>
      <c r="F670" s="343">
        <v>0.42499999999999999</v>
      </c>
      <c r="G670" s="286" t="s">
        <v>922</v>
      </c>
      <c r="H670" s="239">
        <v>4.7859999999999996</v>
      </c>
      <c r="I670" s="286" t="s">
        <v>1047</v>
      </c>
      <c r="J670" s="349">
        <v>5.7430000000000003</v>
      </c>
    </row>
    <row r="671" spans="1:10">
      <c r="A671" s="344" t="s">
        <v>1037</v>
      </c>
      <c r="B671" s="345" t="s">
        <v>1048</v>
      </c>
      <c r="C671" s="76" t="s">
        <v>1039</v>
      </c>
      <c r="D671" s="343">
        <v>0.84399999999999997</v>
      </c>
      <c r="E671" s="76" t="s">
        <v>1049</v>
      </c>
      <c r="F671" s="343">
        <v>0.496</v>
      </c>
      <c r="G671" s="286" t="s">
        <v>926</v>
      </c>
      <c r="H671" s="239">
        <v>5.4779999999999998</v>
      </c>
      <c r="I671" s="286" t="s">
        <v>1050</v>
      </c>
      <c r="J671" s="349">
        <v>6.5730000000000004</v>
      </c>
    </row>
    <row r="672" spans="1:10">
      <c r="A672" s="344" t="s">
        <v>1037</v>
      </c>
      <c r="B672" s="345" t="s">
        <v>1051</v>
      </c>
      <c r="C672" s="76" t="s">
        <v>1039</v>
      </c>
      <c r="D672" s="343">
        <v>0.84399999999999997</v>
      </c>
      <c r="E672" s="76" t="s">
        <v>1052</v>
      </c>
      <c r="F672" s="343">
        <v>0.63800000000000001</v>
      </c>
      <c r="G672" s="286" t="s">
        <v>930</v>
      </c>
      <c r="H672" s="239">
        <v>6.8620000000000001</v>
      </c>
      <c r="I672" s="286" t="s">
        <v>1053</v>
      </c>
      <c r="J672" s="349">
        <v>8.234</v>
      </c>
    </row>
    <row r="673" spans="1:10">
      <c r="A673" s="344" t="s">
        <v>1037</v>
      </c>
      <c r="B673" s="345" t="s">
        <v>1054</v>
      </c>
      <c r="C673" s="76" t="s">
        <v>1039</v>
      </c>
      <c r="D673" s="343">
        <v>0.84399999999999997</v>
      </c>
      <c r="E673" s="76" t="s">
        <v>1055</v>
      </c>
      <c r="F673" s="343">
        <v>0.70899999999999996</v>
      </c>
      <c r="G673" s="286" t="s">
        <v>934</v>
      </c>
      <c r="H673" s="239">
        <v>7.5540000000000003</v>
      </c>
      <c r="I673" s="286" t="s">
        <v>1056</v>
      </c>
      <c r="J673" s="349">
        <v>9.0640000000000001</v>
      </c>
    </row>
    <row r="674" spans="1:10">
      <c r="A674" s="344" t="s">
        <v>1037</v>
      </c>
      <c r="B674" s="345" t="s">
        <v>1057</v>
      </c>
      <c r="C674" s="76" t="s">
        <v>1039</v>
      </c>
      <c r="D674" s="343">
        <v>0.84399999999999997</v>
      </c>
      <c r="E674" s="76" t="s">
        <v>1058</v>
      </c>
      <c r="F674" s="343">
        <v>0.78</v>
      </c>
      <c r="G674" s="286" t="s">
        <v>938</v>
      </c>
      <c r="H674" s="239">
        <v>8.2460000000000004</v>
      </c>
      <c r="I674" s="286" t="s">
        <v>1059</v>
      </c>
      <c r="J674" s="349">
        <v>9.8949999999999996</v>
      </c>
    </row>
    <row r="675" spans="1:10">
      <c r="A675" s="344" t="s">
        <v>1037</v>
      </c>
      <c r="B675" s="345" t="s">
        <v>1060</v>
      </c>
      <c r="C675" s="76" t="s">
        <v>1061</v>
      </c>
      <c r="D675" s="343">
        <v>0.88</v>
      </c>
      <c r="E675" s="76" t="s">
        <v>1040</v>
      </c>
      <c r="F675" s="343">
        <v>0.28299999999999997</v>
      </c>
      <c r="G675" s="286" t="s">
        <v>942</v>
      </c>
      <c r="H675" s="239">
        <v>3.5449999999999999</v>
      </c>
      <c r="I675" s="286" t="s">
        <v>1062</v>
      </c>
      <c r="J675" s="349">
        <v>4.2539999999999996</v>
      </c>
    </row>
    <row r="676" spans="1:10">
      <c r="A676" s="344" t="s">
        <v>1037</v>
      </c>
      <c r="B676" s="345" t="s">
        <v>1063</v>
      </c>
      <c r="C676" s="76" t="s">
        <v>1061</v>
      </c>
      <c r="D676" s="343">
        <v>0.88</v>
      </c>
      <c r="E676" s="76" t="s">
        <v>1043</v>
      </c>
      <c r="F676" s="343">
        <v>0.35399999999999998</v>
      </c>
      <c r="G676" s="286" t="s">
        <v>945</v>
      </c>
      <c r="H676" s="239">
        <v>4.266</v>
      </c>
      <c r="I676" s="286" t="s">
        <v>1064</v>
      </c>
      <c r="J676" s="349">
        <v>5.1189999999999998</v>
      </c>
    </row>
    <row r="677" spans="1:10">
      <c r="A677" s="344" t="s">
        <v>1037</v>
      </c>
      <c r="B677" s="345" t="s">
        <v>1065</v>
      </c>
      <c r="C677" s="76" t="s">
        <v>1061</v>
      </c>
      <c r="D677" s="343">
        <v>0.88</v>
      </c>
      <c r="E677" s="76" t="s">
        <v>1046</v>
      </c>
      <c r="F677" s="343">
        <v>0.42499999999999999</v>
      </c>
      <c r="G677" s="286" t="s">
        <v>948</v>
      </c>
      <c r="H677" s="239">
        <v>4.9870000000000001</v>
      </c>
      <c r="I677" s="286" t="s">
        <v>1066</v>
      </c>
      <c r="J677" s="349">
        <v>5.984</v>
      </c>
    </row>
    <row r="678" spans="1:10">
      <c r="A678" s="344" t="s">
        <v>1037</v>
      </c>
      <c r="B678" s="345" t="s">
        <v>1067</v>
      </c>
      <c r="C678" s="76" t="s">
        <v>1061</v>
      </c>
      <c r="D678" s="343">
        <v>0.88</v>
      </c>
      <c r="E678" s="76" t="s">
        <v>1049</v>
      </c>
      <c r="F678" s="343">
        <v>0.496</v>
      </c>
      <c r="G678" s="286" t="s">
        <v>951</v>
      </c>
      <c r="H678" s="239">
        <v>5.7080000000000002</v>
      </c>
      <c r="I678" s="286" t="s">
        <v>1068</v>
      </c>
      <c r="J678" s="349">
        <v>6.8490000000000002</v>
      </c>
    </row>
    <row r="679" spans="1:10">
      <c r="A679" s="344" t="s">
        <v>1037</v>
      </c>
      <c r="B679" s="345" t="s">
        <v>1069</v>
      </c>
      <c r="C679" s="76" t="s">
        <v>1061</v>
      </c>
      <c r="D679" s="343">
        <v>0.88</v>
      </c>
      <c r="E679" s="76" t="s">
        <v>1052</v>
      </c>
      <c r="F679" s="343">
        <v>0.63800000000000001</v>
      </c>
      <c r="G679" s="286" t="s">
        <v>954</v>
      </c>
      <c r="H679" s="239">
        <v>7.15</v>
      </c>
      <c r="I679" s="286" t="s">
        <v>1070</v>
      </c>
      <c r="J679" s="349">
        <v>8.5790000000000006</v>
      </c>
    </row>
    <row r="680" spans="1:10">
      <c r="A680" s="344" t="s">
        <v>1037</v>
      </c>
      <c r="B680" s="345" t="s">
        <v>1071</v>
      </c>
      <c r="C680" s="76" t="s">
        <v>1061</v>
      </c>
      <c r="D680" s="343">
        <v>0.88</v>
      </c>
      <c r="E680" s="76" t="s">
        <v>1055</v>
      </c>
      <c r="F680" s="343">
        <v>0.70899999999999996</v>
      </c>
      <c r="G680" s="286" t="s">
        <v>957</v>
      </c>
      <c r="H680" s="239">
        <v>7.8710000000000004</v>
      </c>
      <c r="I680" s="286" t="s">
        <v>1072</v>
      </c>
      <c r="J680" s="349">
        <v>9.4450000000000003</v>
      </c>
    </row>
    <row r="681" spans="1:10">
      <c r="A681" s="344" t="s">
        <v>1037</v>
      </c>
      <c r="B681" s="345" t="s">
        <v>1073</v>
      </c>
      <c r="C681" s="76" t="s">
        <v>1061</v>
      </c>
      <c r="D681" s="343">
        <v>0.88</v>
      </c>
      <c r="E681" s="76" t="s">
        <v>1058</v>
      </c>
      <c r="F681" s="343">
        <v>0.78</v>
      </c>
      <c r="G681" s="286" t="s">
        <v>960</v>
      </c>
      <c r="H681" s="239">
        <v>8.5920000000000005</v>
      </c>
      <c r="I681" s="286" t="s">
        <v>1074</v>
      </c>
      <c r="J681" s="349">
        <v>10.31</v>
      </c>
    </row>
    <row r="682" spans="1:10">
      <c r="A682" s="344" t="s">
        <v>1037</v>
      </c>
      <c r="B682" s="345" t="s">
        <v>1075</v>
      </c>
      <c r="C682" s="76" t="s">
        <v>1076</v>
      </c>
      <c r="D682" s="343">
        <v>0.91500000000000004</v>
      </c>
      <c r="E682" s="76" t="s">
        <v>1040</v>
      </c>
      <c r="F682" s="343">
        <v>0.28299999999999997</v>
      </c>
      <c r="G682" s="286" t="s">
        <v>964</v>
      </c>
      <c r="H682" s="239">
        <v>3.6869999999999998</v>
      </c>
      <c r="I682" s="286" t="s">
        <v>1077</v>
      </c>
      <c r="J682" s="349">
        <v>4.4249999999999998</v>
      </c>
    </row>
    <row r="683" spans="1:10">
      <c r="A683" s="344" t="s">
        <v>1037</v>
      </c>
      <c r="B683" s="345" t="s">
        <v>1078</v>
      </c>
      <c r="C683" s="76" t="s">
        <v>1076</v>
      </c>
      <c r="D683" s="343">
        <v>0.91500000000000004</v>
      </c>
      <c r="E683" s="76" t="s">
        <v>1043</v>
      </c>
      <c r="F683" s="343">
        <v>0.35399999999999998</v>
      </c>
      <c r="G683" s="286" t="s">
        <v>967</v>
      </c>
      <c r="H683" s="239">
        <v>4.4370000000000003</v>
      </c>
      <c r="I683" s="286" t="s">
        <v>1079</v>
      </c>
      <c r="J683" s="349">
        <v>5.3250000000000002</v>
      </c>
    </row>
    <row r="684" spans="1:10">
      <c r="A684" s="344" t="s">
        <v>1037</v>
      </c>
      <c r="B684" s="345" t="s">
        <v>1080</v>
      </c>
      <c r="C684" s="76" t="s">
        <v>1076</v>
      </c>
      <c r="D684" s="343">
        <v>0.91500000000000004</v>
      </c>
      <c r="E684" s="76" t="s">
        <v>1046</v>
      </c>
      <c r="F684" s="343">
        <v>0.42499999999999999</v>
      </c>
      <c r="G684" s="286" t="s">
        <v>970</v>
      </c>
      <c r="H684" s="239">
        <v>5.1870000000000003</v>
      </c>
      <c r="I684" s="286" t="s">
        <v>1081</v>
      </c>
      <c r="J684" s="349">
        <v>6.2249999999999996</v>
      </c>
    </row>
    <row r="685" spans="1:10">
      <c r="A685" s="344" t="s">
        <v>1037</v>
      </c>
      <c r="B685" s="345" t="s">
        <v>1082</v>
      </c>
      <c r="C685" s="76" t="s">
        <v>1076</v>
      </c>
      <c r="D685" s="343">
        <v>0.91500000000000004</v>
      </c>
      <c r="E685" s="76" t="s">
        <v>1049</v>
      </c>
      <c r="F685" s="343">
        <v>0.496</v>
      </c>
      <c r="G685" s="286" t="s">
        <v>973</v>
      </c>
      <c r="H685" s="239">
        <v>5.9370000000000003</v>
      </c>
      <c r="I685" s="286" t="s">
        <v>1083</v>
      </c>
      <c r="J685" s="349">
        <v>7.125</v>
      </c>
    </row>
    <row r="686" spans="1:10">
      <c r="A686" s="344" t="s">
        <v>1037</v>
      </c>
      <c r="B686" s="345" t="s">
        <v>1084</v>
      </c>
      <c r="C686" s="76" t="s">
        <v>1076</v>
      </c>
      <c r="D686" s="343">
        <v>0.91500000000000004</v>
      </c>
      <c r="E686" s="76" t="s">
        <v>1052</v>
      </c>
      <c r="F686" s="343">
        <v>0.63800000000000001</v>
      </c>
      <c r="G686" s="286" t="s">
        <v>976</v>
      </c>
      <c r="H686" s="239">
        <v>7.4370000000000003</v>
      </c>
      <c r="I686" s="286" t="s">
        <v>1085</v>
      </c>
      <c r="J686" s="349">
        <v>8.9250000000000007</v>
      </c>
    </row>
    <row r="687" spans="1:10">
      <c r="A687" s="344" t="s">
        <v>1037</v>
      </c>
      <c r="B687" s="345" t="s">
        <v>1086</v>
      </c>
      <c r="C687" s="76" t="s">
        <v>1076</v>
      </c>
      <c r="D687" s="343">
        <v>0.91500000000000004</v>
      </c>
      <c r="E687" s="76" t="s">
        <v>1055</v>
      </c>
      <c r="F687" s="343">
        <v>0.70899999999999996</v>
      </c>
      <c r="G687" s="286" t="s">
        <v>979</v>
      </c>
      <c r="H687" s="239">
        <v>8.1869999999999994</v>
      </c>
      <c r="I687" s="286" t="s">
        <v>1087</v>
      </c>
      <c r="J687" s="349">
        <v>9.8249999999999993</v>
      </c>
    </row>
    <row r="688" spans="1:10">
      <c r="A688" s="344" t="s">
        <v>1037</v>
      </c>
      <c r="B688" s="345" t="s">
        <v>1088</v>
      </c>
      <c r="C688" s="76" t="s">
        <v>1076</v>
      </c>
      <c r="D688" s="343">
        <v>0.91500000000000004</v>
      </c>
      <c r="E688" s="76" t="s">
        <v>1058</v>
      </c>
      <c r="F688" s="343">
        <v>0.78</v>
      </c>
      <c r="G688" s="286" t="s">
        <v>982</v>
      </c>
      <c r="H688" s="239">
        <v>8.9369999999999994</v>
      </c>
      <c r="I688" s="286" t="s">
        <v>1089</v>
      </c>
      <c r="J688" s="349">
        <v>10.725</v>
      </c>
    </row>
    <row r="689" spans="1:10">
      <c r="A689" s="344" t="s">
        <v>1037</v>
      </c>
      <c r="B689" s="345" t="s">
        <v>1090</v>
      </c>
      <c r="C689" s="76" t="s">
        <v>1076</v>
      </c>
      <c r="D689" s="343">
        <v>0.91500000000000004</v>
      </c>
      <c r="E689" s="76" t="s">
        <v>1040</v>
      </c>
      <c r="F689" s="343">
        <v>0.28299999999999997</v>
      </c>
      <c r="G689" s="286" t="s">
        <v>986</v>
      </c>
      <c r="H689" s="239">
        <v>3.7829999999999999</v>
      </c>
      <c r="I689" s="286" t="s">
        <v>1091</v>
      </c>
      <c r="J689" s="349">
        <v>4.5389999999999997</v>
      </c>
    </row>
    <row r="690" spans="1:10">
      <c r="A690" s="344" t="s">
        <v>1037</v>
      </c>
      <c r="B690" s="345" t="s">
        <v>1092</v>
      </c>
      <c r="C690" s="76" t="s">
        <v>1093</v>
      </c>
      <c r="D690" s="343">
        <v>0.93899999999999995</v>
      </c>
      <c r="E690" s="76" t="s">
        <v>1043</v>
      </c>
      <c r="F690" s="343">
        <v>0.35399999999999998</v>
      </c>
      <c r="G690" s="286" t="s">
        <v>989</v>
      </c>
      <c r="H690" s="239">
        <v>4.5519999999999996</v>
      </c>
      <c r="I690" s="286" t="s">
        <v>1094</v>
      </c>
      <c r="J690" s="349">
        <v>5.4619999999999997</v>
      </c>
    </row>
    <row r="691" spans="1:10">
      <c r="A691" s="344" t="s">
        <v>1037</v>
      </c>
      <c r="B691" s="345" t="s">
        <v>1095</v>
      </c>
      <c r="C691" s="76" t="s">
        <v>1093</v>
      </c>
      <c r="D691" s="343">
        <v>0.93899999999999995</v>
      </c>
      <c r="E691" s="76" t="s">
        <v>1046</v>
      </c>
      <c r="F691" s="343">
        <v>0.42499999999999999</v>
      </c>
      <c r="G691" s="286" t="s">
        <v>992</v>
      </c>
      <c r="H691" s="239">
        <v>5.3209999999999997</v>
      </c>
      <c r="I691" s="286" t="s">
        <v>1096</v>
      </c>
      <c r="J691" s="349">
        <v>6.3860000000000001</v>
      </c>
    </row>
    <row r="692" spans="1:10">
      <c r="A692" s="344" t="s">
        <v>1037</v>
      </c>
      <c r="B692" s="345" t="s">
        <v>1097</v>
      </c>
      <c r="C692" s="76" t="s">
        <v>1093</v>
      </c>
      <c r="D692" s="343">
        <v>0.93899999999999995</v>
      </c>
      <c r="E692" s="76" t="s">
        <v>1049</v>
      </c>
      <c r="F692" s="343">
        <v>0.496</v>
      </c>
      <c r="G692" s="286" t="s">
        <v>995</v>
      </c>
      <c r="H692" s="239">
        <v>6.0910000000000002</v>
      </c>
      <c r="I692" s="286" t="s">
        <v>1098</v>
      </c>
      <c r="J692" s="349">
        <v>7.3090000000000002</v>
      </c>
    </row>
    <row r="693" spans="1:10">
      <c r="A693" s="344" t="s">
        <v>1037</v>
      </c>
      <c r="B693" s="345" t="s">
        <v>1099</v>
      </c>
      <c r="C693" s="76" t="s">
        <v>1093</v>
      </c>
      <c r="D693" s="343">
        <v>0.93899999999999995</v>
      </c>
      <c r="E693" s="76" t="s">
        <v>1052</v>
      </c>
      <c r="F693" s="343">
        <v>0.63800000000000001</v>
      </c>
      <c r="G693" s="286" t="s">
        <v>998</v>
      </c>
      <c r="H693" s="239">
        <v>7.6289999999999996</v>
      </c>
      <c r="I693" s="286" t="s">
        <v>1100</v>
      </c>
      <c r="J693" s="349">
        <v>9.1549999999999994</v>
      </c>
    </row>
    <row r="694" spans="1:10">
      <c r="A694" s="344" t="s">
        <v>1037</v>
      </c>
      <c r="B694" s="345" t="s">
        <v>1101</v>
      </c>
      <c r="C694" s="76" t="s">
        <v>1093</v>
      </c>
      <c r="D694" s="343">
        <v>0.93899999999999995</v>
      </c>
      <c r="E694" s="76" t="s">
        <v>1055</v>
      </c>
      <c r="F694" s="343">
        <v>0.70899999999999996</v>
      </c>
      <c r="G694" s="286" t="s">
        <v>1001</v>
      </c>
      <c r="H694" s="239">
        <v>8.3989999999999991</v>
      </c>
      <c r="I694" s="286" t="s">
        <v>1102</v>
      </c>
      <c r="J694" s="349">
        <v>10.079000000000001</v>
      </c>
    </row>
    <row r="695" spans="1:10">
      <c r="A695" s="344" t="s">
        <v>1037</v>
      </c>
      <c r="B695" s="345" t="s">
        <v>1103</v>
      </c>
      <c r="C695" s="76" t="s">
        <v>1093</v>
      </c>
      <c r="D695" s="343">
        <v>0.93899999999999995</v>
      </c>
      <c r="E695" s="76" t="s">
        <v>1058</v>
      </c>
      <c r="F695" s="343">
        <v>0.78</v>
      </c>
      <c r="G695" s="286" t="s">
        <v>1004</v>
      </c>
      <c r="H695" s="239">
        <v>9.1679999999999993</v>
      </c>
      <c r="I695" s="286" t="s">
        <v>1104</v>
      </c>
      <c r="J695" s="349">
        <v>11.002000000000001</v>
      </c>
    </row>
    <row r="696" spans="1:10">
      <c r="A696" s="344" t="s">
        <v>1037</v>
      </c>
      <c r="B696" s="345" t="s">
        <v>1105</v>
      </c>
      <c r="C696" s="76" t="s">
        <v>1106</v>
      </c>
      <c r="D696" s="343">
        <v>0.98599999999999999</v>
      </c>
      <c r="E696" s="76" t="s">
        <v>1040</v>
      </c>
      <c r="F696" s="343">
        <v>0.28299999999999997</v>
      </c>
      <c r="G696" s="286" t="s">
        <v>1008</v>
      </c>
      <c r="H696" s="239">
        <v>3.9729999999999999</v>
      </c>
      <c r="I696" s="286" t="s">
        <v>1107</v>
      </c>
      <c r="J696" s="349">
        <v>4.7679999999999998</v>
      </c>
    </row>
    <row r="697" spans="1:10">
      <c r="A697" s="344" t="s">
        <v>1037</v>
      </c>
      <c r="B697" s="345" t="s">
        <v>1108</v>
      </c>
      <c r="C697" s="76" t="s">
        <v>1106</v>
      </c>
      <c r="D697" s="343">
        <v>0.98599999999999999</v>
      </c>
      <c r="E697" s="76" t="s">
        <v>1043</v>
      </c>
      <c r="F697" s="343">
        <v>0.35399999999999998</v>
      </c>
      <c r="G697" s="286" t="s">
        <v>1011</v>
      </c>
      <c r="H697" s="239">
        <v>4.7809999999999997</v>
      </c>
      <c r="I697" s="286" t="s">
        <v>1109</v>
      </c>
      <c r="J697" s="349">
        <v>5.7370000000000001</v>
      </c>
    </row>
    <row r="698" spans="1:10">
      <c r="A698" s="344" t="s">
        <v>1037</v>
      </c>
      <c r="B698" s="345" t="s">
        <v>1110</v>
      </c>
      <c r="C698" s="76" t="s">
        <v>1106</v>
      </c>
      <c r="D698" s="343">
        <v>0.98599999999999999</v>
      </c>
      <c r="E698" s="76" t="s">
        <v>1046</v>
      </c>
      <c r="F698" s="343">
        <v>0.42499999999999999</v>
      </c>
      <c r="G698" s="286" t="s">
        <v>1014</v>
      </c>
      <c r="H698" s="239">
        <v>5.5890000000000004</v>
      </c>
      <c r="I698" s="286" t="s">
        <v>1111</v>
      </c>
      <c r="J698" s="349">
        <v>6.7069999999999999</v>
      </c>
    </row>
    <row r="699" spans="1:10">
      <c r="A699" s="344" t="s">
        <v>1037</v>
      </c>
      <c r="B699" s="345" t="s">
        <v>1112</v>
      </c>
      <c r="C699" s="76" t="s">
        <v>1106</v>
      </c>
      <c r="D699" s="343">
        <v>0.98599999999999999</v>
      </c>
      <c r="E699" s="76" t="s">
        <v>1049</v>
      </c>
      <c r="F699" s="343">
        <v>0.496</v>
      </c>
      <c r="G699" s="286" t="s">
        <v>1017</v>
      </c>
      <c r="H699" s="239">
        <v>6.3970000000000002</v>
      </c>
      <c r="I699" s="286" t="s">
        <v>1113</v>
      </c>
      <c r="J699" s="349">
        <v>7.6769999999999996</v>
      </c>
    </row>
    <row r="700" spans="1:10">
      <c r="A700" s="344" t="s">
        <v>1037</v>
      </c>
      <c r="B700" s="345" t="s">
        <v>1114</v>
      </c>
      <c r="C700" s="76" t="s">
        <v>1106</v>
      </c>
      <c r="D700" s="343">
        <v>0.98599999999999999</v>
      </c>
      <c r="E700" s="76" t="s">
        <v>1052</v>
      </c>
      <c r="F700" s="343">
        <v>0.63800000000000001</v>
      </c>
      <c r="G700" s="286" t="s">
        <v>1020</v>
      </c>
      <c r="H700" s="239">
        <v>8.0129999999999999</v>
      </c>
      <c r="I700" s="286" t="s">
        <v>1115</v>
      </c>
      <c r="J700" s="349">
        <v>9.6159999999999997</v>
      </c>
    </row>
    <row r="701" spans="1:10">
      <c r="A701" s="344" t="s">
        <v>1037</v>
      </c>
      <c r="B701" s="345" t="s">
        <v>1116</v>
      </c>
      <c r="C701" s="76" t="s">
        <v>1106</v>
      </c>
      <c r="D701" s="343">
        <v>0.98599999999999999</v>
      </c>
      <c r="E701" s="76" t="s">
        <v>1055</v>
      </c>
      <c r="F701" s="343">
        <v>0.70899999999999996</v>
      </c>
      <c r="G701" s="286" t="s">
        <v>1023</v>
      </c>
      <c r="H701" s="239">
        <v>8.8209999999999997</v>
      </c>
      <c r="I701" s="286" t="s">
        <v>1117</v>
      </c>
      <c r="J701" s="349">
        <v>10.586</v>
      </c>
    </row>
    <row r="702" spans="1:10">
      <c r="A702" s="344" t="s">
        <v>1037</v>
      </c>
      <c r="B702" s="345" t="s">
        <v>1118</v>
      </c>
      <c r="C702" s="76" t="s">
        <v>1106</v>
      </c>
      <c r="D702" s="343">
        <v>0.98599999999999999</v>
      </c>
      <c r="E702" s="76" t="s">
        <v>1058</v>
      </c>
      <c r="F702" s="343">
        <v>0.78</v>
      </c>
      <c r="G702" s="286" t="s">
        <v>1026</v>
      </c>
      <c r="H702" s="239">
        <v>9.6289999999999996</v>
      </c>
      <c r="I702" s="286" t="s">
        <v>1119</v>
      </c>
      <c r="J702" s="349">
        <v>11.555</v>
      </c>
    </row>
    <row r="703" spans="1:10">
      <c r="A703" s="344" t="s">
        <v>1037</v>
      </c>
      <c r="B703" s="345" t="s">
        <v>1120</v>
      </c>
      <c r="C703" s="76" t="s">
        <v>1121</v>
      </c>
      <c r="D703" s="343"/>
      <c r="E703" s="76" t="s">
        <v>1122</v>
      </c>
      <c r="F703" s="343"/>
      <c r="G703" s="286" t="s">
        <v>1031</v>
      </c>
      <c r="H703" s="239"/>
      <c r="I703" s="286" t="s">
        <v>1123</v>
      </c>
      <c r="J703" s="349"/>
    </row>
    <row r="704" spans="1:10">
      <c r="A704" s="344" t="s">
        <v>1037</v>
      </c>
      <c r="B704" s="345" t="s">
        <v>1124</v>
      </c>
      <c r="C704" s="76" t="s">
        <v>1125</v>
      </c>
      <c r="D704" s="343"/>
      <c r="E704" s="76" t="s">
        <v>1126</v>
      </c>
      <c r="F704" s="343"/>
      <c r="G704" s="286" t="s">
        <v>1036</v>
      </c>
      <c r="H704" s="239">
        <v>0.252</v>
      </c>
      <c r="I704" s="286" t="s">
        <v>1127</v>
      </c>
      <c r="J704" s="349">
        <v>0.30199999999999999</v>
      </c>
    </row>
    <row r="705" spans="1:10">
      <c r="A705" s="350" t="s">
        <v>1128</v>
      </c>
      <c r="B705" s="345" t="s">
        <v>1129</v>
      </c>
      <c r="C705" s="286" t="s">
        <v>1130</v>
      </c>
      <c r="D705" s="346">
        <v>0.501</v>
      </c>
      <c r="E705" s="286" t="s">
        <v>1131</v>
      </c>
      <c r="F705" s="343">
        <v>0.16800000000000001</v>
      </c>
      <c r="G705" s="286" t="s">
        <v>1132</v>
      </c>
      <c r="H705" s="343">
        <v>0.38800000000000001</v>
      </c>
      <c r="I705" s="286" t="s">
        <v>1133</v>
      </c>
      <c r="J705" s="349">
        <v>0.57199999999999995</v>
      </c>
    </row>
    <row r="706" spans="1:10">
      <c r="A706" s="350" t="s">
        <v>1128</v>
      </c>
      <c r="B706" s="345" t="s">
        <v>1134</v>
      </c>
      <c r="C706" s="286" t="s">
        <v>1130</v>
      </c>
      <c r="D706" s="346">
        <v>0.501</v>
      </c>
      <c r="E706" s="286" t="s">
        <v>1135</v>
      </c>
      <c r="F706" s="343">
        <v>0.21</v>
      </c>
      <c r="G706" s="286" t="s">
        <v>1136</v>
      </c>
      <c r="H706" s="343">
        <v>0.45900000000000002</v>
      </c>
      <c r="I706" s="286" t="s">
        <v>1137</v>
      </c>
      <c r="J706" s="349">
        <v>0.68799999999999994</v>
      </c>
    </row>
    <row r="707" spans="1:10">
      <c r="A707" s="350" t="s">
        <v>1128</v>
      </c>
      <c r="B707" s="345" t="s">
        <v>1138</v>
      </c>
      <c r="C707" s="286" t="s">
        <v>1130</v>
      </c>
      <c r="D707" s="346">
        <v>0.501</v>
      </c>
      <c r="E707" s="286" t="s">
        <v>1139</v>
      </c>
      <c r="F707" s="343">
        <v>0.252</v>
      </c>
      <c r="G707" s="286" t="s">
        <v>1140</v>
      </c>
      <c r="H707" s="343">
        <v>0.53600000000000003</v>
      </c>
      <c r="I707" s="286" t="s">
        <v>1141</v>
      </c>
      <c r="J707" s="349">
        <v>0.80400000000000005</v>
      </c>
    </row>
    <row r="708" spans="1:10">
      <c r="A708" s="350" t="s">
        <v>1128</v>
      </c>
      <c r="B708" s="345" t="s">
        <v>1142</v>
      </c>
      <c r="C708" s="286" t="s">
        <v>1130</v>
      </c>
      <c r="D708" s="346">
        <v>0.501</v>
      </c>
      <c r="E708" s="286" t="s">
        <v>1143</v>
      </c>
      <c r="F708" s="343">
        <v>0.29399999999999998</v>
      </c>
      <c r="G708" s="286" t="s">
        <v>1144</v>
      </c>
      <c r="H708" s="343">
        <v>0.61399999999999999</v>
      </c>
      <c r="I708" s="286" t="s">
        <v>1145</v>
      </c>
      <c r="J708" s="349">
        <v>0.92</v>
      </c>
    </row>
    <row r="709" spans="1:10">
      <c r="A709" s="350" t="s">
        <v>1128</v>
      </c>
      <c r="B709" s="345" t="s">
        <v>1146</v>
      </c>
      <c r="C709" s="286" t="s">
        <v>1130</v>
      </c>
      <c r="D709" s="346">
        <v>0.501</v>
      </c>
      <c r="E709" s="286" t="s">
        <v>1147</v>
      </c>
      <c r="F709" s="343">
        <v>0.379</v>
      </c>
      <c r="G709" s="286" t="s">
        <v>1148</v>
      </c>
      <c r="H709" s="343">
        <v>0.76900000000000002</v>
      </c>
      <c r="I709" s="286" t="s">
        <v>1149</v>
      </c>
      <c r="J709" s="349">
        <v>1.153</v>
      </c>
    </row>
    <row r="710" spans="1:10">
      <c r="A710" s="350" t="s">
        <v>1128</v>
      </c>
      <c r="B710" s="345" t="s">
        <v>1150</v>
      </c>
      <c r="C710" s="286" t="s">
        <v>1130</v>
      </c>
      <c r="D710" s="346">
        <v>0.501</v>
      </c>
      <c r="E710" s="286" t="s">
        <v>1151</v>
      </c>
      <c r="F710" s="343">
        <v>0.42099999999999999</v>
      </c>
      <c r="G710" s="286" t="s">
        <v>1152</v>
      </c>
      <c r="H710" s="343">
        <v>0.84599999999999997</v>
      </c>
      <c r="I710" s="286" t="s">
        <v>1153</v>
      </c>
      <c r="J710" s="349">
        <v>1.2689999999999999</v>
      </c>
    </row>
    <row r="711" spans="1:10">
      <c r="A711" s="350" t="s">
        <v>1128</v>
      </c>
      <c r="B711" s="345" t="s">
        <v>1154</v>
      </c>
      <c r="C711" s="286" t="s">
        <v>1130</v>
      </c>
      <c r="D711" s="346">
        <v>0.501</v>
      </c>
      <c r="E711" s="286" t="s">
        <v>1155</v>
      </c>
      <c r="F711" s="343">
        <v>0.46300000000000002</v>
      </c>
      <c r="G711" s="286" t="s">
        <v>1156</v>
      </c>
      <c r="H711" s="343">
        <v>0.92400000000000004</v>
      </c>
      <c r="I711" s="286" t="s">
        <v>1157</v>
      </c>
      <c r="J711" s="349">
        <v>1.385</v>
      </c>
    </row>
    <row r="712" spans="1:10">
      <c r="A712" s="350" t="s">
        <v>1128</v>
      </c>
      <c r="B712" s="345" t="s">
        <v>1158</v>
      </c>
      <c r="C712" s="286" t="s">
        <v>1159</v>
      </c>
      <c r="D712" s="346">
        <v>0.52200000000000002</v>
      </c>
      <c r="E712" s="286" t="s">
        <v>1131</v>
      </c>
      <c r="F712" s="343">
        <v>0.16800000000000001</v>
      </c>
      <c r="G712" s="286" t="s">
        <v>1160</v>
      </c>
      <c r="H712" s="343">
        <v>0.39700000000000002</v>
      </c>
      <c r="I712" s="286" t="s">
        <v>1161</v>
      </c>
      <c r="J712" s="349">
        <v>0.59599999999999997</v>
      </c>
    </row>
    <row r="713" spans="1:10">
      <c r="A713" s="350" t="s">
        <v>1128</v>
      </c>
      <c r="B713" s="345" t="s">
        <v>1162</v>
      </c>
      <c r="C713" s="286" t="s">
        <v>1159</v>
      </c>
      <c r="D713" s="346">
        <v>0.52200000000000002</v>
      </c>
      <c r="E713" s="286" t="s">
        <v>1135</v>
      </c>
      <c r="F713" s="343">
        <v>0.21</v>
      </c>
      <c r="G713" s="286" t="s">
        <v>1163</v>
      </c>
      <c r="H713" s="343">
        <v>0.47799999999999998</v>
      </c>
      <c r="I713" s="286" t="s">
        <v>1164</v>
      </c>
      <c r="J713" s="349">
        <v>0.71699999999999997</v>
      </c>
    </row>
    <row r="714" spans="1:10">
      <c r="A714" s="350" t="s">
        <v>1128</v>
      </c>
      <c r="B714" s="345" t="s">
        <v>1165</v>
      </c>
      <c r="C714" s="286" t="s">
        <v>1159</v>
      </c>
      <c r="D714" s="346">
        <v>0.52200000000000002</v>
      </c>
      <c r="E714" s="286" t="s">
        <v>1139</v>
      </c>
      <c r="F714" s="343">
        <v>0.252</v>
      </c>
      <c r="G714" s="286" t="s">
        <v>1166</v>
      </c>
      <c r="H714" s="343">
        <v>0.55900000000000005</v>
      </c>
      <c r="I714" s="286" t="s">
        <v>1167</v>
      </c>
      <c r="J714" s="349">
        <v>0.83799999999999997</v>
      </c>
    </row>
    <row r="715" spans="1:10">
      <c r="A715" s="350" t="s">
        <v>1128</v>
      </c>
      <c r="B715" s="345" t="s">
        <v>1168</v>
      </c>
      <c r="C715" s="286" t="s">
        <v>1159</v>
      </c>
      <c r="D715" s="346">
        <v>0.52200000000000002</v>
      </c>
      <c r="E715" s="286" t="s">
        <v>1143</v>
      </c>
      <c r="F715" s="343">
        <v>0.29399999999999998</v>
      </c>
      <c r="G715" s="286" t="s">
        <v>1169</v>
      </c>
      <c r="H715" s="343">
        <v>0.63900000000000001</v>
      </c>
      <c r="I715" s="286" t="s">
        <v>1170</v>
      </c>
      <c r="J715" s="349">
        <v>0.95899999999999996</v>
      </c>
    </row>
    <row r="716" spans="1:10">
      <c r="A716" s="350" t="s">
        <v>1128</v>
      </c>
      <c r="B716" s="345" t="s">
        <v>1171</v>
      </c>
      <c r="C716" s="286" t="s">
        <v>1159</v>
      </c>
      <c r="D716" s="346">
        <v>0.52200000000000002</v>
      </c>
      <c r="E716" s="286" t="s">
        <v>1147</v>
      </c>
      <c r="F716" s="343">
        <v>0.379</v>
      </c>
      <c r="G716" s="286" t="s">
        <v>1172</v>
      </c>
      <c r="H716" s="343">
        <v>0.80100000000000005</v>
      </c>
      <c r="I716" s="286" t="s">
        <v>1173</v>
      </c>
      <c r="J716" s="349">
        <v>1.2010000000000001</v>
      </c>
    </row>
    <row r="717" spans="1:10">
      <c r="A717" s="350" t="s">
        <v>1128</v>
      </c>
      <c r="B717" s="345" t="s">
        <v>1174</v>
      </c>
      <c r="C717" s="286" t="s">
        <v>1159</v>
      </c>
      <c r="D717" s="346">
        <v>0.52200000000000002</v>
      </c>
      <c r="E717" s="286" t="s">
        <v>1151</v>
      </c>
      <c r="F717" s="343">
        <v>0.42099999999999999</v>
      </c>
      <c r="G717" s="286" t="s">
        <v>1175</v>
      </c>
      <c r="H717" s="343">
        <v>0.88200000000000001</v>
      </c>
      <c r="I717" s="286" t="s">
        <v>1176</v>
      </c>
      <c r="J717" s="349">
        <v>1.3220000000000001</v>
      </c>
    </row>
    <row r="718" spans="1:10">
      <c r="A718" s="350" t="s">
        <v>1128</v>
      </c>
      <c r="B718" s="345" t="s">
        <v>1177</v>
      </c>
      <c r="C718" s="286" t="s">
        <v>1159</v>
      </c>
      <c r="D718" s="346">
        <v>0.52200000000000002</v>
      </c>
      <c r="E718" s="286" t="s">
        <v>1155</v>
      </c>
      <c r="F718" s="343">
        <v>0.46300000000000002</v>
      </c>
      <c r="G718" s="286" t="s">
        <v>1178</v>
      </c>
      <c r="H718" s="343">
        <v>0.96199999999999997</v>
      </c>
      <c r="I718" s="286" t="s">
        <v>1179</v>
      </c>
      <c r="J718" s="349">
        <v>1.4430000000000001</v>
      </c>
    </row>
    <row r="719" spans="1:10">
      <c r="A719" s="350" t="s">
        <v>1128</v>
      </c>
      <c r="B719" s="345" t="s">
        <v>1180</v>
      </c>
      <c r="C719" s="286" t="s">
        <v>1181</v>
      </c>
      <c r="D719" s="346">
        <v>0.54300000000000004</v>
      </c>
      <c r="E719" s="286" t="s">
        <v>1131</v>
      </c>
      <c r="F719" s="343">
        <v>0.16800000000000001</v>
      </c>
      <c r="G719" s="286" t="s">
        <v>1182</v>
      </c>
      <c r="H719" s="343">
        <v>0.41299999999999998</v>
      </c>
      <c r="I719" s="286" t="s">
        <v>1183</v>
      </c>
      <c r="J719" s="349">
        <v>0.61899999999999999</v>
      </c>
    </row>
    <row r="720" spans="1:10">
      <c r="A720" s="350" t="s">
        <v>1128</v>
      </c>
      <c r="B720" s="345" t="s">
        <v>1184</v>
      </c>
      <c r="C720" s="286" t="s">
        <v>1181</v>
      </c>
      <c r="D720" s="346">
        <v>0.54300000000000004</v>
      </c>
      <c r="E720" s="286" t="s">
        <v>1135</v>
      </c>
      <c r="F720" s="343">
        <v>0.21</v>
      </c>
      <c r="G720" s="286" t="s">
        <v>1185</v>
      </c>
      <c r="H720" s="343">
        <v>0.497</v>
      </c>
      <c r="I720" s="286" t="s">
        <v>1186</v>
      </c>
      <c r="J720" s="349">
        <v>0.745</v>
      </c>
    </row>
    <row r="721" spans="1:10">
      <c r="A721" s="350" t="s">
        <v>1128</v>
      </c>
      <c r="B721" s="345" t="s">
        <v>1187</v>
      </c>
      <c r="C721" s="286" t="s">
        <v>1181</v>
      </c>
      <c r="D721" s="346">
        <v>0.54300000000000004</v>
      </c>
      <c r="E721" s="286" t="s">
        <v>1139</v>
      </c>
      <c r="F721" s="343">
        <v>0.252</v>
      </c>
      <c r="G721" s="286" t="s">
        <v>1188</v>
      </c>
      <c r="H721" s="343">
        <v>0.58099999999999996</v>
      </c>
      <c r="I721" s="286" t="s">
        <v>1189</v>
      </c>
      <c r="J721" s="349">
        <v>0.871</v>
      </c>
    </row>
    <row r="722" spans="1:10">
      <c r="A722" s="350" t="s">
        <v>1128</v>
      </c>
      <c r="B722" s="345" t="s">
        <v>1190</v>
      </c>
      <c r="C722" s="286" t="s">
        <v>1181</v>
      </c>
      <c r="D722" s="346">
        <v>0.54300000000000004</v>
      </c>
      <c r="E722" s="286" t="s">
        <v>1143</v>
      </c>
      <c r="F722" s="343">
        <v>0.29399999999999998</v>
      </c>
      <c r="G722" s="286" t="s">
        <v>1191</v>
      </c>
      <c r="H722" s="343">
        <v>0.66500000000000004</v>
      </c>
      <c r="I722" s="286" t="s">
        <v>1192</v>
      </c>
      <c r="J722" s="349">
        <v>0.997</v>
      </c>
    </row>
    <row r="723" spans="1:10">
      <c r="A723" s="350" t="s">
        <v>1128</v>
      </c>
      <c r="B723" s="345" t="s">
        <v>1193</v>
      </c>
      <c r="C723" s="286" t="s">
        <v>1181</v>
      </c>
      <c r="D723" s="346">
        <v>0.54300000000000004</v>
      </c>
      <c r="E723" s="286" t="s">
        <v>1147</v>
      </c>
      <c r="F723" s="343">
        <v>0.379</v>
      </c>
      <c r="G723" s="286" t="s">
        <v>1194</v>
      </c>
      <c r="H723" s="343">
        <v>0.83299999999999996</v>
      </c>
      <c r="I723" s="286" t="s">
        <v>1195</v>
      </c>
      <c r="J723" s="349">
        <v>1.2490000000000001</v>
      </c>
    </row>
    <row r="724" spans="1:10">
      <c r="A724" s="350" t="s">
        <v>1128</v>
      </c>
      <c r="B724" s="345" t="s">
        <v>1196</v>
      </c>
      <c r="C724" s="286" t="s">
        <v>1181</v>
      </c>
      <c r="D724" s="346">
        <v>0.54300000000000004</v>
      </c>
      <c r="E724" s="286" t="s">
        <v>1151</v>
      </c>
      <c r="F724" s="343">
        <v>0.42099999999999999</v>
      </c>
      <c r="G724" s="286" t="s">
        <v>1197</v>
      </c>
      <c r="H724" s="343">
        <v>0.91700000000000004</v>
      </c>
      <c r="I724" s="286" t="s">
        <v>1198</v>
      </c>
      <c r="J724" s="349">
        <v>1.375</v>
      </c>
    </row>
    <row r="725" spans="1:10">
      <c r="A725" s="350" t="s">
        <v>1128</v>
      </c>
      <c r="B725" s="345" t="s">
        <v>1199</v>
      </c>
      <c r="C725" s="286" t="s">
        <v>1181</v>
      </c>
      <c r="D725" s="346">
        <v>0.54300000000000004</v>
      </c>
      <c r="E725" s="286" t="s">
        <v>1155</v>
      </c>
      <c r="F725" s="343">
        <v>0.46300000000000002</v>
      </c>
      <c r="G725" s="286" t="s">
        <v>1200</v>
      </c>
      <c r="H725" s="343">
        <v>1.0009999999999999</v>
      </c>
      <c r="I725" s="286" t="s">
        <v>1201</v>
      </c>
      <c r="J725" s="349">
        <v>1.5009999999999999</v>
      </c>
    </row>
    <row r="726" spans="1:10">
      <c r="A726" s="350" t="s">
        <v>1128</v>
      </c>
      <c r="B726" s="345" t="s">
        <v>1202</v>
      </c>
      <c r="C726" s="286" t="s">
        <v>1203</v>
      </c>
      <c r="D726" s="346">
        <v>0.55700000000000005</v>
      </c>
      <c r="E726" s="286" t="s">
        <v>1131</v>
      </c>
      <c r="F726" s="343">
        <v>0.16800000000000001</v>
      </c>
      <c r="G726" s="286" t="s">
        <v>1204</v>
      </c>
      <c r="H726" s="343">
        <v>0.42399999999999999</v>
      </c>
      <c r="I726" s="286" t="s">
        <v>1205</v>
      </c>
      <c r="J726" s="349">
        <v>0.63500000000000001</v>
      </c>
    </row>
    <row r="727" spans="1:10">
      <c r="A727" s="350" t="s">
        <v>1128</v>
      </c>
      <c r="B727" s="345" t="s">
        <v>1206</v>
      </c>
      <c r="C727" s="286" t="s">
        <v>1203</v>
      </c>
      <c r="D727" s="346">
        <v>0.55700000000000005</v>
      </c>
      <c r="E727" s="286" t="s">
        <v>1135</v>
      </c>
      <c r="F727" s="343">
        <v>0.21</v>
      </c>
      <c r="G727" s="286" t="s">
        <v>1207</v>
      </c>
      <c r="H727" s="343">
        <v>0.51</v>
      </c>
      <c r="I727" s="286" t="s">
        <v>1208</v>
      </c>
      <c r="J727" s="349">
        <v>0.76500000000000001</v>
      </c>
    </row>
    <row r="728" spans="1:10">
      <c r="A728" s="350" t="s">
        <v>1128</v>
      </c>
      <c r="B728" s="345" t="s">
        <v>1209</v>
      </c>
      <c r="C728" s="286" t="s">
        <v>1203</v>
      </c>
      <c r="D728" s="346">
        <v>0.55700000000000005</v>
      </c>
      <c r="E728" s="286" t="s">
        <v>1139</v>
      </c>
      <c r="F728" s="343">
        <v>0.252</v>
      </c>
      <c r="G728" s="286" t="s">
        <v>1210</v>
      </c>
      <c r="H728" s="343">
        <v>0.59599999999999997</v>
      </c>
      <c r="I728" s="286" t="s">
        <v>1211</v>
      </c>
      <c r="J728" s="349">
        <v>0.89400000000000002</v>
      </c>
    </row>
    <row r="729" spans="1:10">
      <c r="A729" s="350" t="s">
        <v>1128</v>
      </c>
      <c r="B729" s="345" t="s">
        <v>1212</v>
      </c>
      <c r="C729" s="286" t="s">
        <v>1203</v>
      </c>
      <c r="D729" s="346">
        <v>0.55700000000000005</v>
      </c>
      <c r="E729" s="286" t="s">
        <v>1143</v>
      </c>
      <c r="F729" s="343">
        <v>0.29399999999999998</v>
      </c>
      <c r="G729" s="286" t="s">
        <v>1213</v>
      </c>
      <c r="H729" s="343">
        <v>0.68200000000000005</v>
      </c>
      <c r="I729" s="286" t="s">
        <v>1214</v>
      </c>
      <c r="J729" s="349">
        <v>1.0229999999999999</v>
      </c>
    </row>
    <row r="730" spans="1:10">
      <c r="A730" s="350" t="s">
        <v>1128</v>
      </c>
      <c r="B730" s="345" t="s">
        <v>1215</v>
      </c>
      <c r="C730" s="286" t="s">
        <v>1203</v>
      </c>
      <c r="D730" s="346">
        <v>0.55700000000000005</v>
      </c>
      <c r="E730" s="286" t="s">
        <v>1147</v>
      </c>
      <c r="F730" s="343">
        <v>0.379</v>
      </c>
      <c r="G730" s="286" t="s">
        <v>1216</v>
      </c>
      <c r="H730" s="343">
        <v>0.85399999999999998</v>
      </c>
      <c r="I730" s="286" t="s">
        <v>1217</v>
      </c>
      <c r="J730" s="349">
        <v>1.282</v>
      </c>
    </row>
    <row r="731" spans="1:10">
      <c r="A731" s="350" t="s">
        <v>1128</v>
      </c>
      <c r="B731" s="345" t="s">
        <v>1218</v>
      </c>
      <c r="C731" s="286" t="s">
        <v>1203</v>
      </c>
      <c r="D731" s="346">
        <v>0.55700000000000005</v>
      </c>
      <c r="E731" s="286" t="s">
        <v>1151</v>
      </c>
      <c r="F731" s="343">
        <v>0.42099999999999999</v>
      </c>
      <c r="G731" s="286" t="s">
        <v>1219</v>
      </c>
      <c r="H731" s="343">
        <v>0.94099999999999995</v>
      </c>
      <c r="I731" s="286" t="s">
        <v>1220</v>
      </c>
      <c r="J731" s="349">
        <v>1.411</v>
      </c>
    </row>
    <row r="732" spans="1:10">
      <c r="A732" s="350" t="s">
        <v>1128</v>
      </c>
      <c r="B732" s="345" t="s">
        <v>1221</v>
      </c>
      <c r="C732" s="286" t="s">
        <v>1203</v>
      </c>
      <c r="D732" s="346">
        <v>0.55700000000000005</v>
      </c>
      <c r="E732" s="286" t="s">
        <v>1155</v>
      </c>
      <c r="F732" s="343">
        <v>0.46300000000000002</v>
      </c>
      <c r="G732" s="286" t="s">
        <v>1222</v>
      </c>
      <c r="H732" s="343">
        <v>1.0269999999999999</v>
      </c>
      <c r="I732" s="286" t="s">
        <v>1223</v>
      </c>
      <c r="J732" s="349">
        <v>1.54</v>
      </c>
    </row>
    <row r="733" spans="1:10">
      <c r="A733" s="350" t="s">
        <v>1128</v>
      </c>
      <c r="B733" s="345" t="s">
        <v>1224</v>
      </c>
      <c r="C733" s="286" t="s">
        <v>1225</v>
      </c>
      <c r="D733" s="346">
        <v>0.58499999999999996</v>
      </c>
      <c r="E733" s="286" t="s">
        <v>1131</v>
      </c>
      <c r="F733" s="343">
        <v>0.16800000000000001</v>
      </c>
      <c r="G733" s="286" t="s">
        <v>1226</v>
      </c>
      <c r="H733" s="343">
        <v>0.44500000000000001</v>
      </c>
      <c r="I733" s="286" t="s">
        <v>1227</v>
      </c>
      <c r="J733" s="349">
        <v>0.66700000000000004</v>
      </c>
    </row>
    <row r="734" spans="1:10">
      <c r="A734" s="350" t="s">
        <v>1128</v>
      </c>
      <c r="B734" s="345" t="s">
        <v>1228</v>
      </c>
      <c r="C734" s="286" t="s">
        <v>1225</v>
      </c>
      <c r="D734" s="346">
        <v>0.58499999999999996</v>
      </c>
      <c r="E734" s="286" t="s">
        <v>1135</v>
      </c>
      <c r="F734" s="343">
        <v>0.21</v>
      </c>
      <c r="G734" s="286" t="s">
        <v>1229</v>
      </c>
      <c r="H734" s="343">
        <v>0.53500000000000003</v>
      </c>
      <c r="I734" s="286" t="s">
        <v>1230</v>
      </c>
      <c r="J734" s="349">
        <v>0.80300000000000005</v>
      </c>
    </row>
    <row r="735" spans="1:10">
      <c r="A735" s="350" t="s">
        <v>1128</v>
      </c>
      <c r="B735" s="345" t="s">
        <v>1231</v>
      </c>
      <c r="C735" s="286" t="s">
        <v>1225</v>
      </c>
      <c r="D735" s="346">
        <v>0.58499999999999996</v>
      </c>
      <c r="E735" s="286" t="s">
        <v>1139</v>
      </c>
      <c r="F735" s="343">
        <v>0.252</v>
      </c>
      <c r="G735" s="286" t="s">
        <v>1232</v>
      </c>
      <c r="H735" s="343">
        <v>0.626</v>
      </c>
      <c r="I735" s="286" t="s">
        <v>1233</v>
      </c>
      <c r="J735" s="349">
        <v>0.93899999999999995</v>
      </c>
    </row>
    <row r="736" spans="1:10">
      <c r="A736" s="350" t="s">
        <v>1128</v>
      </c>
      <c r="B736" s="345" t="s">
        <v>1234</v>
      </c>
      <c r="C736" s="286" t="s">
        <v>1225</v>
      </c>
      <c r="D736" s="346">
        <v>0.58499999999999996</v>
      </c>
      <c r="E736" s="286" t="s">
        <v>1143</v>
      </c>
      <c r="F736" s="343">
        <v>0.29399999999999998</v>
      </c>
      <c r="G736" s="286" t="s">
        <v>1235</v>
      </c>
      <c r="H736" s="343">
        <v>0.71599999999999997</v>
      </c>
      <c r="I736" s="286" t="s">
        <v>1236</v>
      </c>
      <c r="J736" s="349">
        <v>1.075</v>
      </c>
    </row>
    <row r="737" spans="1:10">
      <c r="A737" s="350" t="s">
        <v>1128</v>
      </c>
      <c r="B737" s="345" t="s">
        <v>1237</v>
      </c>
      <c r="C737" s="286" t="s">
        <v>1225</v>
      </c>
      <c r="D737" s="346">
        <v>0.58499999999999996</v>
      </c>
      <c r="E737" s="286" t="s">
        <v>1147</v>
      </c>
      <c r="F737" s="343">
        <v>0.379</v>
      </c>
      <c r="G737" s="286" t="s">
        <v>1238</v>
      </c>
      <c r="H737" s="343">
        <v>0.89700000000000002</v>
      </c>
      <c r="I737" s="286" t="s">
        <v>1239</v>
      </c>
      <c r="J737" s="349">
        <v>1.3460000000000001</v>
      </c>
    </row>
    <row r="738" spans="1:10">
      <c r="A738" s="350" t="s">
        <v>1128</v>
      </c>
      <c r="B738" s="345" t="s">
        <v>1240</v>
      </c>
      <c r="C738" s="286" t="s">
        <v>1225</v>
      </c>
      <c r="D738" s="346">
        <v>0.58499999999999996</v>
      </c>
      <c r="E738" s="286" t="s">
        <v>1151</v>
      </c>
      <c r="F738" s="343">
        <v>0.42099999999999999</v>
      </c>
      <c r="G738" s="286" t="s">
        <v>1241</v>
      </c>
      <c r="H738" s="343">
        <v>0.98799999999999999</v>
      </c>
      <c r="I738" s="286" t="s">
        <v>1242</v>
      </c>
      <c r="J738" s="349">
        <v>1.482</v>
      </c>
    </row>
    <row r="739" spans="1:10">
      <c r="A739" s="350" t="s">
        <v>1128</v>
      </c>
      <c r="B739" s="345" t="s">
        <v>1243</v>
      </c>
      <c r="C739" s="286" t="s">
        <v>1225</v>
      </c>
      <c r="D739" s="346">
        <v>0.58499999999999996</v>
      </c>
      <c r="E739" s="286" t="s">
        <v>1155</v>
      </c>
      <c r="F739" s="343">
        <v>0.46300000000000002</v>
      </c>
      <c r="G739" s="286" t="s">
        <v>1244</v>
      </c>
      <c r="H739" s="343">
        <v>1.0780000000000001</v>
      </c>
      <c r="I739" s="286" t="s">
        <v>1245</v>
      </c>
      <c r="J739" s="349">
        <v>1.6180000000000001</v>
      </c>
    </row>
    <row r="740" spans="1:10">
      <c r="A740" s="350" t="s">
        <v>1128</v>
      </c>
      <c r="B740" s="345" t="s">
        <v>1246</v>
      </c>
      <c r="C740" s="286" t="s">
        <v>1247</v>
      </c>
      <c r="D740" s="346"/>
      <c r="E740" s="286" t="s">
        <v>1248</v>
      </c>
      <c r="F740" s="343"/>
      <c r="G740" s="286" t="s">
        <v>1249</v>
      </c>
      <c r="H740" s="343"/>
      <c r="I740" s="286" t="s">
        <v>1250</v>
      </c>
      <c r="J740" s="349">
        <v>9.1999999999999998E-2</v>
      </c>
    </row>
    <row r="741" spans="1:10">
      <c r="A741" s="350" t="s">
        <v>1128</v>
      </c>
      <c r="B741" s="345" t="s">
        <v>1251</v>
      </c>
      <c r="C741" s="286" t="s">
        <v>1252</v>
      </c>
      <c r="D741" s="346"/>
      <c r="E741" s="286" t="s">
        <v>1253</v>
      </c>
      <c r="F741" s="343"/>
      <c r="G741" s="286" t="s">
        <v>1254</v>
      </c>
      <c r="H741" s="343">
        <v>2.8000000000000001E-2</v>
      </c>
      <c r="I741" s="286" t="s">
        <v>1255</v>
      </c>
      <c r="J741" s="349">
        <v>4.2000000000000003E-2</v>
      </c>
    </row>
    <row r="742" spans="1:10">
      <c r="A742" s="350" t="s">
        <v>1256</v>
      </c>
      <c r="B742" s="345" t="s">
        <v>1257</v>
      </c>
      <c r="C742" s="286" t="s">
        <v>1258</v>
      </c>
      <c r="D742" s="346">
        <v>0.71899999999999997</v>
      </c>
      <c r="E742" s="286" t="s">
        <v>1259</v>
      </c>
      <c r="F742" s="343">
        <v>0.24099999999999999</v>
      </c>
      <c r="G742" s="286" t="s">
        <v>1132</v>
      </c>
      <c r="H742" s="343">
        <v>0.38800000000000001</v>
      </c>
      <c r="I742" s="286" t="s">
        <v>1133</v>
      </c>
      <c r="J742" s="349">
        <v>0.57199999999999995</v>
      </c>
    </row>
    <row r="743" spans="1:10">
      <c r="A743" s="350" t="s">
        <v>1256</v>
      </c>
      <c r="B743" s="345" t="s">
        <v>1260</v>
      </c>
      <c r="C743" s="286" t="s">
        <v>1258</v>
      </c>
      <c r="D743" s="346">
        <v>0.71899999999999997</v>
      </c>
      <c r="E743" s="286" t="s">
        <v>1261</v>
      </c>
      <c r="F743" s="343">
        <v>0.30199999999999999</v>
      </c>
      <c r="G743" s="286" t="s">
        <v>1136</v>
      </c>
      <c r="H743" s="343">
        <v>0.45900000000000002</v>
      </c>
      <c r="I743" s="286" t="s">
        <v>1137</v>
      </c>
      <c r="J743" s="349">
        <v>0.68799999999999994</v>
      </c>
    </row>
    <row r="744" spans="1:10">
      <c r="A744" s="350" t="s">
        <v>1256</v>
      </c>
      <c r="B744" s="345" t="s">
        <v>1262</v>
      </c>
      <c r="C744" s="286" t="s">
        <v>1258</v>
      </c>
      <c r="D744" s="346">
        <v>0.71899999999999997</v>
      </c>
      <c r="E744" s="286" t="s">
        <v>1263</v>
      </c>
      <c r="F744" s="343">
        <v>0.36199999999999999</v>
      </c>
      <c r="G744" s="286" t="s">
        <v>1140</v>
      </c>
      <c r="H744" s="343">
        <v>0.53600000000000003</v>
      </c>
      <c r="I744" s="286" t="s">
        <v>1141</v>
      </c>
      <c r="J744" s="349">
        <v>0.80400000000000005</v>
      </c>
    </row>
    <row r="745" spans="1:10">
      <c r="A745" s="350" t="s">
        <v>1256</v>
      </c>
      <c r="B745" s="345" t="s">
        <v>1264</v>
      </c>
      <c r="C745" s="286" t="s">
        <v>1258</v>
      </c>
      <c r="D745" s="346">
        <v>0.71899999999999997</v>
      </c>
      <c r="E745" s="286" t="s">
        <v>1265</v>
      </c>
      <c r="F745" s="343">
        <v>0.42199999999999999</v>
      </c>
      <c r="G745" s="286" t="s">
        <v>1144</v>
      </c>
      <c r="H745" s="343">
        <v>0.61399999999999999</v>
      </c>
      <c r="I745" s="286" t="s">
        <v>1145</v>
      </c>
      <c r="J745" s="349">
        <v>0.92</v>
      </c>
    </row>
    <row r="746" spans="1:10">
      <c r="A746" s="350" t="s">
        <v>1256</v>
      </c>
      <c r="B746" s="345" t="s">
        <v>1266</v>
      </c>
      <c r="C746" s="286" t="s">
        <v>1258</v>
      </c>
      <c r="D746" s="346">
        <v>0.71899999999999997</v>
      </c>
      <c r="E746" s="286" t="s">
        <v>1267</v>
      </c>
      <c r="F746" s="343">
        <v>0.54300000000000004</v>
      </c>
      <c r="G746" s="286" t="s">
        <v>1148</v>
      </c>
      <c r="H746" s="343">
        <v>0.76900000000000002</v>
      </c>
      <c r="I746" s="286" t="s">
        <v>1149</v>
      </c>
      <c r="J746" s="349">
        <v>1.153</v>
      </c>
    </row>
    <row r="747" spans="1:10">
      <c r="A747" s="350" t="s">
        <v>1256</v>
      </c>
      <c r="B747" s="345" t="s">
        <v>1268</v>
      </c>
      <c r="C747" s="286" t="s">
        <v>1258</v>
      </c>
      <c r="D747" s="346">
        <v>0.71899999999999997</v>
      </c>
      <c r="E747" s="286" t="s">
        <v>1269</v>
      </c>
      <c r="F747" s="343">
        <v>0.60399999999999998</v>
      </c>
      <c r="G747" s="286" t="s">
        <v>1152</v>
      </c>
      <c r="H747" s="343">
        <v>0.84599999999999997</v>
      </c>
      <c r="I747" s="286" t="s">
        <v>1153</v>
      </c>
      <c r="J747" s="349">
        <v>1.2689999999999999</v>
      </c>
    </row>
    <row r="748" spans="1:10">
      <c r="A748" s="350" t="s">
        <v>1256</v>
      </c>
      <c r="B748" s="345" t="s">
        <v>1270</v>
      </c>
      <c r="C748" s="286" t="s">
        <v>1258</v>
      </c>
      <c r="D748" s="346">
        <v>0.71899999999999997</v>
      </c>
      <c r="E748" s="286" t="s">
        <v>1271</v>
      </c>
      <c r="F748" s="343">
        <v>0.66400000000000003</v>
      </c>
      <c r="G748" s="286" t="s">
        <v>1156</v>
      </c>
      <c r="H748" s="343">
        <v>0.92400000000000004</v>
      </c>
      <c r="I748" s="286" t="s">
        <v>1157</v>
      </c>
      <c r="J748" s="349">
        <v>1.385</v>
      </c>
    </row>
    <row r="749" spans="1:10">
      <c r="A749" s="350" t="s">
        <v>1256</v>
      </c>
      <c r="B749" s="345" t="s">
        <v>1272</v>
      </c>
      <c r="C749" s="286" t="s">
        <v>1273</v>
      </c>
      <c r="D749" s="346">
        <v>0.749</v>
      </c>
      <c r="E749" s="286" t="s">
        <v>1259</v>
      </c>
      <c r="F749" s="343">
        <v>0.24099999999999999</v>
      </c>
      <c r="G749" s="286" t="s">
        <v>1160</v>
      </c>
      <c r="H749" s="343">
        <v>0.39700000000000002</v>
      </c>
      <c r="I749" s="286" t="s">
        <v>1161</v>
      </c>
      <c r="J749" s="349">
        <v>0.59599999999999997</v>
      </c>
    </row>
    <row r="750" spans="1:10">
      <c r="A750" s="350" t="s">
        <v>1256</v>
      </c>
      <c r="B750" s="345" t="s">
        <v>1274</v>
      </c>
      <c r="C750" s="286" t="s">
        <v>1273</v>
      </c>
      <c r="D750" s="346">
        <v>0.749</v>
      </c>
      <c r="E750" s="286" t="s">
        <v>1261</v>
      </c>
      <c r="F750" s="343">
        <v>0.30199999999999999</v>
      </c>
      <c r="G750" s="286" t="s">
        <v>1163</v>
      </c>
      <c r="H750" s="343">
        <v>0.47799999999999998</v>
      </c>
      <c r="I750" s="286" t="s">
        <v>1164</v>
      </c>
      <c r="J750" s="349">
        <v>0.71699999999999997</v>
      </c>
    </row>
    <row r="751" spans="1:10">
      <c r="A751" s="350" t="s">
        <v>1256</v>
      </c>
      <c r="B751" s="345" t="s">
        <v>1275</v>
      </c>
      <c r="C751" s="286" t="s">
        <v>1273</v>
      </c>
      <c r="D751" s="346">
        <v>0.749</v>
      </c>
      <c r="E751" s="286" t="s">
        <v>1263</v>
      </c>
      <c r="F751" s="343">
        <v>0.36199999999999999</v>
      </c>
      <c r="G751" s="286" t="s">
        <v>1166</v>
      </c>
      <c r="H751" s="343">
        <v>0.55900000000000005</v>
      </c>
      <c r="I751" s="286" t="s">
        <v>1167</v>
      </c>
      <c r="J751" s="349">
        <v>0.83799999999999997</v>
      </c>
    </row>
    <row r="752" spans="1:10">
      <c r="A752" s="350" t="s">
        <v>1256</v>
      </c>
      <c r="B752" s="345" t="s">
        <v>1276</v>
      </c>
      <c r="C752" s="286" t="s">
        <v>1273</v>
      </c>
      <c r="D752" s="346">
        <v>0.749</v>
      </c>
      <c r="E752" s="286" t="s">
        <v>1265</v>
      </c>
      <c r="F752" s="343">
        <v>0.42199999999999999</v>
      </c>
      <c r="G752" s="286" t="s">
        <v>1169</v>
      </c>
      <c r="H752" s="343">
        <v>0.63900000000000001</v>
      </c>
      <c r="I752" s="286" t="s">
        <v>1170</v>
      </c>
      <c r="J752" s="349">
        <v>0.95899999999999996</v>
      </c>
    </row>
    <row r="753" spans="1:10">
      <c r="A753" s="350" t="s">
        <v>1256</v>
      </c>
      <c r="B753" s="345" t="s">
        <v>1277</v>
      </c>
      <c r="C753" s="286" t="s">
        <v>1273</v>
      </c>
      <c r="D753" s="346">
        <v>0.749</v>
      </c>
      <c r="E753" s="286" t="s">
        <v>1267</v>
      </c>
      <c r="F753" s="343">
        <v>0.54300000000000004</v>
      </c>
      <c r="G753" s="286" t="s">
        <v>1172</v>
      </c>
      <c r="H753" s="343">
        <v>0.80100000000000005</v>
      </c>
      <c r="I753" s="286" t="s">
        <v>1173</v>
      </c>
      <c r="J753" s="349">
        <v>1.2010000000000001</v>
      </c>
    </row>
    <row r="754" spans="1:10">
      <c r="A754" s="350" t="s">
        <v>1256</v>
      </c>
      <c r="B754" s="345" t="s">
        <v>1278</v>
      </c>
      <c r="C754" s="286" t="s">
        <v>1273</v>
      </c>
      <c r="D754" s="346">
        <v>0.749</v>
      </c>
      <c r="E754" s="286" t="s">
        <v>1269</v>
      </c>
      <c r="F754" s="343">
        <v>0.60399999999999998</v>
      </c>
      <c r="G754" s="286" t="s">
        <v>1175</v>
      </c>
      <c r="H754" s="343">
        <v>0.88200000000000001</v>
      </c>
      <c r="I754" s="286" t="s">
        <v>1176</v>
      </c>
      <c r="J754" s="349">
        <v>1.3220000000000001</v>
      </c>
    </row>
    <row r="755" spans="1:10">
      <c r="A755" s="350" t="s">
        <v>1256</v>
      </c>
      <c r="B755" s="345" t="s">
        <v>1279</v>
      </c>
      <c r="C755" s="286" t="s">
        <v>1273</v>
      </c>
      <c r="D755" s="346">
        <v>0.749</v>
      </c>
      <c r="E755" s="286" t="s">
        <v>1271</v>
      </c>
      <c r="F755" s="343">
        <v>0.66400000000000003</v>
      </c>
      <c r="G755" s="286" t="s">
        <v>1178</v>
      </c>
      <c r="H755" s="343">
        <v>0.96199999999999997</v>
      </c>
      <c r="I755" s="286" t="s">
        <v>1179</v>
      </c>
      <c r="J755" s="349">
        <v>1.4430000000000001</v>
      </c>
    </row>
    <row r="756" spans="1:10">
      <c r="A756" s="350" t="s">
        <v>1256</v>
      </c>
      <c r="B756" s="345" t="s">
        <v>1280</v>
      </c>
      <c r="C756" s="286" t="s">
        <v>1281</v>
      </c>
      <c r="D756" s="346">
        <v>0.78</v>
      </c>
      <c r="E756" s="286" t="s">
        <v>1259</v>
      </c>
      <c r="F756" s="343">
        <v>0.24099999999999999</v>
      </c>
      <c r="G756" s="286" t="s">
        <v>1182</v>
      </c>
      <c r="H756" s="343">
        <v>0.41299999999999998</v>
      </c>
      <c r="I756" s="286" t="s">
        <v>1183</v>
      </c>
      <c r="J756" s="349">
        <v>0.61899999999999999</v>
      </c>
    </row>
    <row r="757" spans="1:10">
      <c r="A757" s="350" t="s">
        <v>1256</v>
      </c>
      <c r="B757" s="345" t="s">
        <v>1282</v>
      </c>
      <c r="C757" s="286" t="s">
        <v>1281</v>
      </c>
      <c r="D757" s="346">
        <v>0.78</v>
      </c>
      <c r="E757" s="286" t="s">
        <v>1261</v>
      </c>
      <c r="F757" s="343">
        <v>0.30199999999999999</v>
      </c>
      <c r="G757" s="286" t="s">
        <v>1185</v>
      </c>
      <c r="H757" s="343">
        <v>0.497</v>
      </c>
      <c r="I757" s="286" t="s">
        <v>1186</v>
      </c>
      <c r="J757" s="349">
        <v>0.745</v>
      </c>
    </row>
    <row r="758" spans="1:10">
      <c r="A758" s="350" t="s">
        <v>1256</v>
      </c>
      <c r="B758" s="345" t="s">
        <v>1283</v>
      </c>
      <c r="C758" s="286" t="s">
        <v>1281</v>
      </c>
      <c r="D758" s="346">
        <v>0.78</v>
      </c>
      <c r="E758" s="286" t="s">
        <v>1263</v>
      </c>
      <c r="F758" s="343">
        <v>0.36199999999999999</v>
      </c>
      <c r="G758" s="286" t="s">
        <v>1188</v>
      </c>
      <c r="H758" s="343">
        <v>0.58099999999999996</v>
      </c>
      <c r="I758" s="286" t="s">
        <v>1189</v>
      </c>
      <c r="J758" s="349">
        <v>0.871</v>
      </c>
    </row>
    <row r="759" spans="1:10">
      <c r="A759" s="350" t="s">
        <v>1256</v>
      </c>
      <c r="B759" s="345" t="s">
        <v>1284</v>
      </c>
      <c r="C759" s="286" t="s">
        <v>1281</v>
      </c>
      <c r="D759" s="346">
        <v>0.78</v>
      </c>
      <c r="E759" s="286" t="s">
        <v>1265</v>
      </c>
      <c r="F759" s="343">
        <v>0.42199999999999999</v>
      </c>
      <c r="G759" s="286" t="s">
        <v>1191</v>
      </c>
      <c r="H759" s="343">
        <v>0.66500000000000004</v>
      </c>
      <c r="I759" s="286" t="s">
        <v>1192</v>
      </c>
      <c r="J759" s="349">
        <v>0.997</v>
      </c>
    </row>
    <row r="760" spans="1:10">
      <c r="A760" s="350" t="s">
        <v>1256</v>
      </c>
      <c r="B760" s="345" t="s">
        <v>1285</v>
      </c>
      <c r="C760" s="286" t="s">
        <v>1281</v>
      </c>
      <c r="D760" s="346">
        <v>0.78</v>
      </c>
      <c r="E760" s="286" t="s">
        <v>1267</v>
      </c>
      <c r="F760" s="343">
        <v>0.54300000000000004</v>
      </c>
      <c r="G760" s="286" t="s">
        <v>1194</v>
      </c>
      <c r="H760" s="343">
        <v>0.83299999999999996</v>
      </c>
      <c r="I760" s="286" t="s">
        <v>1195</v>
      </c>
      <c r="J760" s="349">
        <v>1.2490000000000001</v>
      </c>
    </row>
    <row r="761" spans="1:10">
      <c r="A761" s="350" t="s">
        <v>1256</v>
      </c>
      <c r="B761" s="345" t="s">
        <v>1286</v>
      </c>
      <c r="C761" s="286" t="s">
        <v>1281</v>
      </c>
      <c r="D761" s="346">
        <v>0.78</v>
      </c>
      <c r="E761" s="286" t="s">
        <v>1269</v>
      </c>
      <c r="F761" s="343">
        <v>0.60399999999999998</v>
      </c>
      <c r="G761" s="286" t="s">
        <v>1197</v>
      </c>
      <c r="H761" s="343">
        <v>0.91700000000000004</v>
      </c>
      <c r="I761" s="286" t="s">
        <v>1198</v>
      </c>
      <c r="J761" s="349">
        <v>1.375</v>
      </c>
    </row>
    <row r="762" spans="1:10">
      <c r="A762" s="350" t="s">
        <v>1256</v>
      </c>
      <c r="B762" s="345" t="s">
        <v>1287</v>
      </c>
      <c r="C762" s="286" t="s">
        <v>1281</v>
      </c>
      <c r="D762" s="346">
        <v>0.78</v>
      </c>
      <c r="E762" s="286" t="s">
        <v>1271</v>
      </c>
      <c r="F762" s="343">
        <v>0.66400000000000003</v>
      </c>
      <c r="G762" s="286" t="s">
        <v>1200</v>
      </c>
      <c r="H762" s="343">
        <v>1.0009999999999999</v>
      </c>
      <c r="I762" s="286" t="s">
        <v>1201</v>
      </c>
      <c r="J762" s="349">
        <v>1.5009999999999999</v>
      </c>
    </row>
    <row r="763" spans="1:10">
      <c r="A763" s="350" t="s">
        <v>1256</v>
      </c>
      <c r="B763" s="345" t="s">
        <v>1288</v>
      </c>
      <c r="C763" s="286" t="s">
        <v>1289</v>
      </c>
      <c r="D763" s="346">
        <v>0.8</v>
      </c>
      <c r="E763" s="286" t="s">
        <v>1259</v>
      </c>
      <c r="F763" s="343">
        <v>0.24099999999999999</v>
      </c>
      <c r="G763" s="286" t="s">
        <v>1204</v>
      </c>
      <c r="H763" s="343">
        <v>0.42399999999999999</v>
      </c>
      <c r="I763" s="286" t="s">
        <v>1205</v>
      </c>
      <c r="J763" s="349">
        <v>0.63500000000000001</v>
      </c>
    </row>
    <row r="764" spans="1:10">
      <c r="A764" s="350" t="s">
        <v>1256</v>
      </c>
      <c r="B764" s="345" t="s">
        <v>1290</v>
      </c>
      <c r="C764" s="286" t="s">
        <v>1289</v>
      </c>
      <c r="D764" s="346">
        <v>0.8</v>
      </c>
      <c r="E764" s="286" t="s">
        <v>1261</v>
      </c>
      <c r="F764" s="343">
        <v>0.30199999999999999</v>
      </c>
      <c r="G764" s="286" t="s">
        <v>1207</v>
      </c>
      <c r="H764" s="343">
        <v>0.51</v>
      </c>
      <c r="I764" s="286" t="s">
        <v>1208</v>
      </c>
      <c r="J764" s="349">
        <v>0.76500000000000001</v>
      </c>
    </row>
    <row r="765" spans="1:10">
      <c r="A765" s="350" t="s">
        <v>1256</v>
      </c>
      <c r="B765" s="345" t="s">
        <v>1291</v>
      </c>
      <c r="C765" s="286" t="s">
        <v>1289</v>
      </c>
      <c r="D765" s="346">
        <v>0.8</v>
      </c>
      <c r="E765" s="286" t="s">
        <v>1263</v>
      </c>
      <c r="F765" s="343">
        <v>0.36199999999999999</v>
      </c>
      <c r="G765" s="286" t="s">
        <v>1210</v>
      </c>
      <c r="H765" s="343">
        <v>0.59599999999999997</v>
      </c>
      <c r="I765" s="286" t="s">
        <v>1211</v>
      </c>
      <c r="J765" s="349">
        <v>0.89400000000000002</v>
      </c>
    </row>
    <row r="766" spans="1:10">
      <c r="A766" s="350" t="s">
        <v>1256</v>
      </c>
      <c r="B766" s="345" t="s">
        <v>1292</v>
      </c>
      <c r="C766" s="286" t="s">
        <v>1289</v>
      </c>
      <c r="D766" s="346">
        <v>0.8</v>
      </c>
      <c r="E766" s="286" t="s">
        <v>1265</v>
      </c>
      <c r="F766" s="343">
        <v>0.42199999999999999</v>
      </c>
      <c r="G766" s="286" t="s">
        <v>1213</v>
      </c>
      <c r="H766" s="343">
        <v>0.68200000000000005</v>
      </c>
      <c r="I766" s="286" t="s">
        <v>1214</v>
      </c>
      <c r="J766" s="349">
        <v>1.0229999999999999</v>
      </c>
    </row>
    <row r="767" spans="1:10">
      <c r="A767" s="350" t="s">
        <v>1256</v>
      </c>
      <c r="B767" s="345" t="s">
        <v>1293</v>
      </c>
      <c r="C767" s="286" t="s">
        <v>1289</v>
      </c>
      <c r="D767" s="346">
        <v>0.8</v>
      </c>
      <c r="E767" s="286" t="s">
        <v>1267</v>
      </c>
      <c r="F767" s="343">
        <v>0.54300000000000004</v>
      </c>
      <c r="G767" s="286" t="s">
        <v>1216</v>
      </c>
      <c r="H767" s="343">
        <v>0.85399999999999998</v>
      </c>
      <c r="I767" s="286" t="s">
        <v>1217</v>
      </c>
      <c r="J767" s="349">
        <v>1.282</v>
      </c>
    </row>
    <row r="768" spans="1:10">
      <c r="A768" s="350" t="s">
        <v>1256</v>
      </c>
      <c r="B768" s="345" t="s">
        <v>1294</v>
      </c>
      <c r="C768" s="286" t="s">
        <v>1289</v>
      </c>
      <c r="D768" s="346">
        <v>0.8</v>
      </c>
      <c r="E768" s="286" t="s">
        <v>1269</v>
      </c>
      <c r="F768" s="343">
        <v>0.60399999999999998</v>
      </c>
      <c r="G768" s="286" t="s">
        <v>1219</v>
      </c>
      <c r="H768" s="343">
        <v>0.94099999999999995</v>
      </c>
      <c r="I768" s="286" t="s">
        <v>1220</v>
      </c>
      <c r="J768" s="349">
        <v>1.411</v>
      </c>
    </row>
    <row r="769" spans="1:10">
      <c r="A769" s="350" t="s">
        <v>1256</v>
      </c>
      <c r="B769" s="345" t="s">
        <v>1295</v>
      </c>
      <c r="C769" s="286" t="s">
        <v>1289</v>
      </c>
      <c r="D769" s="346">
        <v>0.8</v>
      </c>
      <c r="E769" s="286" t="s">
        <v>1271</v>
      </c>
      <c r="F769" s="343">
        <v>0.66400000000000003</v>
      </c>
      <c r="G769" s="286" t="s">
        <v>1222</v>
      </c>
      <c r="H769" s="343">
        <v>1.0269999999999999</v>
      </c>
      <c r="I769" s="286" t="s">
        <v>1223</v>
      </c>
      <c r="J769" s="349">
        <v>1.54</v>
      </c>
    </row>
    <row r="770" spans="1:10">
      <c r="A770" s="350" t="s">
        <v>1256</v>
      </c>
      <c r="B770" s="345" t="s">
        <v>1296</v>
      </c>
      <c r="C770" s="286" t="s">
        <v>1297</v>
      </c>
      <c r="D770" s="346">
        <v>0.84</v>
      </c>
      <c r="E770" s="286" t="s">
        <v>1259</v>
      </c>
      <c r="F770" s="343">
        <v>0.24099999999999999</v>
      </c>
      <c r="G770" s="286" t="s">
        <v>1226</v>
      </c>
      <c r="H770" s="343">
        <v>0.44500000000000001</v>
      </c>
      <c r="I770" s="286" t="s">
        <v>1227</v>
      </c>
      <c r="J770" s="349">
        <v>0.66700000000000004</v>
      </c>
    </row>
    <row r="771" spans="1:10">
      <c r="A771" s="350" t="s">
        <v>1256</v>
      </c>
      <c r="B771" s="345" t="s">
        <v>1298</v>
      </c>
      <c r="C771" s="286" t="s">
        <v>1297</v>
      </c>
      <c r="D771" s="346">
        <v>0.84</v>
      </c>
      <c r="E771" s="286" t="s">
        <v>1261</v>
      </c>
      <c r="F771" s="343">
        <v>0.30199999999999999</v>
      </c>
      <c r="G771" s="286" t="s">
        <v>1229</v>
      </c>
      <c r="H771" s="343">
        <v>0.53500000000000003</v>
      </c>
      <c r="I771" s="286" t="s">
        <v>1230</v>
      </c>
      <c r="J771" s="349">
        <v>0.80300000000000005</v>
      </c>
    </row>
    <row r="772" spans="1:10">
      <c r="A772" s="350" t="s">
        <v>1256</v>
      </c>
      <c r="B772" s="345" t="s">
        <v>1299</v>
      </c>
      <c r="C772" s="286" t="s">
        <v>1297</v>
      </c>
      <c r="D772" s="346">
        <v>0.84</v>
      </c>
      <c r="E772" s="286" t="s">
        <v>1263</v>
      </c>
      <c r="F772" s="343">
        <v>0.36199999999999999</v>
      </c>
      <c r="G772" s="286" t="s">
        <v>1232</v>
      </c>
      <c r="H772" s="343">
        <v>0.626</v>
      </c>
      <c r="I772" s="286" t="s">
        <v>1233</v>
      </c>
      <c r="J772" s="349">
        <v>0.93899999999999995</v>
      </c>
    </row>
    <row r="773" spans="1:10">
      <c r="A773" s="350" t="s">
        <v>1256</v>
      </c>
      <c r="B773" s="345" t="s">
        <v>1300</v>
      </c>
      <c r="C773" s="286" t="s">
        <v>1297</v>
      </c>
      <c r="D773" s="346">
        <v>0.84</v>
      </c>
      <c r="E773" s="286" t="s">
        <v>1265</v>
      </c>
      <c r="F773" s="343">
        <v>0.42199999999999999</v>
      </c>
      <c r="G773" s="286" t="s">
        <v>1235</v>
      </c>
      <c r="H773" s="343">
        <v>0.71599999999999997</v>
      </c>
      <c r="I773" s="286" t="s">
        <v>1236</v>
      </c>
      <c r="J773" s="349">
        <v>1.075</v>
      </c>
    </row>
    <row r="774" spans="1:10">
      <c r="A774" s="350" t="s">
        <v>1256</v>
      </c>
      <c r="B774" s="345" t="s">
        <v>1301</v>
      </c>
      <c r="C774" s="286" t="s">
        <v>1297</v>
      </c>
      <c r="D774" s="346">
        <v>0.84</v>
      </c>
      <c r="E774" s="286" t="s">
        <v>1267</v>
      </c>
      <c r="F774" s="343">
        <v>0.54300000000000004</v>
      </c>
      <c r="G774" s="286" t="s">
        <v>1238</v>
      </c>
      <c r="H774" s="343">
        <v>0.89700000000000002</v>
      </c>
      <c r="I774" s="286" t="s">
        <v>1239</v>
      </c>
      <c r="J774" s="349">
        <v>1.3460000000000001</v>
      </c>
    </row>
    <row r="775" spans="1:10">
      <c r="A775" s="350" t="s">
        <v>1256</v>
      </c>
      <c r="B775" s="345" t="s">
        <v>1302</v>
      </c>
      <c r="C775" s="286" t="s">
        <v>1297</v>
      </c>
      <c r="D775" s="346">
        <v>0.84</v>
      </c>
      <c r="E775" s="286" t="s">
        <v>1269</v>
      </c>
      <c r="F775" s="343">
        <v>0.60399999999999998</v>
      </c>
      <c r="G775" s="286" t="s">
        <v>1241</v>
      </c>
      <c r="H775" s="343">
        <v>0.98799999999999999</v>
      </c>
      <c r="I775" s="286" t="s">
        <v>1242</v>
      </c>
      <c r="J775" s="349">
        <v>1.482</v>
      </c>
    </row>
    <row r="776" spans="1:10">
      <c r="A776" s="350" t="s">
        <v>1256</v>
      </c>
      <c r="B776" s="345" t="s">
        <v>1303</v>
      </c>
      <c r="C776" s="286" t="s">
        <v>1297</v>
      </c>
      <c r="D776" s="346">
        <v>0.84</v>
      </c>
      <c r="E776" s="286" t="s">
        <v>1271</v>
      </c>
      <c r="F776" s="343">
        <v>0.66400000000000003</v>
      </c>
      <c r="G776" s="286" t="s">
        <v>1244</v>
      </c>
      <c r="H776" s="343">
        <v>1.0780000000000001</v>
      </c>
      <c r="I776" s="286" t="s">
        <v>1245</v>
      </c>
      <c r="J776" s="349">
        <v>1.6180000000000001</v>
      </c>
    </row>
    <row r="777" spans="1:10">
      <c r="A777" s="350" t="s">
        <v>1256</v>
      </c>
      <c r="B777" s="345" t="s">
        <v>1304</v>
      </c>
      <c r="C777" s="286" t="s">
        <v>1305</v>
      </c>
      <c r="D777" s="346">
        <v>0.19600000000000001</v>
      </c>
      <c r="E777" s="286" t="s">
        <v>1306</v>
      </c>
      <c r="F777" s="343">
        <v>0.121</v>
      </c>
      <c r="G777" s="286" t="s">
        <v>1249</v>
      </c>
      <c r="H777" s="343">
        <v>6.2E-2</v>
      </c>
      <c r="I777" s="286" t="s">
        <v>1250</v>
      </c>
      <c r="J777" s="349">
        <v>9.1999999999999998E-2</v>
      </c>
    </row>
    <row r="778" spans="1:10">
      <c r="A778" s="350" t="s">
        <v>1256</v>
      </c>
      <c r="B778" s="345" t="s">
        <v>1307</v>
      </c>
      <c r="C778" s="286" t="s">
        <v>1308</v>
      </c>
      <c r="D778" s="346">
        <v>0.126</v>
      </c>
      <c r="E778" s="286" t="s">
        <v>1309</v>
      </c>
      <c r="F778" s="343">
        <v>7.0000000000000007E-2</v>
      </c>
      <c r="G778" s="286" t="s">
        <v>1254</v>
      </c>
      <c r="H778" s="343">
        <v>2.8000000000000001E-2</v>
      </c>
      <c r="I778" s="286" t="s">
        <v>1255</v>
      </c>
      <c r="J778" s="349">
        <v>4.2000000000000003E-2</v>
      </c>
    </row>
    <row r="779" spans="1:10">
      <c r="A779" s="350" t="s">
        <v>1128</v>
      </c>
      <c r="B779" s="345" t="s">
        <v>1310</v>
      </c>
      <c r="C779" s="286" t="s">
        <v>1130</v>
      </c>
      <c r="D779" s="346">
        <v>0.501</v>
      </c>
      <c r="E779" s="286" t="s">
        <v>1131</v>
      </c>
      <c r="F779" s="343">
        <v>0.16800000000000001</v>
      </c>
      <c r="G779" s="286" t="s">
        <v>1132</v>
      </c>
      <c r="H779" s="343">
        <v>0.38800000000000001</v>
      </c>
      <c r="I779" s="286" t="s">
        <v>1133</v>
      </c>
      <c r="J779" s="349">
        <v>0.57199999999999995</v>
      </c>
    </row>
    <row r="780" spans="1:10">
      <c r="A780" s="350" t="s">
        <v>1128</v>
      </c>
      <c r="B780" s="345" t="s">
        <v>1311</v>
      </c>
      <c r="C780" s="286" t="s">
        <v>1130</v>
      </c>
      <c r="D780" s="346">
        <v>0.501</v>
      </c>
      <c r="E780" s="286" t="s">
        <v>1135</v>
      </c>
      <c r="F780" s="343">
        <v>0.21</v>
      </c>
      <c r="G780" s="286" t="s">
        <v>1136</v>
      </c>
      <c r="H780" s="343">
        <v>0.45900000000000002</v>
      </c>
      <c r="I780" s="286" t="s">
        <v>1137</v>
      </c>
      <c r="J780" s="349">
        <v>0.68799999999999994</v>
      </c>
    </row>
    <row r="781" spans="1:10">
      <c r="A781" s="350" t="s">
        <v>1128</v>
      </c>
      <c r="B781" s="345" t="s">
        <v>1312</v>
      </c>
      <c r="C781" s="286" t="s">
        <v>1130</v>
      </c>
      <c r="D781" s="346">
        <v>0.501</v>
      </c>
      <c r="E781" s="286" t="s">
        <v>1139</v>
      </c>
      <c r="F781" s="343">
        <v>0.252</v>
      </c>
      <c r="G781" s="286" t="s">
        <v>1140</v>
      </c>
      <c r="H781" s="343">
        <v>0.53600000000000003</v>
      </c>
      <c r="I781" s="286" t="s">
        <v>1141</v>
      </c>
      <c r="J781" s="349">
        <v>0.80400000000000005</v>
      </c>
    </row>
    <row r="782" spans="1:10">
      <c r="A782" s="350" t="s">
        <v>1128</v>
      </c>
      <c r="B782" s="345" t="s">
        <v>1313</v>
      </c>
      <c r="C782" s="286" t="s">
        <v>1130</v>
      </c>
      <c r="D782" s="346">
        <v>0.501</v>
      </c>
      <c r="E782" s="286" t="s">
        <v>1143</v>
      </c>
      <c r="F782" s="343">
        <v>0.29399999999999998</v>
      </c>
      <c r="G782" s="286" t="s">
        <v>1144</v>
      </c>
      <c r="H782" s="343">
        <v>0.61399999999999999</v>
      </c>
      <c r="I782" s="286" t="s">
        <v>1145</v>
      </c>
      <c r="J782" s="349">
        <v>0.92</v>
      </c>
    </row>
    <row r="783" spans="1:10">
      <c r="A783" s="350" t="s">
        <v>1128</v>
      </c>
      <c r="B783" s="345" t="s">
        <v>1314</v>
      </c>
      <c r="C783" s="286" t="s">
        <v>1130</v>
      </c>
      <c r="D783" s="346">
        <v>0.501</v>
      </c>
      <c r="E783" s="286" t="s">
        <v>1147</v>
      </c>
      <c r="F783" s="343">
        <v>0.379</v>
      </c>
      <c r="G783" s="286" t="s">
        <v>1148</v>
      </c>
      <c r="H783" s="343">
        <v>0.76900000000000002</v>
      </c>
      <c r="I783" s="286" t="s">
        <v>1149</v>
      </c>
      <c r="J783" s="349">
        <v>1.153</v>
      </c>
    </row>
    <row r="784" spans="1:10">
      <c r="A784" s="350" t="s">
        <v>1128</v>
      </c>
      <c r="B784" s="345" t="s">
        <v>1315</v>
      </c>
      <c r="C784" s="286" t="s">
        <v>1130</v>
      </c>
      <c r="D784" s="346">
        <v>0.501</v>
      </c>
      <c r="E784" s="286" t="s">
        <v>1151</v>
      </c>
      <c r="F784" s="343">
        <v>0.42099999999999999</v>
      </c>
      <c r="G784" s="286" t="s">
        <v>1152</v>
      </c>
      <c r="H784" s="343">
        <v>0.84599999999999997</v>
      </c>
      <c r="I784" s="286" t="s">
        <v>1153</v>
      </c>
      <c r="J784" s="349">
        <v>1.2689999999999999</v>
      </c>
    </row>
    <row r="785" spans="1:10">
      <c r="A785" s="350" t="s">
        <v>1128</v>
      </c>
      <c r="B785" s="345" t="s">
        <v>1316</v>
      </c>
      <c r="C785" s="286" t="s">
        <v>1130</v>
      </c>
      <c r="D785" s="346">
        <v>0.501</v>
      </c>
      <c r="E785" s="286" t="s">
        <v>1155</v>
      </c>
      <c r="F785" s="343">
        <v>0.46300000000000002</v>
      </c>
      <c r="G785" s="286" t="s">
        <v>1156</v>
      </c>
      <c r="H785" s="343">
        <v>0.92400000000000004</v>
      </c>
      <c r="I785" s="286" t="s">
        <v>1157</v>
      </c>
      <c r="J785" s="349">
        <v>1.385</v>
      </c>
    </row>
    <row r="786" spans="1:10">
      <c r="A786" s="350" t="s">
        <v>1128</v>
      </c>
      <c r="B786" s="345" t="s">
        <v>1317</v>
      </c>
      <c r="C786" s="286" t="s">
        <v>1159</v>
      </c>
      <c r="D786" s="346">
        <v>0.52200000000000002</v>
      </c>
      <c r="E786" s="286" t="s">
        <v>1131</v>
      </c>
      <c r="F786" s="343">
        <v>0.16800000000000001</v>
      </c>
      <c r="G786" s="286" t="s">
        <v>1160</v>
      </c>
      <c r="H786" s="343">
        <v>0.39700000000000002</v>
      </c>
      <c r="I786" s="286" t="s">
        <v>1161</v>
      </c>
      <c r="J786" s="349">
        <v>0.59599999999999997</v>
      </c>
    </row>
    <row r="787" spans="1:10">
      <c r="A787" s="350" t="s">
        <v>1128</v>
      </c>
      <c r="B787" s="345" t="s">
        <v>1318</v>
      </c>
      <c r="C787" s="286" t="s">
        <v>1159</v>
      </c>
      <c r="D787" s="346">
        <v>0.52200000000000002</v>
      </c>
      <c r="E787" s="286" t="s">
        <v>1135</v>
      </c>
      <c r="F787" s="343">
        <v>0.21</v>
      </c>
      <c r="G787" s="286" t="s">
        <v>1163</v>
      </c>
      <c r="H787" s="343">
        <v>0.47799999999999998</v>
      </c>
      <c r="I787" s="286" t="s">
        <v>1164</v>
      </c>
      <c r="J787" s="349">
        <v>0.71699999999999997</v>
      </c>
    </row>
    <row r="788" spans="1:10">
      <c r="A788" s="350" t="s">
        <v>1128</v>
      </c>
      <c r="B788" s="345" t="s">
        <v>1319</v>
      </c>
      <c r="C788" s="286" t="s">
        <v>1159</v>
      </c>
      <c r="D788" s="346">
        <v>0.52200000000000002</v>
      </c>
      <c r="E788" s="286" t="s">
        <v>1139</v>
      </c>
      <c r="F788" s="343">
        <v>0.252</v>
      </c>
      <c r="G788" s="286" t="s">
        <v>1166</v>
      </c>
      <c r="H788" s="343">
        <v>0.55900000000000005</v>
      </c>
      <c r="I788" s="286" t="s">
        <v>1167</v>
      </c>
      <c r="J788" s="349">
        <v>0.83799999999999997</v>
      </c>
    </row>
    <row r="789" spans="1:10">
      <c r="A789" s="350" t="s">
        <v>1128</v>
      </c>
      <c r="B789" s="345" t="s">
        <v>1320</v>
      </c>
      <c r="C789" s="286" t="s">
        <v>1159</v>
      </c>
      <c r="D789" s="346">
        <v>0.52200000000000002</v>
      </c>
      <c r="E789" s="286" t="s">
        <v>1143</v>
      </c>
      <c r="F789" s="343">
        <v>0.29399999999999998</v>
      </c>
      <c r="G789" s="286" t="s">
        <v>1169</v>
      </c>
      <c r="H789" s="343">
        <v>0.63900000000000001</v>
      </c>
      <c r="I789" s="286" t="s">
        <v>1170</v>
      </c>
      <c r="J789" s="349">
        <v>0.95899999999999996</v>
      </c>
    </row>
    <row r="790" spans="1:10">
      <c r="A790" s="350" t="s">
        <v>1128</v>
      </c>
      <c r="B790" s="345" t="s">
        <v>1321</v>
      </c>
      <c r="C790" s="286" t="s">
        <v>1159</v>
      </c>
      <c r="D790" s="346">
        <v>0.52200000000000002</v>
      </c>
      <c r="E790" s="286" t="s">
        <v>1147</v>
      </c>
      <c r="F790" s="343">
        <v>0.379</v>
      </c>
      <c r="G790" s="286" t="s">
        <v>1172</v>
      </c>
      <c r="H790" s="343">
        <v>0.80100000000000005</v>
      </c>
      <c r="I790" s="286" t="s">
        <v>1173</v>
      </c>
      <c r="J790" s="349">
        <v>1.2010000000000001</v>
      </c>
    </row>
    <row r="791" spans="1:10">
      <c r="A791" s="350" t="s">
        <v>1128</v>
      </c>
      <c r="B791" s="345" t="s">
        <v>1322</v>
      </c>
      <c r="C791" s="286" t="s">
        <v>1159</v>
      </c>
      <c r="D791" s="346">
        <v>0.52200000000000002</v>
      </c>
      <c r="E791" s="286" t="s">
        <v>1151</v>
      </c>
      <c r="F791" s="343">
        <v>0.42099999999999999</v>
      </c>
      <c r="G791" s="286" t="s">
        <v>1175</v>
      </c>
      <c r="H791" s="343">
        <v>0.88200000000000001</v>
      </c>
      <c r="I791" s="286" t="s">
        <v>1176</v>
      </c>
      <c r="J791" s="349">
        <v>1.3220000000000001</v>
      </c>
    </row>
    <row r="792" spans="1:10">
      <c r="A792" s="350" t="s">
        <v>1128</v>
      </c>
      <c r="B792" s="345" t="s">
        <v>1323</v>
      </c>
      <c r="C792" s="286" t="s">
        <v>1159</v>
      </c>
      <c r="D792" s="346">
        <v>0.52200000000000002</v>
      </c>
      <c r="E792" s="286" t="s">
        <v>1155</v>
      </c>
      <c r="F792" s="343">
        <v>0.46300000000000002</v>
      </c>
      <c r="G792" s="286" t="s">
        <v>1178</v>
      </c>
      <c r="H792" s="343">
        <v>0.96199999999999997</v>
      </c>
      <c r="I792" s="286" t="s">
        <v>1179</v>
      </c>
      <c r="J792" s="349">
        <v>1.4430000000000001</v>
      </c>
    </row>
    <row r="793" spans="1:10">
      <c r="A793" s="350" t="s">
        <v>1128</v>
      </c>
      <c r="B793" s="345" t="s">
        <v>1324</v>
      </c>
      <c r="C793" s="286" t="s">
        <v>1181</v>
      </c>
      <c r="D793" s="346">
        <v>0.54300000000000004</v>
      </c>
      <c r="E793" s="286" t="s">
        <v>1131</v>
      </c>
      <c r="F793" s="343">
        <v>0.16800000000000001</v>
      </c>
      <c r="G793" s="286" t="s">
        <v>1182</v>
      </c>
      <c r="H793" s="343">
        <v>0.41299999999999998</v>
      </c>
      <c r="I793" s="286" t="s">
        <v>1183</v>
      </c>
      <c r="J793" s="349">
        <v>0.61899999999999999</v>
      </c>
    </row>
    <row r="794" spans="1:10">
      <c r="A794" s="350" t="s">
        <v>1128</v>
      </c>
      <c r="B794" s="345" t="s">
        <v>1325</v>
      </c>
      <c r="C794" s="286" t="s">
        <v>1181</v>
      </c>
      <c r="D794" s="346">
        <v>0.54300000000000004</v>
      </c>
      <c r="E794" s="286" t="s">
        <v>1135</v>
      </c>
      <c r="F794" s="343">
        <v>0.21</v>
      </c>
      <c r="G794" s="286" t="s">
        <v>1185</v>
      </c>
      <c r="H794" s="343">
        <v>0.497</v>
      </c>
      <c r="I794" s="286" t="s">
        <v>1186</v>
      </c>
      <c r="J794" s="349">
        <v>0.745</v>
      </c>
    </row>
    <row r="795" spans="1:10">
      <c r="A795" s="350" t="s">
        <v>1128</v>
      </c>
      <c r="B795" s="345" t="s">
        <v>1326</v>
      </c>
      <c r="C795" s="286" t="s">
        <v>1181</v>
      </c>
      <c r="D795" s="346">
        <v>0.54300000000000004</v>
      </c>
      <c r="E795" s="286" t="s">
        <v>1139</v>
      </c>
      <c r="F795" s="343">
        <v>0.252</v>
      </c>
      <c r="G795" s="286" t="s">
        <v>1188</v>
      </c>
      <c r="H795" s="343">
        <v>0.58099999999999996</v>
      </c>
      <c r="I795" s="286" t="s">
        <v>1189</v>
      </c>
      <c r="J795" s="349">
        <v>0.871</v>
      </c>
    </row>
    <row r="796" spans="1:10">
      <c r="A796" s="350" t="s">
        <v>1128</v>
      </c>
      <c r="B796" s="345" t="s">
        <v>1327</v>
      </c>
      <c r="C796" s="286" t="s">
        <v>1181</v>
      </c>
      <c r="D796" s="346">
        <v>0.54300000000000004</v>
      </c>
      <c r="E796" s="286" t="s">
        <v>1143</v>
      </c>
      <c r="F796" s="343">
        <v>0.29399999999999998</v>
      </c>
      <c r="G796" s="286" t="s">
        <v>1191</v>
      </c>
      <c r="H796" s="343">
        <v>0.66500000000000004</v>
      </c>
      <c r="I796" s="286" t="s">
        <v>1192</v>
      </c>
      <c r="J796" s="349">
        <v>0.997</v>
      </c>
    </row>
    <row r="797" spans="1:10">
      <c r="A797" s="350" t="s">
        <v>1128</v>
      </c>
      <c r="B797" s="345" t="s">
        <v>1328</v>
      </c>
      <c r="C797" s="286" t="s">
        <v>1181</v>
      </c>
      <c r="D797" s="346">
        <v>0.54300000000000004</v>
      </c>
      <c r="E797" s="286" t="s">
        <v>1147</v>
      </c>
      <c r="F797" s="343">
        <v>0.379</v>
      </c>
      <c r="G797" s="286" t="s">
        <v>1194</v>
      </c>
      <c r="H797" s="343">
        <v>0.83299999999999996</v>
      </c>
      <c r="I797" s="286" t="s">
        <v>1195</v>
      </c>
      <c r="J797" s="349">
        <v>1.2490000000000001</v>
      </c>
    </row>
    <row r="798" spans="1:10">
      <c r="A798" s="350" t="s">
        <v>1128</v>
      </c>
      <c r="B798" s="345" t="s">
        <v>1329</v>
      </c>
      <c r="C798" s="286" t="s">
        <v>1181</v>
      </c>
      <c r="D798" s="346">
        <v>0.54300000000000004</v>
      </c>
      <c r="E798" s="286" t="s">
        <v>1151</v>
      </c>
      <c r="F798" s="343">
        <v>0.42099999999999999</v>
      </c>
      <c r="G798" s="286" t="s">
        <v>1197</v>
      </c>
      <c r="H798" s="343">
        <v>0.91700000000000004</v>
      </c>
      <c r="I798" s="286" t="s">
        <v>1198</v>
      </c>
      <c r="J798" s="349">
        <v>1.375</v>
      </c>
    </row>
    <row r="799" spans="1:10">
      <c r="A799" s="350" t="s">
        <v>1128</v>
      </c>
      <c r="B799" s="345" t="s">
        <v>1330</v>
      </c>
      <c r="C799" s="286" t="s">
        <v>1181</v>
      </c>
      <c r="D799" s="346">
        <v>0.54300000000000004</v>
      </c>
      <c r="E799" s="286" t="s">
        <v>1155</v>
      </c>
      <c r="F799" s="343">
        <v>0.46300000000000002</v>
      </c>
      <c r="G799" s="286" t="s">
        <v>1200</v>
      </c>
      <c r="H799" s="343">
        <v>1.0009999999999999</v>
      </c>
      <c r="I799" s="286" t="s">
        <v>1201</v>
      </c>
      <c r="J799" s="349">
        <v>1.5009999999999999</v>
      </c>
    </row>
    <row r="800" spans="1:10">
      <c r="A800" s="350" t="s">
        <v>1128</v>
      </c>
      <c r="B800" s="345" t="s">
        <v>1331</v>
      </c>
      <c r="C800" s="286" t="s">
        <v>1203</v>
      </c>
      <c r="D800" s="346">
        <v>0.55700000000000005</v>
      </c>
      <c r="E800" s="286" t="s">
        <v>1131</v>
      </c>
      <c r="F800" s="343">
        <v>0.16800000000000001</v>
      </c>
      <c r="G800" s="286" t="s">
        <v>1204</v>
      </c>
      <c r="H800" s="343">
        <v>0.42399999999999999</v>
      </c>
      <c r="I800" s="286" t="s">
        <v>1205</v>
      </c>
      <c r="J800" s="349">
        <v>0.63500000000000001</v>
      </c>
    </row>
    <row r="801" spans="1:10">
      <c r="A801" s="350" t="s">
        <v>1128</v>
      </c>
      <c r="B801" s="345" t="s">
        <v>1332</v>
      </c>
      <c r="C801" s="286" t="s">
        <v>1203</v>
      </c>
      <c r="D801" s="346">
        <v>0.55700000000000005</v>
      </c>
      <c r="E801" s="286" t="s">
        <v>1135</v>
      </c>
      <c r="F801" s="343">
        <v>0.21</v>
      </c>
      <c r="G801" s="286" t="s">
        <v>1207</v>
      </c>
      <c r="H801" s="343">
        <v>0.51</v>
      </c>
      <c r="I801" s="286" t="s">
        <v>1208</v>
      </c>
      <c r="J801" s="349">
        <v>0.76500000000000001</v>
      </c>
    </row>
    <row r="802" spans="1:10">
      <c r="A802" s="350" t="s">
        <v>1128</v>
      </c>
      <c r="B802" s="345" t="s">
        <v>1333</v>
      </c>
      <c r="C802" s="286" t="s">
        <v>1203</v>
      </c>
      <c r="D802" s="346">
        <v>0.55700000000000005</v>
      </c>
      <c r="E802" s="286" t="s">
        <v>1139</v>
      </c>
      <c r="F802" s="343">
        <v>0.252</v>
      </c>
      <c r="G802" s="286" t="s">
        <v>1210</v>
      </c>
      <c r="H802" s="343">
        <v>0.59599999999999997</v>
      </c>
      <c r="I802" s="286" t="s">
        <v>1211</v>
      </c>
      <c r="J802" s="349">
        <v>0.89400000000000002</v>
      </c>
    </row>
    <row r="803" spans="1:10">
      <c r="A803" s="350" t="s">
        <v>1128</v>
      </c>
      <c r="B803" s="345" t="s">
        <v>1334</v>
      </c>
      <c r="C803" s="286" t="s">
        <v>1203</v>
      </c>
      <c r="D803" s="346">
        <v>0.55700000000000005</v>
      </c>
      <c r="E803" s="286" t="s">
        <v>1143</v>
      </c>
      <c r="F803" s="343">
        <v>0.29399999999999998</v>
      </c>
      <c r="G803" s="286" t="s">
        <v>1213</v>
      </c>
      <c r="H803" s="343">
        <v>0.68200000000000005</v>
      </c>
      <c r="I803" s="286" t="s">
        <v>1214</v>
      </c>
      <c r="J803" s="349">
        <v>1.0229999999999999</v>
      </c>
    </row>
    <row r="804" spans="1:10">
      <c r="A804" s="350" t="s">
        <v>1128</v>
      </c>
      <c r="B804" s="345" t="s">
        <v>1335</v>
      </c>
      <c r="C804" s="286" t="s">
        <v>1203</v>
      </c>
      <c r="D804" s="346">
        <v>0.55700000000000005</v>
      </c>
      <c r="E804" s="286" t="s">
        <v>1147</v>
      </c>
      <c r="F804" s="343">
        <v>0.379</v>
      </c>
      <c r="G804" s="286" t="s">
        <v>1216</v>
      </c>
      <c r="H804" s="343">
        <v>0.85399999999999998</v>
      </c>
      <c r="I804" s="286" t="s">
        <v>1217</v>
      </c>
      <c r="J804" s="349">
        <v>1.282</v>
      </c>
    </row>
    <row r="805" spans="1:10">
      <c r="A805" s="350" t="s">
        <v>1128</v>
      </c>
      <c r="B805" s="345" t="s">
        <v>1336</v>
      </c>
      <c r="C805" s="286" t="s">
        <v>1203</v>
      </c>
      <c r="D805" s="346">
        <v>0.55700000000000005</v>
      </c>
      <c r="E805" s="286" t="s">
        <v>1151</v>
      </c>
      <c r="F805" s="343">
        <v>0.42099999999999999</v>
      </c>
      <c r="G805" s="286" t="s">
        <v>1219</v>
      </c>
      <c r="H805" s="343">
        <v>0.94099999999999995</v>
      </c>
      <c r="I805" s="286" t="s">
        <v>1220</v>
      </c>
      <c r="J805" s="349">
        <v>1.411</v>
      </c>
    </row>
    <row r="806" spans="1:10">
      <c r="A806" s="350" t="s">
        <v>1128</v>
      </c>
      <c r="B806" s="345" t="s">
        <v>1337</v>
      </c>
      <c r="C806" s="286" t="s">
        <v>1203</v>
      </c>
      <c r="D806" s="346">
        <v>0.55700000000000005</v>
      </c>
      <c r="E806" s="286" t="s">
        <v>1155</v>
      </c>
      <c r="F806" s="343">
        <v>0.46300000000000002</v>
      </c>
      <c r="G806" s="286" t="s">
        <v>1222</v>
      </c>
      <c r="H806" s="343">
        <v>1.0269999999999999</v>
      </c>
      <c r="I806" s="286" t="s">
        <v>1223</v>
      </c>
      <c r="J806" s="349">
        <v>1.54</v>
      </c>
    </row>
    <row r="807" spans="1:10">
      <c r="A807" s="350" t="s">
        <v>1128</v>
      </c>
      <c r="B807" s="345" t="s">
        <v>1338</v>
      </c>
      <c r="C807" s="286" t="s">
        <v>1225</v>
      </c>
      <c r="D807" s="346">
        <v>0.58499999999999996</v>
      </c>
      <c r="E807" s="286" t="s">
        <v>1131</v>
      </c>
      <c r="F807" s="343">
        <v>0.16800000000000001</v>
      </c>
      <c r="G807" s="286" t="s">
        <v>1226</v>
      </c>
      <c r="H807" s="343">
        <v>0.44500000000000001</v>
      </c>
      <c r="I807" s="286" t="s">
        <v>1227</v>
      </c>
      <c r="J807" s="349">
        <v>0.66700000000000004</v>
      </c>
    </row>
    <row r="808" spans="1:10">
      <c r="A808" s="350" t="s">
        <v>1128</v>
      </c>
      <c r="B808" s="345" t="s">
        <v>1339</v>
      </c>
      <c r="C808" s="286" t="s">
        <v>1225</v>
      </c>
      <c r="D808" s="346">
        <v>0.58499999999999996</v>
      </c>
      <c r="E808" s="286" t="s">
        <v>1135</v>
      </c>
      <c r="F808" s="343">
        <v>0.21</v>
      </c>
      <c r="G808" s="286" t="s">
        <v>1229</v>
      </c>
      <c r="H808" s="343">
        <v>0.53500000000000003</v>
      </c>
      <c r="I808" s="286" t="s">
        <v>1230</v>
      </c>
      <c r="J808" s="349">
        <v>0.80300000000000005</v>
      </c>
    </row>
    <row r="809" spans="1:10">
      <c r="A809" s="350" t="s">
        <v>1128</v>
      </c>
      <c r="B809" s="345" t="s">
        <v>1340</v>
      </c>
      <c r="C809" s="286" t="s">
        <v>1225</v>
      </c>
      <c r="D809" s="346">
        <v>0.58499999999999996</v>
      </c>
      <c r="E809" s="286" t="s">
        <v>1139</v>
      </c>
      <c r="F809" s="343">
        <v>0.252</v>
      </c>
      <c r="G809" s="286" t="s">
        <v>1232</v>
      </c>
      <c r="H809" s="343">
        <v>0.626</v>
      </c>
      <c r="I809" s="286" t="s">
        <v>1233</v>
      </c>
      <c r="J809" s="349">
        <v>0.93899999999999995</v>
      </c>
    </row>
    <row r="810" spans="1:10">
      <c r="A810" s="350" t="s">
        <v>1128</v>
      </c>
      <c r="B810" s="345" t="s">
        <v>1341</v>
      </c>
      <c r="C810" s="286" t="s">
        <v>1225</v>
      </c>
      <c r="D810" s="346">
        <v>0.58499999999999996</v>
      </c>
      <c r="E810" s="286" t="s">
        <v>1143</v>
      </c>
      <c r="F810" s="343">
        <v>0.29399999999999998</v>
      </c>
      <c r="G810" s="286" t="s">
        <v>1235</v>
      </c>
      <c r="H810" s="343">
        <v>0.71599999999999997</v>
      </c>
      <c r="I810" s="286" t="s">
        <v>1236</v>
      </c>
      <c r="J810" s="349">
        <v>1.075</v>
      </c>
    </row>
    <row r="811" spans="1:10">
      <c r="A811" s="350" t="s">
        <v>1128</v>
      </c>
      <c r="B811" s="345" t="s">
        <v>1342</v>
      </c>
      <c r="C811" s="286" t="s">
        <v>1225</v>
      </c>
      <c r="D811" s="346">
        <v>0.58499999999999996</v>
      </c>
      <c r="E811" s="286" t="s">
        <v>1147</v>
      </c>
      <c r="F811" s="343">
        <v>0.379</v>
      </c>
      <c r="G811" s="286" t="s">
        <v>1238</v>
      </c>
      <c r="H811" s="343">
        <v>0.89700000000000002</v>
      </c>
      <c r="I811" s="286" t="s">
        <v>1239</v>
      </c>
      <c r="J811" s="349">
        <v>1.3460000000000001</v>
      </c>
    </row>
    <row r="812" spans="1:10">
      <c r="A812" s="350" t="s">
        <v>1128</v>
      </c>
      <c r="B812" s="345" t="s">
        <v>1343</v>
      </c>
      <c r="C812" s="286" t="s">
        <v>1225</v>
      </c>
      <c r="D812" s="346">
        <v>0.58499999999999996</v>
      </c>
      <c r="E812" s="286" t="s">
        <v>1151</v>
      </c>
      <c r="F812" s="343">
        <v>0.42099999999999999</v>
      </c>
      <c r="G812" s="286" t="s">
        <v>1241</v>
      </c>
      <c r="H812" s="343">
        <v>0.98799999999999999</v>
      </c>
      <c r="I812" s="286" t="s">
        <v>1242</v>
      </c>
      <c r="J812" s="349">
        <v>1.482</v>
      </c>
    </row>
    <row r="813" spans="1:10">
      <c r="A813" s="350" t="s">
        <v>1128</v>
      </c>
      <c r="B813" s="345" t="s">
        <v>1344</v>
      </c>
      <c r="C813" s="286" t="s">
        <v>1225</v>
      </c>
      <c r="D813" s="346">
        <v>0.58499999999999996</v>
      </c>
      <c r="E813" s="286" t="s">
        <v>1155</v>
      </c>
      <c r="F813" s="343">
        <v>0.46300000000000002</v>
      </c>
      <c r="G813" s="286" t="s">
        <v>1244</v>
      </c>
      <c r="H813" s="343">
        <v>1.0780000000000001</v>
      </c>
      <c r="I813" s="286" t="s">
        <v>1245</v>
      </c>
      <c r="J813" s="349">
        <v>1.6180000000000001</v>
      </c>
    </row>
    <row r="814" spans="1:10">
      <c r="A814" s="350" t="s">
        <v>1128</v>
      </c>
      <c r="B814" s="345" t="s">
        <v>1345</v>
      </c>
      <c r="C814" s="286" t="s">
        <v>1247</v>
      </c>
      <c r="D814" s="346"/>
      <c r="E814" s="286" t="s">
        <v>1248</v>
      </c>
      <c r="F814" s="343"/>
      <c r="G814" s="286" t="s">
        <v>1249</v>
      </c>
      <c r="H814" s="343"/>
      <c r="I814" s="286" t="s">
        <v>1250</v>
      </c>
      <c r="J814" s="349">
        <v>9.1999999999999998E-2</v>
      </c>
    </row>
    <row r="815" spans="1:10">
      <c r="A815" s="350" t="s">
        <v>1128</v>
      </c>
      <c r="B815" s="345" t="s">
        <v>1346</v>
      </c>
      <c r="C815" s="286" t="s">
        <v>1252</v>
      </c>
      <c r="D815" s="346"/>
      <c r="E815" s="286" t="s">
        <v>1347</v>
      </c>
      <c r="F815" s="343"/>
      <c r="G815" s="286" t="s">
        <v>1254</v>
      </c>
      <c r="H815" s="343">
        <v>2.8000000000000001E-2</v>
      </c>
      <c r="I815" s="286" t="s">
        <v>1255</v>
      </c>
      <c r="J815" s="349">
        <v>4.2000000000000003E-2</v>
      </c>
    </row>
    <row r="816" spans="1:10">
      <c r="A816" s="350" t="s">
        <v>1256</v>
      </c>
      <c r="B816" s="345" t="s">
        <v>1348</v>
      </c>
      <c r="C816" s="286" t="s">
        <v>1258</v>
      </c>
      <c r="D816" s="346">
        <v>0.71899999999999997</v>
      </c>
      <c r="E816" s="286" t="s">
        <v>1259</v>
      </c>
      <c r="F816" s="343">
        <v>0.24099999999999999</v>
      </c>
      <c r="G816" s="286" t="s">
        <v>1132</v>
      </c>
      <c r="H816" s="343">
        <v>0.38800000000000001</v>
      </c>
      <c r="I816" s="286" t="s">
        <v>1133</v>
      </c>
      <c r="J816" s="349">
        <v>0.57199999999999995</v>
      </c>
    </row>
    <row r="817" spans="1:10">
      <c r="A817" s="350" t="s">
        <v>1256</v>
      </c>
      <c r="B817" s="345" t="s">
        <v>1349</v>
      </c>
      <c r="C817" s="286" t="s">
        <v>1258</v>
      </c>
      <c r="D817" s="346">
        <v>0.71899999999999997</v>
      </c>
      <c r="E817" s="286" t="s">
        <v>1261</v>
      </c>
      <c r="F817" s="343">
        <v>0.30199999999999999</v>
      </c>
      <c r="G817" s="286" t="s">
        <v>1136</v>
      </c>
      <c r="H817" s="343">
        <v>0.45900000000000002</v>
      </c>
      <c r="I817" s="286" t="s">
        <v>1137</v>
      </c>
      <c r="J817" s="349">
        <v>0.68799999999999994</v>
      </c>
    </row>
    <row r="818" spans="1:10">
      <c r="A818" s="350" t="s">
        <v>1256</v>
      </c>
      <c r="B818" s="345" t="s">
        <v>1350</v>
      </c>
      <c r="C818" s="286" t="s">
        <v>1258</v>
      </c>
      <c r="D818" s="346">
        <v>0.71899999999999997</v>
      </c>
      <c r="E818" s="286" t="s">
        <v>1263</v>
      </c>
      <c r="F818" s="343">
        <v>0.36199999999999999</v>
      </c>
      <c r="G818" s="286" t="s">
        <v>1140</v>
      </c>
      <c r="H818" s="343">
        <v>0.53600000000000003</v>
      </c>
      <c r="I818" s="286" t="s">
        <v>1141</v>
      </c>
      <c r="J818" s="349">
        <v>0.80400000000000005</v>
      </c>
    </row>
    <row r="819" spans="1:10">
      <c r="A819" s="350" t="s">
        <v>1256</v>
      </c>
      <c r="B819" s="345" t="s">
        <v>1351</v>
      </c>
      <c r="C819" s="286" t="s">
        <v>1258</v>
      </c>
      <c r="D819" s="346">
        <v>0.71899999999999997</v>
      </c>
      <c r="E819" s="286" t="s">
        <v>1265</v>
      </c>
      <c r="F819" s="343">
        <v>0.42199999999999999</v>
      </c>
      <c r="G819" s="286" t="s">
        <v>1144</v>
      </c>
      <c r="H819" s="343">
        <v>0.61399999999999999</v>
      </c>
      <c r="I819" s="286" t="s">
        <v>1145</v>
      </c>
      <c r="J819" s="349">
        <v>0.92</v>
      </c>
    </row>
    <row r="820" spans="1:10">
      <c r="A820" s="350" t="s">
        <v>1256</v>
      </c>
      <c r="B820" s="345" t="s">
        <v>1352</v>
      </c>
      <c r="C820" s="286" t="s">
        <v>1258</v>
      </c>
      <c r="D820" s="346">
        <v>0.71899999999999997</v>
      </c>
      <c r="E820" s="286" t="s">
        <v>1267</v>
      </c>
      <c r="F820" s="343">
        <v>0.54300000000000004</v>
      </c>
      <c r="G820" s="286" t="s">
        <v>1148</v>
      </c>
      <c r="H820" s="343">
        <v>0.76900000000000002</v>
      </c>
      <c r="I820" s="286" t="s">
        <v>1149</v>
      </c>
      <c r="J820" s="349">
        <v>1.153</v>
      </c>
    </row>
    <row r="821" spans="1:10">
      <c r="A821" s="350" t="s">
        <v>1256</v>
      </c>
      <c r="B821" s="345" t="s">
        <v>1353</v>
      </c>
      <c r="C821" s="286" t="s">
        <v>1258</v>
      </c>
      <c r="D821" s="346">
        <v>0.71899999999999997</v>
      </c>
      <c r="E821" s="286" t="s">
        <v>1269</v>
      </c>
      <c r="F821" s="343">
        <v>0.60399999999999998</v>
      </c>
      <c r="G821" s="286" t="s">
        <v>1152</v>
      </c>
      <c r="H821" s="343">
        <v>0.84599999999999997</v>
      </c>
      <c r="I821" s="286" t="s">
        <v>1153</v>
      </c>
      <c r="J821" s="349">
        <v>1.2689999999999999</v>
      </c>
    </row>
    <row r="822" spans="1:10">
      <c r="A822" s="350" t="s">
        <v>1256</v>
      </c>
      <c r="B822" s="345" t="s">
        <v>1354</v>
      </c>
      <c r="C822" s="286" t="s">
        <v>1258</v>
      </c>
      <c r="D822" s="346">
        <v>0.71899999999999997</v>
      </c>
      <c r="E822" s="286" t="s">
        <v>1271</v>
      </c>
      <c r="F822" s="343">
        <v>0.66400000000000003</v>
      </c>
      <c r="G822" s="286" t="s">
        <v>1156</v>
      </c>
      <c r="H822" s="343">
        <v>0.92400000000000004</v>
      </c>
      <c r="I822" s="286" t="s">
        <v>1157</v>
      </c>
      <c r="J822" s="349">
        <v>1.385</v>
      </c>
    </row>
    <row r="823" spans="1:10">
      <c r="A823" s="350" t="s">
        <v>1256</v>
      </c>
      <c r="B823" s="345" t="s">
        <v>1355</v>
      </c>
      <c r="C823" s="286" t="s">
        <v>1273</v>
      </c>
      <c r="D823" s="346">
        <v>0.749</v>
      </c>
      <c r="E823" s="286" t="s">
        <v>1259</v>
      </c>
      <c r="F823" s="343">
        <v>0.24099999999999999</v>
      </c>
      <c r="G823" s="286" t="s">
        <v>1160</v>
      </c>
      <c r="H823" s="343">
        <v>0.39700000000000002</v>
      </c>
      <c r="I823" s="286" t="s">
        <v>1161</v>
      </c>
      <c r="J823" s="349">
        <v>0.59599999999999997</v>
      </c>
    </row>
    <row r="824" spans="1:10">
      <c r="A824" s="350" t="s">
        <v>1256</v>
      </c>
      <c r="B824" s="345" t="s">
        <v>1356</v>
      </c>
      <c r="C824" s="286" t="s">
        <v>1273</v>
      </c>
      <c r="D824" s="346">
        <v>0.749</v>
      </c>
      <c r="E824" s="286" t="s">
        <v>1261</v>
      </c>
      <c r="F824" s="343">
        <v>0.30199999999999999</v>
      </c>
      <c r="G824" s="286" t="s">
        <v>1163</v>
      </c>
      <c r="H824" s="343">
        <v>0.47799999999999998</v>
      </c>
      <c r="I824" s="286" t="s">
        <v>1164</v>
      </c>
      <c r="J824" s="349">
        <v>0.71699999999999997</v>
      </c>
    </row>
    <row r="825" spans="1:10">
      <c r="A825" s="350" t="s">
        <v>1256</v>
      </c>
      <c r="B825" s="345" t="s">
        <v>1357</v>
      </c>
      <c r="C825" s="286" t="s">
        <v>1273</v>
      </c>
      <c r="D825" s="346">
        <v>0.749</v>
      </c>
      <c r="E825" s="286" t="s">
        <v>1263</v>
      </c>
      <c r="F825" s="343">
        <v>0.36199999999999999</v>
      </c>
      <c r="G825" s="286" t="s">
        <v>1166</v>
      </c>
      <c r="H825" s="343">
        <v>0.55900000000000005</v>
      </c>
      <c r="I825" s="286" t="s">
        <v>1167</v>
      </c>
      <c r="J825" s="349">
        <v>0.83799999999999997</v>
      </c>
    </row>
    <row r="826" spans="1:10">
      <c r="A826" s="350" t="s">
        <v>1256</v>
      </c>
      <c r="B826" s="345" t="s">
        <v>1358</v>
      </c>
      <c r="C826" s="286" t="s">
        <v>1273</v>
      </c>
      <c r="D826" s="346">
        <v>0.749</v>
      </c>
      <c r="E826" s="286" t="s">
        <v>1265</v>
      </c>
      <c r="F826" s="343">
        <v>0.42199999999999999</v>
      </c>
      <c r="G826" s="286" t="s">
        <v>1169</v>
      </c>
      <c r="H826" s="343">
        <v>0.63900000000000001</v>
      </c>
      <c r="I826" s="286" t="s">
        <v>1170</v>
      </c>
      <c r="J826" s="349">
        <v>0.95899999999999996</v>
      </c>
    </row>
    <row r="827" spans="1:10">
      <c r="A827" s="350" t="s">
        <v>1256</v>
      </c>
      <c r="B827" s="345" t="s">
        <v>1359</v>
      </c>
      <c r="C827" s="286" t="s">
        <v>1273</v>
      </c>
      <c r="D827" s="346">
        <v>0.749</v>
      </c>
      <c r="E827" s="286" t="s">
        <v>1267</v>
      </c>
      <c r="F827" s="343">
        <v>0.54300000000000004</v>
      </c>
      <c r="G827" s="286" t="s">
        <v>1172</v>
      </c>
      <c r="H827" s="343">
        <v>0.80100000000000005</v>
      </c>
      <c r="I827" s="286" t="s">
        <v>1173</v>
      </c>
      <c r="J827" s="349">
        <v>1.2010000000000001</v>
      </c>
    </row>
    <row r="828" spans="1:10">
      <c r="A828" s="350" t="s">
        <v>1256</v>
      </c>
      <c r="B828" s="345" t="s">
        <v>1360</v>
      </c>
      <c r="C828" s="286" t="s">
        <v>1273</v>
      </c>
      <c r="D828" s="346">
        <v>0.749</v>
      </c>
      <c r="E828" s="286" t="s">
        <v>1269</v>
      </c>
      <c r="F828" s="343">
        <v>0.60399999999999998</v>
      </c>
      <c r="G828" s="286" t="s">
        <v>1175</v>
      </c>
      <c r="H828" s="343">
        <v>0.88200000000000001</v>
      </c>
      <c r="I828" s="286" t="s">
        <v>1176</v>
      </c>
      <c r="J828" s="349">
        <v>1.3220000000000001</v>
      </c>
    </row>
    <row r="829" spans="1:10">
      <c r="A829" s="350" t="s">
        <v>1256</v>
      </c>
      <c r="B829" s="345" t="s">
        <v>1361</v>
      </c>
      <c r="C829" s="286" t="s">
        <v>1273</v>
      </c>
      <c r="D829" s="346">
        <v>0.749</v>
      </c>
      <c r="E829" s="286" t="s">
        <v>1271</v>
      </c>
      <c r="F829" s="343">
        <v>0.66400000000000003</v>
      </c>
      <c r="G829" s="286" t="s">
        <v>1178</v>
      </c>
      <c r="H829" s="343">
        <v>0.96199999999999997</v>
      </c>
      <c r="I829" s="286" t="s">
        <v>1179</v>
      </c>
      <c r="J829" s="349">
        <v>1.4430000000000001</v>
      </c>
    </row>
    <row r="830" spans="1:10">
      <c r="A830" s="350" t="s">
        <v>1256</v>
      </c>
      <c r="B830" s="345" t="s">
        <v>1362</v>
      </c>
      <c r="C830" s="286" t="s">
        <v>1281</v>
      </c>
      <c r="D830" s="346">
        <v>0.78</v>
      </c>
      <c r="E830" s="286" t="s">
        <v>1259</v>
      </c>
      <c r="F830" s="343">
        <v>0.24099999999999999</v>
      </c>
      <c r="G830" s="286" t="s">
        <v>1182</v>
      </c>
      <c r="H830" s="343">
        <v>0.41299999999999998</v>
      </c>
      <c r="I830" s="286" t="s">
        <v>1183</v>
      </c>
      <c r="J830" s="349">
        <v>0.61899999999999999</v>
      </c>
    </row>
    <row r="831" spans="1:10">
      <c r="A831" s="350" t="s">
        <v>1256</v>
      </c>
      <c r="B831" s="345" t="s">
        <v>1363</v>
      </c>
      <c r="C831" s="286" t="s">
        <v>1281</v>
      </c>
      <c r="D831" s="346">
        <v>0.78</v>
      </c>
      <c r="E831" s="286" t="s">
        <v>1261</v>
      </c>
      <c r="F831" s="343">
        <v>0.30199999999999999</v>
      </c>
      <c r="G831" s="286" t="s">
        <v>1185</v>
      </c>
      <c r="H831" s="343">
        <v>0.497</v>
      </c>
      <c r="I831" s="286" t="s">
        <v>1186</v>
      </c>
      <c r="J831" s="349">
        <v>0.745</v>
      </c>
    </row>
    <row r="832" spans="1:10">
      <c r="A832" s="350" t="s">
        <v>1256</v>
      </c>
      <c r="B832" s="345" t="s">
        <v>1364</v>
      </c>
      <c r="C832" s="286" t="s">
        <v>1281</v>
      </c>
      <c r="D832" s="346">
        <v>0.78</v>
      </c>
      <c r="E832" s="286" t="s">
        <v>1263</v>
      </c>
      <c r="F832" s="343">
        <v>0.36199999999999999</v>
      </c>
      <c r="G832" s="286" t="s">
        <v>1188</v>
      </c>
      <c r="H832" s="343">
        <v>0.58099999999999996</v>
      </c>
      <c r="I832" s="286" t="s">
        <v>1189</v>
      </c>
      <c r="J832" s="349">
        <v>0.871</v>
      </c>
    </row>
    <row r="833" spans="1:10">
      <c r="A833" s="350" t="s">
        <v>1256</v>
      </c>
      <c r="B833" s="345" t="s">
        <v>1365</v>
      </c>
      <c r="C833" s="286" t="s">
        <v>1281</v>
      </c>
      <c r="D833" s="346">
        <v>0.78</v>
      </c>
      <c r="E833" s="286" t="s">
        <v>1265</v>
      </c>
      <c r="F833" s="343">
        <v>0.42199999999999999</v>
      </c>
      <c r="G833" s="286" t="s">
        <v>1191</v>
      </c>
      <c r="H833" s="343">
        <v>0.66500000000000004</v>
      </c>
      <c r="I833" s="286" t="s">
        <v>1192</v>
      </c>
      <c r="J833" s="349">
        <v>0.997</v>
      </c>
    </row>
    <row r="834" spans="1:10">
      <c r="A834" s="350" t="s">
        <v>1256</v>
      </c>
      <c r="B834" s="345" t="s">
        <v>1366</v>
      </c>
      <c r="C834" s="286" t="s">
        <v>1281</v>
      </c>
      <c r="D834" s="346">
        <v>0.78</v>
      </c>
      <c r="E834" s="286" t="s">
        <v>1267</v>
      </c>
      <c r="F834" s="343">
        <v>0.54300000000000004</v>
      </c>
      <c r="G834" s="286" t="s">
        <v>1194</v>
      </c>
      <c r="H834" s="343">
        <v>0.83299999999999996</v>
      </c>
      <c r="I834" s="286" t="s">
        <v>1195</v>
      </c>
      <c r="J834" s="349">
        <v>1.2490000000000001</v>
      </c>
    </row>
    <row r="835" spans="1:10">
      <c r="A835" s="350" t="s">
        <v>1256</v>
      </c>
      <c r="B835" s="345" t="s">
        <v>1367</v>
      </c>
      <c r="C835" s="286" t="s">
        <v>1281</v>
      </c>
      <c r="D835" s="346">
        <v>0.78</v>
      </c>
      <c r="E835" s="286" t="s">
        <v>1269</v>
      </c>
      <c r="F835" s="343">
        <v>0.60399999999999998</v>
      </c>
      <c r="G835" s="286" t="s">
        <v>1197</v>
      </c>
      <c r="H835" s="343">
        <v>0.91700000000000004</v>
      </c>
      <c r="I835" s="286" t="s">
        <v>1198</v>
      </c>
      <c r="J835" s="349">
        <v>1.375</v>
      </c>
    </row>
    <row r="836" spans="1:10">
      <c r="A836" s="350" t="s">
        <v>1256</v>
      </c>
      <c r="B836" s="345" t="s">
        <v>1368</v>
      </c>
      <c r="C836" s="286" t="s">
        <v>1281</v>
      </c>
      <c r="D836" s="346">
        <v>0.78</v>
      </c>
      <c r="E836" s="286" t="s">
        <v>1271</v>
      </c>
      <c r="F836" s="343">
        <v>0.66400000000000003</v>
      </c>
      <c r="G836" s="286" t="s">
        <v>1200</v>
      </c>
      <c r="H836" s="343">
        <v>1.0009999999999999</v>
      </c>
      <c r="I836" s="286" t="s">
        <v>1201</v>
      </c>
      <c r="J836" s="349">
        <v>1.5009999999999999</v>
      </c>
    </row>
    <row r="837" spans="1:10">
      <c r="A837" s="350" t="s">
        <v>1256</v>
      </c>
      <c r="B837" s="345" t="s">
        <v>1369</v>
      </c>
      <c r="C837" s="286" t="s">
        <v>1289</v>
      </c>
      <c r="D837" s="346">
        <v>0.8</v>
      </c>
      <c r="E837" s="286" t="s">
        <v>1259</v>
      </c>
      <c r="F837" s="343">
        <v>0.24099999999999999</v>
      </c>
      <c r="G837" s="286" t="s">
        <v>1204</v>
      </c>
      <c r="H837" s="343">
        <v>0.42399999999999999</v>
      </c>
      <c r="I837" s="286" t="s">
        <v>1205</v>
      </c>
      <c r="J837" s="349">
        <v>0.63500000000000001</v>
      </c>
    </row>
    <row r="838" spans="1:10">
      <c r="A838" s="350" t="s">
        <v>1256</v>
      </c>
      <c r="B838" s="345" t="s">
        <v>1370</v>
      </c>
      <c r="C838" s="286" t="s">
        <v>1289</v>
      </c>
      <c r="D838" s="346">
        <v>0.8</v>
      </c>
      <c r="E838" s="286" t="s">
        <v>1261</v>
      </c>
      <c r="F838" s="343">
        <v>0.30199999999999999</v>
      </c>
      <c r="G838" s="286" t="s">
        <v>1207</v>
      </c>
      <c r="H838" s="343">
        <v>0.51</v>
      </c>
      <c r="I838" s="286" t="s">
        <v>1208</v>
      </c>
      <c r="J838" s="349">
        <v>0.76500000000000001</v>
      </c>
    </row>
    <row r="839" spans="1:10">
      <c r="A839" s="350" t="s">
        <v>1256</v>
      </c>
      <c r="B839" s="345" t="s">
        <v>1371</v>
      </c>
      <c r="C839" s="286" t="s">
        <v>1289</v>
      </c>
      <c r="D839" s="346">
        <v>0.8</v>
      </c>
      <c r="E839" s="286" t="s">
        <v>1263</v>
      </c>
      <c r="F839" s="343">
        <v>0.36199999999999999</v>
      </c>
      <c r="G839" s="286" t="s">
        <v>1210</v>
      </c>
      <c r="H839" s="343">
        <v>0.59599999999999997</v>
      </c>
      <c r="I839" s="286" t="s">
        <v>1211</v>
      </c>
      <c r="J839" s="349">
        <v>0.89400000000000002</v>
      </c>
    </row>
    <row r="840" spans="1:10">
      <c r="A840" s="350" t="s">
        <v>1256</v>
      </c>
      <c r="B840" s="345" t="s">
        <v>1372</v>
      </c>
      <c r="C840" s="286" t="s">
        <v>1289</v>
      </c>
      <c r="D840" s="346">
        <v>0.8</v>
      </c>
      <c r="E840" s="286" t="s">
        <v>1265</v>
      </c>
      <c r="F840" s="343">
        <v>0.42199999999999999</v>
      </c>
      <c r="G840" s="286" t="s">
        <v>1213</v>
      </c>
      <c r="H840" s="343">
        <v>0.68200000000000005</v>
      </c>
      <c r="I840" s="286" t="s">
        <v>1214</v>
      </c>
      <c r="J840" s="349">
        <v>1.0229999999999999</v>
      </c>
    </row>
    <row r="841" spans="1:10">
      <c r="A841" s="350" t="s">
        <v>1256</v>
      </c>
      <c r="B841" s="345" t="s">
        <v>1373</v>
      </c>
      <c r="C841" s="286" t="s">
        <v>1289</v>
      </c>
      <c r="D841" s="346">
        <v>0.8</v>
      </c>
      <c r="E841" s="286" t="s">
        <v>1267</v>
      </c>
      <c r="F841" s="343">
        <v>0.54300000000000004</v>
      </c>
      <c r="G841" s="286" t="s">
        <v>1216</v>
      </c>
      <c r="H841" s="343">
        <v>0.85399999999999998</v>
      </c>
      <c r="I841" s="286" t="s">
        <v>1217</v>
      </c>
      <c r="J841" s="349">
        <v>1.282</v>
      </c>
    </row>
    <row r="842" spans="1:10">
      <c r="A842" s="350" t="s">
        <v>1256</v>
      </c>
      <c r="B842" s="345" t="s">
        <v>1374</v>
      </c>
      <c r="C842" s="286" t="s">
        <v>1289</v>
      </c>
      <c r="D842" s="346">
        <v>0.8</v>
      </c>
      <c r="E842" s="286" t="s">
        <v>1269</v>
      </c>
      <c r="F842" s="343">
        <v>0.60399999999999998</v>
      </c>
      <c r="G842" s="286" t="s">
        <v>1219</v>
      </c>
      <c r="H842" s="343">
        <v>0.94099999999999995</v>
      </c>
      <c r="I842" s="286" t="s">
        <v>1220</v>
      </c>
      <c r="J842" s="349">
        <v>1.411</v>
      </c>
    </row>
    <row r="843" spans="1:10">
      <c r="A843" s="350" t="s">
        <v>1256</v>
      </c>
      <c r="B843" s="345" t="s">
        <v>1375</v>
      </c>
      <c r="C843" s="286" t="s">
        <v>1289</v>
      </c>
      <c r="D843" s="346">
        <v>0.8</v>
      </c>
      <c r="E843" s="286" t="s">
        <v>1271</v>
      </c>
      <c r="F843" s="343">
        <v>0.66400000000000003</v>
      </c>
      <c r="G843" s="286" t="s">
        <v>1222</v>
      </c>
      <c r="H843" s="343">
        <v>1.0269999999999999</v>
      </c>
      <c r="I843" s="286" t="s">
        <v>1223</v>
      </c>
      <c r="J843" s="349">
        <v>1.54</v>
      </c>
    </row>
    <row r="844" spans="1:10">
      <c r="A844" s="350" t="s">
        <v>1256</v>
      </c>
      <c r="B844" s="345" t="s">
        <v>1376</v>
      </c>
      <c r="C844" s="286" t="s">
        <v>1297</v>
      </c>
      <c r="D844" s="346">
        <v>0.84</v>
      </c>
      <c r="E844" s="286" t="s">
        <v>1259</v>
      </c>
      <c r="F844" s="343">
        <v>0.24099999999999999</v>
      </c>
      <c r="G844" s="286" t="s">
        <v>1226</v>
      </c>
      <c r="H844" s="343">
        <v>0.44500000000000001</v>
      </c>
      <c r="I844" s="286" t="s">
        <v>1227</v>
      </c>
      <c r="J844" s="349">
        <v>0.66700000000000004</v>
      </c>
    </row>
    <row r="845" spans="1:10">
      <c r="A845" s="350" t="s">
        <v>1256</v>
      </c>
      <c r="B845" s="345" t="s">
        <v>1377</v>
      </c>
      <c r="C845" s="286" t="s">
        <v>1297</v>
      </c>
      <c r="D845" s="346">
        <v>0.84</v>
      </c>
      <c r="E845" s="286" t="s">
        <v>1261</v>
      </c>
      <c r="F845" s="343">
        <v>0.30199999999999999</v>
      </c>
      <c r="G845" s="286" t="s">
        <v>1229</v>
      </c>
      <c r="H845" s="343">
        <v>0.53500000000000003</v>
      </c>
      <c r="I845" s="286" t="s">
        <v>1230</v>
      </c>
      <c r="J845" s="349">
        <v>0.80300000000000005</v>
      </c>
    </row>
    <row r="846" spans="1:10">
      <c r="A846" s="350" t="s">
        <v>1256</v>
      </c>
      <c r="B846" s="345" t="s">
        <v>1378</v>
      </c>
      <c r="C846" s="286" t="s">
        <v>1297</v>
      </c>
      <c r="D846" s="346">
        <v>0.84</v>
      </c>
      <c r="E846" s="286" t="s">
        <v>1263</v>
      </c>
      <c r="F846" s="343">
        <v>0.36199999999999999</v>
      </c>
      <c r="G846" s="286" t="s">
        <v>1232</v>
      </c>
      <c r="H846" s="343">
        <v>0.626</v>
      </c>
      <c r="I846" s="286" t="s">
        <v>1233</v>
      </c>
      <c r="J846" s="349">
        <v>0.93899999999999995</v>
      </c>
    </row>
    <row r="847" spans="1:10">
      <c r="A847" s="350" t="s">
        <v>1256</v>
      </c>
      <c r="B847" s="345" t="s">
        <v>1379</v>
      </c>
      <c r="C847" s="286" t="s">
        <v>1297</v>
      </c>
      <c r="D847" s="346">
        <v>0.84</v>
      </c>
      <c r="E847" s="286" t="s">
        <v>1265</v>
      </c>
      <c r="F847" s="343">
        <v>0.42199999999999999</v>
      </c>
      <c r="G847" s="286" t="s">
        <v>1235</v>
      </c>
      <c r="H847" s="343">
        <v>0.71599999999999997</v>
      </c>
      <c r="I847" s="286" t="s">
        <v>1236</v>
      </c>
      <c r="J847" s="349">
        <v>1.075</v>
      </c>
    </row>
    <row r="848" spans="1:10">
      <c r="A848" s="350" t="s">
        <v>1256</v>
      </c>
      <c r="B848" s="345" t="s">
        <v>1380</v>
      </c>
      <c r="C848" s="286" t="s">
        <v>1297</v>
      </c>
      <c r="D848" s="346">
        <v>0.84</v>
      </c>
      <c r="E848" s="286" t="s">
        <v>1267</v>
      </c>
      <c r="F848" s="343">
        <v>0.54300000000000004</v>
      </c>
      <c r="G848" s="286" t="s">
        <v>1238</v>
      </c>
      <c r="H848" s="343">
        <v>0.89700000000000002</v>
      </c>
      <c r="I848" s="286" t="s">
        <v>1239</v>
      </c>
      <c r="J848" s="349">
        <v>1.3460000000000001</v>
      </c>
    </row>
    <row r="849" spans="1:10">
      <c r="A849" s="350" t="s">
        <v>1256</v>
      </c>
      <c r="B849" s="345" t="s">
        <v>1381</v>
      </c>
      <c r="C849" s="286" t="s">
        <v>1297</v>
      </c>
      <c r="D849" s="346">
        <v>0.84</v>
      </c>
      <c r="E849" s="286" t="s">
        <v>1269</v>
      </c>
      <c r="F849" s="343">
        <v>0.60399999999999998</v>
      </c>
      <c r="G849" s="286" t="s">
        <v>1241</v>
      </c>
      <c r="H849" s="343">
        <v>0.98799999999999999</v>
      </c>
      <c r="I849" s="286" t="s">
        <v>1242</v>
      </c>
      <c r="J849" s="349">
        <v>1.482</v>
      </c>
    </row>
    <row r="850" spans="1:10">
      <c r="A850" s="350" t="s">
        <v>1256</v>
      </c>
      <c r="B850" s="345" t="s">
        <v>1382</v>
      </c>
      <c r="C850" s="286" t="s">
        <v>1297</v>
      </c>
      <c r="D850" s="346">
        <v>0.84</v>
      </c>
      <c r="E850" s="286" t="s">
        <v>1271</v>
      </c>
      <c r="F850" s="343">
        <v>0.66400000000000003</v>
      </c>
      <c r="G850" s="286" t="s">
        <v>1244</v>
      </c>
      <c r="H850" s="343">
        <v>1.0780000000000001</v>
      </c>
      <c r="I850" s="286" t="s">
        <v>1245</v>
      </c>
      <c r="J850" s="349">
        <v>1.6180000000000001</v>
      </c>
    </row>
    <row r="851" spans="1:10">
      <c r="A851" s="350" t="s">
        <v>1256</v>
      </c>
      <c r="B851" s="345" t="s">
        <v>1383</v>
      </c>
      <c r="C851" s="286" t="s">
        <v>1384</v>
      </c>
      <c r="D851" s="351">
        <v>0.19600000000000001</v>
      </c>
      <c r="E851" s="286" t="s">
        <v>1306</v>
      </c>
      <c r="F851" s="352">
        <v>0.121</v>
      </c>
      <c r="G851" s="286" t="s">
        <v>1249</v>
      </c>
      <c r="H851" s="352">
        <v>6.2E-2</v>
      </c>
      <c r="I851" s="286" t="s">
        <v>1250</v>
      </c>
      <c r="J851" s="349">
        <v>9.1999999999999998E-2</v>
      </c>
    </row>
    <row r="852" spans="1:10">
      <c r="A852" s="353" t="s">
        <v>1256</v>
      </c>
      <c r="B852" s="354" t="s">
        <v>1385</v>
      </c>
      <c r="C852" s="355" t="s">
        <v>1308</v>
      </c>
      <c r="D852" s="351">
        <v>0.126</v>
      </c>
      <c r="E852" s="355" t="s">
        <v>1309</v>
      </c>
      <c r="F852" s="352">
        <v>7.0000000000000007E-2</v>
      </c>
      <c r="G852" s="355" t="s">
        <v>1254</v>
      </c>
      <c r="H852" s="352">
        <v>2.8000000000000001E-2</v>
      </c>
      <c r="I852" s="355" t="s">
        <v>1255</v>
      </c>
      <c r="J852" s="349">
        <v>4.2000000000000003E-2</v>
      </c>
    </row>
    <row r="853" spans="1:10" ht="15">
      <c r="F853" s="15"/>
      <c r="H853" s="15"/>
      <c r="J853" s="15"/>
    </row>
    <row r="854" spans="1:10" ht="15">
      <c r="F854" s="15"/>
      <c r="H854" s="15"/>
      <c r="J854" s="15"/>
    </row>
    <row r="855" spans="1:10" ht="15">
      <c r="F855" s="15"/>
      <c r="H855" s="15"/>
      <c r="J855" s="15"/>
    </row>
    <row r="856" spans="1:10" ht="15">
      <c r="F856" s="15"/>
      <c r="H856" s="15"/>
      <c r="J856" s="15"/>
    </row>
    <row r="857" spans="1:10" ht="15">
      <c r="F857" s="15"/>
      <c r="H857" s="15"/>
      <c r="J857" s="15"/>
    </row>
    <row r="858" spans="1:10" ht="15">
      <c r="F858" s="15"/>
      <c r="H858" s="15"/>
      <c r="J858" s="15"/>
    </row>
    <row r="859" spans="1:10" ht="15">
      <c r="F859" s="15"/>
      <c r="H859" s="15"/>
      <c r="J859" s="15"/>
    </row>
    <row r="860" spans="1:10" ht="15">
      <c r="F860" s="15"/>
      <c r="H860" s="15"/>
      <c r="J860" s="15"/>
    </row>
    <row r="861" spans="1:10" ht="15">
      <c r="F861" s="15"/>
      <c r="H861" s="15"/>
      <c r="J861" s="15"/>
    </row>
    <row r="862" spans="1:10" ht="15">
      <c r="F862" s="15"/>
      <c r="H862" s="15"/>
      <c r="J862" s="15"/>
    </row>
    <row r="863" spans="1:10" ht="15">
      <c r="F863" s="15"/>
      <c r="H863" s="15"/>
      <c r="J863" s="15"/>
    </row>
    <row r="864" spans="1:10" ht="15">
      <c r="F864" s="15"/>
      <c r="H864" s="15"/>
      <c r="J864" s="15"/>
    </row>
    <row r="865" spans="6:10" ht="15">
      <c r="F865" s="15"/>
      <c r="H865" s="15"/>
      <c r="J865" s="15"/>
    </row>
    <row r="866" spans="6:10" ht="15">
      <c r="F866" s="15"/>
      <c r="H866" s="15"/>
      <c r="J866" s="15"/>
    </row>
    <row r="867" spans="6:10" ht="15">
      <c r="F867" s="15"/>
      <c r="H867" s="15"/>
      <c r="J867" s="15"/>
    </row>
    <row r="868" spans="6:10" ht="15">
      <c r="F868" s="15"/>
      <c r="H868" s="15"/>
      <c r="J868" s="15"/>
    </row>
    <row r="869" spans="6:10" ht="15">
      <c r="F869" s="15"/>
      <c r="H869" s="15"/>
      <c r="J869" s="15"/>
    </row>
    <row r="870" spans="6:10" ht="15">
      <c r="F870" s="15"/>
      <c r="H870" s="15"/>
      <c r="J870" s="15"/>
    </row>
    <row r="871" spans="6:10" ht="15">
      <c r="F871" s="15"/>
      <c r="H871" s="15"/>
      <c r="J871" s="15"/>
    </row>
    <row r="872" spans="6:10" ht="15">
      <c r="F872" s="15"/>
      <c r="H872" s="15"/>
      <c r="J872" s="15"/>
    </row>
    <row r="873" spans="6:10" ht="15">
      <c r="F873" s="15"/>
      <c r="H873" s="15"/>
      <c r="J873" s="15"/>
    </row>
    <row r="874" spans="6:10" ht="15">
      <c r="F874" s="15"/>
      <c r="H874" s="15"/>
      <c r="J874" s="15"/>
    </row>
    <row r="875" spans="6:10" ht="15">
      <c r="F875" s="15"/>
      <c r="H875" s="15"/>
      <c r="J875" s="15"/>
    </row>
    <row r="876" spans="6:10" ht="15">
      <c r="F876" s="15"/>
      <c r="H876" s="15"/>
      <c r="J876" s="15"/>
    </row>
    <row r="877" spans="6:10" ht="15">
      <c r="F877" s="15"/>
      <c r="H877" s="15"/>
      <c r="J877" s="15"/>
    </row>
    <row r="878" spans="6:10" ht="15">
      <c r="F878" s="15"/>
      <c r="H878" s="15"/>
      <c r="J878" s="15"/>
    </row>
    <row r="879" spans="6:10" ht="15">
      <c r="F879" s="15"/>
      <c r="H879" s="15"/>
      <c r="J879" s="15"/>
    </row>
    <row r="880" spans="6:10" ht="15">
      <c r="F880" s="15"/>
      <c r="H880" s="15"/>
      <c r="J880" s="15"/>
    </row>
    <row r="881" spans="6:10" ht="15">
      <c r="F881" s="15"/>
      <c r="H881" s="15"/>
      <c r="J881" s="15"/>
    </row>
    <row r="882" spans="6:10" ht="15">
      <c r="F882" s="15"/>
      <c r="H882" s="15"/>
      <c r="J882" s="15"/>
    </row>
    <row r="883" spans="6:10" ht="15">
      <c r="F883" s="15"/>
      <c r="H883" s="15"/>
      <c r="J883" s="15"/>
    </row>
    <row r="884" spans="6:10" ht="15">
      <c r="F884" s="15"/>
      <c r="H884" s="15"/>
      <c r="J884" s="15"/>
    </row>
    <row r="885" spans="6:10" ht="15">
      <c r="F885" s="15"/>
      <c r="H885" s="15"/>
      <c r="J885" s="15"/>
    </row>
    <row r="886" spans="6:10" ht="15">
      <c r="F886" s="15"/>
      <c r="H886" s="15"/>
      <c r="J886" s="15"/>
    </row>
    <row r="887" spans="6:10" ht="15">
      <c r="F887" s="15"/>
      <c r="H887" s="15"/>
      <c r="J887" s="15"/>
    </row>
    <row r="888" spans="6:10" ht="15">
      <c r="F888" s="15"/>
      <c r="H888" s="15"/>
      <c r="J888" s="15"/>
    </row>
    <row r="889" spans="6:10" ht="15">
      <c r="F889" s="15"/>
      <c r="H889" s="15"/>
      <c r="J889" s="15"/>
    </row>
    <row r="890" spans="6:10" ht="15">
      <c r="F890" s="15"/>
      <c r="H890" s="15"/>
      <c r="J890" s="15"/>
    </row>
    <row r="891" spans="6:10" ht="15">
      <c r="F891" s="15"/>
      <c r="H891" s="15"/>
      <c r="J891" s="15"/>
    </row>
    <row r="892" spans="6:10" ht="15">
      <c r="F892" s="15"/>
      <c r="H892" s="15"/>
      <c r="J892" s="15"/>
    </row>
    <row r="893" spans="6:10" ht="15">
      <c r="F893" s="15"/>
      <c r="H893" s="15"/>
      <c r="J893" s="15"/>
    </row>
    <row r="894" spans="6:10" ht="15">
      <c r="F894" s="15"/>
      <c r="H894" s="15"/>
      <c r="J894" s="15"/>
    </row>
    <row r="895" spans="6:10" ht="15">
      <c r="F895" s="15"/>
      <c r="H895" s="15"/>
      <c r="J895" s="15"/>
    </row>
    <row r="896" spans="6:10" ht="15">
      <c r="F896" s="15"/>
      <c r="H896" s="15"/>
      <c r="J896" s="15"/>
    </row>
    <row r="897" spans="6:10" ht="15">
      <c r="F897" s="15"/>
      <c r="H897" s="15"/>
      <c r="J897" s="15"/>
    </row>
    <row r="898" spans="6:10" ht="15">
      <c r="F898" s="15"/>
      <c r="H898" s="15"/>
      <c r="J898" s="15"/>
    </row>
    <row r="899" spans="6:10" ht="15">
      <c r="F899" s="15"/>
      <c r="H899" s="15"/>
      <c r="J899" s="15"/>
    </row>
    <row r="900" spans="6:10" ht="15">
      <c r="F900" s="15"/>
      <c r="H900" s="15"/>
      <c r="J900" s="15"/>
    </row>
    <row r="901" spans="6:10" ht="15">
      <c r="F901" s="15"/>
      <c r="H901" s="15"/>
      <c r="J901" s="15"/>
    </row>
    <row r="902" spans="6:10" ht="15">
      <c r="F902" s="15"/>
      <c r="H902" s="15"/>
      <c r="J902" s="15"/>
    </row>
    <row r="903" spans="6:10" ht="15">
      <c r="F903" s="15"/>
      <c r="H903" s="15"/>
      <c r="J903" s="15"/>
    </row>
    <row r="904" spans="6:10" ht="15">
      <c r="F904" s="15"/>
      <c r="H904" s="15"/>
      <c r="J904" s="15"/>
    </row>
    <row r="905" spans="6:10" ht="15">
      <c r="F905" s="15"/>
      <c r="H905" s="15"/>
      <c r="J905" s="15"/>
    </row>
    <row r="906" spans="6:10" ht="15">
      <c r="F906" s="15"/>
      <c r="H906" s="15"/>
      <c r="J906" s="15"/>
    </row>
    <row r="907" spans="6:10" ht="15">
      <c r="F907" s="15"/>
      <c r="H907" s="15"/>
      <c r="J907" s="15"/>
    </row>
    <row r="908" spans="6:10" ht="15">
      <c r="F908" s="15"/>
      <c r="H908" s="15"/>
      <c r="J908" s="15"/>
    </row>
    <row r="909" spans="6:10" ht="15">
      <c r="F909" s="15"/>
      <c r="H909" s="15"/>
      <c r="J909" s="15"/>
    </row>
    <row r="910" spans="6:10" ht="15">
      <c r="F910" s="15"/>
      <c r="H910" s="15"/>
      <c r="J910" s="15"/>
    </row>
    <row r="911" spans="6:10" ht="15">
      <c r="F911" s="15"/>
      <c r="H911" s="15"/>
      <c r="J911" s="15"/>
    </row>
    <row r="912" spans="6:10" ht="15">
      <c r="F912" s="15"/>
      <c r="H912" s="15"/>
      <c r="J912" s="15"/>
    </row>
    <row r="913" spans="6:10" ht="15">
      <c r="F913" s="15"/>
      <c r="H913" s="15"/>
      <c r="J913" s="15"/>
    </row>
    <row r="914" spans="6:10" ht="15">
      <c r="F914" s="15"/>
      <c r="H914" s="15"/>
      <c r="J914" s="15"/>
    </row>
    <row r="915" spans="6:10" ht="15">
      <c r="F915" s="15"/>
      <c r="H915" s="15"/>
      <c r="J915" s="15"/>
    </row>
    <row r="916" spans="6:10" ht="15">
      <c r="F916" s="15"/>
      <c r="H916" s="15"/>
      <c r="J916" s="15"/>
    </row>
    <row r="917" spans="6:10" ht="15">
      <c r="F917" s="15"/>
      <c r="H917" s="15"/>
      <c r="J917" s="15"/>
    </row>
    <row r="918" spans="6:10" ht="15">
      <c r="F918" s="15"/>
      <c r="H918" s="15"/>
      <c r="J918" s="15"/>
    </row>
    <row r="919" spans="6:10" ht="15">
      <c r="F919" s="15"/>
      <c r="H919" s="15"/>
      <c r="J919" s="15"/>
    </row>
    <row r="920" spans="6:10" ht="15">
      <c r="F920" s="15"/>
      <c r="H920" s="15"/>
      <c r="J920" s="15"/>
    </row>
    <row r="921" spans="6:10" ht="15">
      <c r="F921" s="15"/>
      <c r="H921" s="15"/>
      <c r="J921" s="15"/>
    </row>
    <row r="922" spans="6:10" ht="15">
      <c r="F922" s="15"/>
      <c r="H922" s="15"/>
      <c r="J922" s="15"/>
    </row>
    <row r="923" spans="6:10" ht="15">
      <c r="F923" s="15"/>
      <c r="H923" s="15"/>
      <c r="J923" s="15"/>
    </row>
    <row r="924" spans="6:10" ht="15">
      <c r="F924" s="15"/>
      <c r="H924" s="15"/>
      <c r="J924" s="15"/>
    </row>
    <row r="925" spans="6:10" ht="15">
      <c r="F925" s="15"/>
      <c r="H925" s="15"/>
      <c r="J925" s="15"/>
    </row>
    <row r="926" spans="6:10" ht="15">
      <c r="F926" s="15"/>
      <c r="H926" s="15"/>
      <c r="J926" s="15"/>
    </row>
    <row r="927" spans="6:10" ht="15">
      <c r="F927" s="15"/>
      <c r="H927" s="15"/>
      <c r="J927" s="15"/>
    </row>
    <row r="928" spans="6:10" ht="15">
      <c r="F928" s="15"/>
      <c r="H928" s="15"/>
      <c r="J928" s="15"/>
    </row>
    <row r="929" spans="6:10" ht="15">
      <c r="F929" s="15"/>
      <c r="H929" s="15"/>
      <c r="J929" s="15"/>
    </row>
    <row r="930" spans="6:10" ht="15">
      <c r="F930" s="15"/>
      <c r="H930" s="15"/>
      <c r="J930" s="15"/>
    </row>
    <row r="931" spans="6:10" ht="15">
      <c r="F931" s="15"/>
      <c r="H931" s="15"/>
      <c r="J931" s="15"/>
    </row>
    <row r="932" spans="6:10" ht="15">
      <c r="F932" s="15"/>
      <c r="H932" s="15"/>
      <c r="J932" s="15"/>
    </row>
    <row r="933" spans="6:10" ht="15">
      <c r="F933" s="15"/>
      <c r="H933" s="15"/>
      <c r="J933" s="15"/>
    </row>
    <row r="934" spans="6:10" ht="15">
      <c r="F934" s="15"/>
      <c r="H934" s="15"/>
      <c r="J934" s="15"/>
    </row>
    <row r="935" spans="6:10" ht="15">
      <c r="F935" s="15"/>
      <c r="H935" s="15"/>
      <c r="J935" s="15"/>
    </row>
    <row r="936" spans="6:10" ht="15">
      <c r="F936" s="15"/>
      <c r="H936" s="15"/>
      <c r="J936" s="15"/>
    </row>
    <row r="937" spans="6:10" ht="15">
      <c r="F937" s="15"/>
      <c r="H937" s="15"/>
      <c r="J937" s="15"/>
    </row>
    <row r="938" spans="6:10" ht="15">
      <c r="F938" s="15"/>
      <c r="H938" s="15"/>
      <c r="J938" s="15"/>
    </row>
    <row r="939" spans="6:10" ht="15">
      <c r="F939" s="15"/>
      <c r="H939" s="15"/>
      <c r="J939" s="15"/>
    </row>
    <row r="940" spans="6:10" ht="15">
      <c r="F940" s="15"/>
      <c r="H940" s="15"/>
      <c r="J940" s="15"/>
    </row>
    <row r="941" spans="6:10" ht="15">
      <c r="F941" s="15"/>
      <c r="H941" s="15"/>
      <c r="J941" s="15"/>
    </row>
    <row r="942" spans="6:10" ht="15">
      <c r="F942" s="15"/>
      <c r="H942" s="15"/>
      <c r="J942" s="15"/>
    </row>
    <row r="943" spans="6:10" ht="15">
      <c r="F943" s="15"/>
      <c r="H943" s="15"/>
      <c r="J943" s="15"/>
    </row>
    <row r="944" spans="6:10" ht="15">
      <c r="F944" s="15"/>
      <c r="H944" s="15"/>
      <c r="J944" s="15"/>
    </row>
    <row r="945" spans="6:10" ht="15">
      <c r="F945" s="15"/>
      <c r="H945" s="15"/>
      <c r="J945" s="15"/>
    </row>
    <row r="946" spans="6:10" ht="15">
      <c r="F946" s="15"/>
      <c r="H946" s="15"/>
      <c r="J946" s="15"/>
    </row>
    <row r="947" spans="6:10" ht="15">
      <c r="F947" s="15"/>
      <c r="H947" s="15"/>
      <c r="J947" s="15"/>
    </row>
    <row r="948" spans="6:10" ht="15">
      <c r="F948" s="15"/>
      <c r="H948" s="15"/>
      <c r="J948" s="15"/>
    </row>
    <row r="949" spans="6:10" ht="15">
      <c r="F949" s="15"/>
      <c r="H949" s="15"/>
      <c r="J949" s="15"/>
    </row>
    <row r="950" spans="6:10" ht="15">
      <c r="F950" s="15"/>
      <c r="H950" s="15"/>
      <c r="J950" s="15"/>
    </row>
    <row r="951" spans="6:10" ht="15">
      <c r="F951" s="15"/>
      <c r="H951" s="15"/>
      <c r="J951" s="15"/>
    </row>
    <row r="952" spans="6:10" ht="15">
      <c r="F952" s="15"/>
      <c r="H952" s="15"/>
      <c r="J952" s="15"/>
    </row>
    <row r="953" spans="6:10" ht="15">
      <c r="F953" s="15"/>
      <c r="H953" s="15"/>
      <c r="J953" s="15"/>
    </row>
    <row r="954" spans="6:10" ht="15">
      <c r="F954" s="15"/>
      <c r="H954" s="15"/>
      <c r="J954" s="15"/>
    </row>
    <row r="955" spans="6:10" ht="15">
      <c r="F955" s="15"/>
      <c r="H955" s="15"/>
      <c r="J955" s="15"/>
    </row>
    <row r="956" spans="6:10" ht="15">
      <c r="F956" s="15"/>
      <c r="H956" s="15"/>
      <c r="J956" s="15"/>
    </row>
    <row r="957" spans="6:10" ht="15">
      <c r="F957" s="15"/>
      <c r="H957" s="15"/>
      <c r="J957" s="15"/>
    </row>
    <row r="958" spans="6:10" ht="15">
      <c r="F958" s="15"/>
      <c r="H958" s="15"/>
      <c r="J958" s="15"/>
    </row>
    <row r="959" spans="6:10" ht="15">
      <c r="F959" s="15"/>
      <c r="H959" s="15"/>
      <c r="J959" s="15"/>
    </row>
    <row r="960" spans="6:10" ht="15">
      <c r="F960" s="15"/>
      <c r="H960" s="15"/>
      <c r="J960" s="15"/>
    </row>
    <row r="961" spans="6:10" ht="15">
      <c r="F961" s="15"/>
      <c r="H961" s="15"/>
      <c r="J961" s="15"/>
    </row>
    <row r="962" spans="6:10" ht="15">
      <c r="F962" s="15"/>
      <c r="H962" s="15"/>
      <c r="J962" s="15"/>
    </row>
    <row r="963" spans="6:10" ht="15">
      <c r="F963" s="15"/>
      <c r="H963" s="15"/>
      <c r="J963" s="15"/>
    </row>
    <row r="964" spans="6:10" ht="15">
      <c r="F964" s="15"/>
      <c r="H964" s="15"/>
      <c r="J964" s="15"/>
    </row>
    <row r="965" spans="6:10" ht="15">
      <c r="F965" s="15"/>
      <c r="H965" s="15"/>
      <c r="J965" s="15"/>
    </row>
    <row r="966" spans="6:10" ht="15">
      <c r="F966" s="15"/>
      <c r="H966" s="15"/>
      <c r="J966" s="15"/>
    </row>
    <row r="967" spans="6:10" ht="15">
      <c r="F967" s="15"/>
      <c r="H967" s="15"/>
      <c r="J967" s="15"/>
    </row>
    <row r="968" spans="6:10" ht="15">
      <c r="F968" s="15"/>
      <c r="H968" s="15"/>
      <c r="J968" s="15"/>
    </row>
    <row r="969" spans="6:10" ht="15">
      <c r="F969" s="15"/>
      <c r="H969" s="15"/>
      <c r="J969" s="15"/>
    </row>
    <row r="970" spans="6:10" ht="15">
      <c r="F970" s="15"/>
      <c r="H970" s="15"/>
      <c r="J970" s="15"/>
    </row>
    <row r="971" spans="6:10" ht="15">
      <c r="F971" s="15"/>
      <c r="H971" s="15"/>
      <c r="J971" s="15"/>
    </row>
    <row r="972" spans="6:10" ht="15">
      <c r="F972" s="15"/>
      <c r="H972" s="15"/>
      <c r="J972" s="15"/>
    </row>
    <row r="973" spans="6:10" ht="15">
      <c r="F973" s="15"/>
      <c r="H973" s="15"/>
      <c r="J973" s="15"/>
    </row>
    <row r="974" spans="6:10" ht="15">
      <c r="F974" s="15"/>
      <c r="H974" s="15"/>
      <c r="J974" s="15"/>
    </row>
    <row r="975" spans="6:10" ht="15">
      <c r="F975" s="15"/>
      <c r="H975" s="15"/>
      <c r="J975" s="15"/>
    </row>
    <row r="976" spans="6:10" ht="15">
      <c r="F976" s="15"/>
      <c r="H976" s="15"/>
      <c r="J976" s="15"/>
    </row>
    <row r="977" spans="6:10" ht="15">
      <c r="F977" s="15"/>
      <c r="H977" s="15"/>
      <c r="J977" s="15"/>
    </row>
    <row r="978" spans="6:10" ht="15">
      <c r="F978" s="15"/>
      <c r="H978" s="15"/>
      <c r="J978" s="15"/>
    </row>
    <row r="979" spans="6:10" ht="15">
      <c r="F979" s="15"/>
      <c r="H979" s="15"/>
      <c r="J979" s="15"/>
    </row>
    <row r="980" spans="6:10" ht="15">
      <c r="F980" s="15"/>
      <c r="H980" s="15"/>
      <c r="J980" s="15"/>
    </row>
    <row r="981" spans="6:10" ht="15">
      <c r="F981" s="15"/>
      <c r="H981" s="15"/>
      <c r="J981" s="15"/>
    </row>
    <row r="982" spans="6:10" ht="15">
      <c r="F982" s="15"/>
      <c r="H982" s="15"/>
      <c r="J982" s="15"/>
    </row>
    <row r="983" spans="6:10" ht="15">
      <c r="F983" s="15"/>
      <c r="H983" s="15"/>
      <c r="J983" s="15"/>
    </row>
    <row r="984" spans="6:10" ht="15">
      <c r="F984" s="15"/>
      <c r="H984" s="15"/>
      <c r="J984" s="15"/>
    </row>
    <row r="985" spans="6:10" ht="15">
      <c r="F985" s="15"/>
      <c r="H985" s="15"/>
      <c r="J985" s="15"/>
    </row>
    <row r="986" spans="6:10" ht="15">
      <c r="F986" s="15"/>
      <c r="H986" s="15"/>
      <c r="J986" s="15"/>
    </row>
    <row r="987" spans="6:10" ht="15">
      <c r="F987" s="15"/>
      <c r="H987" s="15"/>
      <c r="J987" s="15"/>
    </row>
    <row r="988" spans="6:10" ht="15">
      <c r="F988" s="15"/>
      <c r="H988" s="15"/>
      <c r="J988" s="15"/>
    </row>
    <row r="989" spans="6:10" ht="15">
      <c r="F989" s="15"/>
      <c r="H989" s="15"/>
      <c r="J989" s="15"/>
    </row>
    <row r="990" spans="6:10" ht="15">
      <c r="F990" s="15"/>
      <c r="H990" s="15"/>
      <c r="J990" s="15"/>
    </row>
    <row r="991" spans="6:10" ht="15">
      <c r="F991" s="15"/>
      <c r="H991" s="15"/>
      <c r="J991" s="15"/>
    </row>
    <row r="992" spans="6:10" ht="15">
      <c r="F992" s="15"/>
      <c r="H992" s="15"/>
      <c r="J992" s="15"/>
    </row>
    <row r="993" spans="6:10" ht="15">
      <c r="F993" s="15"/>
      <c r="H993" s="15"/>
      <c r="J993" s="15"/>
    </row>
    <row r="994" spans="6:10" ht="15">
      <c r="F994" s="15"/>
      <c r="H994" s="15"/>
      <c r="J994" s="15"/>
    </row>
    <row r="995" spans="6:10" ht="15">
      <c r="F995" s="15"/>
      <c r="H995" s="15"/>
      <c r="J995" s="15"/>
    </row>
    <row r="996" spans="6:10" ht="15">
      <c r="F996" s="15"/>
      <c r="H996" s="15"/>
      <c r="J996" s="15"/>
    </row>
    <row r="997" spans="6:10" ht="15">
      <c r="F997" s="15"/>
      <c r="H997" s="15"/>
      <c r="J997" s="15"/>
    </row>
    <row r="998" spans="6:10" ht="15">
      <c r="F998" s="15"/>
      <c r="H998" s="15"/>
      <c r="J998" s="15"/>
    </row>
    <row r="999" spans="6:10" ht="15">
      <c r="F999" s="15"/>
      <c r="H999" s="15"/>
      <c r="J999" s="15"/>
    </row>
    <row r="1000" spans="6:10" ht="15">
      <c r="F1000" s="15"/>
      <c r="H1000" s="15"/>
      <c r="J1000" s="15"/>
    </row>
    <row r="1001" spans="6:10" ht="15">
      <c r="F1001" s="15"/>
      <c r="H1001" s="15"/>
      <c r="J1001" s="15"/>
    </row>
    <row r="1002" spans="6:10" ht="15">
      <c r="F1002" s="15"/>
      <c r="H1002" s="15"/>
      <c r="J1002" s="15"/>
    </row>
    <row r="1003" spans="6:10" ht="15">
      <c r="F1003" s="15"/>
      <c r="H1003" s="15"/>
      <c r="J1003" s="15"/>
    </row>
    <row r="1004" spans="6:10" ht="15">
      <c r="F1004" s="15"/>
      <c r="H1004" s="15"/>
      <c r="J1004" s="15"/>
    </row>
    <row r="1005" spans="6:10" ht="15">
      <c r="F1005" s="15"/>
      <c r="H1005" s="15"/>
      <c r="J1005" s="15"/>
    </row>
    <row r="1006" spans="6:10" ht="15">
      <c r="F1006" s="15"/>
      <c r="H1006" s="15"/>
      <c r="J1006" s="15"/>
    </row>
    <row r="1007" spans="6:10" ht="15">
      <c r="F1007" s="15"/>
      <c r="H1007" s="15"/>
      <c r="J1007" s="15"/>
    </row>
    <row r="1008" spans="6:10" ht="15">
      <c r="F1008" s="15"/>
      <c r="H1008" s="15"/>
      <c r="J1008" s="15"/>
    </row>
    <row r="1009" spans="6:10" ht="15">
      <c r="F1009" s="15"/>
      <c r="H1009" s="15"/>
      <c r="J1009" s="15"/>
    </row>
    <row r="1010" spans="6:10" ht="15">
      <c r="F1010" s="15"/>
      <c r="H1010" s="15"/>
      <c r="J1010" s="15"/>
    </row>
    <row r="1011" spans="6:10" ht="15">
      <c r="F1011" s="15"/>
      <c r="H1011" s="15"/>
      <c r="J1011" s="15"/>
    </row>
    <row r="1012" spans="6:10" ht="15">
      <c r="F1012" s="15"/>
      <c r="H1012" s="15"/>
      <c r="J1012" s="15"/>
    </row>
    <row r="1013" spans="6:10" ht="15">
      <c r="F1013" s="15"/>
      <c r="H1013" s="15"/>
      <c r="J1013" s="15"/>
    </row>
    <row r="1014" spans="6:10" ht="15">
      <c r="F1014" s="15"/>
      <c r="H1014" s="15"/>
      <c r="J1014" s="15"/>
    </row>
    <row r="1015" spans="6:10" ht="15">
      <c r="F1015" s="15"/>
      <c r="H1015" s="15"/>
      <c r="J1015" s="15"/>
    </row>
    <row r="1016" spans="6:10" ht="15">
      <c r="F1016" s="15"/>
      <c r="H1016" s="15"/>
      <c r="J1016" s="15"/>
    </row>
    <row r="1017" spans="6:10" ht="15">
      <c r="F1017" s="15"/>
      <c r="H1017" s="15"/>
      <c r="J1017" s="15"/>
    </row>
    <row r="1018" spans="6:10" ht="15">
      <c r="F1018" s="15"/>
      <c r="H1018" s="15"/>
      <c r="J1018" s="15"/>
    </row>
    <row r="1019" spans="6:10" ht="15">
      <c r="F1019" s="15"/>
      <c r="H1019" s="15"/>
      <c r="J1019" s="15"/>
    </row>
    <row r="1020" spans="6:10" ht="15">
      <c r="F1020" s="15"/>
      <c r="H1020" s="15"/>
      <c r="J1020" s="15"/>
    </row>
    <row r="1021" spans="6:10" ht="15">
      <c r="F1021" s="15"/>
      <c r="H1021" s="15"/>
      <c r="J1021" s="15"/>
    </row>
    <row r="1022" spans="6:10" ht="15">
      <c r="F1022" s="15"/>
      <c r="H1022" s="15"/>
      <c r="J1022" s="15"/>
    </row>
    <row r="1023" spans="6:10" ht="15">
      <c r="F1023" s="15"/>
      <c r="H1023" s="15"/>
      <c r="J1023" s="15"/>
    </row>
    <row r="1024" spans="6:10" ht="15">
      <c r="F1024" s="15"/>
      <c r="H1024" s="15"/>
      <c r="J1024" s="15"/>
    </row>
    <row r="1025" spans="6:10" ht="15">
      <c r="F1025" s="15"/>
      <c r="H1025" s="15"/>
      <c r="J1025" s="15"/>
    </row>
    <row r="1026" spans="6:10" ht="15">
      <c r="F1026" s="15"/>
      <c r="H1026" s="15"/>
      <c r="J1026" s="15"/>
    </row>
    <row r="1027" spans="6:10" ht="15">
      <c r="F1027" s="15"/>
      <c r="H1027" s="15"/>
      <c r="J1027" s="15"/>
    </row>
    <row r="1028" spans="6:10" ht="15">
      <c r="F1028" s="15"/>
      <c r="H1028" s="15"/>
      <c r="J1028" s="15"/>
    </row>
    <row r="1029" spans="6:10" ht="15">
      <c r="F1029" s="15"/>
      <c r="H1029" s="15"/>
      <c r="J1029" s="15"/>
    </row>
    <row r="1030" spans="6:10" ht="15">
      <c r="F1030" s="15"/>
      <c r="H1030" s="15"/>
      <c r="J1030" s="15"/>
    </row>
    <row r="1031" spans="6:10" ht="15">
      <c r="F1031" s="15"/>
      <c r="H1031" s="15"/>
      <c r="J1031" s="15"/>
    </row>
    <row r="1032" spans="6:10" ht="15">
      <c r="F1032" s="15"/>
      <c r="H1032" s="15"/>
      <c r="J1032" s="15"/>
    </row>
    <row r="1033" spans="6:10" ht="15">
      <c r="F1033" s="15"/>
      <c r="H1033" s="15"/>
      <c r="J1033" s="15"/>
    </row>
    <row r="1034" spans="6:10" ht="15">
      <c r="F1034" s="15"/>
      <c r="H1034" s="15"/>
      <c r="J1034" s="15"/>
    </row>
    <row r="1035" spans="6:10" ht="15">
      <c r="F1035" s="15"/>
      <c r="H1035" s="15"/>
      <c r="J1035" s="15"/>
    </row>
    <row r="1036" spans="6:10" ht="15">
      <c r="F1036" s="15"/>
      <c r="H1036" s="15"/>
      <c r="J1036" s="15"/>
    </row>
    <row r="1037" spans="6:10" ht="15">
      <c r="F1037" s="15"/>
      <c r="H1037" s="15"/>
      <c r="J1037" s="15"/>
    </row>
    <row r="1038" spans="6:10" ht="15">
      <c r="F1038" s="15"/>
      <c r="H1038" s="15"/>
      <c r="J1038" s="15"/>
    </row>
    <row r="1039" spans="6:10" ht="15">
      <c r="F1039" s="15"/>
      <c r="H1039" s="15"/>
      <c r="J1039" s="15"/>
    </row>
    <row r="1040" spans="6:10" ht="15">
      <c r="F1040" s="15"/>
      <c r="H1040" s="15"/>
      <c r="J1040" s="15"/>
    </row>
    <row r="1041" spans="6:10" ht="15">
      <c r="F1041" s="15"/>
      <c r="H1041" s="15"/>
      <c r="J1041" s="15"/>
    </row>
    <row r="1042" spans="6:10" ht="15">
      <c r="F1042" s="15"/>
      <c r="H1042" s="15"/>
      <c r="J1042" s="15"/>
    </row>
    <row r="1043" spans="6:10" ht="15">
      <c r="F1043" s="15"/>
      <c r="H1043" s="15"/>
      <c r="J1043" s="15"/>
    </row>
    <row r="1044" spans="6:10" ht="15">
      <c r="F1044" s="15"/>
      <c r="H1044" s="15"/>
      <c r="J1044" s="15"/>
    </row>
    <row r="1045" spans="6:10" ht="15">
      <c r="F1045" s="15"/>
      <c r="H1045" s="15"/>
      <c r="J1045" s="15"/>
    </row>
    <row r="1046" spans="6:10" ht="15">
      <c r="F1046" s="15"/>
      <c r="H1046" s="15"/>
      <c r="J1046" s="15"/>
    </row>
    <row r="1047" spans="6:10" ht="15">
      <c r="F1047" s="15"/>
      <c r="H1047" s="15"/>
      <c r="J1047" s="15"/>
    </row>
    <row r="1048" spans="6:10" ht="15">
      <c r="F1048" s="15"/>
      <c r="H1048" s="15"/>
      <c r="J1048" s="15"/>
    </row>
    <row r="1049" spans="6:10" ht="15">
      <c r="F1049" s="15"/>
      <c r="H1049" s="15"/>
      <c r="J1049" s="15"/>
    </row>
    <row r="1050" spans="6:10" ht="15">
      <c r="F1050" s="15"/>
      <c r="H1050" s="15"/>
      <c r="J1050" s="15"/>
    </row>
    <row r="1051" spans="6:10" ht="15">
      <c r="F1051" s="15"/>
      <c r="H1051" s="15"/>
      <c r="J1051" s="15"/>
    </row>
    <row r="1052" spans="6:10" ht="15">
      <c r="F1052" s="15"/>
      <c r="H1052" s="15"/>
      <c r="J1052" s="15"/>
    </row>
    <row r="1053" spans="6:10" ht="15">
      <c r="F1053" s="15"/>
      <c r="H1053" s="15"/>
      <c r="J1053" s="15"/>
    </row>
    <row r="1054" spans="6:10" ht="15">
      <c r="F1054" s="15"/>
      <c r="H1054" s="15"/>
      <c r="J1054" s="15"/>
    </row>
    <row r="1055" spans="6:10" ht="15">
      <c r="F1055" s="15"/>
      <c r="H1055" s="15"/>
      <c r="J1055" s="15"/>
    </row>
    <row r="1056" spans="6:10" ht="15">
      <c r="F1056" s="15"/>
      <c r="H1056" s="15"/>
      <c r="J1056" s="15"/>
    </row>
    <row r="1057" spans="6:10" ht="15">
      <c r="F1057" s="15"/>
      <c r="H1057" s="15"/>
      <c r="J1057" s="15"/>
    </row>
    <row r="1058" spans="6:10" ht="15">
      <c r="F1058" s="15"/>
      <c r="H1058" s="15"/>
      <c r="J1058" s="15"/>
    </row>
    <row r="1059" spans="6:10" ht="15">
      <c r="F1059" s="15"/>
      <c r="H1059" s="15"/>
      <c r="J1059" s="15"/>
    </row>
    <row r="1060" spans="6:10" ht="15">
      <c r="F1060" s="15"/>
      <c r="H1060" s="15"/>
      <c r="J1060" s="15"/>
    </row>
    <row r="1061" spans="6:10" ht="15">
      <c r="F1061" s="15"/>
      <c r="H1061" s="15"/>
      <c r="J1061" s="15"/>
    </row>
    <row r="1062" spans="6:10" ht="15">
      <c r="F1062" s="15"/>
      <c r="H1062" s="15"/>
      <c r="J1062" s="15"/>
    </row>
    <row r="1063" spans="6:10" ht="15">
      <c r="F1063" s="15"/>
      <c r="H1063" s="15"/>
      <c r="J1063" s="15"/>
    </row>
    <row r="1064" spans="6:10" ht="15">
      <c r="F1064" s="15"/>
      <c r="H1064" s="15"/>
      <c r="J1064" s="15"/>
    </row>
    <row r="1065" spans="6:10" ht="15">
      <c r="F1065" s="15"/>
      <c r="H1065" s="15"/>
      <c r="J1065" s="15"/>
    </row>
    <row r="1066" spans="6:10" ht="15">
      <c r="F1066" s="15"/>
      <c r="H1066" s="15"/>
      <c r="J1066" s="15"/>
    </row>
    <row r="1067" spans="6:10" ht="15">
      <c r="F1067" s="15"/>
      <c r="H1067" s="15"/>
      <c r="J1067" s="15"/>
    </row>
    <row r="1068" spans="6:10" ht="15">
      <c r="F1068" s="15"/>
      <c r="H1068" s="15"/>
      <c r="J1068" s="15"/>
    </row>
    <row r="1069" spans="6:10" ht="15">
      <c r="F1069" s="15"/>
      <c r="H1069" s="15"/>
      <c r="J1069" s="15"/>
    </row>
    <row r="1070" spans="6:10" ht="15">
      <c r="F1070" s="15"/>
      <c r="H1070" s="15"/>
      <c r="J1070" s="15"/>
    </row>
    <row r="1071" spans="6:10" ht="15">
      <c r="F1071" s="15"/>
      <c r="H1071" s="15"/>
      <c r="J1071" s="15"/>
    </row>
    <row r="1072" spans="6:10" ht="15">
      <c r="F1072" s="15"/>
      <c r="H1072" s="15"/>
      <c r="J1072" s="15"/>
    </row>
    <row r="1073" spans="6:10" ht="15">
      <c r="F1073" s="15"/>
      <c r="H1073" s="15"/>
      <c r="J1073" s="15"/>
    </row>
    <row r="1074" spans="6:10" ht="15">
      <c r="F1074" s="15"/>
      <c r="H1074" s="15"/>
      <c r="J1074" s="15"/>
    </row>
    <row r="1075" spans="6:10" ht="15">
      <c r="F1075" s="15"/>
      <c r="H1075" s="15"/>
      <c r="J1075" s="15"/>
    </row>
    <row r="1076" spans="6:10" ht="15">
      <c r="F1076" s="15"/>
      <c r="H1076" s="15"/>
      <c r="J1076" s="15"/>
    </row>
    <row r="1077" spans="6:10" ht="15">
      <c r="F1077" s="15"/>
      <c r="H1077" s="15"/>
      <c r="J1077" s="15"/>
    </row>
    <row r="1078" spans="6:10" ht="15">
      <c r="F1078" s="15"/>
      <c r="H1078" s="15"/>
      <c r="J1078" s="15"/>
    </row>
    <row r="1079" spans="6:10" ht="15">
      <c r="F1079" s="15"/>
      <c r="H1079" s="15"/>
      <c r="J1079" s="15"/>
    </row>
    <row r="1080" spans="6:10" ht="15">
      <c r="F1080" s="15"/>
      <c r="H1080" s="15"/>
      <c r="J1080" s="15"/>
    </row>
    <row r="1081" spans="6:10" ht="15">
      <c r="F1081" s="15"/>
      <c r="H1081" s="15"/>
      <c r="J1081" s="15"/>
    </row>
    <row r="1082" spans="6:10" ht="15">
      <c r="F1082" s="15"/>
      <c r="H1082" s="15"/>
      <c r="J1082" s="15"/>
    </row>
    <row r="1083" spans="6:10" ht="15">
      <c r="F1083" s="15"/>
      <c r="H1083" s="15"/>
      <c r="J1083" s="15"/>
    </row>
    <row r="1084" spans="6:10" ht="15">
      <c r="F1084" s="15"/>
      <c r="H1084" s="15"/>
      <c r="J1084" s="15"/>
    </row>
    <row r="1085" spans="6:10" ht="15">
      <c r="F1085" s="15"/>
      <c r="H1085" s="15"/>
      <c r="J1085" s="15"/>
    </row>
    <row r="1086" spans="6:10" ht="15">
      <c r="F1086" s="15"/>
      <c r="H1086" s="15"/>
      <c r="J1086" s="15"/>
    </row>
    <row r="1087" spans="6:10" ht="15">
      <c r="F1087" s="15"/>
      <c r="H1087" s="15"/>
      <c r="J1087" s="15"/>
    </row>
    <row r="1088" spans="6:10" ht="15">
      <c r="F1088" s="15"/>
      <c r="H1088" s="15"/>
      <c r="J1088" s="15"/>
    </row>
    <row r="1089" spans="6:10" ht="15">
      <c r="F1089" s="15"/>
      <c r="H1089" s="15"/>
      <c r="J1089" s="15"/>
    </row>
    <row r="1090" spans="6:10" ht="15">
      <c r="F1090" s="15"/>
      <c r="H1090" s="15"/>
      <c r="J1090" s="15"/>
    </row>
    <row r="1091" spans="6:10" ht="15">
      <c r="F1091" s="15"/>
      <c r="H1091" s="15"/>
      <c r="J1091" s="15"/>
    </row>
    <row r="1092" spans="6:10" ht="15">
      <c r="F1092" s="15"/>
      <c r="H1092" s="15"/>
      <c r="J1092" s="15"/>
    </row>
    <row r="1093" spans="6:10" ht="15">
      <c r="F1093" s="15"/>
      <c r="H1093" s="15"/>
      <c r="J1093" s="15"/>
    </row>
    <row r="1094" spans="6:10" ht="15">
      <c r="F1094" s="15"/>
      <c r="H1094" s="15"/>
      <c r="J1094" s="15"/>
    </row>
    <row r="1095" spans="6:10" ht="15">
      <c r="F1095" s="15"/>
      <c r="H1095" s="15"/>
      <c r="J1095" s="15"/>
    </row>
    <row r="1096" spans="6:10" ht="15">
      <c r="F1096" s="15"/>
      <c r="H1096" s="15"/>
      <c r="J1096" s="15"/>
    </row>
    <row r="1097" spans="6:10" ht="15">
      <c r="F1097" s="15"/>
      <c r="H1097" s="15"/>
      <c r="J1097" s="15"/>
    </row>
    <row r="1098" spans="6:10" ht="15">
      <c r="F1098" s="15"/>
      <c r="H1098" s="15"/>
      <c r="J1098" s="15"/>
    </row>
    <row r="1099" spans="6:10" ht="15">
      <c r="F1099" s="15"/>
      <c r="H1099" s="15"/>
      <c r="J1099" s="15"/>
    </row>
    <row r="1100" spans="6:10" ht="15">
      <c r="F1100" s="15"/>
      <c r="H1100" s="15"/>
      <c r="J1100" s="15"/>
    </row>
    <row r="1101" spans="6:10" ht="15">
      <c r="F1101" s="15"/>
      <c r="H1101" s="15"/>
      <c r="J1101" s="15"/>
    </row>
    <row r="1102" spans="6:10" ht="15">
      <c r="F1102" s="15"/>
      <c r="H1102" s="15"/>
      <c r="J1102" s="15"/>
    </row>
    <row r="1103" spans="6:10" ht="15">
      <c r="F1103" s="15"/>
      <c r="H1103" s="15"/>
      <c r="J1103" s="15"/>
    </row>
    <row r="1104" spans="6:10" ht="15">
      <c r="F1104" s="15"/>
      <c r="H1104" s="15"/>
      <c r="J1104" s="15"/>
    </row>
    <row r="1105" spans="6:10" ht="15">
      <c r="F1105" s="15"/>
      <c r="H1105" s="15"/>
      <c r="J1105" s="15"/>
    </row>
    <row r="1106" spans="6:10" ht="15">
      <c r="F1106" s="15"/>
      <c r="H1106" s="15"/>
      <c r="J1106" s="15"/>
    </row>
    <row r="1107" spans="6:10" ht="15">
      <c r="F1107" s="15"/>
      <c r="H1107" s="15"/>
      <c r="J1107" s="15"/>
    </row>
    <row r="1108" spans="6:10" ht="15">
      <c r="F1108" s="15"/>
      <c r="H1108" s="15"/>
      <c r="J1108" s="15"/>
    </row>
    <row r="1109" spans="6:10" ht="15">
      <c r="F1109" s="15"/>
      <c r="H1109" s="15"/>
      <c r="J1109" s="15"/>
    </row>
    <row r="1110" spans="6:10" ht="15">
      <c r="F1110" s="15"/>
      <c r="H1110" s="15"/>
      <c r="J1110" s="15"/>
    </row>
    <row r="1111" spans="6:10" ht="15">
      <c r="F1111" s="15"/>
      <c r="H1111" s="15"/>
      <c r="J1111" s="15"/>
    </row>
    <row r="1112" spans="6:10" ht="15">
      <c r="F1112" s="15"/>
      <c r="H1112" s="15"/>
      <c r="J1112" s="15"/>
    </row>
    <row r="1113" spans="6:10" ht="15">
      <c r="F1113" s="15"/>
      <c r="H1113" s="15"/>
      <c r="J1113" s="15"/>
    </row>
    <row r="1114" spans="6:10" ht="15">
      <c r="F1114" s="15"/>
      <c r="H1114" s="15"/>
      <c r="J1114" s="15"/>
    </row>
    <row r="1115" spans="6:10" ht="15">
      <c r="F1115" s="15"/>
      <c r="H1115" s="15"/>
      <c r="J1115" s="15"/>
    </row>
    <row r="1116" spans="6:10" ht="15">
      <c r="F1116" s="15"/>
      <c r="H1116" s="15"/>
      <c r="J1116" s="15"/>
    </row>
    <row r="1117" spans="6:10" ht="15">
      <c r="F1117" s="15"/>
      <c r="H1117" s="15"/>
      <c r="J1117" s="15"/>
    </row>
    <row r="1118" spans="6:10" ht="15">
      <c r="F1118" s="15"/>
      <c r="H1118" s="15"/>
      <c r="J1118" s="15"/>
    </row>
    <row r="1119" spans="6:10" ht="15">
      <c r="F1119" s="15"/>
      <c r="H1119" s="15"/>
      <c r="J1119" s="15"/>
    </row>
    <row r="1120" spans="6:10" ht="15">
      <c r="F1120" s="15"/>
      <c r="H1120" s="15"/>
      <c r="J1120" s="15"/>
    </row>
    <row r="1121" spans="6:10" ht="15">
      <c r="F1121" s="15"/>
      <c r="H1121" s="15"/>
      <c r="J1121" s="15"/>
    </row>
    <row r="1122" spans="6:10" ht="15">
      <c r="F1122" s="15"/>
      <c r="H1122" s="15"/>
      <c r="J1122" s="15"/>
    </row>
    <row r="1123" spans="6:10" ht="15">
      <c r="F1123" s="15"/>
      <c r="H1123" s="15"/>
      <c r="J1123" s="15"/>
    </row>
    <row r="1124" spans="6:10" ht="15">
      <c r="F1124" s="15"/>
      <c r="H1124" s="15"/>
      <c r="J1124" s="15"/>
    </row>
    <row r="1125" spans="6:10" ht="15">
      <c r="F1125" s="15"/>
      <c r="H1125" s="15"/>
      <c r="J1125" s="15"/>
    </row>
    <row r="1126" spans="6:10" ht="15">
      <c r="F1126" s="15"/>
      <c r="H1126" s="15"/>
      <c r="J1126" s="15"/>
    </row>
    <row r="1127" spans="6:10" ht="15">
      <c r="F1127" s="15"/>
      <c r="H1127" s="15"/>
      <c r="J1127" s="15"/>
    </row>
    <row r="1128" spans="6:10" ht="15">
      <c r="F1128" s="15"/>
      <c r="H1128" s="15"/>
      <c r="J1128" s="15"/>
    </row>
    <row r="1129" spans="6:10" ht="15">
      <c r="F1129" s="15"/>
      <c r="H1129" s="15"/>
      <c r="J1129" s="15"/>
    </row>
    <row r="1130" spans="6:10" ht="15">
      <c r="F1130" s="15"/>
      <c r="H1130" s="15"/>
      <c r="J1130" s="15"/>
    </row>
    <row r="1131" spans="6:10" ht="15">
      <c r="F1131" s="15"/>
      <c r="H1131" s="15"/>
      <c r="J1131" s="15"/>
    </row>
    <row r="1132" spans="6:10" ht="15">
      <c r="F1132" s="15"/>
      <c r="H1132" s="15"/>
      <c r="J1132" s="15"/>
    </row>
    <row r="1133" spans="6:10" ht="15">
      <c r="F1133" s="15"/>
      <c r="H1133" s="15"/>
      <c r="J1133" s="15"/>
    </row>
    <row r="1134" spans="6:10" ht="15">
      <c r="F1134" s="15"/>
      <c r="H1134" s="15"/>
      <c r="J1134" s="15"/>
    </row>
    <row r="1135" spans="6:10" ht="15">
      <c r="F1135" s="15"/>
      <c r="H1135" s="15"/>
      <c r="J1135" s="15"/>
    </row>
    <row r="1136" spans="6:10" ht="15">
      <c r="F1136" s="15"/>
      <c r="H1136" s="15"/>
      <c r="J1136" s="15"/>
    </row>
    <row r="1137" spans="6:10" ht="15">
      <c r="F1137" s="15"/>
      <c r="H1137" s="15"/>
      <c r="J1137" s="15"/>
    </row>
    <row r="1138" spans="6:10" ht="15">
      <c r="F1138" s="15"/>
      <c r="H1138" s="15"/>
      <c r="J1138" s="15"/>
    </row>
    <row r="1139" spans="6:10" ht="15">
      <c r="F1139" s="15"/>
      <c r="H1139" s="15"/>
      <c r="J1139" s="15"/>
    </row>
    <row r="1140" spans="6:10" ht="15">
      <c r="F1140" s="15"/>
      <c r="H1140" s="15"/>
      <c r="J1140" s="15"/>
    </row>
    <row r="1141" spans="6:10" ht="15">
      <c r="F1141" s="15"/>
      <c r="H1141" s="15"/>
      <c r="J1141" s="15"/>
    </row>
    <row r="1142" spans="6:10" ht="15">
      <c r="F1142" s="15"/>
      <c r="H1142" s="15"/>
      <c r="J1142" s="15"/>
    </row>
    <row r="1143" spans="6:10" ht="15">
      <c r="F1143" s="15"/>
      <c r="H1143" s="15"/>
      <c r="J1143" s="15"/>
    </row>
    <row r="1144" spans="6:10" ht="15">
      <c r="F1144" s="15"/>
      <c r="H1144" s="15"/>
      <c r="J1144" s="15"/>
    </row>
    <row r="1145" spans="6:10" ht="15">
      <c r="F1145" s="15"/>
      <c r="H1145" s="15"/>
      <c r="J1145" s="15"/>
    </row>
    <row r="1146" spans="6:10" ht="15">
      <c r="F1146" s="15"/>
      <c r="H1146" s="15"/>
      <c r="J1146" s="15"/>
    </row>
    <row r="1147" spans="6:10" ht="15">
      <c r="F1147" s="15"/>
      <c r="H1147" s="15"/>
      <c r="J1147" s="15"/>
    </row>
    <row r="1148" spans="6:10" ht="15">
      <c r="F1148" s="15"/>
      <c r="H1148" s="15"/>
      <c r="J1148" s="15"/>
    </row>
    <row r="1149" spans="6:10" ht="15">
      <c r="F1149" s="15"/>
      <c r="H1149" s="15"/>
      <c r="J1149" s="15"/>
    </row>
    <row r="1150" spans="6:10" ht="15">
      <c r="F1150" s="15"/>
      <c r="H1150" s="15"/>
      <c r="J1150" s="15"/>
    </row>
    <row r="1151" spans="6:10" ht="15">
      <c r="F1151" s="15"/>
      <c r="H1151" s="15"/>
      <c r="J1151" s="15"/>
    </row>
    <row r="1152" spans="6:10" ht="15">
      <c r="F1152" s="15"/>
      <c r="H1152" s="15"/>
      <c r="J1152" s="15"/>
    </row>
    <row r="1153" spans="6:10" ht="15">
      <c r="F1153" s="15"/>
      <c r="H1153" s="15"/>
      <c r="J1153" s="15"/>
    </row>
    <row r="1154" spans="6:10" ht="15">
      <c r="F1154" s="15"/>
      <c r="H1154" s="15"/>
      <c r="J1154" s="15"/>
    </row>
    <row r="1155" spans="6:10" ht="15">
      <c r="F1155" s="15"/>
      <c r="H1155" s="15"/>
      <c r="J1155" s="15"/>
    </row>
    <row r="1156" spans="6:10" ht="15">
      <c r="F1156" s="15"/>
      <c r="H1156" s="15"/>
      <c r="J1156" s="15"/>
    </row>
    <row r="1157" spans="6:10" ht="15">
      <c r="F1157" s="15"/>
      <c r="H1157" s="15"/>
      <c r="J1157" s="15"/>
    </row>
    <row r="1158" spans="6:10" ht="15">
      <c r="F1158" s="15"/>
      <c r="H1158" s="15"/>
      <c r="J1158" s="15"/>
    </row>
    <row r="1159" spans="6:10" ht="15">
      <c r="F1159" s="15"/>
      <c r="H1159" s="15"/>
      <c r="J1159" s="15"/>
    </row>
    <row r="1160" spans="6:10" ht="15">
      <c r="F1160" s="15"/>
      <c r="H1160" s="15"/>
      <c r="J1160" s="15"/>
    </row>
    <row r="1161" spans="6:10" ht="15">
      <c r="F1161" s="15"/>
      <c r="H1161" s="15"/>
      <c r="J1161" s="15"/>
    </row>
    <row r="1162" spans="6:10" ht="15">
      <c r="F1162" s="15"/>
      <c r="H1162" s="15"/>
      <c r="J1162" s="15"/>
    </row>
    <row r="1163" spans="6:10" ht="15">
      <c r="F1163" s="15"/>
      <c r="H1163" s="15"/>
      <c r="J1163" s="15"/>
    </row>
    <row r="1164" spans="6:10" ht="15">
      <c r="F1164" s="15"/>
      <c r="H1164" s="15"/>
      <c r="J1164" s="15"/>
    </row>
    <row r="1165" spans="6:10" ht="15">
      <c r="F1165" s="15"/>
      <c r="H1165" s="15"/>
      <c r="J1165" s="15"/>
    </row>
    <row r="1166" spans="6:10" ht="15">
      <c r="F1166" s="15"/>
      <c r="H1166" s="15"/>
      <c r="J1166" s="15"/>
    </row>
    <row r="1167" spans="6:10" ht="15">
      <c r="F1167" s="15"/>
      <c r="H1167" s="15"/>
      <c r="J1167" s="15"/>
    </row>
    <row r="1168" spans="6:10" ht="15">
      <c r="F1168" s="15"/>
      <c r="H1168" s="15"/>
      <c r="J1168" s="15"/>
    </row>
    <row r="1169" spans="6:10" ht="15">
      <c r="F1169" s="15"/>
      <c r="H1169" s="15"/>
      <c r="J1169" s="15"/>
    </row>
    <row r="1170" spans="6:10" ht="15">
      <c r="F1170" s="15"/>
      <c r="H1170" s="15"/>
      <c r="J1170" s="15"/>
    </row>
    <row r="1171" spans="6:10" ht="15">
      <c r="F1171" s="15"/>
      <c r="H1171" s="15"/>
      <c r="J1171" s="15"/>
    </row>
    <row r="1172" spans="6:10" ht="15">
      <c r="F1172" s="15"/>
      <c r="H1172" s="15"/>
      <c r="J1172" s="15"/>
    </row>
    <row r="1173" spans="6:10" ht="15">
      <c r="F1173" s="15"/>
      <c r="H1173" s="15"/>
      <c r="J1173" s="15"/>
    </row>
    <row r="1174" spans="6:10" ht="15">
      <c r="F1174" s="15"/>
      <c r="H1174" s="15"/>
      <c r="J1174" s="15"/>
    </row>
    <row r="1175" spans="6:10" ht="15">
      <c r="F1175" s="15"/>
      <c r="H1175" s="15"/>
      <c r="J1175" s="15"/>
    </row>
    <row r="1176" spans="6:10" ht="15">
      <c r="F1176" s="15"/>
      <c r="H1176" s="15"/>
      <c r="J1176" s="15"/>
    </row>
    <row r="1177" spans="6:10" ht="15">
      <c r="F1177" s="15"/>
      <c r="H1177" s="15"/>
      <c r="J1177" s="15"/>
    </row>
    <row r="1178" spans="6:10" ht="15">
      <c r="F1178" s="15"/>
      <c r="H1178" s="15"/>
      <c r="J1178" s="15"/>
    </row>
    <row r="1179" spans="6:10" ht="15">
      <c r="F1179" s="15"/>
      <c r="H1179" s="15"/>
      <c r="J1179" s="15"/>
    </row>
    <row r="1180" spans="6:10" ht="15">
      <c r="F1180" s="15"/>
      <c r="H1180" s="15"/>
      <c r="J1180" s="15"/>
    </row>
    <row r="1181" spans="6:10" ht="15">
      <c r="F1181" s="15"/>
      <c r="H1181" s="15"/>
      <c r="J1181" s="15"/>
    </row>
    <row r="1182" spans="6:10" ht="15">
      <c r="F1182" s="15"/>
      <c r="H1182" s="15"/>
      <c r="J1182" s="15"/>
    </row>
    <row r="1183" spans="6:10" ht="15">
      <c r="F1183" s="15"/>
      <c r="H1183" s="15"/>
      <c r="J1183" s="15"/>
    </row>
    <row r="1184" spans="6:10" ht="15">
      <c r="F1184" s="15"/>
      <c r="H1184" s="15"/>
      <c r="J1184" s="15"/>
    </row>
    <row r="1185" spans="6:10" ht="15">
      <c r="F1185" s="15"/>
      <c r="H1185" s="15"/>
      <c r="J1185" s="15"/>
    </row>
    <row r="1186" spans="6:10" ht="15">
      <c r="F1186" s="15"/>
      <c r="H1186" s="15"/>
      <c r="J1186" s="15"/>
    </row>
    <row r="1187" spans="6:10" ht="15">
      <c r="F1187" s="15"/>
      <c r="H1187" s="15"/>
      <c r="J1187" s="15"/>
    </row>
    <row r="1188" spans="6:10" ht="15">
      <c r="F1188" s="15"/>
      <c r="H1188" s="15"/>
      <c r="J1188" s="15"/>
    </row>
    <row r="1189" spans="6:10" ht="15">
      <c r="F1189" s="15"/>
      <c r="H1189" s="15"/>
      <c r="J1189" s="15"/>
    </row>
    <row r="1190" spans="6:10" ht="15">
      <c r="F1190" s="15"/>
      <c r="H1190" s="15"/>
      <c r="J1190" s="15"/>
    </row>
    <row r="1191" spans="6:10" ht="15">
      <c r="F1191" s="15"/>
      <c r="H1191" s="15"/>
      <c r="J1191" s="15"/>
    </row>
    <row r="1192" spans="6:10" ht="15">
      <c r="F1192" s="15"/>
      <c r="H1192" s="15"/>
      <c r="J1192" s="15"/>
    </row>
    <row r="1193" spans="6:10" ht="15">
      <c r="F1193" s="15"/>
      <c r="H1193" s="15"/>
      <c r="J1193" s="15"/>
    </row>
    <row r="1194" spans="6:10" ht="15">
      <c r="F1194" s="15"/>
      <c r="H1194" s="15"/>
      <c r="J1194" s="15"/>
    </row>
    <row r="1195" spans="6:10" ht="15">
      <c r="F1195" s="15"/>
      <c r="H1195" s="15"/>
      <c r="J1195" s="15"/>
    </row>
    <row r="1196" spans="6:10" ht="15">
      <c r="F1196" s="15"/>
      <c r="H1196" s="15"/>
      <c r="J1196" s="15"/>
    </row>
    <row r="1197" spans="6:10" ht="15">
      <c r="F1197" s="15"/>
      <c r="H1197" s="15"/>
      <c r="J1197" s="15"/>
    </row>
    <row r="1198" spans="6:10" ht="15">
      <c r="F1198" s="15"/>
      <c r="H1198" s="15"/>
      <c r="J1198" s="15"/>
    </row>
    <row r="1199" spans="6:10" ht="15">
      <c r="F1199" s="15"/>
      <c r="H1199" s="15"/>
      <c r="J1199" s="15"/>
    </row>
    <row r="1200" spans="6:10" ht="15">
      <c r="F1200" s="15"/>
      <c r="H1200" s="15"/>
      <c r="J1200" s="15"/>
    </row>
    <row r="1201" spans="6:10" ht="15">
      <c r="F1201" s="15"/>
      <c r="H1201" s="15"/>
      <c r="J1201" s="15"/>
    </row>
    <row r="1202" spans="6:10" ht="15">
      <c r="F1202" s="15"/>
      <c r="H1202" s="15"/>
      <c r="J1202" s="15"/>
    </row>
    <row r="1203" spans="6:10" ht="15">
      <c r="F1203" s="15"/>
      <c r="H1203" s="15"/>
      <c r="J1203" s="15"/>
    </row>
    <row r="1204" spans="6:10" ht="15">
      <c r="F1204" s="15"/>
      <c r="H1204" s="15"/>
      <c r="J1204" s="15"/>
    </row>
    <row r="1205" spans="6:10" ht="15">
      <c r="F1205" s="15"/>
      <c r="H1205" s="15"/>
      <c r="J1205" s="15"/>
    </row>
    <row r="1206" spans="6:10" ht="15">
      <c r="F1206" s="15"/>
      <c r="H1206" s="15"/>
      <c r="J1206" s="15"/>
    </row>
    <row r="1207" spans="6:10" ht="15">
      <c r="F1207" s="15"/>
      <c r="H1207" s="15"/>
      <c r="J1207" s="15"/>
    </row>
    <row r="1208" spans="6:10" ht="15">
      <c r="F1208" s="15"/>
      <c r="H1208" s="15"/>
      <c r="J1208" s="15"/>
    </row>
    <row r="1209" spans="6:10" ht="15">
      <c r="F1209" s="15"/>
      <c r="H1209" s="15"/>
      <c r="J1209" s="15"/>
    </row>
    <row r="1210" spans="6:10" ht="15">
      <c r="F1210" s="15"/>
      <c r="H1210" s="15"/>
      <c r="J1210" s="15"/>
    </row>
    <row r="1211" spans="6:10" ht="15">
      <c r="F1211" s="15"/>
      <c r="H1211" s="15"/>
      <c r="J1211" s="15"/>
    </row>
    <row r="1212" spans="6:10" ht="15">
      <c r="F1212" s="15"/>
      <c r="H1212" s="15"/>
      <c r="J1212" s="15"/>
    </row>
    <row r="1213" spans="6:10" ht="15">
      <c r="F1213" s="15"/>
      <c r="H1213" s="15"/>
      <c r="J1213" s="15"/>
    </row>
    <row r="1214" spans="6:10" ht="15">
      <c r="F1214" s="15"/>
      <c r="H1214" s="15"/>
      <c r="J1214" s="15"/>
    </row>
    <row r="1215" spans="6:10" ht="15">
      <c r="F1215" s="15"/>
      <c r="H1215" s="15"/>
      <c r="J1215" s="15"/>
    </row>
    <row r="1216" spans="6:10" ht="15">
      <c r="F1216" s="15"/>
      <c r="H1216" s="15"/>
      <c r="J1216" s="15"/>
    </row>
    <row r="1217" spans="6:10" ht="15">
      <c r="F1217" s="15"/>
      <c r="H1217" s="15"/>
      <c r="J1217" s="15"/>
    </row>
    <row r="1218" spans="6:10" ht="15">
      <c r="F1218" s="15"/>
      <c r="H1218" s="15"/>
      <c r="J1218" s="15"/>
    </row>
    <row r="1219" spans="6:10" ht="15">
      <c r="F1219" s="15"/>
      <c r="H1219" s="15"/>
      <c r="J1219" s="15"/>
    </row>
    <row r="1220" spans="6:10" ht="15">
      <c r="F1220" s="15"/>
      <c r="H1220" s="15"/>
      <c r="J1220" s="15"/>
    </row>
    <row r="1221" spans="6:10" ht="15">
      <c r="F1221" s="15"/>
      <c r="H1221" s="15"/>
      <c r="J1221" s="15"/>
    </row>
    <row r="1222" spans="6:10" ht="15">
      <c r="F1222" s="15"/>
      <c r="H1222" s="15"/>
      <c r="J1222" s="15"/>
    </row>
    <row r="1223" spans="6:10" ht="15">
      <c r="F1223" s="15"/>
      <c r="H1223" s="15"/>
      <c r="J1223" s="15"/>
    </row>
    <row r="1224" spans="6:10" ht="15">
      <c r="F1224" s="15"/>
      <c r="H1224" s="15"/>
      <c r="J1224" s="15"/>
    </row>
    <row r="1225" spans="6:10" ht="15">
      <c r="F1225" s="15"/>
      <c r="H1225" s="15"/>
      <c r="J1225" s="15"/>
    </row>
    <row r="1226" spans="6:10" ht="15">
      <c r="F1226" s="15"/>
      <c r="H1226" s="15"/>
      <c r="J1226" s="15"/>
    </row>
    <row r="1227" spans="6:10" ht="15">
      <c r="F1227" s="15"/>
      <c r="H1227" s="15"/>
      <c r="J1227" s="15"/>
    </row>
    <row r="1228" spans="6:10" ht="15">
      <c r="F1228" s="15"/>
      <c r="H1228" s="15"/>
      <c r="J1228" s="15"/>
    </row>
    <row r="1229" spans="6:10" ht="15">
      <c r="F1229" s="15"/>
      <c r="H1229" s="15"/>
      <c r="J1229" s="15"/>
    </row>
    <row r="1230" spans="6:10" ht="15">
      <c r="F1230" s="15"/>
      <c r="H1230" s="15"/>
      <c r="J1230" s="15"/>
    </row>
    <row r="1231" spans="6:10" ht="15">
      <c r="F1231" s="15"/>
      <c r="H1231" s="15"/>
      <c r="J1231" s="15"/>
    </row>
    <row r="1232" spans="6:10" ht="15">
      <c r="F1232" s="15"/>
      <c r="H1232" s="15"/>
      <c r="J1232" s="15"/>
    </row>
    <row r="1233" spans="6:10" ht="15">
      <c r="F1233" s="15"/>
      <c r="H1233" s="15"/>
      <c r="J1233" s="15"/>
    </row>
    <row r="1234" spans="6:10" ht="15">
      <c r="F1234" s="15"/>
      <c r="H1234" s="15"/>
      <c r="J1234" s="15"/>
    </row>
    <row r="1235" spans="6:10" ht="15">
      <c r="F1235" s="15"/>
      <c r="H1235" s="15"/>
      <c r="J1235" s="15"/>
    </row>
    <row r="1236" spans="6:10" ht="15">
      <c r="F1236" s="15"/>
      <c r="H1236" s="15"/>
      <c r="J1236" s="15"/>
    </row>
    <row r="1237" spans="6:10" ht="15">
      <c r="F1237" s="15"/>
      <c r="H1237" s="15"/>
      <c r="J1237" s="15"/>
    </row>
    <row r="1238" spans="6:10" ht="15">
      <c r="F1238" s="15"/>
      <c r="H1238" s="15"/>
      <c r="J1238" s="15"/>
    </row>
    <row r="1239" spans="6:10" ht="15">
      <c r="F1239" s="15"/>
      <c r="H1239" s="15"/>
      <c r="J1239" s="15"/>
    </row>
    <row r="1240" spans="6:10" ht="15">
      <c r="F1240" s="15"/>
      <c r="H1240" s="15"/>
      <c r="J1240" s="15"/>
    </row>
    <row r="1241" spans="6:10" ht="15">
      <c r="F1241" s="15"/>
      <c r="H1241" s="15"/>
      <c r="J1241" s="15"/>
    </row>
    <row r="1242" spans="6:10" ht="15">
      <c r="F1242" s="15"/>
      <c r="H1242" s="15"/>
      <c r="J1242" s="15"/>
    </row>
    <row r="1243" spans="6:10" ht="15">
      <c r="F1243" s="15"/>
      <c r="H1243" s="15"/>
      <c r="J1243" s="15"/>
    </row>
    <row r="1244" spans="6:10" ht="15">
      <c r="F1244" s="15"/>
      <c r="H1244" s="15"/>
      <c r="J1244" s="15"/>
    </row>
    <row r="1245" spans="6:10" ht="15">
      <c r="F1245" s="15"/>
      <c r="H1245" s="15"/>
      <c r="J1245" s="15"/>
    </row>
    <row r="1246" spans="6:10" ht="15">
      <c r="F1246" s="15"/>
      <c r="H1246" s="15"/>
      <c r="J1246" s="15"/>
    </row>
    <row r="1247" spans="6:10" ht="15">
      <c r="F1247" s="15"/>
      <c r="H1247" s="15"/>
      <c r="J1247" s="15"/>
    </row>
    <row r="1248" spans="6:10" ht="15">
      <c r="F1248" s="15"/>
      <c r="H1248" s="15"/>
      <c r="J1248" s="15"/>
    </row>
    <row r="1249" spans="6:10" ht="15">
      <c r="F1249" s="15"/>
      <c r="H1249" s="15"/>
      <c r="J1249" s="15"/>
    </row>
    <row r="1250" spans="6:10" ht="15">
      <c r="F1250" s="15"/>
      <c r="H1250" s="15"/>
      <c r="J1250" s="15"/>
    </row>
    <row r="1251" spans="6:10" ht="15">
      <c r="F1251" s="15"/>
      <c r="H1251" s="15"/>
      <c r="J1251" s="15"/>
    </row>
    <row r="1252" spans="6:10" ht="15">
      <c r="F1252" s="15"/>
      <c r="H1252" s="15"/>
      <c r="J1252" s="15"/>
    </row>
    <row r="1253" spans="6:10" ht="15">
      <c r="F1253" s="15"/>
      <c r="H1253" s="15"/>
      <c r="J1253" s="15"/>
    </row>
    <row r="1254" spans="6:10" ht="15">
      <c r="F1254" s="15"/>
      <c r="H1254" s="15"/>
      <c r="J1254" s="15"/>
    </row>
    <row r="1255" spans="6:10" ht="15">
      <c r="F1255" s="15"/>
      <c r="H1255" s="15"/>
      <c r="J1255" s="15"/>
    </row>
    <row r="1256" spans="6:10" ht="15">
      <c r="F1256" s="15"/>
      <c r="H1256" s="15"/>
      <c r="J1256" s="15"/>
    </row>
    <row r="1257" spans="6:10" ht="15">
      <c r="F1257" s="15"/>
      <c r="H1257" s="15"/>
      <c r="J1257" s="15"/>
    </row>
    <row r="1258" spans="6:10" ht="15">
      <c r="F1258" s="15"/>
      <c r="H1258" s="15"/>
      <c r="J1258" s="15"/>
    </row>
    <row r="1259" spans="6:10" ht="15">
      <c r="F1259" s="15"/>
      <c r="H1259" s="15"/>
      <c r="J1259" s="15"/>
    </row>
    <row r="1260" spans="6:10" ht="15">
      <c r="F1260" s="15"/>
      <c r="H1260" s="15"/>
      <c r="J1260" s="15"/>
    </row>
    <row r="1261" spans="6:10" ht="15">
      <c r="F1261" s="15"/>
      <c r="H1261" s="15"/>
      <c r="J1261" s="15"/>
    </row>
    <row r="1262" spans="6:10" ht="15">
      <c r="F1262" s="15"/>
      <c r="H1262" s="15"/>
      <c r="J1262" s="15"/>
    </row>
    <row r="1263" spans="6:10" ht="15">
      <c r="F1263" s="15"/>
      <c r="H1263" s="15"/>
      <c r="J1263" s="15"/>
    </row>
    <row r="1264" spans="6:10" ht="15">
      <c r="F1264" s="15"/>
      <c r="H1264" s="15"/>
      <c r="J1264" s="15"/>
    </row>
    <row r="1265" spans="6:10" ht="15">
      <c r="F1265" s="15"/>
      <c r="H1265" s="15"/>
      <c r="J1265" s="15"/>
    </row>
    <row r="1266" spans="6:10" ht="15">
      <c r="F1266" s="15"/>
      <c r="H1266" s="15"/>
      <c r="J1266" s="15"/>
    </row>
    <row r="1267" spans="6:10" ht="15">
      <c r="F1267" s="15"/>
      <c r="H1267" s="15"/>
      <c r="J1267" s="15"/>
    </row>
    <row r="1268" spans="6:10" ht="15">
      <c r="F1268" s="15"/>
      <c r="H1268" s="15"/>
      <c r="J1268" s="15"/>
    </row>
    <row r="1269" spans="6:10" ht="15">
      <c r="F1269" s="15"/>
      <c r="H1269" s="15"/>
      <c r="J1269" s="15"/>
    </row>
    <row r="1270" spans="6:10" ht="15">
      <c r="F1270" s="15"/>
      <c r="H1270" s="15"/>
      <c r="J1270" s="15"/>
    </row>
    <row r="1271" spans="6:10" ht="15">
      <c r="F1271" s="15"/>
      <c r="H1271" s="15"/>
      <c r="J1271" s="15"/>
    </row>
    <row r="1272" spans="6:10" ht="15">
      <c r="F1272" s="15"/>
      <c r="H1272" s="15"/>
      <c r="J1272" s="15"/>
    </row>
    <row r="1273" spans="6:10" ht="15">
      <c r="F1273" s="15"/>
      <c r="H1273" s="15"/>
      <c r="J1273" s="15"/>
    </row>
    <row r="1274" spans="6:10" ht="15">
      <c r="F1274" s="15"/>
      <c r="H1274" s="15"/>
      <c r="J1274" s="15"/>
    </row>
    <row r="1275" spans="6:10" ht="15">
      <c r="F1275" s="15"/>
      <c r="H1275" s="15"/>
      <c r="J1275" s="15"/>
    </row>
    <row r="1276" spans="6:10" ht="15">
      <c r="F1276" s="15"/>
      <c r="H1276" s="15"/>
      <c r="J1276" s="15"/>
    </row>
    <row r="1277" spans="6:10" ht="15">
      <c r="F1277" s="15"/>
      <c r="H1277" s="15"/>
      <c r="J1277" s="15"/>
    </row>
    <row r="1278" spans="6:10" ht="15">
      <c r="F1278" s="15"/>
      <c r="H1278" s="15"/>
      <c r="J1278" s="15"/>
    </row>
    <row r="1279" spans="6:10" ht="15">
      <c r="F1279" s="15"/>
      <c r="H1279" s="15"/>
      <c r="J1279" s="15"/>
    </row>
    <row r="1280" spans="6:10" ht="15">
      <c r="F1280" s="15"/>
      <c r="H1280" s="15"/>
      <c r="J1280" s="15"/>
    </row>
    <row r="1281" spans="6:10" ht="15">
      <c r="F1281" s="15"/>
      <c r="H1281" s="15"/>
      <c r="J1281" s="15"/>
    </row>
    <row r="1282" spans="6:10" ht="15">
      <c r="F1282" s="15"/>
      <c r="H1282" s="15"/>
      <c r="J1282" s="15"/>
    </row>
    <row r="1283" spans="6:10" ht="15">
      <c r="F1283" s="15"/>
      <c r="H1283" s="15"/>
      <c r="J1283" s="15"/>
    </row>
    <row r="1284" spans="6:10" ht="15">
      <c r="F1284" s="15"/>
      <c r="H1284" s="15"/>
      <c r="J1284" s="15"/>
    </row>
    <row r="1285" spans="6:10" ht="15">
      <c r="F1285" s="15"/>
      <c r="H1285" s="15"/>
      <c r="J1285" s="15"/>
    </row>
    <row r="1286" spans="6:10" ht="15">
      <c r="F1286" s="15"/>
      <c r="H1286" s="15"/>
      <c r="J1286" s="15"/>
    </row>
    <row r="1287" spans="6:10" ht="15">
      <c r="F1287" s="15"/>
      <c r="H1287" s="15"/>
      <c r="J1287" s="15"/>
    </row>
    <row r="1288" spans="6:10" ht="15">
      <c r="F1288" s="15"/>
      <c r="H1288" s="15"/>
      <c r="J1288" s="15"/>
    </row>
    <row r="1289" spans="6:10" ht="15">
      <c r="F1289" s="15"/>
      <c r="H1289" s="15"/>
      <c r="J1289" s="15"/>
    </row>
    <row r="1290" spans="6:10" ht="15">
      <c r="F1290" s="15"/>
      <c r="H1290" s="15"/>
      <c r="J1290" s="15"/>
    </row>
    <row r="1291" spans="6:10" ht="15">
      <c r="F1291" s="15"/>
      <c r="H1291" s="15"/>
      <c r="J1291" s="15"/>
    </row>
    <row r="1292" spans="6:10" ht="15">
      <c r="F1292" s="15"/>
      <c r="H1292" s="15"/>
      <c r="J1292" s="15"/>
    </row>
    <row r="1293" spans="6:10" ht="15">
      <c r="F1293" s="15"/>
      <c r="H1293" s="15"/>
      <c r="J1293" s="15"/>
    </row>
    <row r="1294" spans="6:10" ht="15">
      <c r="F1294" s="15"/>
      <c r="H1294" s="15"/>
      <c r="J1294" s="15"/>
    </row>
    <row r="1295" spans="6:10" ht="15">
      <c r="F1295" s="15"/>
      <c r="H1295" s="15"/>
      <c r="J1295" s="15"/>
    </row>
    <row r="1296" spans="6:10" ht="15">
      <c r="F1296" s="15"/>
      <c r="H1296" s="15"/>
      <c r="J1296" s="15"/>
    </row>
    <row r="1297" spans="6:10" ht="15">
      <c r="F1297" s="15"/>
      <c r="H1297" s="15"/>
      <c r="J1297" s="15"/>
    </row>
    <row r="1298" spans="6:10" ht="15">
      <c r="F1298" s="15"/>
      <c r="H1298" s="15"/>
      <c r="J1298" s="15"/>
    </row>
    <row r="1299" spans="6:10" ht="15">
      <c r="F1299" s="15"/>
      <c r="H1299" s="15"/>
      <c r="J1299" s="15"/>
    </row>
    <row r="1300" spans="6:10" ht="15">
      <c r="F1300" s="15"/>
      <c r="H1300" s="15"/>
      <c r="J1300" s="15"/>
    </row>
    <row r="1301" spans="6:10" ht="15">
      <c r="F1301" s="15"/>
      <c r="H1301" s="15"/>
      <c r="J1301" s="15"/>
    </row>
    <row r="1302" spans="6:10" ht="15">
      <c r="F1302" s="15"/>
      <c r="H1302" s="15"/>
      <c r="J1302" s="15"/>
    </row>
    <row r="1303" spans="6:10" ht="15">
      <c r="F1303" s="15"/>
      <c r="H1303" s="15"/>
      <c r="J1303" s="15"/>
    </row>
    <row r="1304" spans="6:10" ht="15">
      <c r="F1304" s="15"/>
      <c r="H1304" s="15"/>
      <c r="J1304" s="15"/>
    </row>
    <row r="1305" spans="6:10" ht="15">
      <c r="F1305" s="15"/>
      <c r="H1305" s="15"/>
      <c r="J1305" s="15"/>
    </row>
    <row r="1306" spans="6:10" ht="15">
      <c r="F1306" s="15"/>
      <c r="H1306" s="15"/>
      <c r="J1306" s="15"/>
    </row>
    <row r="1307" spans="6:10" ht="15">
      <c r="F1307" s="15"/>
      <c r="H1307" s="15"/>
      <c r="J1307" s="15"/>
    </row>
    <row r="1308" spans="6:10" ht="15">
      <c r="F1308" s="15"/>
      <c r="H1308" s="15"/>
      <c r="J1308" s="15"/>
    </row>
    <row r="1309" spans="6:10" ht="15">
      <c r="F1309" s="15"/>
      <c r="H1309" s="15"/>
      <c r="J1309" s="15"/>
    </row>
    <row r="1310" spans="6:10" ht="15">
      <c r="F1310" s="15"/>
      <c r="H1310" s="15"/>
      <c r="J1310" s="15"/>
    </row>
    <row r="1311" spans="6:10" ht="15">
      <c r="F1311" s="15"/>
      <c r="H1311" s="15"/>
      <c r="J1311" s="15"/>
    </row>
    <row r="1312" spans="6:10" ht="15">
      <c r="F1312" s="15"/>
      <c r="H1312" s="15"/>
      <c r="J1312" s="15"/>
    </row>
    <row r="1313" spans="6:10" ht="15">
      <c r="F1313" s="15"/>
      <c r="H1313" s="15"/>
      <c r="J1313" s="15"/>
    </row>
    <row r="1314" spans="6:10" ht="15">
      <c r="F1314" s="15"/>
      <c r="H1314" s="15"/>
      <c r="J1314" s="15"/>
    </row>
    <row r="1315" spans="6:10" ht="15">
      <c r="F1315" s="15"/>
      <c r="H1315" s="15"/>
      <c r="J1315" s="15"/>
    </row>
    <row r="1316" spans="6:10" ht="15">
      <c r="F1316" s="15"/>
      <c r="H1316" s="15"/>
      <c r="J1316" s="15"/>
    </row>
    <row r="1317" spans="6:10" ht="15">
      <c r="F1317" s="15"/>
      <c r="H1317" s="15"/>
      <c r="J1317" s="15"/>
    </row>
    <row r="1318" spans="6:10" ht="15">
      <c r="F1318" s="15"/>
      <c r="H1318" s="15"/>
      <c r="J1318" s="15"/>
    </row>
    <row r="1319" spans="6:10" ht="15">
      <c r="F1319" s="15"/>
      <c r="H1319" s="15"/>
      <c r="J1319" s="15"/>
    </row>
    <row r="1320" spans="6:10" ht="15">
      <c r="F1320" s="15"/>
      <c r="H1320" s="15"/>
      <c r="J1320" s="15"/>
    </row>
    <row r="1321" spans="6:10" ht="15">
      <c r="F1321" s="15"/>
      <c r="H1321" s="15"/>
      <c r="J1321" s="15"/>
    </row>
    <row r="1322" spans="6:10" ht="15">
      <c r="F1322" s="15"/>
      <c r="H1322" s="15"/>
      <c r="J1322" s="15"/>
    </row>
    <row r="1323" spans="6:10" ht="15">
      <c r="F1323" s="15"/>
      <c r="H1323" s="15"/>
      <c r="J1323" s="15"/>
    </row>
    <row r="1324" spans="6:10" ht="15">
      <c r="F1324" s="15"/>
      <c r="H1324" s="15"/>
      <c r="J1324" s="15"/>
    </row>
    <row r="1325" spans="6:10" ht="15">
      <c r="F1325" s="15"/>
      <c r="H1325" s="15"/>
      <c r="J1325" s="15"/>
    </row>
    <row r="1326" spans="6:10" ht="15">
      <c r="F1326" s="15"/>
      <c r="H1326" s="15"/>
      <c r="J1326" s="15"/>
    </row>
    <row r="1327" spans="6:10" ht="15">
      <c r="F1327" s="15"/>
      <c r="H1327" s="15"/>
      <c r="J1327" s="15"/>
    </row>
    <row r="1328" spans="6:10" ht="15">
      <c r="F1328" s="15"/>
      <c r="H1328" s="15"/>
      <c r="J1328" s="15"/>
    </row>
    <row r="1329" spans="6:10" ht="15">
      <c r="F1329" s="15"/>
      <c r="H1329" s="15"/>
      <c r="J1329" s="15"/>
    </row>
    <row r="1330" spans="6:10" ht="15">
      <c r="F1330" s="15"/>
      <c r="H1330" s="15"/>
      <c r="J1330" s="15"/>
    </row>
    <row r="1331" spans="6:10" ht="15">
      <c r="F1331" s="15"/>
      <c r="H1331" s="15"/>
      <c r="J1331" s="15"/>
    </row>
    <row r="1332" spans="6:10" ht="15">
      <c r="F1332" s="15"/>
      <c r="H1332" s="15"/>
      <c r="J1332" s="15"/>
    </row>
    <row r="1333" spans="6:10" ht="15">
      <c r="F1333" s="15"/>
      <c r="H1333" s="15"/>
      <c r="J1333" s="15"/>
    </row>
    <row r="1334" spans="6:10" ht="15">
      <c r="F1334" s="15"/>
      <c r="H1334" s="15"/>
      <c r="J1334" s="15"/>
    </row>
    <row r="1335" spans="6:10" ht="15">
      <c r="F1335" s="15"/>
      <c r="H1335" s="15"/>
      <c r="J1335" s="15"/>
    </row>
    <row r="1336" spans="6:10" ht="15">
      <c r="F1336" s="15"/>
      <c r="H1336" s="15"/>
      <c r="J1336" s="15"/>
    </row>
    <row r="1337" spans="6:10" ht="15">
      <c r="F1337" s="15"/>
      <c r="H1337" s="15"/>
      <c r="J1337" s="15"/>
    </row>
    <row r="1338" spans="6:10" ht="15">
      <c r="F1338" s="15"/>
      <c r="H1338" s="15"/>
      <c r="J1338" s="15"/>
    </row>
    <row r="1339" spans="6:10" ht="15">
      <c r="F1339" s="15"/>
      <c r="H1339" s="15"/>
      <c r="J1339" s="15"/>
    </row>
    <row r="1340" spans="6:10" ht="15">
      <c r="F1340" s="15"/>
      <c r="H1340" s="15"/>
      <c r="J1340" s="15"/>
    </row>
    <row r="1341" spans="6:10" ht="15">
      <c r="F1341" s="15"/>
      <c r="H1341" s="15"/>
      <c r="J1341" s="15"/>
    </row>
    <row r="1342" spans="6:10" ht="15">
      <c r="F1342" s="15"/>
      <c r="H1342" s="15"/>
      <c r="J1342" s="15"/>
    </row>
    <row r="1343" spans="6:10" ht="15">
      <c r="F1343" s="15"/>
      <c r="H1343" s="15"/>
      <c r="J1343" s="15"/>
    </row>
    <row r="1344" spans="6:10" ht="15">
      <c r="F1344" s="15"/>
      <c r="H1344" s="15"/>
      <c r="J1344" s="15"/>
    </row>
    <row r="1345" spans="6:10" ht="15">
      <c r="F1345" s="15"/>
      <c r="H1345" s="15"/>
      <c r="J1345" s="15"/>
    </row>
    <row r="1346" spans="6:10" ht="15">
      <c r="F1346" s="15"/>
      <c r="H1346" s="15"/>
      <c r="J1346" s="15"/>
    </row>
    <row r="1347" spans="6:10" ht="15">
      <c r="F1347" s="15"/>
      <c r="H1347" s="15"/>
      <c r="J1347" s="15"/>
    </row>
    <row r="1348" spans="6:10" ht="15">
      <c r="F1348" s="15"/>
      <c r="H1348" s="15"/>
      <c r="J1348" s="15"/>
    </row>
    <row r="1349" spans="6:10" ht="15">
      <c r="F1349" s="15"/>
      <c r="H1349" s="15"/>
      <c r="J1349" s="15"/>
    </row>
    <row r="1350" spans="6:10" ht="15">
      <c r="F1350" s="15"/>
      <c r="H1350" s="15"/>
      <c r="J1350" s="15"/>
    </row>
    <row r="1351" spans="6:10" ht="15">
      <c r="F1351" s="15"/>
      <c r="H1351" s="15"/>
      <c r="J1351" s="15"/>
    </row>
    <row r="1352" spans="6:10" ht="15">
      <c r="F1352" s="15"/>
      <c r="H1352" s="15"/>
      <c r="J1352" s="15"/>
    </row>
    <row r="1353" spans="6:10" ht="15">
      <c r="F1353" s="15"/>
      <c r="H1353" s="15"/>
      <c r="J1353" s="15"/>
    </row>
    <row r="1354" spans="6:10" ht="15">
      <c r="F1354" s="15"/>
      <c r="H1354" s="15"/>
      <c r="J1354" s="15"/>
    </row>
    <row r="1355" spans="6:10" ht="15">
      <c r="F1355" s="15"/>
      <c r="H1355" s="15"/>
      <c r="J1355" s="15"/>
    </row>
    <row r="1356" spans="6:10" ht="15">
      <c r="F1356" s="15"/>
      <c r="H1356" s="15"/>
      <c r="J1356" s="15"/>
    </row>
    <row r="1357" spans="6:10" ht="15">
      <c r="F1357" s="15"/>
      <c r="H1357" s="15"/>
      <c r="J1357" s="15"/>
    </row>
    <row r="1358" spans="6:10" ht="15">
      <c r="F1358" s="15"/>
      <c r="H1358" s="15"/>
      <c r="J1358" s="15"/>
    </row>
    <row r="1359" spans="6:10" ht="15">
      <c r="F1359" s="15"/>
      <c r="H1359" s="15"/>
      <c r="J1359" s="15"/>
    </row>
    <row r="1360" spans="6:10" ht="15">
      <c r="F1360" s="15"/>
      <c r="H1360" s="15"/>
      <c r="J1360" s="15"/>
    </row>
    <row r="1361" spans="6:10" ht="15">
      <c r="F1361" s="15"/>
      <c r="H1361" s="15"/>
      <c r="J1361" s="15"/>
    </row>
    <row r="1362" spans="6:10" ht="15">
      <c r="F1362" s="15"/>
      <c r="H1362" s="15"/>
      <c r="J1362" s="15"/>
    </row>
    <row r="1363" spans="6:10" ht="15">
      <c r="F1363" s="15"/>
      <c r="H1363" s="15"/>
      <c r="J1363" s="15"/>
    </row>
    <row r="1364" spans="6:10" ht="15">
      <c r="F1364" s="15"/>
      <c r="H1364" s="15"/>
      <c r="J1364" s="15"/>
    </row>
    <row r="1365" spans="6:10" ht="15">
      <c r="F1365" s="15"/>
      <c r="H1365" s="15"/>
      <c r="J1365" s="15"/>
    </row>
    <row r="1366" spans="6:10" ht="15">
      <c r="F1366" s="15"/>
      <c r="H1366" s="15"/>
      <c r="J1366" s="15"/>
    </row>
    <row r="1367" spans="6:10" ht="15">
      <c r="F1367" s="15"/>
      <c r="H1367" s="15"/>
      <c r="J1367" s="15"/>
    </row>
    <row r="1368" spans="6:10" ht="15">
      <c r="F1368" s="15"/>
      <c r="H1368" s="15"/>
      <c r="J1368" s="15"/>
    </row>
    <row r="1369" spans="6:10" ht="15">
      <c r="F1369" s="15"/>
      <c r="H1369" s="15"/>
      <c r="J1369" s="15"/>
    </row>
    <row r="1370" spans="6:10" ht="15">
      <c r="F1370" s="15"/>
      <c r="H1370" s="15"/>
      <c r="J1370" s="15"/>
    </row>
    <row r="1371" spans="6:10" ht="15">
      <c r="F1371" s="15"/>
      <c r="H1371" s="15"/>
      <c r="J1371" s="15"/>
    </row>
    <row r="1372" spans="6:10" ht="15">
      <c r="F1372" s="15"/>
      <c r="H1372" s="15"/>
      <c r="J1372" s="15"/>
    </row>
    <row r="1373" spans="6:10" ht="15">
      <c r="F1373" s="15"/>
      <c r="H1373" s="15"/>
      <c r="J1373" s="15"/>
    </row>
    <row r="1374" spans="6:10" ht="15">
      <c r="F1374" s="15"/>
      <c r="H1374" s="15"/>
      <c r="J1374" s="15"/>
    </row>
    <row r="1375" spans="6:10" ht="15">
      <c r="F1375" s="15"/>
      <c r="H1375" s="15"/>
      <c r="J1375" s="15"/>
    </row>
    <row r="1376" spans="6:10" ht="15">
      <c r="F1376" s="15"/>
      <c r="H1376" s="15"/>
      <c r="J1376" s="15"/>
    </row>
    <row r="1377" spans="6:10" ht="15">
      <c r="F1377" s="15"/>
      <c r="H1377" s="15"/>
      <c r="J1377" s="15"/>
    </row>
    <row r="1378" spans="6:10" ht="15">
      <c r="F1378" s="15"/>
      <c r="H1378" s="15"/>
      <c r="J1378" s="15"/>
    </row>
    <row r="1379" spans="6:10" ht="15">
      <c r="F1379" s="15"/>
      <c r="H1379" s="15"/>
      <c r="J1379" s="15"/>
    </row>
    <row r="1380" spans="6:10" ht="15">
      <c r="F1380" s="15"/>
      <c r="H1380" s="15"/>
      <c r="J1380" s="15"/>
    </row>
    <row r="1381" spans="6:10" ht="15">
      <c r="F1381" s="15"/>
      <c r="H1381" s="15"/>
      <c r="J1381" s="15"/>
    </row>
    <row r="1382" spans="6:10" ht="15">
      <c r="F1382" s="15"/>
      <c r="H1382" s="15"/>
      <c r="J1382" s="15"/>
    </row>
    <row r="1383" spans="6:10" ht="15">
      <c r="F1383" s="15"/>
      <c r="H1383" s="15"/>
      <c r="J1383" s="15"/>
    </row>
    <row r="1384" spans="6:10" ht="15">
      <c r="F1384" s="15"/>
      <c r="H1384" s="15"/>
      <c r="J1384" s="15"/>
    </row>
    <row r="1385" spans="6:10" ht="15">
      <c r="F1385" s="15"/>
      <c r="H1385" s="15"/>
      <c r="J1385" s="15"/>
    </row>
    <row r="1386" spans="6:10" ht="15">
      <c r="F1386" s="15"/>
      <c r="H1386" s="15"/>
      <c r="J1386" s="15"/>
    </row>
    <row r="1387" spans="6:10" ht="15">
      <c r="F1387" s="15"/>
      <c r="H1387" s="15"/>
      <c r="J1387" s="15"/>
    </row>
    <row r="1388" spans="6:10" ht="15">
      <c r="F1388" s="15"/>
      <c r="H1388" s="15"/>
      <c r="J1388" s="15"/>
    </row>
    <row r="1389" spans="6:10" ht="15">
      <c r="F1389" s="15"/>
      <c r="H1389" s="15"/>
      <c r="J1389" s="15"/>
    </row>
    <row r="1390" spans="6:10" ht="15">
      <c r="F1390" s="15"/>
      <c r="H1390" s="15"/>
      <c r="J1390" s="15"/>
    </row>
    <row r="1391" spans="6:10" ht="15">
      <c r="F1391" s="15"/>
      <c r="H1391" s="15"/>
      <c r="J1391" s="15"/>
    </row>
    <row r="1392" spans="6:10" ht="15">
      <c r="F1392" s="15"/>
      <c r="H1392" s="15"/>
      <c r="J1392" s="15"/>
    </row>
    <row r="1393" spans="6:10" ht="15">
      <c r="F1393" s="15"/>
      <c r="H1393" s="15"/>
      <c r="J1393" s="15"/>
    </row>
    <row r="1394" spans="6:10" ht="15">
      <c r="F1394" s="15"/>
      <c r="H1394" s="15"/>
      <c r="J1394" s="15"/>
    </row>
    <row r="1395" spans="6:10" ht="15">
      <c r="F1395" s="15"/>
      <c r="H1395" s="15"/>
      <c r="J1395" s="15"/>
    </row>
    <row r="1396" spans="6:10" ht="15">
      <c r="F1396" s="15"/>
      <c r="H1396" s="15"/>
      <c r="J1396" s="15"/>
    </row>
    <row r="1397" spans="6:10" ht="15">
      <c r="F1397" s="15"/>
      <c r="H1397" s="15"/>
      <c r="J1397" s="15"/>
    </row>
    <row r="1398" spans="6:10" ht="15">
      <c r="F1398" s="15"/>
      <c r="H1398" s="15"/>
      <c r="J1398" s="15"/>
    </row>
    <row r="1399" spans="6:10" ht="15">
      <c r="F1399" s="15"/>
      <c r="H1399" s="15"/>
      <c r="J1399" s="15"/>
    </row>
    <row r="1400" spans="6:10" ht="15">
      <c r="F1400" s="15"/>
      <c r="H1400" s="15"/>
      <c r="J1400" s="15"/>
    </row>
    <row r="1401" spans="6:10" ht="15">
      <c r="F1401" s="15"/>
      <c r="H1401" s="15"/>
      <c r="J1401" s="15"/>
    </row>
    <row r="1402" spans="6:10" ht="15">
      <c r="F1402" s="15"/>
      <c r="H1402" s="15"/>
      <c r="J1402" s="15"/>
    </row>
    <row r="1403" spans="6:10" ht="15">
      <c r="F1403" s="15"/>
      <c r="H1403" s="15"/>
      <c r="J1403" s="15"/>
    </row>
    <row r="1404" spans="6:10" ht="15">
      <c r="F1404" s="15"/>
      <c r="H1404" s="15"/>
      <c r="J1404" s="15"/>
    </row>
    <row r="1405" spans="6:10" ht="15">
      <c r="F1405" s="15"/>
      <c r="H1405" s="15"/>
      <c r="J1405" s="15"/>
    </row>
    <row r="1406" spans="6:10" ht="15">
      <c r="F1406" s="15"/>
      <c r="H1406" s="15"/>
      <c r="J1406" s="15"/>
    </row>
    <row r="1407" spans="6:10" ht="15">
      <c r="F1407" s="15"/>
      <c r="H1407" s="15"/>
      <c r="J1407" s="15"/>
    </row>
    <row r="1408" spans="6:10" ht="15">
      <c r="F1408" s="15"/>
      <c r="H1408" s="15"/>
      <c r="J1408" s="15"/>
    </row>
    <row r="1409" spans="6:10" ht="15">
      <c r="F1409" s="15"/>
      <c r="H1409" s="15"/>
      <c r="J1409" s="15"/>
    </row>
    <row r="1410" spans="6:10" ht="15">
      <c r="F1410" s="15"/>
      <c r="H1410" s="15"/>
      <c r="J1410" s="15"/>
    </row>
    <row r="1411" spans="6:10" ht="15">
      <c r="F1411" s="15"/>
      <c r="H1411" s="15"/>
      <c r="J1411" s="15"/>
    </row>
    <row r="1412" spans="6:10" ht="15">
      <c r="F1412" s="15"/>
      <c r="H1412" s="15"/>
      <c r="J1412" s="15"/>
    </row>
    <row r="1413" spans="6:10" ht="15">
      <c r="F1413" s="15"/>
      <c r="H1413" s="15"/>
      <c r="J1413" s="15"/>
    </row>
    <row r="1414" spans="6:10" ht="15">
      <c r="F1414" s="15"/>
      <c r="H1414" s="15"/>
      <c r="J1414" s="15"/>
    </row>
    <row r="1415" spans="6:10" ht="15">
      <c r="F1415" s="15"/>
      <c r="H1415" s="15"/>
      <c r="J1415" s="15"/>
    </row>
    <row r="1416" spans="6:10" ht="15">
      <c r="F1416" s="15"/>
      <c r="H1416" s="15"/>
      <c r="J1416" s="15"/>
    </row>
    <row r="1417" spans="6:10" ht="15">
      <c r="F1417" s="15"/>
      <c r="H1417" s="15"/>
      <c r="J1417" s="15"/>
    </row>
    <row r="1418" spans="6:10" ht="15">
      <c r="F1418" s="15"/>
      <c r="H1418" s="15"/>
      <c r="J1418" s="15"/>
    </row>
    <row r="1419" spans="6:10" ht="15">
      <c r="F1419" s="15"/>
      <c r="H1419" s="15"/>
      <c r="J1419" s="15"/>
    </row>
    <row r="1420" spans="6:10" ht="15">
      <c r="F1420" s="15"/>
      <c r="H1420" s="15"/>
      <c r="J1420" s="15"/>
    </row>
    <row r="1421" spans="6:10" ht="15">
      <c r="F1421" s="15"/>
      <c r="H1421" s="15"/>
      <c r="J1421" s="15"/>
    </row>
    <row r="1422" spans="6:10" ht="15">
      <c r="F1422" s="15"/>
      <c r="H1422" s="15"/>
      <c r="J1422" s="15"/>
    </row>
    <row r="1423" spans="6:10" ht="15">
      <c r="F1423" s="15"/>
      <c r="H1423" s="15"/>
      <c r="J1423" s="15"/>
    </row>
    <row r="1424" spans="6:10" ht="15">
      <c r="F1424" s="15"/>
      <c r="H1424" s="15"/>
      <c r="J1424" s="15"/>
    </row>
    <row r="1425" spans="6:10" ht="15">
      <c r="F1425" s="15"/>
      <c r="H1425" s="15"/>
      <c r="J1425" s="15"/>
    </row>
    <row r="1426" spans="6:10" ht="15">
      <c r="F1426" s="15"/>
      <c r="H1426" s="15"/>
      <c r="J1426" s="15"/>
    </row>
    <row r="1427" spans="6:10" ht="15">
      <c r="F1427" s="15"/>
      <c r="H1427" s="15"/>
      <c r="J1427" s="15"/>
    </row>
    <row r="1428" spans="6:10" ht="15">
      <c r="F1428" s="15"/>
      <c r="H1428" s="15"/>
      <c r="J1428" s="15"/>
    </row>
    <row r="1429" spans="6:10" ht="15">
      <c r="F1429" s="15"/>
      <c r="H1429" s="15"/>
      <c r="J1429" s="15"/>
    </row>
    <row r="1430" spans="6:10" ht="15">
      <c r="F1430" s="15"/>
      <c r="H1430" s="15"/>
      <c r="J1430" s="15"/>
    </row>
    <row r="1431" spans="6:10" ht="15">
      <c r="F1431" s="15"/>
      <c r="H1431" s="15"/>
      <c r="J1431" s="15"/>
    </row>
    <row r="1432" spans="6:10" ht="15">
      <c r="F1432" s="15"/>
      <c r="H1432" s="15"/>
      <c r="J1432" s="15"/>
    </row>
    <row r="1433" spans="6:10" ht="15">
      <c r="F1433" s="15"/>
      <c r="H1433" s="15"/>
      <c r="J1433" s="15"/>
    </row>
    <row r="1434" spans="6:10" ht="15">
      <c r="F1434" s="15"/>
      <c r="H1434" s="15"/>
      <c r="J1434" s="15"/>
    </row>
    <row r="1435" spans="6:10" ht="15">
      <c r="F1435" s="15"/>
      <c r="H1435" s="15"/>
      <c r="J1435" s="15"/>
    </row>
    <row r="1436" spans="6:10" ht="15">
      <c r="F1436" s="15"/>
      <c r="H1436" s="15"/>
      <c r="J1436" s="15"/>
    </row>
    <row r="1437" spans="6:10" ht="15">
      <c r="F1437" s="15"/>
      <c r="H1437" s="15"/>
      <c r="J1437" s="15"/>
    </row>
    <row r="1438" spans="6:10" ht="15">
      <c r="F1438" s="15"/>
      <c r="H1438" s="15"/>
      <c r="J1438" s="15"/>
    </row>
    <row r="1439" spans="6:10" ht="15">
      <c r="F1439" s="15"/>
      <c r="H1439" s="15"/>
      <c r="J1439" s="15"/>
    </row>
    <row r="1440" spans="6:10" ht="15">
      <c r="F1440" s="15"/>
      <c r="H1440" s="15"/>
      <c r="J1440" s="15"/>
    </row>
    <row r="1441" spans="6:10" ht="15">
      <c r="F1441" s="15"/>
      <c r="H1441" s="15"/>
      <c r="J1441" s="15"/>
    </row>
    <row r="1442" spans="6:10" ht="15">
      <c r="F1442" s="15"/>
      <c r="H1442" s="15"/>
      <c r="J1442" s="15"/>
    </row>
    <row r="1443" spans="6:10" ht="15">
      <c r="F1443" s="15"/>
      <c r="H1443" s="15"/>
      <c r="J1443" s="15"/>
    </row>
    <row r="1444" spans="6:10" ht="15">
      <c r="F1444" s="15"/>
      <c r="H1444" s="15"/>
      <c r="J1444" s="15"/>
    </row>
    <row r="1445" spans="6:10" ht="15">
      <c r="F1445" s="15"/>
      <c r="H1445" s="15"/>
      <c r="J1445" s="15"/>
    </row>
    <row r="1446" spans="6:10" ht="15">
      <c r="F1446" s="15"/>
      <c r="H1446" s="15"/>
      <c r="J1446" s="15"/>
    </row>
    <row r="1447" spans="6:10" ht="15">
      <c r="F1447" s="15"/>
      <c r="H1447" s="15"/>
      <c r="J1447" s="15"/>
    </row>
    <row r="1448" spans="6:10" ht="15">
      <c r="F1448" s="15"/>
      <c r="H1448" s="15"/>
      <c r="J1448" s="15"/>
    </row>
    <row r="1449" spans="6:10" ht="15">
      <c r="F1449" s="15"/>
      <c r="H1449" s="15"/>
      <c r="J1449" s="15"/>
    </row>
    <row r="1450" spans="6:10" ht="15">
      <c r="F1450" s="15"/>
      <c r="H1450" s="15"/>
      <c r="J1450" s="15"/>
    </row>
    <row r="1451" spans="6:10" ht="15">
      <c r="F1451" s="15"/>
      <c r="H1451" s="15"/>
      <c r="J1451" s="15"/>
    </row>
    <row r="1452" spans="6:10" ht="15">
      <c r="F1452" s="15"/>
      <c r="H1452" s="15"/>
      <c r="J1452" s="15"/>
    </row>
    <row r="1453" spans="6:10" ht="15">
      <c r="F1453" s="15"/>
      <c r="H1453" s="15"/>
      <c r="J1453" s="15"/>
    </row>
    <row r="1454" spans="6:10" ht="15">
      <c r="F1454" s="15"/>
      <c r="H1454" s="15"/>
      <c r="J1454" s="15"/>
    </row>
    <row r="1455" spans="6:10" ht="15">
      <c r="F1455" s="15"/>
      <c r="H1455" s="15"/>
      <c r="J1455" s="15"/>
    </row>
    <row r="1456" spans="6:10" ht="15">
      <c r="F1456" s="15"/>
      <c r="H1456" s="15"/>
      <c r="J1456" s="15"/>
    </row>
    <row r="1457" spans="6:10" ht="15">
      <c r="F1457" s="15"/>
      <c r="H1457" s="15"/>
      <c r="J1457" s="15"/>
    </row>
    <row r="1458" spans="6:10" ht="15">
      <c r="F1458" s="15"/>
      <c r="H1458" s="15"/>
      <c r="J1458" s="15"/>
    </row>
    <row r="1459" spans="6:10" ht="15">
      <c r="F1459" s="15"/>
      <c r="H1459" s="15"/>
      <c r="J1459" s="15"/>
    </row>
    <row r="1460" spans="6:10" ht="15">
      <c r="F1460" s="15"/>
      <c r="H1460" s="15"/>
      <c r="J1460" s="15"/>
    </row>
    <row r="1461" spans="6:10" ht="15">
      <c r="F1461" s="15"/>
      <c r="H1461" s="15"/>
      <c r="J1461" s="15"/>
    </row>
    <row r="1462" spans="6:10" ht="15">
      <c r="F1462" s="15"/>
      <c r="H1462" s="15"/>
      <c r="J1462" s="15"/>
    </row>
    <row r="1463" spans="6:10" ht="15">
      <c r="F1463" s="15"/>
      <c r="H1463" s="15"/>
      <c r="J1463" s="15"/>
    </row>
    <row r="1464" spans="6:10" ht="15">
      <c r="F1464" s="15"/>
      <c r="H1464" s="15"/>
      <c r="J1464" s="15"/>
    </row>
    <row r="1465" spans="6:10" ht="15">
      <c r="F1465" s="15"/>
      <c r="H1465" s="15"/>
      <c r="J1465" s="15"/>
    </row>
    <row r="1466" spans="6:10" ht="15">
      <c r="F1466" s="15"/>
      <c r="H1466" s="15"/>
      <c r="J1466" s="15"/>
    </row>
    <row r="1467" spans="6:10" ht="15">
      <c r="F1467" s="15"/>
      <c r="H1467" s="15"/>
      <c r="J1467" s="15"/>
    </row>
    <row r="1468" spans="6:10" ht="15">
      <c r="F1468" s="15"/>
      <c r="H1468" s="15"/>
      <c r="J1468" s="15"/>
    </row>
    <row r="1469" spans="6:10" ht="15">
      <c r="F1469" s="15"/>
      <c r="H1469" s="15"/>
      <c r="J1469" s="15"/>
    </row>
    <row r="1470" spans="6:10" ht="15">
      <c r="F1470" s="15"/>
      <c r="H1470" s="15"/>
      <c r="J1470" s="15"/>
    </row>
    <row r="1471" spans="6:10" ht="15">
      <c r="F1471" s="15"/>
      <c r="H1471" s="15"/>
      <c r="J1471" s="15"/>
    </row>
    <row r="1472" spans="6:10" ht="15">
      <c r="F1472" s="15"/>
      <c r="H1472" s="15"/>
      <c r="J1472" s="15"/>
    </row>
    <row r="1473" spans="6:10" ht="15">
      <c r="F1473" s="15"/>
      <c r="H1473" s="15"/>
      <c r="J1473" s="15"/>
    </row>
    <row r="1474" spans="6:10" ht="15">
      <c r="F1474" s="15"/>
      <c r="H1474" s="15"/>
      <c r="J1474" s="15"/>
    </row>
    <row r="1475" spans="6:10" ht="15">
      <c r="F1475" s="15"/>
      <c r="H1475" s="15"/>
      <c r="J1475" s="15"/>
    </row>
    <row r="1476" spans="6:10" ht="15">
      <c r="F1476" s="15"/>
      <c r="H1476" s="15"/>
      <c r="J1476" s="15"/>
    </row>
    <row r="1477" spans="6:10" ht="15">
      <c r="F1477" s="15"/>
      <c r="H1477" s="15"/>
      <c r="J1477" s="15"/>
    </row>
    <row r="1478" spans="6:10" ht="15">
      <c r="F1478" s="15"/>
      <c r="H1478" s="15"/>
      <c r="J1478" s="15"/>
    </row>
    <row r="1479" spans="6:10" ht="15">
      <c r="F1479" s="15"/>
      <c r="H1479" s="15"/>
      <c r="J1479" s="15"/>
    </row>
    <row r="1480" spans="6:10" ht="15">
      <c r="F1480" s="15"/>
      <c r="H1480" s="15"/>
      <c r="J1480" s="15"/>
    </row>
    <row r="1481" spans="6:10" ht="15">
      <c r="F1481" s="15"/>
      <c r="H1481" s="15"/>
      <c r="J1481" s="15"/>
    </row>
    <row r="1482" spans="6:10" ht="15">
      <c r="F1482" s="15"/>
      <c r="H1482" s="15"/>
      <c r="J1482" s="15"/>
    </row>
    <row r="1483" spans="6:10" ht="15">
      <c r="F1483" s="15"/>
      <c r="H1483" s="15"/>
      <c r="J1483" s="15"/>
    </row>
    <row r="1484" spans="6:10" ht="15">
      <c r="F1484" s="15"/>
      <c r="H1484" s="15"/>
      <c r="J1484" s="15"/>
    </row>
    <row r="1485" spans="6:10" ht="15">
      <c r="F1485" s="15"/>
      <c r="H1485" s="15"/>
      <c r="J1485" s="15"/>
    </row>
    <row r="1486" spans="6:10" ht="15">
      <c r="F1486" s="15"/>
      <c r="H1486" s="15"/>
      <c r="J1486" s="15"/>
    </row>
    <row r="1487" spans="6:10" ht="15">
      <c r="F1487" s="15"/>
      <c r="H1487" s="15"/>
      <c r="J1487" s="15"/>
    </row>
    <row r="1488" spans="6:10" ht="15">
      <c r="F1488" s="15"/>
      <c r="H1488" s="15"/>
      <c r="J1488" s="15"/>
    </row>
    <row r="1489" spans="6:10" ht="15">
      <c r="F1489" s="15"/>
      <c r="H1489" s="15"/>
      <c r="J1489" s="15"/>
    </row>
    <row r="1490" spans="6:10" ht="15">
      <c r="F1490" s="15"/>
      <c r="H1490" s="15"/>
      <c r="J1490" s="15"/>
    </row>
    <row r="1491" spans="6:10" ht="15">
      <c r="F1491" s="15"/>
      <c r="H1491" s="15"/>
      <c r="J1491" s="15"/>
    </row>
    <row r="1492" spans="6:10" ht="15">
      <c r="F1492" s="15"/>
      <c r="H1492" s="15"/>
      <c r="J1492" s="15"/>
    </row>
    <row r="1493" spans="6:10" ht="15">
      <c r="F1493" s="15"/>
      <c r="H1493" s="15"/>
      <c r="J1493" s="15"/>
    </row>
    <row r="1494" spans="6:10" ht="15">
      <c r="F1494" s="15"/>
      <c r="H1494" s="15"/>
      <c r="J1494" s="15"/>
    </row>
    <row r="1495" spans="6:10" ht="15">
      <c r="F1495" s="15"/>
      <c r="H1495" s="15"/>
      <c r="J1495" s="15"/>
    </row>
    <row r="1496" spans="6:10" ht="15">
      <c r="F1496" s="15"/>
      <c r="H1496" s="15"/>
      <c r="J1496" s="15"/>
    </row>
    <row r="1497" spans="6:10" ht="15">
      <c r="F1497" s="15"/>
      <c r="H1497" s="15"/>
      <c r="J1497" s="15"/>
    </row>
    <row r="1498" spans="6:10" ht="15">
      <c r="F1498" s="15"/>
      <c r="H1498" s="15"/>
      <c r="J1498" s="15"/>
    </row>
    <row r="1499" spans="6:10" ht="15">
      <c r="F1499" s="15"/>
      <c r="H1499" s="15"/>
      <c r="J1499" s="15"/>
    </row>
    <row r="1500" spans="6:10" ht="15">
      <c r="F1500" s="15"/>
      <c r="H1500" s="15"/>
      <c r="J1500" s="15"/>
    </row>
    <row r="1501" spans="6:10" ht="15">
      <c r="F1501" s="15"/>
      <c r="H1501" s="15"/>
      <c r="J1501" s="15"/>
    </row>
    <row r="1502" spans="6:10" ht="15">
      <c r="F1502" s="15"/>
      <c r="H1502" s="15"/>
      <c r="J1502" s="15"/>
    </row>
    <row r="1503" spans="6:10" ht="15">
      <c r="F1503" s="15"/>
      <c r="H1503" s="15"/>
      <c r="J1503" s="15"/>
    </row>
    <row r="1504" spans="6:10" ht="15">
      <c r="F1504" s="15"/>
      <c r="H1504" s="15"/>
      <c r="J1504" s="15"/>
    </row>
    <row r="1505" spans="6:10" ht="15">
      <c r="F1505" s="15"/>
      <c r="H1505" s="15"/>
      <c r="J1505" s="15"/>
    </row>
    <row r="1506" spans="6:10" ht="15">
      <c r="F1506" s="15"/>
      <c r="H1506" s="15"/>
      <c r="J1506" s="15"/>
    </row>
    <row r="1507" spans="6:10" ht="15">
      <c r="F1507" s="15"/>
      <c r="H1507" s="15"/>
      <c r="J1507" s="15"/>
    </row>
    <row r="1508" spans="6:10" ht="15">
      <c r="F1508" s="15"/>
      <c r="H1508" s="15"/>
      <c r="J1508" s="15"/>
    </row>
    <row r="1509" spans="6:10" ht="15">
      <c r="F1509" s="15"/>
      <c r="H1509" s="15"/>
      <c r="J1509" s="15"/>
    </row>
    <row r="1510" spans="6:10" ht="15">
      <c r="F1510" s="15"/>
      <c r="H1510" s="15"/>
      <c r="J1510" s="15"/>
    </row>
    <row r="1511" spans="6:10" ht="15">
      <c r="F1511" s="15"/>
      <c r="H1511" s="15"/>
      <c r="J1511" s="15"/>
    </row>
    <row r="1512" spans="6:10" ht="15">
      <c r="F1512" s="15"/>
      <c r="H1512" s="15"/>
      <c r="J1512" s="15"/>
    </row>
    <row r="1513" spans="6:10" ht="15">
      <c r="F1513" s="15"/>
      <c r="H1513" s="15"/>
      <c r="J1513" s="15"/>
    </row>
    <row r="1514" spans="6:10" ht="15">
      <c r="F1514" s="15"/>
      <c r="H1514" s="15"/>
      <c r="J1514" s="15"/>
    </row>
    <row r="1515" spans="6:10" ht="15">
      <c r="F1515" s="15"/>
      <c r="H1515" s="15"/>
      <c r="J1515" s="15"/>
    </row>
    <row r="1516" spans="6:10" ht="15">
      <c r="F1516" s="15"/>
      <c r="H1516" s="15"/>
      <c r="J1516" s="15"/>
    </row>
    <row r="1517" spans="6:10" ht="15">
      <c r="F1517" s="15"/>
      <c r="H1517" s="15"/>
      <c r="J1517" s="15"/>
    </row>
    <row r="1518" spans="6:10" ht="15">
      <c r="F1518" s="15"/>
      <c r="H1518" s="15"/>
      <c r="J1518" s="15"/>
    </row>
    <row r="1519" spans="6:10" ht="15">
      <c r="F1519" s="15"/>
      <c r="H1519" s="15"/>
      <c r="J1519" s="15"/>
    </row>
    <row r="1520" spans="6:10" ht="15">
      <c r="F1520" s="15"/>
      <c r="H1520" s="15"/>
      <c r="J1520" s="15"/>
    </row>
    <row r="1521" spans="6:10" ht="15">
      <c r="F1521" s="15"/>
      <c r="H1521" s="15"/>
      <c r="J1521" s="15"/>
    </row>
    <row r="1522" spans="6:10" ht="15">
      <c r="F1522" s="15"/>
      <c r="H1522" s="15"/>
      <c r="J1522" s="15"/>
    </row>
    <row r="1523" spans="6:10" ht="15">
      <c r="F1523" s="15"/>
      <c r="H1523" s="15"/>
      <c r="J1523" s="15"/>
    </row>
    <row r="1524" spans="6:10" ht="15">
      <c r="F1524" s="15"/>
      <c r="H1524" s="15"/>
      <c r="J1524" s="15"/>
    </row>
    <row r="1525" spans="6:10" ht="15">
      <c r="F1525" s="15"/>
      <c r="H1525" s="15"/>
      <c r="J1525" s="15"/>
    </row>
    <row r="1526" spans="6:10" ht="15">
      <c r="F1526" s="15"/>
      <c r="H1526" s="15"/>
      <c r="J1526" s="15"/>
    </row>
    <row r="1527" spans="6:10" ht="15">
      <c r="F1527" s="15"/>
      <c r="H1527" s="15"/>
      <c r="J1527" s="15"/>
    </row>
    <row r="1528" spans="6:10" ht="15">
      <c r="F1528" s="15"/>
      <c r="H1528" s="15"/>
      <c r="J1528" s="15"/>
    </row>
    <row r="1529" spans="6:10" ht="15">
      <c r="F1529" s="15"/>
      <c r="H1529" s="15"/>
      <c r="J1529" s="15"/>
    </row>
    <row r="1530" spans="6:10" ht="15">
      <c r="F1530" s="15"/>
      <c r="H1530" s="15"/>
      <c r="J1530" s="15"/>
    </row>
    <row r="1531" spans="6:10" ht="15">
      <c r="F1531" s="15"/>
      <c r="H1531" s="15"/>
      <c r="J1531" s="15"/>
    </row>
    <row r="1532" spans="6:10" ht="15">
      <c r="F1532" s="15"/>
      <c r="H1532" s="15"/>
      <c r="J1532" s="15"/>
    </row>
    <row r="1533" spans="6:10" ht="15">
      <c r="F1533" s="15"/>
      <c r="H1533" s="15"/>
      <c r="J1533" s="15"/>
    </row>
    <row r="1534" spans="6:10" ht="15">
      <c r="F1534" s="15"/>
      <c r="H1534" s="15"/>
      <c r="J1534" s="15"/>
    </row>
    <row r="1535" spans="6:10" ht="15">
      <c r="F1535" s="15"/>
      <c r="H1535" s="15"/>
      <c r="J1535" s="15"/>
    </row>
    <row r="1536" spans="6:10" ht="15">
      <c r="F1536" s="15"/>
      <c r="H1536" s="15"/>
      <c r="J1536" s="15"/>
    </row>
    <row r="1537" spans="6:10" ht="15">
      <c r="F1537" s="15"/>
      <c r="H1537" s="15"/>
      <c r="J1537" s="15"/>
    </row>
    <row r="1538" spans="6:10" ht="15">
      <c r="F1538" s="15"/>
      <c r="H1538" s="15"/>
      <c r="J1538" s="15"/>
    </row>
    <row r="1539" spans="6:10" ht="15">
      <c r="F1539" s="15"/>
      <c r="H1539" s="15"/>
      <c r="J1539" s="15"/>
    </row>
    <row r="1540" spans="6:10" ht="15">
      <c r="F1540" s="15"/>
      <c r="H1540" s="15"/>
      <c r="J1540" s="15"/>
    </row>
    <row r="1541" spans="6:10" ht="15">
      <c r="F1541" s="15"/>
      <c r="H1541" s="15"/>
      <c r="J1541" s="15"/>
    </row>
    <row r="1542" spans="6:10" ht="15">
      <c r="F1542" s="15"/>
      <c r="H1542" s="15"/>
      <c r="J1542" s="15"/>
    </row>
    <row r="1543" spans="6:10" ht="15">
      <c r="F1543" s="15"/>
      <c r="H1543" s="15"/>
      <c r="J1543" s="15"/>
    </row>
    <row r="1544" spans="6:10" ht="15">
      <c r="F1544" s="15"/>
      <c r="H1544" s="15"/>
      <c r="J1544" s="15"/>
    </row>
    <row r="1545" spans="6:10" ht="15">
      <c r="F1545" s="15"/>
      <c r="H1545" s="15"/>
      <c r="J1545" s="15"/>
    </row>
    <row r="1546" spans="6:10" ht="15">
      <c r="F1546" s="15"/>
      <c r="H1546" s="15"/>
      <c r="J1546" s="15"/>
    </row>
    <row r="1547" spans="6:10" ht="15">
      <c r="F1547" s="15"/>
      <c r="H1547" s="15"/>
      <c r="J1547" s="15"/>
    </row>
    <row r="1548" spans="6:10" ht="15">
      <c r="F1548" s="15"/>
      <c r="H1548" s="15"/>
      <c r="J1548" s="15"/>
    </row>
    <row r="1549" spans="6:10" ht="15">
      <c r="F1549" s="15"/>
      <c r="H1549" s="15"/>
      <c r="J1549" s="15"/>
    </row>
    <row r="1550" spans="6:10" ht="15">
      <c r="F1550" s="15"/>
      <c r="H1550" s="15"/>
      <c r="J1550" s="15"/>
    </row>
    <row r="1551" spans="6:10" ht="15">
      <c r="F1551" s="15"/>
      <c r="H1551" s="15"/>
      <c r="J1551" s="15"/>
    </row>
    <row r="1552" spans="6:10" ht="15">
      <c r="F1552" s="15"/>
      <c r="H1552" s="15"/>
      <c r="J1552" s="15"/>
    </row>
    <row r="1553" spans="6:10" ht="15">
      <c r="F1553" s="15"/>
      <c r="H1553" s="15"/>
      <c r="J1553" s="15"/>
    </row>
    <row r="1554" spans="6:10" ht="15">
      <c r="F1554" s="15"/>
      <c r="H1554" s="15"/>
      <c r="J1554" s="15"/>
    </row>
    <row r="1555" spans="6:10" ht="15">
      <c r="F1555" s="15"/>
      <c r="H1555" s="15"/>
      <c r="J1555" s="15"/>
    </row>
    <row r="1556" spans="6:10" ht="15">
      <c r="F1556" s="15"/>
      <c r="H1556" s="15"/>
      <c r="J1556" s="15"/>
    </row>
    <row r="1557" spans="6:10" ht="15">
      <c r="F1557" s="15"/>
      <c r="H1557" s="15"/>
      <c r="J1557" s="15"/>
    </row>
    <row r="1558" spans="6:10" ht="15">
      <c r="F1558" s="15"/>
      <c r="H1558" s="15"/>
      <c r="J1558" s="15"/>
    </row>
    <row r="1559" spans="6:10" ht="15">
      <c r="F1559" s="15"/>
      <c r="H1559" s="15"/>
      <c r="J1559" s="15"/>
    </row>
    <row r="1560" spans="6:10" ht="15">
      <c r="F1560" s="15"/>
      <c r="H1560" s="15"/>
      <c r="J1560" s="15"/>
    </row>
    <row r="1561" spans="6:10" ht="15">
      <c r="F1561" s="15"/>
      <c r="H1561" s="15"/>
      <c r="J1561" s="15"/>
    </row>
    <row r="1562" spans="6:10" ht="15">
      <c r="F1562" s="15"/>
      <c r="H1562" s="15"/>
      <c r="J1562" s="15"/>
    </row>
    <row r="1563" spans="6:10" ht="15">
      <c r="F1563" s="15"/>
      <c r="H1563" s="15"/>
      <c r="J1563" s="15"/>
    </row>
    <row r="1564" spans="6:10" ht="15">
      <c r="F1564" s="15"/>
      <c r="H1564" s="15"/>
      <c r="J1564" s="15"/>
    </row>
    <row r="1565" spans="6:10" ht="15">
      <c r="F1565" s="15"/>
      <c r="H1565" s="15"/>
      <c r="J1565" s="15"/>
    </row>
    <row r="1566" spans="6:10" ht="15">
      <c r="F1566" s="15"/>
      <c r="H1566" s="15"/>
      <c r="J1566" s="15"/>
    </row>
    <row r="1567" spans="6:10" ht="15">
      <c r="F1567" s="15"/>
      <c r="H1567" s="15"/>
      <c r="J1567" s="15"/>
    </row>
    <row r="1568" spans="6:10" ht="15">
      <c r="F1568" s="15"/>
      <c r="H1568" s="15"/>
      <c r="J1568" s="15"/>
    </row>
    <row r="1569" spans="6:10" ht="15">
      <c r="F1569" s="15"/>
      <c r="H1569" s="15"/>
      <c r="J1569" s="15"/>
    </row>
    <row r="1570" spans="6:10" ht="15">
      <c r="F1570" s="15"/>
      <c r="H1570" s="15"/>
      <c r="J1570" s="15"/>
    </row>
    <row r="1571" spans="6:10" ht="15">
      <c r="F1571" s="15"/>
      <c r="H1571" s="15"/>
      <c r="J1571" s="15"/>
    </row>
    <row r="1572" spans="6:10" ht="15">
      <c r="F1572" s="15"/>
      <c r="H1572" s="15"/>
      <c r="J1572" s="15"/>
    </row>
    <row r="1573" spans="6:10" ht="15">
      <c r="F1573" s="15"/>
      <c r="H1573" s="15"/>
      <c r="J1573" s="15"/>
    </row>
    <row r="1574" spans="6:10" ht="15">
      <c r="F1574" s="15"/>
      <c r="H1574" s="15"/>
      <c r="J1574" s="15"/>
    </row>
    <row r="1575" spans="6:10" ht="15">
      <c r="F1575" s="15"/>
      <c r="H1575" s="15"/>
      <c r="J1575" s="15"/>
    </row>
    <row r="1576" spans="6:10" ht="15">
      <c r="F1576" s="15"/>
      <c r="H1576" s="15"/>
      <c r="J1576" s="15"/>
    </row>
    <row r="1577" spans="6:10" ht="15">
      <c r="F1577" s="15"/>
      <c r="H1577" s="15"/>
      <c r="J1577" s="15"/>
    </row>
    <row r="1578" spans="6:10" ht="15">
      <c r="F1578" s="15"/>
      <c r="H1578" s="15"/>
      <c r="J1578" s="15"/>
    </row>
    <row r="1579" spans="6:10" ht="15">
      <c r="F1579" s="15"/>
      <c r="H1579" s="15"/>
      <c r="J1579" s="15"/>
    </row>
    <row r="1580" spans="6:10" ht="15">
      <c r="F1580" s="15"/>
      <c r="H1580" s="15"/>
      <c r="J1580" s="15"/>
    </row>
    <row r="1581" spans="6:10" ht="15">
      <c r="F1581" s="15"/>
      <c r="H1581" s="15"/>
      <c r="J1581" s="15"/>
    </row>
    <row r="1582" spans="6:10" ht="15">
      <c r="F1582" s="15"/>
      <c r="H1582" s="15"/>
      <c r="J1582" s="15"/>
    </row>
    <row r="1583" spans="6:10" ht="15">
      <c r="F1583" s="15"/>
      <c r="H1583" s="15"/>
      <c r="J1583" s="15"/>
    </row>
    <row r="1584" spans="6:10" ht="15">
      <c r="F1584" s="15"/>
      <c r="H1584" s="15"/>
      <c r="J1584" s="15"/>
    </row>
    <row r="1585" spans="6:10" ht="15">
      <c r="F1585" s="15"/>
      <c r="H1585" s="15"/>
      <c r="J1585" s="15"/>
    </row>
    <row r="1586" spans="6:10" ht="15">
      <c r="F1586" s="15"/>
      <c r="H1586" s="15"/>
      <c r="J1586" s="15"/>
    </row>
    <row r="1587" spans="6:10" ht="15">
      <c r="F1587" s="15"/>
      <c r="H1587" s="15"/>
      <c r="J1587" s="15"/>
    </row>
    <row r="1588" spans="6:10" ht="15">
      <c r="F1588" s="15"/>
      <c r="H1588" s="15"/>
      <c r="J1588" s="15"/>
    </row>
    <row r="1589" spans="6:10" ht="15">
      <c r="F1589" s="15"/>
      <c r="H1589" s="15"/>
      <c r="J1589" s="15"/>
    </row>
    <row r="1590" spans="6:10" ht="15">
      <c r="F1590" s="15"/>
      <c r="H1590" s="15"/>
      <c r="J1590" s="15"/>
    </row>
    <row r="1591" spans="6:10" ht="15">
      <c r="F1591" s="15"/>
      <c r="H1591" s="15"/>
      <c r="J1591" s="15"/>
    </row>
    <row r="1592" spans="6:10" ht="15">
      <c r="F1592" s="15"/>
      <c r="H1592" s="15"/>
      <c r="J1592" s="15"/>
    </row>
    <row r="1593" spans="6:10" ht="15">
      <c r="F1593" s="15"/>
      <c r="H1593" s="15"/>
      <c r="J1593" s="15"/>
    </row>
    <row r="1594" spans="6:10" ht="15">
      <c r="F1594" s="15"/>
      <c r="H1594" s="15"/>
      <c r="J1594" s="15"/>
    </row>
    <row r="1595" spans="6:10" ht="15">
      <c r="F1595" s="15"/>
      <c r="H1595" s="15"/>
      <c r="J1595" s="15"/>
    </row>
    <row r="1596" spans="6:10" ht="15">
      <c r="F1596" s="15"/>
      <c r="H1596" s="15"/>
      <c r="J1596" s="15"/>
    </row>
    <row r="1597" spans="6:10" ht="15">
      <c r="F1597" s="15"/>
      <c r="H1597" s="15"/>
      <c r="J1597" s="15"/>
    </row>
    <row r="1598" spans="6:10" ht="15">
      <c r="F1598" s="15"/>
      <c r="H1598" s="15"/>
      <c r="J1598" s="15"/>
    </row>
    <row r="1599" spans="6:10" ht="15">
      <c r="F1599" s="15"/>
      <c r="H1599" s="15"/>
      <c r="J1599" s="15"/>
    </row>
    <row r="1600" spans="6:10" ht="15">
      <c r="F1600" s="15"/>
      <c r="H1600" s="15"/>
      <c r="J1600" s="15"/>
    </row>
    <row r="1601" spans="6:10" ht="15">
      <c r="F1601" s="15"/>
      <c r="H1601" s="15"/>
      <c r="J1601" s="15"/>
    </row>
    <row r="1602" spans="6:10" ht="15">
      <c r="F1602" s="15"/>
      <c r="H1602" s="15"/>
      <c r="J1602" s="15"/>
    </row>
    <row r="1603" spans="6:10" ht="15">
      <c r="F1603" s="15"/>
      <c r="H1603" s="15"/>
      <c r="J1603" s="15"/>
    </row>
    <row r="1604" spans="6:10" ht="15">
      <c r="F1604" s="15"/>
      <c r="H1604" s="15"/>
      <c r="J1604" s="15"/>
    </row>
    <row r="1605" spans="6:10" ht="15">
      <c r="F1605" s="15"/>
      <c r="H1605" s="15"/>
      <c r="J1605" s="15"/>
    </row>
    <row r="1606" spans="6:10" ht="15">
      <c r="F1606" s="15"/>
      <c r="H1606" s="15"/>
      <c r="J1606" s="15"/>
    </row>
    <row r="1607" spans="6:10" ht="15">
      <c r="F1607" s="15"/>
      <c r="H1607" s="15"/>
      <c r="J1607" s="15"/>
    </row>
    <row r="1608" spans="6:10" ht="15">
      <c r="F1608" s="15"/>
      <c r="H1608" s="15"/>
      <c r="J1608" s="15"/>
    </row>
    <row r="1609" spans="6:10" ht="15">
      <c r="F1609" s="15"/>
      <c r="H1609" s="15"/>
      <c r="J1609" s="15"/>
    </row>
    <row r="1610" spans="6:10" ht="15">
      <c r="F1610" s="15"/>
      <c r="H1610" s="15"/>
      <c r="J1610" s="15"/>
    </row>
    <row r="1611" spans="6:10" ht="15">
      <c r="F1611" s="15"/>
      <c r="H1611" s="15"/>
      <c r="J1611" s="15"/>
    </row>
    <row r="1612" spans="6:10" ht="15">
      <c r="F1612" s="15"/>
      <c r="H1612" s="15"/>
      <c r="J1612" s="15"/>
    </row>
    <row r="1613" spans="6:10" ht="15">
      <c r="F1613" s="15"/>
      <c r="H1613" s="15"/>
      <c r="J1613" s="15"/>
    </row>
    <row r="1614" spans="6:10" ht="15">
      <c r="F1614" s="15"/>
      <c r="H1614" s="15"/>
      <c r="J1614" s="15"/>
    </row>
    <row r="1615" spans="6:10" ht="15">
      <c r="F1615" s="15"/>
      <c r="H1615" s="15"/>
      <c r="J1615" s="15"/>
    </row>
    <row r="1616" spans="6:10" ht="15">
      <c r="F1616" s="15"/>
      <c r="H1616" s="15"/>
      <c r="J1616" s="15"/>
    </row>
    <row r="1617" spans="6:10" ht="15">
      <c r="F1617" s="15"/>
      <c r="H1617" s="15"/>
      <c r="J1617" s="15"/>
    </row>
    <row r="1618" spans="6:10" ht="15">
      <c r="F1618" s="15"/>
      <c r="H1618" s="15"/>
      <c r="J1618" s="15"/>
    </row>
    <row r="1619" spans="6:10" ht="15">
      <c r="F1619" s="15"/>
      <c r="H1619" s="15"/>
      <c r="J1619" s="15"/>
    </row>
    <row r="1620" spans="6:10" ht="15">
      <c r="F1620" s="15"/>
      <c r="H1620" s="15"/>
      <c r="J1620" s="15"/>
    </row>
    <row r="1621" spans="6:10" ht="15">
      <c r="F1621" s="15"/>
      <c r="H1621" s="15"/>
      <c r="J1621" s="15"/>
    </row>
    <row r="1622" spans="6:10" ht="15">
      <c r="F1622" s="15"/>
      <c r="H1622" s="15"/>
      <c r="J1622" s="15"/>
    </row>
    <row r="1623" spans="6:10" ht="15">
      <c r="F1623" s="15"/>
      <c r="H1623" s="15"/>
      <c r="J1623" s="15"/>
    </row>
    <row r="1624" spans="6:10" ht="15">
      <c r="F1624" s="15"/>
      <c r="H1624" s="15"/>
      <c r="J1624" s="15"/>
    </row>
    <row r="1625" spans="6:10" ht="15">
      <c r="F1625" s="15"/>
      <c r="H1625" s="15"/>
      <c r="J1625" s="15"/>
    </row>
    <row r="1626" spans="6:10" ht="15">
      <c r="F1626" s="15"/>
      <c r="H1626" s="15"/>
      <c r="J1626" s="15"/>
    </row>
    <row r="1627" spans="6:10" ht="15">
      <c r="F1627" s="15"/>
      <c r="H1627" s="15"/>
      <c r="J1627" s="15"/>
    </row>
    <row r="1628" spans="6:10" ht="15">
      <c r="F1628" s="15"/>
      <c r="H1628" s="15"/>
      <c r="J1628" s="15"/>
    </row>
    <row r="1629" spans="6:10" ht="15">
      <c r="F1629" s="15"/>
      <c r="H1629" s="15"/>
      <c r="J1629" s="15"/>
    </row>
    <row r="1630" spans="6:10" ht="15">
      <c r="F1630" s="15"/>
      <c r="H1630" s="15"/>
      <c r="J1630" s="15"/>
    </row>
    <row r="1631" spans="6:10" ht="15">
      <c r="F1631" s="15"/>
      <c r="H1631" s="15"/>
      <c r="J1631" s="15"/>
    </row>
    <row r="1632" spans="6:10" ht="15">
      <c r="F1632" s="15"/>
      <c r="H1632" s="15"/>
      <c r="J1632" s="15"/>
    </row>
    <row r="1633" spans="6:10" ht="15">
      <c r="F1633" s="15"/>
      <c r="H1633" s="15"/>
      <c r="J1633" s="15"/>
    </row>
    <row r="1634" spans="6:10" ht="15">
      <c r="F1634" s="15"/>
      <c r="H1634" s="15"/>
      <c r="J1634" s="15"/>
    </row>
    <row r="1635" spans="6:10" ht="15">
      <c r="F1635" s="15"/>
      <c r="H1635" s="15"/>
      <c r="J1635" s="15"/>
    </row>
    <row r="1636" spans="6:10" ht="15">
      <c r="F1636" s="15"/>
      <c r="H1636" s="15"/>
      <c r="J1636" s="15"/>
    </row>
    <row r="1637" spans="6:10" ht="15">
      <c r="F1637" s="15"/>
      <c r="H1637" s="15"/>
      <c r="J1637" s="15"/>
    </row>
    <row r="1638" spans="6:10" ht="15">
      <c r="F1638" s="15"/>
      <c r="H1638" s="15"/>
      <c r="J1638" s="15"/>
    </row>
    <row r="1639" spans="6:10" ht="15">
      <c r="F1639" s="15"/>
      <c r="H1639" s="15"/>
      <c r="J1639" s="15"/>
    </row>
    <row r="1640" spans="6:10" ht="15">
      <c r="F1640" s="15"/>
      <c r="H1640" s="15"/>
      <c r="J1640" s="15"/>
    </row>
    <row r="1641" spans="6:10" ht="15">
      <c r="F1641" s="15"/>
      <c r="H1641" s="15"/>
      <c r="J1641" s="15"/>
    </row>
    <row r="1642" spans="6:10" ht="15">
      <c r="F1642" s="15"/>
      <c r="H1642" s="15"/>
      <c r="J1642" s="15"/>
    </row>
    <row r="1643" spans="6:10" ht="15">
      <c r="F1643" s="15"/>
      <c r="H1643" s="15"/>
      <c r="J1643" s="15"/>
    </row>
    <row r="1644" spans="6:10" ht="15">
      <c r="F1644" s="15"/>
      <c r="H1644" s="15"/>
      <c r="J1644" s="15"/>
    </row>
    <row r="1645" spans="6:10" ht="15">
      <c r="F1645" s="15"/>
      <c r="H1645" s="15"/>
      <c r="J1645" s="15"/>
    </row>
    <row r="1646" spans="6:10" ht="15">
      <c r="F1646" s="15"/>
      <c r="H1646" s="15"/>
      <c r="J1646" s="15"/>
    </row>
    <row r="1647" spans="6:10" ht="15">
      <c r="F1647" s="15"/>
      <c r="H1647" s="15"/>
      <c r="J1647" s="15"/>
    </row>
    <row r="1648" spans="6:10" ht="15">
      <c r="F1648" s="15"/>
      <c r="H1648" s="15"/>
      <c r="J1648" s="15"/>
    </row>
    <row r="1649" spans="6:10" ht="15">
      <c r="F1649" s="15"/>
      <c r="H1649" s="15"/>
      <c r="J1649" s="15"/>
    </row>
    <row r="1650" spans="6:10" ht="15">
      <c r="F1650" s="15"/>
      <c r="H1650" s="15"/>
      <c r="J1650" s="15"/>
    </row>
    <row r="1651" spans="6:10" ht="15">
      <c r="F1651" s="15"/>
      <c r="H1651" s="15"/>
      <c r="J1651" s="15"/>
    </row>
    <row r="1652" spans="6:10" ht="15">
      <c r="F1652" s="15"/>
      <c r="H1652" s="15"/>
      <c r="J1652" s="15"/>
    </row>
    <row r="1653" spans="6:10" ht="15">
      <c r="F1653" s="15"/>
      <c r="H1653" s="15"/>
      <c r="J1653" s="15"/>
    </row>
    <row r="1654" spans="6:10" ht="15">
      <c r="F1654" s="15"/>
      <c r="H1654" s="15"/>
      <c r="J1654" s="15"/>
    </row>
    <row r="1655" spans="6:10" ht="15">
      <c r="F1655" s="15"/>
      <c r="H1655" s="15"/>
      <c r="J1655" s="15"/>
    </row>
    <row r="1656" spans="6:10" ht="15">
      <c r="F1656" s="15"/>
      <c r="H1656" s="15"/>
      <c r="J1656" s="15"/>
    </row>
    <row r="1657" spans="6:10" ht="15">
      <c r="F1657" s="15"/>
      <c r="H1657" s="15"/>
      <c r="J1657" s="15"/>
    </row>
    <row r="1658" spans="6:10" ht="15">
      <c r="F1658" s="15"/>
      <c r="H1658" s="15"/>
      <c r="J1658" s="15"/>
    </row>
    <row r="1659" spans="6:10" ht="15">
      <c r="F1659" s="15"/>
      <c r="H1659" s="15"/>
      <c r="J1659" s="15"/>
    </row>
    <row r="1660" spans="6:10" ht="15">
      <c r="F1660" s="15"/>
      <c r="H1660" s="15"/>
      <c r="J1660" s="15"/>
    </row>
    <row r="1661" spans="6:10" ht="15">
      <c r="F1661" s="15"/>
      <c r="H1661" s="15"/>
      <c r="J1661" s="15"/>
    </row>
    <row r="1662" spans="6:10" ht="15">
      <c r="F1662" s="15"/>
      <c r="H1662" s="15"/>
      <c r="J1662" s="15"/>
    </row>
    <row r="1663" spans="6:10" ht="15">
      <c r="F1663" s="15"/>
      <c r="H1663" s="15"/>
      <c r="J1663" s="15"/>
    </row>
    <row r="1664" spans="6:10" ht="15">
      <c r="F1664" s="15"/>
      <c r="H1664" s="15"/>
      <c r="J1664" s="15"/>
    </row>
    <row r="1665" spans="6:10" ht="15">
      <c r="F1665" s="15"/>
      <c r="H1665" s="15"/>
      <c r="J1665" s="15"/>
    </row>
    <row r="1666" spans="6:10" ht="15">
      <c r="F1666" s="15"/>
      <c r="H1666" s="15"/>
      <c r="J1666" s="15"/>
    </row>
    <row r="1667" spans="6:10" ht="15">
      <c r="F1667" s="15"/>
      <c r="H1667" s="15"/>
      <c r="J1667" s="15"/>
    </row>
    <row r="1668" spans="6:10" ht="15">
      <c r="F1668" s="15"/>
      <c r="H1668" s="15"/>
      <c r="J1668" s="15"/>
    </row>
    <row r="1669" spans="6:10" ht="15">
      <c r="F1669" s="15"/>
      <c r="H1669" s="15"/>
      <c r="J1669" s="15"/>
    </row>
    <row r="1670" spans="6:10" ht="15">
      <c r="F1670" s="15"/>
      <c r="H1670" s="15"/>
      <c r="J1670" s="15"/>
    </row>
    <row r="1671" spans="6:10" ht="15">
      <c r="F1671" s="15"/>
      <c r="H1671" s="15"/>
      <c r="J1671" s="15"/>
    </row>
    <row r="1672" spans="6:10" ht="15">
      <c r="F1672" s="15"/>
      <c r="H1672" s="15"/>
      <c r="J1672" s="15"/>
    </row>
    <row r="1673" spans="6:10" ht="15">
      <c r="F1673" s="15"/>
      <c r="H1673" s="15"/>
      <c r="J1673" s="15"/>
    </row>
    <row r="1674" spans="6:10" ht="15">
      <c r="F1674" s="15"/>
      <c r="H1674" s="15"/>
      <c r="J1674" s="15"/>
    </row>
    <row r="1675" spans="6:10" ht="15">
      <c r="F1675" s="15"/>
      <c r="H1675" s="15"/>
      <c r="J1675" s="15"/>
    </row>
    <row r="1676" spans="6:10" ht="15">
      <c r="F1676" s="15"/>
      <c r="H1676" s="15"/>
      <c r="J1676" s="15"/>
    </row>
    <row r="1677" spans="6:10" ht="15">
      <c r="F1677" s="15"/>
      <c r="H1677" s="15"/>
      <c r="J1677" s="15"/>
    </row>
    <row r="1678" spans="6:10" ht="15">
      <c r="F1678" s="15"/>
      <c r="H1678" s="15"/>
      <c r="J1678" s="15"/>
    </row>
    <row r="1679" spans="6:10" ht="15">
      <c r="F1679" s="15"/>
      <c r="H1679" s="15"/>
      <c r="J1679" s="15"/>
    </row>
    <row r="1680" spans="6:10" ht="15">
      <c r="F1680" s="15"/>
      <c r="H1680" s="15"/>
      <c r="J1680" s="15"/>
    </row>
    <row r="1681" spans="6:10" ht="15">
      <c r="F1681" s="15"/>
      <c r="H1681" s="15"/>
      <c r="J1681" s="15"/>
    </row>
    <row r="1682" spans="6:10" ht="15">
      <c r="F1682" s="15"/>
      <c r="H1682" s="15"/>
      <c r="J1682" s="15"/>
    </row>
    <row r="1683" spans="6:10" ht="15">
      <c r="F1683" s="15"/>
      <c r="H1683" s="15"/>
      <c r="J1683" s="15"/>
    </row>
    <row r="1684" spans="6:10" ht="15">
      <c r="F1684" s="15"/>
      <c r="H1684" s="15"/>
      <c r="J1684" s="15"/>
    </row>
    <row r="1685" spans="6:10" ht="15">
      <c r="F1685" s="15"/>
      <c r="H1685" s="15"/>
      <c r="J1685" s="15"/>
    </row>
    <row r="1686" spans="6:10" ht="15">
      <c r="F1686" s="15"/>
      <c r="H1686" s="15"/>
      <c r="J1686" s="15"/>
    </row>
    <row r="1687" spans="6:10" ht="15">
      <c r="F1687" s="15"/>
      <c r="H1687" s="15"/>
      <c r="J1687" s="15"/>
    </row>
    <row r="1688" spans="6:10" ht="15">
      <c r="F1688" s="15"/>
      <c r="H1688" s="15"/>
      <c r="J1688" s="15"/>
    </row>
    <row r="1689" spans="6:10" ht="15">
      <c r="F1689" s="15"/>
      <c r="H1689" s="15"/>
      <c r="J1689" s="15"/>
    </row>
    <row r="1690" spans="6:10" ht="15">
      <c r="F1690" s="15"/>
      <c r="H1690" s="15"/>
      <c r="J1690" s="15"/>
    </row>
    <row r="1691" spans="6:10" ht="15">
      <c r="F1691" s="15"/>
      <c r="H1691" s="15"/>
      <c r="J1691" s="15"/>
    </row>
    <row r="1692" spans="6:10" ht="15">
      <c r="F1692" s="15"/>
      <c r="H1692" s="15"/>
      <c r="J1692" s="15"/>
    </row>
    <row r="1693" spans="6:10" ht="15">
      <c r="F1693" s="15"/>
      <c r="H1693" s="15"/>
      <c r="J1693" s="15"/>
    </row>
    <row r="1694" spans="6:10" ht="15">
      <c r="F1694" s="15"/>
      <c r="H1694" s="15"/>
      <c r="J1694" s="15"/>
    </row>
    <row r="1695" spans="6:10" ht="15">
      <c r="F1695" s="15"/>
      <c r="H1695" s="15"/>
      <c r="J1695" s="15"/>
    </row>
    <row r="1696" spans="6:10" ht="15">
      <c r="F1696" s="15"/>
      <c r="H1696" s="15"/>
      <c r="J1696" s="15"/>
    </row>
    <row r="1697" spans="6:10" ht="15">
      <c r="F1697" s="15"/>
      <c r="H1697" s="15"/>
      <c r="J1697" s="15"/>
    </row>
    <row r="1698" spans="6:10" ht="15">
      <c r="F1698" s="15"/>
      <c r="H1698" s="15"/>
      <c r="J1698" s="15"/>
    </row>
    <row r="1699" spans="6:10" ht="15">
      <c r="F1699" s="15"/>
      <c r="H1699" s="15"/>
      <c r="J1699" s="15"/>
    </row>
    <row r="1700" spans="6:10" ht="15">
      <c r="F1700" s="15"/>
      <c r="H1700" s="15"/>
      <c r="J1700" s="15"/>
    </row>
    <row r="1701" spans="6:10" ht="15">
      <c r="F1701" s="15"/>
      <c r="H1701" s="15"/>
      <c r="J1701" s="15"/>
    </row>
    <row r="1702" spans="6:10" ht="15">
      <c r="F1702" s="15"/>
      <c r="H1702" s="15"/>
      <c r="J1702" s="15"/>
    </row>
    <row r="1703" spans="6:10" ht="15">
      <c r="F1703" s="15"/>
      <c r="H1703" s="15"/>
      <c r="J1703" s="15"/>
    </row>
    <row r="1704" spans="6:10" ht="15">
      <c r="F1704" s="15"/>
      <c r="H1704" s="15"/>
      <c r="J1704" s="15"/>
    </row>
    <row r="1705" spans="6:10" ht="15">
      <c r="F1705" s="15"/>
      <c r="H1705" s="15"/>
      <c r="J1705" s="15"/>
    </row>
    <row r="1706" spans="6:10" ht="15">
      <c r="F1706" s="15"/>
      <c r="H1706" s="15"/>
      <c r="J1706" s="15"/>
    </row>
    <row r="1707" spans="6:10" ht="15">
      <c r="F1707" s="15"/>
      <c r="H1707" s="15"/>
      <c r="J1707" s="15"/>
    </row>
    <row r="1708" spans="6:10" ht="15">
      <c r="F1708" s="15"/>
      <c r="H1708" s="15"/>
      <c r="J1708" s="15"/>
    </row>
    <row r="1709" spans="6:10" ht="15">
      <c r="F1709" s="15"/>
      <c r="H1709" s="15"/>
      <c r="J1709" s="15"/>
    </row>
    <row r="1710" spans="6:10" ht="15">
      <c r="F1710" s="15"/>
      <c r="H1710" s="15"/>
      <c r="J1710" s="15"/>
    </row>
    <row r="1711" spans="6:10" ht="15">
      <c r="F1711" s="15"/>
      <c r="H1711" s="15"/>
      <c r="J1711" s="15"/>
    </row>
    <row r="1712" spans="6:10" ht="15">
      <c r="F1712" s="15"/>
      <c r="H1712" s="15"/>
      <c r="J1712" s="15"/>
    </row>
    <row r="1713" spans="6:10" ht="15">
      <c r="F1713" s="15"/>
      <c r="H1713" s="15"/>
      <c r="J1713" s="15"/>
    </row>
    <row r="1714" spans="6:10" ht="15">
      <c r="F1714" s="15"/>
      <c r="H1714" s="15"/>
      <c r="J1714" s="15"/>
    </row>
    <row r="1715" spans="6:10" ht="15">
      <c r="F1715" s="15"/>
      <c r="H1715" s="15"/>
      <c r="J1715" s="15"/>
    </row>
    <row r="1716" spans="6:10" ht="15">
      <c r="F1716" s="15"/>
      <c r="H1716" s="15"/>
      <c r="J1716" s="15"/>
    </row>
    <row r="1717" spans="6:10" ht="15">
      <c r="F1717" s="15"/>
      <c r="H1717" s="15"/>
      <c r="J1717" s="15"/>
    </row>
    <row r="1718" spans="6:10" ht="15">
      <c r="F1718" s="15"/>
      <c r="H1718" s="15"/>
      <c r="J1718" s="15"/>
    </row>
    <row r="1719" spans="6:10" ht="15">
      <c r="F1719" s="15"/>
      <c r="H1719" s="15"/>
      <c r="J1719" s="15"/>
    </row>
    <row r="1720" spans="6:10" ht="15">
      <c r="F1720" s="15"/>
      <c r="H1720" s="15"/>
      <c r="J1720" s="15"/>
    </row>
    <row r="1721" spans="6:10" ht="15">
      <c r="F1721" s="15"/>
      <c r="H1721" s="15"/>
      <c r="J1721" s="15"/>
    </row>
    <row r="1722" spans="6:10" ht="15">
      <c r="F1722" s="15"/>
      <c r="H1722" s="15"/>
      <c r="J1722" s="15"/>
    </row>
    <row r="1723" spans="6:10" ht="15">
      <c r="F1723" s="15"/>
      <c r="H1723" s="15"/>
      <c r="J1723" s="15"/>
    </row>
    <row r="1724" spans="6:10" ht="15">
      <c r="F1724" s="15"/>
      <c r="H1724" s="15"/>
      <c r="J1724" s="15"/>
    </row>
    <row r="1725" spans="6:10" ht="15">
      <c r="F1725" s="15"/>
      <c r="H1725" s="15"/>
      <c r="J1725" s="15"/>
    </row>
    <row r="1726" spans="6:10" ht="15">
      <c r="F1726" s="15"/>
      <c r="H1726" s="15"/>
      <c r="J1726" s="15"/>
    </row>
    <row r="1727" spans="6:10" ht="15">
      <c r="F1727" s="15"/>
      <c r="H1727" s="15"/>
      <c r="J1727" s="15"/>
    </row>
    <row r="1728" spans="6:10" ht="15">
      <c r="F1728" s="15"/>
      <c r="H1728" s="15"/>
      <c r="J1728" s="15"/>
    </row>
    <row r="1729" spans="6:10" ht="15">
      <c r="F1729" s="15"/>
      <c r="H1729" s="15"/>
      <c r="J1729" s="15"/>
    </row>
    <row r="1730" spans="6:10" ht="15">
      <c r="F1730" s="15"/>
      <c r="H1730" s="15"/>
      <c r="J1730" s="15"/>
    </row>
    <row r="1731" spans="6:10" ht="15">
      <c r="F1731" s="15"/>
      <c r="H1731" s="15"/>
      <c r="J1731" s="15"/>
    </row>
    <row r="1732" spans="6:10" ht="15">
      <c r="F1732" s="15"/>
      <c r="H1732" s="15"/>
      <c r="J1732" s="15"/>
    </row>
    <row r="1733" spans="6:10" ht="15">
      <c r="F1733" s="15"/>
      <c r="H1733" s="15"/>
      <c r="J1733" s="15"/>
    </row>
    <row r="1734" spans="6:10" ht="15">
      <c r="F1734" s="15"/>
      <c r="H1734" s="15"/>
      <c r="J1734" s="15"/>
    </row>
    <row r="1735" spans="6:10" ht="15">
      <c r="F1735" s="15"/>
      <c r="H1735" s="15"/>
      <c r="J1735" s="15"/>
    </row>
    <row r="1736" spans="6:10" ht="15">
      <c r="F1736" s="15"/>
      <c r="H1736" s="15"/>
      <c r="J1736" s="15"/>
    </row>
    <row r="1737" spans="6:10" ht="15">
      <c r="F1737" s="15"/>
      <c r="H1737" s="15"/>
      <c r="J1737" s="15"/>
    </row>
    <row r="1738" spans="6:10" ht="15">
      <c r="F1738" s="15"/>
      <c r="H1738" s="15"/>
      <c r="J1738" s="15"/>
    </row>
    <row r="1739" spans="6:10" ht="15">
      <c r="F1739" s="15"/>
      <c r="H1739" s="15"/>
      <c r="J1739" s="15"/>
    </row>
    <row r="1740" spans="6:10" ht="15">
      <c r="F1740" s="15"/>
      <c r="H1740" s="15"/>
      <c r="J1740" s="15"/>
    </row>
    <row r="1741" spans="6:10" ht="15">
      <c r="F1741" s="15"/>
      <c r="H1741" s="15"/>
      <c r="J1741" s="15"/>
    </row>
    <row r="1742" spans="6:10" ht="15">
      <c r="F1742" s="15"/>
      <c r="H1742" s="15"/>
      <c r="J1742" s="15"/>
    </row>
    <row r="1743" spans="6:10" ht="15">
      <c r="F1743" s="15"/>
      <c r="H1743" s="15"/>
      <c r="J1743" s="15"/>
    </row>
    <row r="1744" spans="6:10" ht="15">
      <c r="F1744" s="15"/>
      <c r="H1744" s="15"/>
      <c r="J1744" s="15"/>
    </row>
    <row r="1745" spans="6:10" ht="15">
      <c r="F1745" s="15"/>
      <c r="H1745" s="15"/>
      <c r="J1745" s="15"/>
    </row>
    <row r="1746" spans="6:10" ht="15">
      <c r="F1746" s="15"/>
      <c r="H1746" s="15"/>
      <c r="J1746" s="15"/>
    </row>
    <row r="1747" spans="6:10" ht="15">
      <c r="F1747" s="15"/>
      <c r="H1747" s="15"/>
      <c r="J1747" s="15"/>
    </row>
    <row r="1748" spans="6:10" ht="15">
      <c r="F1748" s="15"/>
      <c r="H1748" s="15"/>
      <c r="J1748" s="15"/>
    </row>
    <row r="1749" spans="6:10" ht="15">
      <c r="F1749" s="15"/>
      <c r="H1749" s="15"/>
      <c r="J1749" s="15"/>
    </row>
    <row r="1750" spans="6:10" ht="15">
      <c r="F1750" s="15"/>
      <c r="H1750" s="15"/>
      <c r="J1750" s="15"/>
    </row>
    <row r="1751" spans="6:10" ht="15">
      <c r="F1751" s="15"/>
      <c r="H1751" s="15"/>
      <c r="J1751" s="15"/>
    </row>
    <row r="1752" spans="6:10" ht="15">
      <c r="F1752" s="15"/>
      <c r="H1752" s="15"/>
      <c r="J1752" s="15"/>
    </row>
    <row r="1753" spans="6:10" ht="15">
      <c r="F1753" s="15"/>
      <c r="H1753" s="15"/>
      <c r="J1753" s="15"/>
    </row>
    <row r="1754" spans="6:10" ht="15">
      <c r="F1754" s="15"/>
      <c r="H1754" s="15"/>
      <c r="J1754" s="15"/>
    </row>
    <row r="1755" spans="6:10" ht="15">
      <c r="F1755" s="15"/>
      <c r="H1755" s="15"/>
      <c r="J1755" s="15"/>
    </row>
    <row r="1756" spans="6:10" ht="15">
      <c r="F1756" s="15"/>
      <c r="H1756" s="15"/>
      <c r="J1756" s="15"/>
    </row>
    <row r="1757" spans="6:10" ht="15">
      <c r="F1757" s="15"/>
      <c r="H1757" s="15"/>
      <c r="J1757" s="15"/>
    </row>
    <row r="1758" spans="6:10" ht="15">
      <c r="F1758" s="15"/>
      <c r="H1758" s="15"/>
      <c r="J1758" s="15"/>
    </row>
    <row r="1759" spans="6:10" ht="15">
      <c r="F1759" s="15"/>
      <c r="H1759" s="15"/>
      <c r="J1759" s="15"/>
    </row>
    <row r="1760" spans="6:10" ht="15">
      <c r="F1760" s="15"/>
      <c r="H1760" s="15"/>
      <c r="J1760" s="15"/>
    </row>
    <row r="1761" spans="6:10" ht="15">
      <c r="F1761" s="15"/>
      <c r="H1761" s="15"/>
      <c r="J1761" s="15"/>
    </row>
    <row r="1762" spans="6:10" ht="15">
      <c r="F1762" s="15"/>
      <c r="H1762" s="15"/>
      <c r="J1762" s="15"/>
    </row>
    <row r="1763" spans="6:10" ht="15">
      <c r="F1763" s="15"/>
      <c r="H1763" s="15"/>
      <c r="J1763" s="15"/>
    </row>
    <row r="1764" spans="6:10" ht="15">
      <c r="F1764" s="15"/>
      <c r="H1764" s="15"/>
      <c r="J1764" s="15"/>
    </row>
    <row r="1765" spans="6:10" ht="15">
      <c r="F1765" s="15"/>
      <c r="H1765" s="15"/>
      <c r="J1765" s="15"/>
    </row>
    <row r="1766" spans="6:10" ht="15">
      <c r="F1766" s="15"/>
      <c r="H1766" s="15"/>
      <c r="J1766" s="15"/>
    </row>
    <row r="1767" spans="6:10" ht="15">
      <c r="F1767" s="15"/>
      <c r="H1767" s="15"/>
      <c r="J1767" s="15"/>
    </row>
    <row r="1768" spans="6:10" ht="15">
      <c r="F1768" s="15"/>
      <c r="H1768" s="15"/>
      <c r="J1768" s="15"/>
    </row>
    <row r="1769" spans="6:10" ht="15">
      <c r="F1769" s="15"/>
      <c r="H1769" s="15"/>
      <c r="J1769" s="15"/>
    </row>
    <row r="1770" spans="6:10" ht="15">
      <c r="F1770" s="15"/>
      <c r="H1770" s="15"/>
      <c r="J1770" s="15"/>
    </row>
    <row r="1771" spans="6:10" ht="15">
      <c r="F1771" s="15"/>
      <c r="H1771" s="15"/>
      <c r="J1771" s="15"/>
    </row>
    <row r="1772" spans="6:10" ht="15">
      <c r="F1772" s="15"/>
      <c r="H1772" s="15"/>
      <c r="J1772" s="15"/>
    </row>
    <row r="1773" spans="6:10" ht="15">
      <c r="F1773" s="15"/>
      <c r="H1773" s="15"/>
      <c r="J1773" s="15"/>
    </row>
    <row r="1774" spans="6:10" ht="15">
      <c r="F1774" s="15"/>
      <c r="H1774" s="15"/>
      <c r="J1774" s="15"/>
    </row>
    <row r="1775" spans="6:10" ht="15">
      <c r="F1775" s="15"/>
      <c r="H1775" s="15"/>
      <c r="J1775" s="15"/>
    </row>
    <row r="1776" spans="6:10" ht="15">
      <c r="F1776" s="15"/>
      <c r="H1776" s="15"/>
      <c r="J1776" s="15"/>
    </row>
    <row r="1777" spans="6:10" ht="15">
      <c r="F1777" s="15"/>
      <c r="H1777" s="15"/>
      <c r="J1777" s="15"/>
    </row>
    <row r="1778" spans="6:10" ht="15">
      <c r="F1778" s="15"/>
      <c r="H1778" s="15"/>
      <c r="J1778" s="15"/>
    </row>
    <row r="1779" spans="6:10" ht="15">
      <c r="F1779" s="15"/>
      <c r="H1779" s="15"/>
      <c r="J1779" s="15"/>
    </row>
    <row r="1780" spans="6:10" ht="15">
      <c r="F1780" s="15"/>
      <c r="H1780" s="15"/>
      <c r="J1780" s="15"/>
    </row>
    <row r="1781" spans="6:10" ht="15">
      <c r="F1781" s="15"/>
      <c r="H1781" s="15"/>
      <c r="J1781" s="15"/>
    </row>
    <row r="1782" spans="6:10" ht="15">
      <c r="F1782" s="15"/>
      <c r="H1782" s="15"/>
      <c r="J1782" s="15"/>
    </row>
    <row r="1783" spans="6:10" ht="15">
      <c r="F1783" s="15"/>
      <c r="H1783" s="15"/>
      <c r="J1783" s="15"/>
    </row>
    <row r="1784" spans="6:10" ht="15">
      <c r="F1784" s="15"/>
      <c r="H1784" s="15"/>
      <c r="J1784" s="15"/>
    </row>
    <row r="1785" spans="6:10" ht="15">
      <c r="F1785" s="15"/>
      <c r="H1785" s="15"/>
      <c r="J1785" s="15"/>
    </row>
    <row r="1786" spans="6:10" ht="15">
      <c r="F1786" s="15"/>
      <c r="H1786" s="15"/>
      <c r="J1786" s="15"/>
    </row>
    <row r="1787" spans="6:10" ht="15">
      <c r="F1787" s="15"/>
      <c r="H1787" s="15"/>
      <c r="J1787" s="15"/>
    </row>
    <row r="1788" spans="6:10" ht="15">
      <c r="F1788" s="15"/>
      <c r="H1788" s="15"/>
      <c r="J1788" s="15"/>
    </row>
    <row r="1789" spans="6:10" ht="15">
      <c r="F1789" s="15"/>
      <c r="H1789" s="15"/>
      <c r="J1789" s="15"/>
    </row>
    <row r="1790" spans="6:10" ht="15">
      <c r="F1790" s="15"/>
      <c r="H1790" s="15"/>
      <c r="J1790" s="15"/>
    </row>
    <row r="1791" spans="6:10" ht="15">
      <c r="F1791" s="15"/>
      <c r="H1791" s="15"/>
      <c r="J1791" s="15"/>
    </row>
    <row r="1792" spans="6:10" ht="15">
      <c r="F1792" s="15"/>
      <c r="H1792" s="15"/>
      <c r="J1792" s="15"/>
    </row>
    <row r="1793" spans="6:10" ht="15">
      <c r="F1793" s="15"/>
      <c r="H1793" s="15"/>
      <c r="J1793" s="15"/>
    </row>
    <row r="1794" spans="6:10" ht="15">
      <c r="F1794" s="15"/>
      <c r="H1794" s="15"/>
      <c r="J1794" s="15"/>
    </row>
    <row r="1795" spans="6:10" ht="15">
      <c r="F1795" s="15"/>
      <c r="H1795" s="15"/>
      <c r="J1795" s="15"/>
    </row>
    <row r="1796" spans="6:10" ht="15">
      <c r="F1796" s="15"/>
      <c r="H1796" s="15"/>
      <c r="J1796" s="15"/>
    </row>
    <row r="1797" spans="6:10" ht="15">
      <c r="F1797" s="15"/>
      <c r="H1797" s="15"/>
      <c r="J1797" s="15"/>
    </row>
    <row r="1798" spans="6:10" ht="15">
      <c r="F1798" s="15"/>
      <c r="H1798" s="15"/>
      <c r="J1798" s="15"/>
    </row>
    <row r="1799" spans="6:10" ht="15">
      <c r="F1799" s="15"/>
      <c r="H1799" s="15"/>
      <c r="J1799" s="15"/>
    </row>
    <row r="1800" spans="6:10" ht="15">
      <c r="F1800" s="15"/>
      <c r="H1800" s="15"/>
      <c r="J1800" s="15"/>
    </row>
    <row r="1801" spans="6:10" ht="15">
      <c r="F1801" s="15"/>
      <c r="H1801" s="15"/>
      <c r="J1801" s="15"/>
    </row>
    <row r="1802" spans="6:10" ht="15">
      <c r="F1802" s="15"/>
      <c r="H1802" s="15"/>
      <c r="J1802" s="15"/>
    </row>
    <row r="1803" spans="6:10" ht="15">
      <c r="F1803" s="15"/>
      <c r="H1803" s="15"/>
      <c r="J1803" s="15"/>
    </row>
    <row r="1804" spans="6:10" ht="15">
      <c r="F1804" s="15"/>
      <c r="H1804" s="15"/>
      <c r="J1804" s="15"/>
    </row>
    <row r="1805" spans="6:10" ht="15">
      <c r="F1805" s="15"/>
      <c r="H1805" s="15"/>
      <c r="J1805" s="15"/>
    </row>
    <row r="1806" spans="6:10" ht="15">
      <c r="F1806" s="15"/>
      <c r="H1806" s="15"/>
      <c r="J1806" s="15"/>
    </row>
    <row r="1807" spans="6:10" ht="15">
      <c r="F1807" s="15"/>
      <c r="H1807" s="15"/>
      <c r="J1807" s="15"/>
    </row>
    <row r="1808" spans="6:10" ht="15">
      <c r="F1808" s="15"/>
      <c r="H1808" s="15"/>
      <c r="J1808" s="15"/>
    </row>
    <row r="1809" spans="6:10" ht="15">
      <c r="F1809" s="15"/>
      <c r="H1809" s="15"/>
      <c r="J1809" s="15"/>
    </row>
    <row r="1810" spans="6:10" ht="15">
      <c r="F1810" s="15"/>
      <c r="H1810" s="15"/>
      <c r="J1810" s="15"/>
    </row>
    <row r="1811" spans="6:10" ht="15">
      <c r="F1811" s="15"/>
      <c r="H1811" s="15"/>
      <c r="J1811" s="15"/>
    </row>
    <row r="1812" spans="6:10" ht="15">
      <c r="F1812" s="15"/>
      <c r="H1812" s="15"/>
      <c r="J1812" s="15"/>
    </row>
    <row r="1813" spans="6:10" ht="15">
      <c r="F1813" s="15"/>
      <c r="H1813" s="15"/>
      <c r="J1813" s="15"/>
    </row>
    <row r="1814" spans="6:10" ht="15">
      <c r="F1814" s="15"/>
      <c r="H1814" s="15"/>
      <c r="J1814" s="15"/>
    </row>
    <row r="1815" spans="6:10" ht="15">
      <c r="F1815" s="15"/>
      <c r="H1815" s="15"/>
      <c r="J1815" s="15"/>
    </row>
    <row r="1816" spans="6:10" ht="15">
      <c r="F1816" s="15"/>
      <c r="H1816" s="15"/>
      <c r="J1816" s="15"/>
    </row>
    <row r="1817" spans="6:10" ht="15">
      <c r="F1817" s="15"/>
      <c r="H1817" s="15"/>
      <c r="J1817" s="15"/>
    </row>
    <row r="1818" spans="6:10" ht="15">
      <c r="F1818" s="15"/>
      <c r="H1818" s="15"/>
      <c r="J1818" s="15"/>
    </row>
    <row r="1819" spans="6:10" ht="15">
      <c r="F1819" s="15"/>
      <c r="H1819" s="15"/>
      <c r="J1819" s="15"/>
    </row>
    <row r="1820" spans="6:10" ht="15">
      <c r="F1820" s="15"/>
      <c r="H1820" s="15"/>
      <c r="J1820" s="15"/>
    </row>
    <row r="1821" spans="6:10" ht="15">
      <c r="F1821" s="15"/>
      <c r="H1821" s="15"/>
      <c r="J1821" s="15"/>
    </row>
    <row r="1822" spans="6:10" ht="15">
      <c r="F1822" s="15"/>
      <c r="H1822" s="15"/>
      <c r="J1822" s="15"/>
    </row>
    <row r="1823" spans="6:10" ht="15">
      <c r="F1823" s="15"/>
      <c r="H1823" s="15"/>
      <c r="J1823" s="15"/>
    </row>
    <row r="1824" spans="6:10" ht="15">
      <c r="F1824" s="15"/>
      <c r="H1824" s="15"/>
      <c r="J1824" s="15"/>
    </row>
    <row r="1825" spans="6:10" ht="15">
      <c r="F1825" s="15"/>
      <c r="H1825" s="15"/>
      <c r="J1825" s="15"/>
    </row>
    <row r="1826" spans="6:10" ht="15">
      <c r="F1826" s="15"/>
      <c r="H1826" s="15"/>
      <c r="J1826" s="15"/>
    </row>
    <row r="1827" spans="6:10" ht="15">
      <c r="F1827" s="15"/>
      <c r="H1827" s="15"/>
      <c r="J1827" s="15"/>
    </row>
    <row r="1828" spans="6:10" ht="15">
      <c r="F1828" s="15"/>
      <c r="H1828" s="15"/>
      <c r="J1828" s="15"/>
    </row>
    <row r="1829" spans="6:10" ht="15">
      <c r="F1829" s="15"/>
      <c r="H1829" s="15"/>
      <c r="J1829" s="15"/>
    </row>
    <row r="1830" spans="6:10" ht="15">
      <c r="F1830" s="15"/>
      <c r="H1830" s="15"/>
      <c r="J1830" s="15"/>
    </row>
    <row r="1831" spans="6:10" ht="15">
      <c r="F1831" s="15"/>
      <c r="H1831" s="15"/>
      <c r="J1831" s="15"/>
    </row>
    <row r="1832" spans="6:10" ht="15">
      <c r="F1832" s="15"/>
      <c r="H1832" s="15"/>
      <c r="J1832" s="15"/>
    </row>
    <row r="1833" spans="6:10" ht="15">
      <c r="F1833" s="15"/>
      <c r="H1833" s="15"/>
      <c r="J1833" s="15"/>
    </row>
    <row r="1834" spans="6:10" ht="15">
      <c r="F1834" s="15"/>
      <c r="H1834" s="15"/>
      <c r="J1834" s="15"/>
    </row>
    <row r="1835" spans="6:10" ht="15">
      <c r="F1835" s="15"/>
      <c r="H1835" s="15"/>
      <c r="J1835" s="15"/>
    </row>
    <row r="1836" spans="6:10" ht="15">
      <c r="F1836" s="15"/>
      <c r="H1836" s="15"/>
      <c r="J1836" s="15"/>
    </row>
    <row r="1837" spans="6:10" ht="15">
      <c r="F1837" s="15"/>
      <c r="H1837" s="15"/>
      <c r="J1837" s="15"/>
    </row>
    <row r="1838" spans="6:10" ht="15">
      <c r="F1838" s="15"/>
      <c r="H1838" s="15"/>
      <c r="J1838" s="15"/>
    </row>
    <row r="1839" spans="6:10" ht="15">
      <c r="F1839" s="15"/>
      <c r="H1839" s="15"/>
      <c r="J1839" s="15"/>
    </row>
    <row r="1840" spans="6:10" ht="15">
      <c r="F1840" s="15"/>
      <c r="H1840" s="15"/>
      <c r="J1840" s="15"/>
    </row>
    <row r="1841" spans="6:10" ht="15">
      <c r="F1841" s="15"/>
      <c r="H1841" s="15"/>
      <c r="J1841" s="15"/>
    </row>
    <row r="1842" spans="6:10" ht="15">
      <c r="F1842" s="15"/>
      <c r="H1842" s="15"/>
      <c r="J1842" s="15"/>
    </row>
    <row r="1843" spans="6:10" ht="15">
      <c r="F1843" s="15"/>
      <c r="H1843" s="15"/>
      <c r="J1843" s="15"/>
    </row>
    <row r="1844" spans="6:10" ht="15">
      <c r="F1844" s="15"/>
      <c r="H1844" s="15"/>
      <c r="J1844" s="15"/>
    </row>
    <row r="1845" spans="6:10" ht="15">
      <c r="F1845" s="15"/>
      <c r="H1845" s="15"/>
      <c r="J1845" s="15"/>
    </row>
    <row r="1846" spans="6:10" ht="15">
      <c r="F1846" s="15"/>
      <c r="H1846" s="15"/>
      <c r="J1846" s="15"/>
    </row>
    <row r="1847" spans="6:10" ht="15">
      <c r="F1847" s="15"/>
      <c r="H1847" s="15"/>
      <c r="J1847" s="15"/>
    </row>
    <row r="1848" spans="6:10" ht="15">
      <c r="F1848" s="15"/>
      <c r="H1848" s="15"/>
      <c r="J1848" s="15"/>
    </row>
    <row r="1849" spans="6:10" ht="15">
      <c r="F1849" s="15"/>
      <c r="H1849" s="15"/>
      <c r="J1849" s="15"/>
    </row>
    <row r="1850" spans="6:10" ht="15">
      <c r="F1850" s="15"/>
      <c r="H1850" s="15"/>
      <c r="J1850" s="15"/>
    </row>
    <row r="1851" spans="6:10" ht="15">
      <c r="F1851" s="15"/>
      <c r="H1851" s="15"/>
      <c r="J1851" s="15"/>
    </row>
    <row r="1852" spans="6:10" ht="15">
      <c r="F1852" s="15"/>
      <c r="H1852" s="15"/>
      <c r="J1852" s="15"/>
    </row>
    <row r="1853" spans="6:10" ht="15">
      <c r="F1853" s="15"/>
      <c r="H1853" s="15"/>
      <c r="J1853" s="15"/>
    </row>
    <row r="1854" spans="6:10" ht="15">
      <c r="F1854" s="15"/>
      <c r="H1854" s="15"/>
      <c r="J1854" s="15"/>
    </row>
    <row r="1855" spans="6:10" ht="15">
      <c r="F1855" s="15"/>
      <c r="H1855" s="15"/>
      <c r="J1855" s="15"/>
    </row>
    <row r="1856" spans="6:10" ht="15">
      <c r="F1856" s="15"/>
      <c r="H1856" s="15"/>
      <c r="J1856" s="15"/>
    </row>
    <row r="1857" spans="6:10" ht="15">
      <c r="F1857" s="15"/>
      <c r="H1857" s="15"/>
      <c r="J1857" s="15"/>
    </row>
    <row r="1858" spans="6:10" ht="15">
      <c r="F1858" s="15"/>
      <c r="H1858" s="15"/>
      <c r="J1858" s="15"/>
    </row>
    <row r="1859" spans="6:10" ht="15">
      <c r="F1859" s="15"/>
      <c r="H1859" s="15"/>
      <c r="J1859" s="15"/>
    </row>
    <row r="1860" spans="6:10" ht="15">
      <c r="F1860" s="15"/>
      <c r="H1860" s="15"/>
      <c r="J1860" s="15"/>
    </row>
    <row r="1861" spans="6:10" ht="15">
      <c r="F1861" s="15"/>
      <c r="H1861" s="15"/>
      <c r="J1861" s="15"/>
    </row>
    <row r="1862" spans="6:10" ht="15">
      <c r="F1862" s="15"/>
      <c r="H1862" s="15"/>
      <c r="J1862" s="15"/>
    </row>
    <row r="1863" spans="6:10" ht="15">
      <c r="F1863" s="15"/>
      <c r="H1863" s="15"/>
      <c r="J1863" s="15"/>
    </row>
    <row r="1864" spans="6:10" ht="15">
      <c r="F1864" s="15"/>
      <c r="H1864" s="15"/>
      <c r="J1864" s="15"/>
    </row>
    <row r="1865" spans="6:10" ht="15">
      <c r="F1865" s="15"/>
      <c r="H1865" s="15"/>
      <c r="J1865" s="15"/>
    </row>
    <row r="1866" spans="6:10" ht="15">
      <c r="F1866" s="15"/>
      <c r="H1866" s="15"/>
      <c r="J1866" s="15"/>
    </row>
    <row r="1867" spans="6:10" ht="15">
      <c r="F1867" s="15"/>
      <c r="H1867" s="15"/>
      <c r="J1867" s="15"/>
    </row>
    <row r="1868" spans="6:10" ht="15">
      <c r="F1868" s="15"/>
      <c r="H1868" s="15"/>
      <c r="J1868" s="15"/>
    </row>
    <row r="1869" spans="6:10" ht="15">
      <c r="F1869" s="15"/>
      <c r="H1869" s="15"/>
      <c r="J1869" s="15"/>
    </row>
    <row r="1870" spans="6:10" ht="15">
      <c r="F1870" s="15"/>
      <c r="H1870" s="15"/>
      <c r="J1870" s="15"/>
    </row>
    <row r="1871" spans="6:10" ht="15">
      <c r="F1871" s="15"/>
      <c r="H1871" s="15"/>
      <c r="J1871" s="15"/>
    </row>
    <row r="1872" spans="6:10" ht="15">
      <c r="F1872" s="15"/>
      <c r="H1872" s="15"/>
      <c r="J1872" s="15"/>
    </row>
    <row r="1873" spans="6:10" ht="15">
      <c r="F1873" s="15"/>
      <c r="H1873" s="15"/>
      <c r="J1873" s="15"/>
    </row>
    <row r="1874" spans="6:10" ht="15">
      <c r="F1874" s="15"/>
      <c r="H1874" s="15"/>
      <c r="J1874" s="15"/>
    </row>
    <row r="1875" spans="6:10" ht="15">
      <c r="F1875" s="15"/>
      <c r="H1875" s="15"/>
      <c r="J1875" s="15"/>
    </row>
    <row r="1876" spans="6:10" ht="15">
      <c r="F1876" s="15"/>
      <c r="H1876" s="15"/>
      <c r="J1876" s="15"/>
    </row>
    <row r="1877" spans="6:10" ht="15">
      <c r="F1877" s="15"/>
      <c r="H1877" s="15"/>
      <c r="J1877" s="15"/>
    </row>
    <row r="1878" spans="6:10" ht="15">
      <c r="F1878" s="15"/>
      <c r="H1878" s="15"/>
      <c r="J1878" s="15"/>
    </row>
    <row r="1879" spans="6:10" ht="15">
      <c r="F1879" s="15"/>
      <c r="H1879" s="15"/>
      <c r="J1879" s="15"/>
    </row>
    <row r="1880" spans="6:10" ht="15">
      <c r="F1880" s="15"/>
      <c r="H1880" s="15"/>
      <c r="J1880" s="15"/>
    </row>
    <row r="1881" spans="6:10" ht="15">
      <c r="F1881" s="15"/>
      <c r="H1881" s="15"/>
      <c r="J1881" s="15"/>
    </row>
    <row r="1882" spans="6:10" ht="15">
      <c r="F1882" s="15"/>
      <c r="H1882" s="15"/>
      <c r="J1882" s="15"/>
    </row>
    <row r="1883" spans="6:10" ht="15">
      <c r="F1883" s="15"/>
      <c r="H1883" s="15"/>
      <c r="J1883" s="15"/>
    </row>
    <row r="1884" spans="6:10" ht="15">
      <c r="F1884" s="15"/>
      <c r="H1884" s="15"/>
      <c r="J1884" s="15"/>
    </row>
    <row r="1885" spans="6:10" ht="15">
      <c r="F1885" s="15"/>
      <c r="H1885" s="15"/>
      <c r="J1885" s="15"/>
    </row>
    <row r="1886" spans="6:10" ht="15">
      <c r="F1886" s="15"/>
      <c r="H1886" s="15"/>
      <c r="J1886" s="15"/>
    </row>
    <row r="1887" spans="6:10" ht="15">
      <c r="F1887" s="15"/>
      <c r="H1887" s="15"/>
      <c r="J1887" s="15"/>
    </row>
    <row r="1888" spans="6:10" ht="15">
      <c r="F1888" s="15"/>
      <c r="H1888" s="15"/>
      <c r="J1888" s="15"/>
    </row>
    <row r="1889" spans="6:10" ht="15">
      <c r="F1889" s="15"/>
      <c r="H1889" s="15"/>
      <c r="J1889" s="15"/>
    </row>
    <row r="1890" spans="6:10" ht="15">
      <c r="F1890" s="15"/>
      <c r="H1890" s="15"/>
      <c r="J1890" s="15"/>
    </row>
    <row r="1891" spans="6:10" ht="15">
      <c r="F1891" s="15"/>
      <c r="H1891" s="15"/>
      <c r="J1891" s="15"/>
    </row>
    <row r="1892" spans="6:10" ht="15">
      <c r="F1892" s="15"/>
      <c r="H1892" s="15"/>
      <c r="J1892" s="15"/>
    </row>
    <row r="1893" spans="6:10" ht="15">
      <c r="F1893" s="15"/>
      <c r="H1893" s="15"/>
      <c r="J1893" s="15"/>
    </row>
    <row r="1894" spans="6:10" ht="15">
      <c r="F1894" s="15"/>
      <c r="H1894" s="15"/>
      <c r="J1894" s="15"/>
    </row>
    <row r="1895" spans="6:10" ht="15">
      <c r="F1895" s="15"/>
      <c r="H1895" s="15"/>
      <c r="J1895" s="15"/>
    </row>
    <row r="1896" spans="6:10" ht="15">
      <c r="F1896" s="15"/>
      <c r="H1896" s="15"/>
      <c r="J1896" s="15"/>
    </row>
    <row r="1897" spans="6:10" ht="15">
      <c r="F1897" s="15"/>
      <c r="H1897" s="15"/>
      <c r="J1897" s="15"/>
    </row>
    <row r="1898" spans="6:10" ht="15">
      <c r="F1898" s="15"/>
      <c r="H1898" s="15"/>
      <c r="J1898" s="15"/>
    </row>
    <row r="1899" spans="6:10" ht="15">
      <c r="F1899" s="15"/>
      <c r="H1899" s="15"/>
      <c r="J1899" s="15"/>
    </row>
    <row r="1900" spans="6:10" ht="15">
      <c r="F1900" s="15"/>
      <c r="H1900" s="15"/>
      <c r="J1900" s="15"/>
    </row>
    <row r="1901" spans="6:10" ht="15">
      <c r="F1901" s="15"/>
      <c r="H1901" s="15"/>
      <c r="J1901" s="15"/>
    </row>
    <row r="1902" spans="6:10" ht="15">
      <c r="F1902" s="15"/>
      <c r="H1902" s="15"/>
      <c r="J1902" s="15"/>
    </row>
    <row r="1903" spans="6:10" ht="15">
      <c r="F1903" s="15"/>
      <c r="H1903" s="15"/>
      <c r="J1903" s="15"/>
    </row>
    <row r="1904" spans="6:10" ht="15">
      <c r="F1904" s="15"/>
      <c r="H1904" s="15"/>
      <c r="J1904" s="15"/>
    </row>
    <row r="1905" spans="6:10" ht="15">
      <c r="F1905" s="15"/>
      <c r="H1905" s="15"/>
      <c r="J1905" s="15"/>
    </row>
    <row r="1906" spans="6:10" ht="15">
      <c r="F1906" s="15"/>
      <c r="H1906" s="15"/>
      <c r="J1906" s="15"/>
    </row>
    <row r="1907" spans="6:10" ht="15">
      <c r="F1907" s="15"/>
      <c r="H1907" s="15"/>
      <c r="J1907" s="15"/>
    </row>
    <row r="1908" spans="6:10" ht="15">
      <c r="F1908" s="15"/>
      <c r="H1908" s="15"/>
      <c r="J1908" s="15"/>
    </row>
    <row r="1909" spans="6:10" ht="15">
      <c r="F1909" s="15"/>
      <c r="H1909" s="15"/>
      <c r="J1909" s="15"/>
    </row>
    <row r="1910" spans="6:10" ht="15">
      <c r="F1910" s="15"/>
      <c r="H1910" s="15"/>
      <c r="J1910" s="15"/>
    </row>
    <row r="1911" spans="6:10" ht="15">
      <c r="F1911" s="15"/>
      <c r="H1911" s="15"/>
      <c r="J1911" s="15"/>
    </row>
    <row r="1912" spans="6:10" ht="15">
      <c r="F1912" s="15"/>
      <c r="H1912" s="15"/>
      <c r="J1912" s="15"/>
    </row>
    <row r="1913" spans="6:10" ht="15">
      <c r="F1913" s="15"/>
      <c r="H1913" s="15"/>
      <c r="J1913" s="15"/>
    </row>
    <row r="1914" spans="6:10" ht="15">
      <c r="F1914" s="15"/>
      <c r="H1914" s="15"/>
      <c r="J1914" s="15"/>
    </row>
    <row r="1915" spans="6:10" ht="15">
      <c r="F1915" s="15"/>
      <c r="H1915" s="15"/>
      <c r="J1915" s="15"/>
    </row>
    <row r="1916" spans="6:10" ht="15">
      <c r="F1916" s="15"/>
      <c r="H1916" s="15"/>
      <c r="J1916" s="15"/>
    </row>
    <row r="1917" spans="6:10" ht="15">
      <c r="F1917" s="15"/>
      <c r="H1917" s="15"/>
      <c r="J1917" s="15"/>
    </row>
    <row r="1918" spans="6:10" ht="15">
      <c r="F1918" s="15"/>
      <c r="H1918" s="15"/>
      <c r="J1918" s="15"/>
    </row>
    <row r="1919" spans="6:10" ht="15">
      <c r="F1919" s="15"/>
      <c r="H1919" s="15"/>
      <c r="J1919" s="15"/>
    </row>
    <row r="1920" spans="6:10" ht="15">
      <c r="F1920" s="15"/>
      <c r="H1920" s="15"/>
      <c r="J1920" s="15"/>
    </row>
    <row r="1921" spans="6:10" ht="15">
      <c r="F1921" s="15"/>
      <c r="H1921" s="15"/>
      <c r="J1921" s="15"/>
    </row>
    <row r="1922" spans="6:10" ht="15">
      <c r="F1922" s="15"/>
      <c r="H1922" s="15"/>
      <c r="J1922" s="15"/>
    </row>
    <row r="1923" spans="6:10" ht="15">
      <c r="F1923" s="15"/>
      <c r="H1923" s="15"/>
      <c r="J1923" s="15"/>
    </row>
    <row r="1924" spans="6:10" ht="15">
      <c r="F1924" s="15"/>
      <c r="H1924" s="15"/>
      <c r="J1924" s="15"/>
    </row>
    <row r="1925" spans="6:10" ht="15">
      <c r="F1925" s="15"/>
      <c r="H1925" s="15"/>
      <c r="J1925" s="15"/>
    </row>
    <row r="1926" spans="6:10" ht="15">
      <c r="F1926" s="15"/>
      <c r="H1926" s="15"/>
      <c r="J1926" s="15"/>
    </row>
    <row r="1927" spans="6:10" ht="15">
      <c r="F1927" s="15"/>
      <c r="H1927" s="15"/>
      <c r="J1927" s="15"/>
    </row>
    <row r="1928" spans="6:10" ht="15">
      <c r="F1928" s="15"/>
      <c r="H1928" s="15"/>
      <c r="J1928" s="15"/>
    </row>
    <row r="1929" spans="6:10" ht="15">
      <c r="F1929" s="15"/>
      <c r="H1929" s="15"/>
      <c r="J1929" s="15"/>
    </row>
    <row r="1930" spans="6:10" ht="15">
      <c r="F1930" s="15"/>
      <c r="H1930" s="15"/>
      <c r="J1930" s="15"/>
    </row>
    <row r="1931" spans="6:10" ht="15">
      <c r="F1931" s="15"/>
      <c r="H1931" s="15"/>
      <c r="J1931" s="15"/>
    </row>
    <row r="1932" spans="6:10" ht="15">
      <c r="F1932" s="15"/>
      <c r="H1932" s="15"/>
      <c r="J1932" s="15"/>
    </row>
    <row r="1933" spans="6:10" ht="15">
      <c r="F1933" s="15"/>
      <c r="H1933" s="15"/>
      <c r="J1933" s="15"/>
    </row>
    <row r="1934" spans="6:10" ht="15">
      <c r="F1934" s="15"/>
      <c r="H1934" s="15"/>
      <c r="J1934" s="15"/>
    </row>
    <row r="1935" spans="6:10" ht="15">
      <c r="F1935" s="15"/>
      <c r="H1935" s="15"/>
      <c r="J1935" s="15"/>
    </row>
    <row r="1936" spans="6:10" ht="15">
      <c r="F1936" s="15"/>
      <c r="H1936" s="15"/>
      <c r="J1936" s="15"/>
    </row>
    <row r="1937" spans="6:10" ht="15">
      <c r="F1937" s="15"/>
      <c r="H1937" s="15"/>
      <c r="J1937" s="15"/>
    </row>
    <row r="1938" spans="6:10" ht="15">
      <c r="F1938" s="15"/>
      <c r="H1938" s="15"/>
      <c r="J1938" s="15"/>
    </row>
    <row r="1939" spans="6:10" ht="15">
      <c r="F1939" s="15"/>
      <c r="H1939" s="15"/>
      <c r="J1939" s="15"/>
    </row>
    <row r="1940" spans="6:10" ht="15">
      <c r="F1940" s="15"/>
      <c r="H1940" s="15"/>
      <c r="J1940" s="15"/>
    </row>
    <row r="1941" spans="6:10" ht="15">
      <c r="F1941" s="15"/>
      <c r="H1941" s="15"/>
      <c r="J1941" s="15"/>
    </row>
    <row r="1942" spans="6:10" ht="15">
      <c r="F1942" s="15"/>
      <c r="H1942" s="15"/>
      <c r="J1942" s="15"/>
    </row>
    <row r="1943" spans="6:10" ht="15">
      <c r="F1943" s="15"/>
      <c r="H1943" s="15"/>
      <c r="J1943" s="15"/>
    </row>
    <row r="1944" spans="6:10" ht="15">
      <c r="F1944" s="15"/>
      <c r="H1944" s="15"/>
      <c r="J1944" s="15"/>
    </row>
    <row r="1945" spans="6:10" ht="15">
      <c r="F1945" s="15"/>
      <c r="H1945" s="15"/>
      <c r="J1945" s="15"/>
    </row>
    <row r="1946" spans="6:10" ht="15">
      <c r="F1946" s="15"/>
      <c r="H1946" s="15"/>
      <c r="J1946" s="15"/>
    </row>
    <row r="1947" spans="6:10" ht="15">
      <c r="F1947" s="15"/>
      <c r="H1947" s="15"/>
      <c r="J1947" s="15"/>
    </row>
    <row r="1948" spans="6:10" ht="15">
      <c r="F1948" s="15"/>
      <c r="H1948" s="15"/>
      <c r="J1948" s="15"/>
    </row>
    <row r="1949" spans="6:10" ht="15">
      <c r="F1949" s="15"/>
      <c r="H1949" s="15"/>
      <c r="J1949" s="15"/>
    </row>
    <row r="1950" spans="6:10" ht="15">
      <c r="F1950" s="15"/>
      <c r="H1950" s="15"/>
      <c r="J1950" s="15"/>
    </row>
    <row r="1951" spans="6:10" ht="15">
      <c r="F1951" s="15"/>
      <c r="H1951" s="15"/>
      <c r="J1951" s="15"/>
    </row>
    <row r="1952" spans="6:10" ht="15">
      <c r="F1952" s="15"/>
      <c r="H1952" s="15"/>
      <c r="J1952" s="15"/>
    </row>
    <row r="1953" spans="6:10" ht="15">
      <c r="F1953" s="15"/>
      <c r="H1953" s="15"/>
      <c r="J1953" s="15"/>
    </row>
    <row r="1954" spans="6:10" ht="15">
      <c r="F1954" s="15"/>
      <c r="H1954" s="15"/>
      <c r="J1954" s="15"/>
    </row>
    <row r="1955" spans="6:10" ht="15">
      <c r="F1955" s="15"/>
      <c r="H1955" s="15"/>
      <c r="J1955" s="15"/>
    </row>
    <row r="1956" spans="6:10" ht="15">
      <c r="F1956" s="15"/>
      <c r="H1956" s="15"/>
      <c r="J1956" s="15"/>
    </row>
    <row r="1957" spans="6:10" ht="15">
      <c r="F1957" s="15"/>
      <c r="H1957" s="15"/>
      <c r="J1957" s="15"/>
    </row>
    <row r="1958" spans="6:10" ht="15">
      <c r="F1958" s="15"/>
      <c r="H1958" s="15"/>
      <c r="J1958" s="15"/>
    </row>
    <row r="1959" spans="6:10" ht="15">
      <c r="F1959" s="15"/>
      <c r="H1959" s="15"/>
      <c r="J1959" s="15"/>
    </row>
    <row r="1960" spans="6:10" ht="15">
      <c r="F1960" s="15"/>
      <c r="H1960" s="15"/>
      <c r="J1960" s="15"/>
    </row>
    <row r="1961" spans="6:10" ht="15">
      <c r="F1961" s="15"/>
      <c r="H1961" s="15"/>
      <c r="J1961" s="15"/>
    </row>
    <row r="1962" spans="6:10" ht="15">
      <c r="F1962" s="15"/>
      <c r="H1962" s="15"/>
      <c r="J1962" s="15"/>
    </row>
    <row r="1963" spans="6:10" ht="15">
      <c r="F1963" s="15"/>
      <c r="H1963" s="15"/>
      <c r="J1963" s="15"/>
    </row>
    <row r="1964" spans="6:10" ht="15">
      <c r="F1964" s="15"/>
      <c r="H1964" s="15"/>
      <c r="J1964" s="15"/>
    </row>
    <row r="1965" spans="6:10" ht="15">
      <c r="F1965" s="15"/>
      <c r="H1965" s="15"/>
      <c r="J1965" s="15"/>
    </row>
    <row r="1966" spans="6:10" ht="15">
      <c r="F1966" s="15"/>
      <c r="H1966" s="15"/>
      <c r="J1966" s="15"/>
    </row>
    <row r="1967" spans="6:10" ht="15">
      <c r="F1967" s="15"/>
      <c r="H1967" s="15"/>
      <c r="J1967" s="15"/>
    </row>
    <row r="1968" spans="6:10" ht="15">
      <c r="F1968" s="15"/>
      <c r="H1968" s="15"/>
      <c r="J1968" s="15"/>
    </row>
    <row r="1969" spans="6:10" ht="15">
      <c r="F1969" s="15"/>
      <c r="H1969" s="15"/>
      <c r="J1969" s="15"/>
    </row>
    <row r="1970" spans="6:10" ht="15">
      <c r="F1970" s="15"/>
      <c r="H1970" s="15"/>
      <c r="J1970" s="15"/>
    </row>
    <row r="1971" spans="6:10" ht="15">
      <c r="F1971" s="15"/>
      <c r="H1971" s="15"/>
      <c r="J1971" s="15"/>
    </row>
    <row r="1972" spans="6:10" ht="15">
      <c r="F1972" s="15"/>
      <c r="H1972" s="15"/>
      <c r="J1972" s="15"/>
    </row>
    <row r="1973" spans="6:10" ht="15">
      <c r="F1973" s="15"/>
      <c r="H1973" s="15"/>
      <c r="J1973" s="15"/>
    </row>
    <row r="1974" spans="6:10" ht="15">
      <c r="F1974" s="15"/>
      <c r="H1974" s="15"/>
      <c r="J1974" s="15"/>
    </row>
    <row r="1975" spans="6:10" ht="15">
      <c r="F1975" s="15"/>
      <c r="H1975" s="15"/>
      <c r="J1975" s="15"/>
    </row>
    <row r="1976" spans="6:10" ht="15">
      <c r="F1976" s="15"/>
      <c r="H1976" s="15"/>
      <c r="J1976" s="15"/>
    </row>
    <row r="1977" spans="6:10" ht="15">
      <c r="F1977" s="15"/>
      <c r="H1977" s="15"/>
      <c r="J1977" s="15"/>
    </row>
    <row r="1978" spans="6:10" ht="15">
      <c r="F1978" s="15"/>
      <c r="H1978" s="15"/>
      <c r="J1978" s="15"/>
    </row>
    <row r="1979" spans="6:10" ht="15">
      <c r="F1979" s="15"/>
      <c r="H1979" s="15"/>
      <c r="J1979" s="15"/>
    </row>
    <row r="1980" spans="6:10" ht="15">
      <c r="F1980" s="15"/>
      <c r="H1980" s="15"/>
      <c r="J1980" s="15"/>
    </row>
    <row r="1981" spans="6:10" ht="15">
      <c r="F1981" s="15"/>
      <c r="H1981" s="15"/>
      <c r="J1981" s="15"/>
    </row>
    <row r="1982" spans="6:10" ht="15">
      <c r="F1982" s="15"/>
      <c r="H1982" s="15"/>
      <c r="J1982" s="15"/>
    </row>
    <row r="1983" spans="6:10" ht="15">
      <c r="F1983" s="15"/>
      <c r="H1983" s="15"/>
      <c r="J1983" s="15"/>
    </row>
    <row r="1984" spans="6:10" ht="15">
      <c r="F1984" s="15"/>
      <c r="H1984" s="15"/>
      <c r="J1984" s="15"/>
    </row>
    <row r="1985" spans="6:10" ht="15">
      <c r="F1985" s="15"/>
      <c r="H1985" s="15"/>
      <c r="J1985" s="15"/>
    </row>
    <row r="1986" spans="6:10" ht="15">
      <c r="F1986" s="15"/>
      <c r="H1986" s="15"/>
      <c r="J1986" s="15"/>
    </row>
    <row r="1987" spans="6:10" ht="15">
      <c r="F1987" s="15"/>
      <c r="H1987" s="15"/>
      <c r="J1987" s="15"/>
    </row>
    <row r="1988" spans="6:10" ht="15">
      <c r="F1988" s="15"/>
      <c r="H1988" s="15"/>
      <c r="J1988" s="15"/>
    </row>
    <row r="1989" spans="6:10" ht="15">
      <c r="F1989" s="15"/>
      <c r="H1989" s="15"/>
      <c r="J1989" s="15"/>
    </row>
    <row r="1990" spans="6:10" ht="15">
      <c r="F1990" s="15"/>
      <c r="H1990" s="15"/>
      <c r="J1990" s="15"/>
    </row>
    <row r="1991" spans="6:10" ht="15">
      <c r="F1991" s="15"/>
      <c r="H1991" s="15"/>
      <c r="J1991" s="15"/>
    </row>
    <row r="1992" spans="6:10" ht="15">
      <c r="F1992" s="15"/>
      <c r="H1992" s="15"/>
      <c r="J1992" s="15"/>
    </row>
    <row r="1993" spans="6:10" ht="15">
      <c r="F1993" s="15"/>
      <c r="H1993" s="15"/>
      <c r="J1993" s="15"/>
    </row>
    <row r="1994" spans="6:10" ht="15">
      <c r="F1994" s="15"/>
      <c r="H1994" s="15"/>
      <c r="J1994" s="15"/>
    </row>
    <row r="1995" spans="6:10" ht="15">
      <c r="F1995" s="15"/>
      <c r="H1995" s="15"/>
      <c r="J1995" s="15"/>
    </row>
    <row r="1996" spans="6:10" ht="15">
      <c r="F1996" s="15"/>
      <c r="H1996" s="15"/>
      <c r="J1996" s="15"/>
    </row>
    <row r="1997" spans="6:10" ht="15">
      <c r="F1997" s="15"/>
      <c r="H1997" s="15"/>
      <c r="J1997" s="15"/>
    </row>
    <row r="1998" spans="6:10" ht="15">
      <c r="F1998" s="15"/>
      <c r="H1998" s="15"/>
      <c r="J1998" s="15"/>
    </row>
    <row r="1999" spans="6:10" ht="15">
      <c r="F1999" s="15"/>
      <c r="H1999" s="15"/>
      <c r="J1999" s="15"/>
    </row>
    <row r="2000" spans="6:10" ht="15">
      <c r="F2000" s="15"/>
      <c r="H2000" s="15"/>
      <c r="J2000" s="15"/>
    </row>
    <row r="2001" spans="6:10" ht="15">
      <c r="F2001" s="15"/>
      <c r="H2001" s="15"/>
      <c r="J2001" s="15"/>
    </row>
    <row r="2002" spans="6:10" ht="15">
      <c r="F2002" s="15"/>
      <c r="H2002" s="15"/>
      <c r="J2002" s="15"/>
    </row>
    <row r="2003" spans="6:10" ht="15">
      <c r="F2003" s="15"/>
      <c r="H2003" s="15"/>
      <c r="J2003" s="15"/>
    </row>
    <row r="2004" spans="6:10" ht="15">
      <c r="F2004" s="15"/>
      <c r="H2004" s="15"/>
      <c r="J2004" s="15"/>
    </row>
    <row r="2005" spans="6:10" ht="15">
      <c r="F2005" s="15"/>
      <c r="H2005" s="15"/>
      <c r="J2005" s="15"/>
    </row>
    <row r="2006" spans="6:10" ht="15">
      <c r="F2006" s="15"/>
      <c r="H2006" s="15"/>
      <c r="J2006" s="15"/>
    </row>
    <row r="2007" spans="6:10" ht="15">
      <c r="F2007" s="15"/>
      <c r="H2007" s="15"/>
      <c r="J2007" s="15"/>
    </row>
    <row r="2008" spans="6:10" ht="15">
      <c r="F2008" s="15"/>
      <c r="H2008" s="15"/>
      <c r="J2008" s="15"/>
    </row>
    <row r="2009" spans="6:10" ht="15">
      <c r="F2009" s="15"/>
      <c r="H2009" s="15"/>
      <c r="J2009" s="15"/>
    </row>
    <row r="2010" spans="6:10" ht="15">
      <c r="F2010" s="15"/>
      <c r="H2010" s="15"/>
      <c r="J2010" s="15"/>
    </row>
    <row r="2011" spans="6:10" ht="15">
      <c r="F2011" s="15"/>
      <c r="H2011" s="15"/>
      <c r="J2011" s="15"/>
    </row>
    <row r="2012" spans="6:10" ht="15">
      <c r="F2012" s="15"/>
      <c r="H2012" s="15"/>
      <c r="J2012" s="15"/>
    </row>
    <row r="2013" spans="6:10" ht="15">
      <c r="F2013" s="15"/>
      <c r="H2013" s="15"/>
      <c r="J2013" s="15"/>
    </row>
    <row r="2014" spans="6:10" ht="15">
      <c r="F2014" s="15"/>
      <c r="H2014" s="15"/>
      <c r="J2014" s="15"/>
    </row>
    <row r="2015" spans="6:10" ht="15">
      <c r="F2015" s="15"/>
      <c r="H2015" s="15"/>
      <c r="J2015" s="15"/>
    </row>
    <row r="2016" spans="6:10" ht="15">
      <c r="F2016" s="15"/>
      <c r="H2016" s="15"/>
      <c r="J2016" s="15"/>
    </row>
    <row r="2017" spans="6:10" ht="15">
      <c r="F2017" s="15"/>
      <c r="H2017" s="15"/>
      <c r="J2017" s="15"/>
    </row>
    <row r="2018" spans="6:10" ht="15">
      <c r="F2018" s="15"/>
      <c r="H2018" s="15"/>
      <c r="J2018" s="15"/>
    </row>
    <row r="2019" spans="6:10" ht="15">
      <c r="F2019" s="15"/>
      <c r="H2019" s="15"/>
      <c r="J2019" s="15"/>
    </row>
    <row r="2020" spans="6:10" ht="15">
      <c r="F2020" s="15"/>
      <c r="H2020" s="15"/>
      <c r="J2020" s="15"/>
    </row>
    <row r="2021" spans="6:10" ht="15">
      <c r="F2021" s="15"/>
      <c r="H2021" s="15"/>
      <c r="J2021" s="15"/>
    </row>
    <row r="2022" spans="6:10" ht="15">
      <c r="F2022" s="15"/>
      <c r="H2022" s="15"/>
      <c r="J2022" s="15"/>
    </row>
    <row r="2023" spans="6:10" ht="15">
      <c r="F2023" s="15"/>
      <c r="H2023" s="15"/>
      <c r="J2023" s="15"/>
    </row>
    <row r="2024" spans="6:10" ht="15">
      <c r="F2024" s="15"/>
      <c r="H2024" s="15"/>
      <c r="J2024" s="15"/>
    </row>
    <row r="2025" spans="6:10" ht="15">
      <c r="F2025" s="15"/>
      <c r="H2025" s="15"/>
      <c r="J2025" s="15"/>
    </row>
    <row r="2026" spans="6:10" ht="15">
      <c r="F2026" s="15"/>
      <c r="H2026" s="15"/>
      <c r="J2026" s="15"/>
    </row>
    <row r="2027" spans="6:10" ht="15">
      <c r="F2027" s="15"/>
      <c r="H2027" s="15"/>
      <c r="J2027" s="15"/>
    </row>
    <row r="2028" spans="6:10" ht="15">
      <c r="F2028" s="15"/>
      <c r="H2028" s="15"/>
      <c r="J2028" s="15"/>
    </row>
    <row r="2029" spans="6:10" ht="15">
      <c r="F2029" s="15"/>
      <c r="H2029" s="15"/>
      <c r="J2029" s="15"/>
    </row>
    <row r="2030" spans="6:10" ht="15">
      <c r="F2030" s="15"/>
      <c r="H2030" s="15"/>
      <c r="J2030" s="15"/>
    </row>
    <row r="2031" spans="6:10" ht="15">
      <c r="F2031" s="15"/>
      <c r="H2031" s="15"/>
      <c r="J2031" s="15"/>
    </row>
    <row r="2032" spans="6:10" ht="15">
      <c r="F2032" s="15"/>
      <c r="H2032" s="15"/>
      <c r="J2032" s="15"/>
    </row>
    <row r="2033" spans="6:10" ht="15">
      <c r="F2033" s="15"/>
      <c r="H2033" s="15"/>
      <c r="J2033" s="15"/>
    </row>
    <row r="2034" spans="6:10" ht="15">
      <c r="F2034" s="15"/>
      <c r="H2034" s="15"/>
      <c r="J2034" s="15"/>
    </row>
    <row r="2035" spans="6:10" ht="15">
      <c r="F2035" s="15"/>
      <c r="H2035" s="15"/>
      <c r="J2035" s="15"/>
    </row>
    <row r="2036" spans="6:10" ht="15">
      <c r="F2036" s="15"/>
      <c r="H2036" s="15"/>
      <c r="J2036" s="15"/>
    </row>
    <row r="2037" spans="6:10" ht="15">
      <c r="F2037" s="15"/>
      <c r="H2037" s="15"/>
      <c r="J2037" s="15"/>
    </row>
    <row r="2038" spans="6:10" ht="15">
      <c r="F2038" s="15"/>
      <c r="H2038" s="15"/>
      <c r="J2038" s="15"/>
    </row>
    <row r="2039" spans="6:10" ht="15">
      <c r="F2039" s="15"/>
      <c r="H2039" s="15"/>
      <c r="J2039" s="15"/>
    </row>
    <row r="2040" spans="6:10" ht="15">
      <c r="F2040" s="15"/>
      <c r="H2040" s="15"/>
      <c r="J2040" s="15"/>
    </row>
    <row r="2041" spans="6:10" ht="15">
      <c r="F2041" s="15"/>
      <c r="H2041" s="15"/>
      <c r="J2041" s="15"/>
    </row>
    <row r="2042" spans="6:10" ht="15">
      <c r="F2042" s="15"/>
      <c r="H2042" s="15"/>
      <c r="J2042" s="15"/>
    </row>
    <row r="2043" spans="6:10" ht="15">
      <c r="F2043" s="15"/>
      <c r="H2043" s="15"/>
      <c r="J2043" s="15"/>
    </row>
    <row r="2044" spans="6:10" ht="15">
      <c r="F2044" s="15"/>
      <c r="H2044" s="15"/>
      <c r="J2044" s="15"/>
    </row>
    <row r="2045" spans="6:10" ht="15">
      <c r="F2045" s="15"/>
      <c r="H2045" s="15"/>
      <c r="J2045" s="15"/>
    </row>
    <row r="2046" spans="6:10" ht="15">
      <c r="F2046" s="15"/>
      <c r="H2046" s="15"/>
      <c r="J2046" s="15"/>
    </row>
    <row r="2047" spans="6:10" ht="15">
      <c r="F2047" s="15"/>
      <c r="H2047" s="15"/>
      <c r="J2047" s="15"/>
    </row>
    <row r="2048" spans="6:10" ht="15">
      <c r="F2048" s="15"/>
      <c r="H2048" s="15"/>
      <c r="J2048" s="15"/>
    </row>
    <row r="2049" spans="6:10" ht="15">
      <c r="F2049" s="15"/>
      <c r="H2049" s="15"/>
      <c r="J2049" s="15"/>
    </row>
    <row r="2050" spans="6:10" ht="15">
      <c r="F2050" s="15"/>
      <c r="H2050" s="15"/>
      <c r="J2050" s="15"/>
    </row>
    <row r="2051" spans="6:10" ht="15">
      <c r="F2051" s="15"/>
      <c r="H2051" s="15"/>
      <c r="J2051" s="15"/>
    </row>
    <row r="2052" spans="6:10" ht="15">
      <c r="F2052" s="15"/>
      <c r="H2052" s="15"/>
      <c r="J2052" s="15"/>
    </row>
    <row r="2053" spans="6:10" ht="15">
      <c r="F2053" s="15"/>
      <c r="H2053" s="15"/>
      <c r="J2053" s="15"/>
    </row>
    <row r="2054" spans="6:10" ht="15">
      <c r="F2054" s="15"/>
      <c r="H2054" s="15"/>
      <c r="J2054" s="15"/>
    </row>
    <row r="2055" spans="6:10" ht="15">
      <c r="F2055" s="15"/>
      <c r="H2055" s="15"/>
      <c r="J2055" s="15"/>
    </row>
    <row r="2056" spans="6:10" ht="15">
      <c r="F2056" s="15"/>
      <c r="H2056" s="15"/>
      <c r="J2056" s="15"/>
    </row>
    <row r="2057" spans="6:10" ht="15">
      <c r="F2057" s="15"/>
      <c r="H2057" s="15"/>
      <c r="J2057" s="15"/>
    </row>
    <row r="2058" spans="6:10" ht="15">
      <c r="F2058" s="15"/>
      <c r="H2058" s="15"/>
      <c r="J2058" s="15"/>
    </row>
    <row r="2059" spans="6:10" ht="15">
      <c r="F2059" s="15"/>
      <c r="H2059" s="15"/>
      <c r="J2059" s="15"/>
    </row>
    <row r="2060" spans="6:10" ht="15">
      <c r="F2060" s="15"/>
      <c r="H2060" s="15"/>
      <c r="J2060" s="15"/>
    </row>
    <row r="2061" spans="6:10" ht="15">
      <c r="F2061" s="15"/>
      <c r="H2061" s="15"/>
      <c r="J2061" s="15"/>
    </row>
    <row r="2062" spans="6:10" ht="15">
      <c r="F2062" s="15"/>
      <c r="H2062" s="15"/>
      <c r="J2062" s="15"/>
    </row>
    <row r="2063" spans="6:10" ht="15">
      <c r="F2063" s="15"/>
      <c r="H2063" s="15"/>
      <c r="J2063" s="15"/>
    </row>
    <row r="2064" spans="6:10" ht="15">
      <c r="F2064" s="15"/>
      <c r="H2064" s="15"/>
      <c r="J2064" s="15"/>
    </row>
    <row r="2065" spans="6:10" ht="15">
      <c r="F2065" s="15"/>
      <c r="H2065" s="15"/>
      <c r="J2065" s="15"/>
    </row>
    <row r="2066" spans="6:10" ht="15">
      <c r="F2066" s="15"/>
      <c r="H2066" s="15"/>
      <c r="J2066" s="15"/>
    </row>
    <row r="2067" spans="6:10" ht="15">
      <c r="F2067" s="15"/>
      <c r="H2067" s="15"/>
      <c r="J2067" s="15"/>
    </row>
    <row r="2068" spans="6:10" ht="15">
      <c r="F2068" s="15"/>
      <c r="H2068" s="15"/>
      <c r="J2068" s="15"/>
    </row>
    <row r="2069" spans="6:10" ht="15">
      <c r="F2069" s="15"/>
      <c r="H2069" s="15"/>
      <c r="J2069" s="15"/>
    </row>
    <row r="2070" spans="6:10" ht="15">
      <c r="F2070" s="15"/>
      <c r="H2070" s="15"/>
      <c r="J2070" s="15"/>
    </row>
    <row r="2071" spans="6:10" ht="15">
      <c r="F2071" s="15"/>
      <c r="H2071" s="15"/>
      <c r="J2071" s="15"/>
    </row>
    <row r="2072" spans="6:10" ht="15">
      <c r="F2072" s="15"/>
      <c r="H2072" s="15"/>
      <c r="J2072" s="15"/>
    </row>
    <row r="2073" spans="6:10" ht="15">
      <c r="F2073" s="15"/>
      <c r="H2073" s="15"/>
      <c r="J2073" s="15"/>
    </row>
    <row r="2074" spans="6:10" ht="15">
      <c r="F2074" s="15"/>
      <c r="H2074" s="15"/>
      <c r="J2074" s="15"/>
    </row>
    <row r="2075" spans="6:10" ht="15">
      <c r="F2075" s="15"/>
      <c r="H2075" s="15"/>
      <c r="J2075" s="15"/>
    </row>
    <row r="2076" spans="6:10" ht="15">
      <c r="F2076" s="15"/>
      <c r="H2076" s="15"/>
      <c r="J2076" s="15"/>
    </row>
    <row r="2077" spans="6:10" ht="15">
      <c r="F2077" s="15"/>
      <c r="H2077" s="15"/>
      <c r="J2077" s="15"/>
    </row>
    <row r="2078" spans="6:10" ht="15">
      <c r="F2078" s="15"/>
      <c r="H2078" s="15"/>
      <c r="J2078" s="15"/>
    </row>
    <row r="2079" spans="6:10" ht="15">
      <c r="F2079" s="15"/>
      <c r="H2079" s="15"/>
      <c r="J2079" s="15"/>
    </row>
    <row r="2080" spans="6:10" ht="15">
      <c r="F2080" s="15"/>
      <c r="H2080" s="15"/>
      <c r="J2080" s="15"/>
    </row>
    <row r="2081" spans="6:10" ht="15">
      <c r="F2081" s="15"/>
      <c r="H2081" s="15"/>
      <c r="J2081" s="15"/>
    </row>
    <row r="2082" spans="6:10" ht="15">
      <c r="F2082" s="15"/>
      <c r="H2082" s="15"/>
      <c r="J2082" s="15"/>
    </row>
    <row r="2083" spans="6:10" ht="15">
      <c r="F2083" s="15"/>
      <c r="H2083" s="15"/>
      <c r="J2083" s="15"/>
    </row>
    <row r="2084" spans="6:10" ht="15">
      <c r="F2084" s="15"/>
      <c r="H2084" s="15"/>
      <c r="J2084" s="15"/>
    </row>
    <row r="2085" spans="6:10" ht="15">
      <c r="F2085" s="15"/>
      <c r="H2085" s="15"/>
      <c r="J2085" s="15"/>
    </row>
    <row r="2086" spans="6:10" ht="15">
      <c r="F2086" s="15"/>
      <c r="H2086" s="15"/>
      <c r="J2086" s="15"/>
    </row>
    <row r="2087" spans="6:10" ht="15">
      <c r="F2087" s="15"/>
      <c r="H2087" s="15"/>
      <c r="J2087" s="15"/>
    </row>
    <row r="2088" spans="6:10" ht="15">
      <c r="F2088" s="15"/>
      <c r="H2088" s="15"/>
      <c r="J2088" s="15"/>
    </row>
    <row r="2089" spans="6:10" ht="15">
      <c r="F2089" s="15"/>
      <c r="H2089" s="15"/>
      <c r="J2089" s="15"/>
    </row>
    <row r="2090" spans="6:10" ht="15">
      <c r="F2090" s="15"/>
      <c r="H2090" s="15"/>
      <c r="J2090" s="15"/>
    </row>
    <row r="2091" spans="6:10" ht="15">
      <c r="F2091" s="15"/>
      <c r="H2091" s="15"/>
      <c r="J2091" s="15"/>
    </row>
    <row r="2092" spans="6:10" ht="15">
      <c r="F2092" s="15"/>
      <c r="H2092" s="15"/>
      <c r="J2092" s="15"/>
    </row>
    <row r="2093" spans="6:10" ht="15">
      <c r="F2093" s="15"/>
      <c r="H2093" s="15"/>
      <c r="J2093" s="15"/>
    </row>
    <row r="2094" spans="6:10" ht="15">
      <c r="F2094" s="15"/>
      <c r="H2094" s="15"/>
      <c r="J2094" s="15"/>
    </row>
    <row r="2095" spans="6:10" ht="15">
      <c r="F2095" s="15"/>
      <c r="H2095" s="15"/>
      <c r="J2095" s="15"/>
    </row>
    <row r="2096" spans="6:10" ht="15">
      <c r="F2096" s="15"/>
      <c r="H2096" s="15"/>
      <c r="J2096" s="15"/>
    </row>
    <row r="2097" spans="6:10" ht="15">
      <c r="F2097" s="15"/>
      <c r="H2097" s="15"/>
      <c r="J2097" s="15"/>
    </row>
    <row r="2098" spans="6:10" ht="15">
      <c r="F2098" s="15"/>
      <c r="H2098" s="15"/>
      <c r="J2098" s="15"/>
    </row>
    <row r="2099" spans="6:10" ht="15">
      <c r="F2099" s="15"/>
      <c r="H2099" s="15"/>
      <c r="J2099" s="15"/>
    </row>
    <row r="2100" spans="6:10" ht="15">
      <c r="F2100" s="15"/>
      <c r="H2100" s="15"/>
      <c r="J2100" s="15"/>
    </row>
    <row r="2101" spans="6:10" ht="15">
      <c r="F2101" s="15"/>
      <c r="H2101" s="15"/>
      <c r="J2101" s="15"/>
    </row>
    <row r="2102" spans="6:10" ht="15">
      <c r="F2102" s="15"/>
      <c r="H2102" s="15"/>
      <c r="J2102" s="15"/>
    </row>
    <row r="2103" spans="6:10" ht="15">
      <c r="F2103" s="15"/>
      <c r="H2103" s="15"/>
      <c r="J2103" s="15"/>
    </row>
    <row r="2104" spans="6:10" ht="15">
      <c r="F2104" s="15"/>
      <c r="H2104" s="15"/>
      <c r="J2104" s="15"/>
    </row>
    <row r="2105" spans="6:10" ht="15">
      <c r="F2105" s="15"/>
      <c r="H2105" s="15"/>
      <c r="J2105" s="15"/>
    </row>
    <row r="2106" spans="6:10" ht="15">
      <c r="F2106" s="15"/>
      <c r="H2106" s="15"/>
      <c r="J2106" s="15"/>
    </row>
    <row r="2107" spans="6:10" ht="15">
      <c r="F2107" s="15"/>
      <c r="H2107" s="15"/>
      <c r="J2107" s="15"/>
    </row>
    <row r="2108" spans="6:10" ht="15">
      <c r="F2108" s="15"/>
      <c r="H2108" s="15"/>
      <c r="J2108" s="15"/>
    </row>
    <row r="2109" spans="6:10" ht="15">
      <c r="F2109" s="15"/>
      <c r="H2109" s="15"/>
      <c r="J2109" s="15"/>
    </row>
    <row r="2110" spans="6:10" ht="15">
      <c r="F2110" s="15"/>
      <c r="H2110" s="15"/>
      <c r="J2110" s="15"/>
    </row>
    <row r="2111" spans="6:10" ht="15">
      <c r="F2111" s="15"/>
      <c r="H2111" s="15"/>
      <c r="J2111" s="15"/>
    </row>
    <row r="2112" spans="6:10" ht="15">
      <c r="F2112" s="15"/>
      <c r="H2112" s="15"/>
      <c r="J2112" s="15"/>
    </row>
    <row r="2113" spans="6:10" ht="15">
      <c r="F2113" s="15"/>
      <c r="H2113" s="15"/>
      <c r="J2113" s="15"/>
    </row>
    <row r="2114" spans="6:10" ht="15">
      <c r="F2114" s="15"/>
      <c r="H2114" s="15"/>
      <c r="J2114" s="15"/>
    </row>
    <row r="2115" spans="6:10" ht="15">
      <c r="F2115" s="15"/>
      <c r="H2115" s="15"/>
      <c r="J2115" s="15"/>
    </row>
    <row r="2116" spans="6:10" ht="15">
      <c r="F2116" s="15"/>
      <c r="H2116" s="15"/>
      <c r="J2116" s="15"/>
    </row>
    <row r="2117" spans="6:10" ht="15">
      <c r="F2117" s="15"/>
      <c r="H2117" s="15"/>
      <c r="J2117" s="15"/>
    </row>
    <row r="2118" spans="6:10" ht="15">
      <c r="F2118" s="15"/>
      <c r="H2118" s="15"/>
      <c r="J2118" s="15"/>
    </row>
    <row r="2119" spans="6:10" ht="15">
      <c r="F2119" s="15"/>
      <c r="H2119" s="15"/>
      <c r="J2119" s="15"/>
    </row>
    <row r="2120" spans="6:10" ht="15">
      <c r="F2120" s="15"/>
      <c r="H2120" s="15"/>
      <c r="J2120" s="15"/>
    </row>
    <row r="2121" spans="6:10" ht="15">
      <c r="F2121" s="15"/>
      <c r="H2121" s="15"/>
      <c r="J2121" s="15"/>
    </row>
    <row r="2122" spans="6:10" ht="15">
      <c r="F2122" s="15"/>
      <c r="H2122" s="15"/>
      <c r="J2122" s="15"/>
    </row>
    <row r="2123" spans="6:10" ht="15">
      <c r="F2123" s="15"/>
      <c r="H2123" s="15"/>
      <c r="J2123" s="15"/>
    </row>
    <row r="2124" spans="6:10" ht="15">
      <c r="F2124" s="15"/>
      <c r="H2124" s="15"/>
      <c r="J2124" s="15"/>
    </row>
    <row r="2125" spans="6:10" ht="15">
      <c r="F2125" s="15"/>
      <c r="H2125" s="15"/>
      <c r="J2125" s="15"/>
    </row>
    <row r="2126" spans="6:10" ht="15">
      <c r="F2126" s="15"/>
      <c r="H2126" s="15"/>
      <c r="J2126" s="15"/>
    </row>
    <row r="2127" spans="6:10" ht="15">
      <c r="F2127" s="15"/>
      <c r="H2127" s="15"/>
      <c r="J2127" s="15"/>
    </row>
    <row r="2128" spans="6:10" ht="15">
      <c r="F2128" s="15"/>
      <c r="H2128" s="15"/>
      <c r="J2128" s="15"/>
    </row>
    <row r="2129" spans="6:10" ht="15">
      <c r="F2129" s="15"/>
      <c r="H2129" s="15"/>
      <c r="J2129" s="15"/>
    </row>
    <row r="2130" spans="6:10" ht="15">
      <c r="F2130" s="15"/>
      <c r="H2130" s="15"/>
      <c r="J2130" s="15"/>
    </row>
    <row r="2131" spans="6:10" ht="15">
      <c r="F2131" s="15"/>
      <c r="H2131" s="15"/>
      <c r="J2131" s="15"/>
    </row>
    <row r="2132" spans="6:10" ht="15">
      <c r="F2132" s="15"/>
      <c r="H2132" s="15"/>
      <c r="J2132" s="15"/>
    </row>
    <row r="2133" spans="6:10" ht="15">
      <c r="F2133" s="15"/>
      <c r="H2133" s="15"/>
      <c r="J2133" s="15"/>
    </row>
    <row r="2134" spans="6:10" ht="15">
      <c r="F2134" s="15"/>
      <c r="H2134" s="15"/>
      <c r="J2134" s="15"/>
    </row>
    <row r="2135" spans="6:10" ht="15">
      <c r="F2135" s="15"/>
      <c r="H2135" s="15"/>
      <c r="J2135" s="15"/>
    </row>
    <row r="2136" spans="6:10" ht="15">
      <c r="F2136" s="15"/>
      <c r="H2136" s="15"/>
      <c r="J2136" s="15"/>
    </row>
    <row r="2137" spans="6:10" ht="15">
      <c r="F2137" s="15"/>
      <c r="H2137" s="15"/>
      <c r="J2137" s="15"/>
    </row>
    <row r="2138" spans="6:10" ht="15">
      <c r="F2138" s="15"/>
      <c r="H2138" s="15"/>
      <c r="J2138" s="15"/>
    </row>
    <row r="2139" spans="6:10" ht="15">
      <c r="F2139" s="15"/>
      <c r="H2139" s="15"/>
      <c r="J2139" s="15"/>
    </row>
    <row r="2140" spans="6:10" ht="15">
      <c r="F2140" s="15"/>
      <c r="H2140" s="15"/>
      <c r="J2140" s="15"/>
    </row>
    <row r="2141" spans="6:10" ht="15">
      <c r="F2141" s="15"/>
      <c r="H2141" s="15"/>
      <c r="J2141" s="15"/>
    </row>
    <row r="2142" spans="6:10" ht="15">
      <c r="F2142" s="15"/>
      <c r="H2142" s="15"/>
      <c r="J2142" s="15"/>
    </row>
    <row r="2143" spans="6:10" ht="15">
      <c r="F2143" s="15"/>
      <c r="H2143" s="15"/>
      <c r="J2143" s="15"/>
    </row>
    <row r="2144" spans="6:10" ht="15">
      <c r="F2144" s="15"/>
      <c r="H2144" s="15"/>
      <c r="J2144" s="15"/>
    </row>
    <row r="2145" spans="6:10" ht="15">
      <c r="F2145" s="15"/>
      <c r="H2145" s="15"/>
      <c r="J2145" s="15"/>
    </row>
    <row r="2146" spans="6:10" ht="15">
      <c r="F2146" s="15"/>
      <c r="H2146" s="15"/>
      <c r="J2146" s="15"/>
    </row>
    <row r="2147" spans="6:10" ht="15">
      <c r="F2147" s="15"/>
      <c r="H2147" s="15"/>
      <c r="J2147" s="15"/>
    </row>
    <row r="2148" spans="6:10" ht="15">
      <c r="F2148" s="15"/>
      <c r="H2148" s="15"/>
      <c r="J2148" s="15"/>
    </row>
    <row r="2149" spans="6:10" ht="15">
      <c r="F2149" s="15"/>
      <c r="H2149" s="15"/>
      <c r="J2149" s="15"/>
    </row>
    <row r="2150" spans="6:10" ht="15">
      <c r="F2150" s="15"/>
      <c r="H2150" s="15"/>
      <c r="J2150" s="15"/>
    </row>
    <row r="2151" spans="6:10" ht="15">
      <c r="F2151" s="15"/>
      <c r="H2151" s="15"/>
      <c r="J2151" s="15"/>
    </row>
    <row r="2152" spans="6:10" ht="15">
      <c r="F2152" s="15"/>
      <c r="H2152" s="15"/>
      <c r="J2152" s="15"/>
    </row>
    <row r="2153" spans="6:10" ht="15">
      <c r="F2153" s="15"/>
      <c r="H2153" s="15"/>
      <c r="J2153" s="15"/>
    </row>
    <row r="2154" spans="6:10" ht="15">
      <c r="F2154" s="15"/>
      <c r="H2154" s="15"/>
      <c r="J2154" s="15"/>
    </row>
    <row r="2155" spans="6:10" ht="15">
      <c r="F2155" s="15"/>
      <c r="H2155" s="15"/>
      <c r="J2155" s="15"/>
    </row>
    <row r="2156" spans="6:10" ht="15">
      <c r="F2156" s="15"/>
      <c r="H2156" s="15"/>
      <c r="J2156" s="15"/>
    </row>
    <row r="2157" spans="6:10" ht="15">
      <c r="F2157" s="15"/>
      <c r="H2157" s="15"/>
      <c r="J2157" s="15"/>
    </row>
    <row r="2158" spans="6:10" ht="15">
      <c r="F2158" s="15"/>
      <c r="H2158" s="15"/>
      <c r="J2158" s="15"/>
    </row>
    <row r="2159" spans="6:10" ht="15">
      <c r="F2159" s="15"/>
      <c r="H2159" s="15"/>
      <c r="J2159" s="15"/>
    </row>
    <row r="2160" spans="6:10" ht="15">
      <c r="F2160" s="15"/>
      <c r="H2160" s="15"/>
      <c r="J2160" s="15"/>
    </row>
    <row r="2161" spans="6:10" ht="15">
      <c r="F2161" s="15"/>
      <c r="H2161" s="15"/>
      <c r="J2161" s="15"/>
    </row>
    <row r="2162" spans="6:10" ht="15">
      <c r="F2162" s="15"/>
      <c r="H2162" s="15"/>
      <c r="J2162" s="15"/>
    </row>
    <row r="2163" spans="6:10" ht="15">
      <c r="F2163" s="15"/>
      <c r="H2163" s="15"/>
      <c r="J2163" s="15"/>
    </row>
    <row r="2164" spans="6:10" ht="15">
      <c r="F2164" s="15"/>
      <c r="H2164" s="15"/>
      <c r="J2164" s="15"/>
    </row>
    <row r="2165" spans="6:10" ht="15">
      <c r="F2165" s="15"/>
      <c r="H2165" s="15"/>
      <c r="J2165" s="15"/>
    </row>
    <row r="2166" spans="6:10" ht="15">
      <c r="F2166" s="15"/>
      <c r="H2166" s="15"/>
      <c r="J2166" s="15"/>
    </row>
    <row r="2167" spans="6:10" ht="15">
      <c r="F2167" s="15"/>
      <c r="H2167" s="15"/>
      <c r="J2167" s="15"/>
    </row>
    <row r="2168" spans="6:10" ht="15">
      <c r="F2168" s="15"/>
      <c r="H2168" s="15"/>
      <c r="J2168" s="15"/>
    </row>
    <row r="2169" spans="6:10" ht="15">
      <c r="F2169" s="15"/>
      <c r="H2169" s="15"/>
      <c r="J2169" s="15"/>
    </row>
    <row r="2170" spans="6:10" ht="15">
      <c r="F2170" s="15"/>
      <c r="H2170" s="15"/>
      <c r="J2170" s="15"/>
    </row>
    <row r="2171" spans="6:10" ht="15">
      <c r="F2171" s="15"/>
      <c r="H2171" s="15"/>
      <c r="J2171" s="15"/>
    </row>
    <row r="2172" spans="6:10" ht="15">
      <c r="F2172" s="15"/>
      <c r="H2172" s="15"/>
      <c r="J2172" s="15"/>
    </row>
    <row r="2173" spans="6:10" ht="15">
      <c r="F2173" s="15"/>
      <c r="H2173" s="15"/>
      <c r="J2173" s="15"/>
    </row>
    <row r="2174" spans="6:10" ht="15">
      <c r="F2174" s="15"/>
      <c r="H2174" s="15"/>
      <c r="J2174" s="15"/>
    </row>
    <row r="2175" spans="6:10" ht="15">
      <c r="F2175" s="15"/>
      <c r="H2175" s="15"/>
      <c r="J2175" s="15"/>
    </row>
    <row r="2176" spans="6:10" ht="15">
      <c r="F2176" s="15"/>
      <c r="H2176" s="15"/>
      <c r="J2176" s="15"/>
    </row>
    <row r="2177" spans="6:10" ht="15">
      <c r="F2177" s="15"/>
      <c r="H2177" s="15"/>
      <c r="J2177" s="15"/>
    </row>
    <row r="2178" spans="6:10" ht="15">
      <c r="F2178" s="15"/>
      <c r="H2178" s="15"/>
      <c r="J2178" s="15"/>
    </row>
    <row r="2179" spans="6:10" ht="15">
      <c r="F2179" s="15"/>
      <c r="H2179" s="15"/>
      <c r="J2179" s="15"/>
    </row>
    <row r="2180" spans="6:10" ht="15">
      <c r="F2180" s="15"/>
      <c r="H2180" s="15"/>
      <c r="J2180" s="15"/>
    </row>
    <row r="2181" spans="6:10" ht="15">
      <c r="F2181" s="15"/>
      <c r="H2181" s="15"/>
      <c r="J2181" s="15"/>
    </row>
    <row r="2182" spans="6:10" ht="15">
      <c r="F2182" s="15"/>
      <c r="H2182" s="15"/>
      <c r="J2182" s="15"/>
    </row>
    <row r="2183" spans="6:10" ht="15">
      <c r="F2183" s="15"/>
      <c r="H2183" s="15"/>
      <c r="J2183" s="15"/>
    </row>
    <row r="2184" spans="6:10" ht="15">
      <c r="F2184" s="15"/>
      <c r="H2184" s="15"/>
      <c r="J2184" s="15"/>
    </row>
    <row r="2185" spans="6:10" ht="15">
      <c r="F2185" s="15"/>
      <c r="H2185" s="15"/>
      <c r="J2185" s="15"/>
    </row>
    <row r="2186" spans="6:10" ht="15">
      <c r="F2186" s="15"/>
      <c r="H2186" s="15"/>
      <c r="J2186" s="15"/>
    </row>
    <row r="2187" spans="6:10" ht="15">
      <c r="F2187" s="15"/>
      <c r="H2187" s="15"/>
      <c r="J2187" s="15"/>
    </row>
    <row r="2188" spans="6:10" ht="15">
      <c r="F2188" s="15"/>
      <c r="H2188" s="15"/>
      <c r="J2188" s="15"/>
    </row>
    <row r="2189" spans="6:10" ht="15">
      <c r="F2189" s="15"/>
      <c r="H2189" s="15"/>
      <c r="J2189" s="15"/>
    </row>
    <row r="2190" spans="6:10" ht="15">
      <c r="F2190" s="15"/>
      <c r="H2190" s="15"/>
      <c r="J2190" s="15"/>
    </row>
    <row r="2191" spans="6:10" ht="15">
      <c r="F2191" s="15"/>
      <c r="H2191" s="15"/>
      <c r="J2191" s="15"/>
    </row>
    <row r="2192" spans="6:10" ht="15">
      <c r="F2192" s="15"/>
      <c r="H2192" s="15"/>
      <c r="J2192" s="15"/>
    </row>
    <row r="2193" spans="6:10" ht="15">
      <c r="F2193" s="15"/>
      <c r="H2193" s="15"/>
      <c r="J2193" s="15"/>
    </row>
    <row r="2194" spans="6:10" ht="15">
      <c r="F2194" s="15"/>
      <c r="H2194" s="15"/>
      <c r="J2194" s="15"/>
    </row>
    <row r="2195" spans="6:10" ht="15">
      <c r="F2195" s="15"/>
      <c r="H2195" s="15"/>
      <c r="J2195" s="15"/>
    </row>
    <row r="2196" spans="6:10" ht="15">
      <c r="F2196" s="15"/>
      <c r="H2196" s="15"/>
      <c r="J2196" s="15"/>
    </row>
    <row r="2197" spans="6:10" ht="15">
      <c r="F2197" s="15"/>
      <c r="H2197" s="15"/>
      <c r="J2197" s="15"/>
    </row>
    <row r="2198" spans="6:10" ht="15">
      <c r="F2198" s="15"/>
      <c r="H2198" s="15"/>
      <c r="J2198" s="15"/>
    </row>
    <row r="2199" spans="6:10" ht="15">
      <c r="F2199" s="15"/>
      <c r="H2199" s="15"/>
      <c r="J2199" s="15"/>
    </row>
    <row r="2200" spans="6:10" ht="15">
      <c r="F2200" s="15"/>
      <c r="H2200" s="15"/>
      <c r="J2200" s="15"/>
    </row>
    <row r="2201" spans="6:10" ht="15">
      <c r="F2201" s="15"/>
      <c r="H2201" s="15"/>
      <c r="J2201" s="15"/>
    </row>
    <row r="2202" spans="6:10" ht="15">
      <c r="F2202" s="15"/>
      <c r="H2202" s="15"/>
      <c r="J2202" s="15"/>
    </row>
    <row r="2203" spans="6:10" ht="15">
      <c r="F2203" s="15"/>
      <c r="H2203" s="15"/>
      <c r="J2203" s="15"/>
    </row>
    <row r="2204" spans="6:10" ht="15">
      <c r="F2204" s="15"/>
      <c r="H2204" s="15"/>
      <c r="J2204" s="15"/>
    </row>
    <row r="2205" spans="6:10" ht="15">
      <c r="F2205" s="15"/>
      <c r="H2205" s="15"/>
      <c r="J2205" s="15"/>
    </row>
    <row r="2206" spans="6:10" ht="15">
      <c r="F2206" s="15"/>
      <c r="H2206" s="15"/>
      <c r="J2206" s="15"/>
    </row>
    <row r="2207" spans="6:10" ht="15">
      <c r="F2207" s="15"/>
      <c r="H2207" s="15"/>
      <c r="J2207" s="15"/>
    </row>
    <row r="2208" spans="6:10" ht="15">
      <c r="F2208" s="15"/>
      <c r="H2208" s="15"/>
      <c r="J2208" s="15"/>
    </row>
    <row r="2209" spans="6:10" ht="15">
      <c r="F2209" s="15"/>
      <c r="H2209" s="15"/>
      <c r="J2209" s="15"/>
    </row>
    <row r="2210" spans="6:10" ht="15">
      <c r="F2210" s="15"/>
      <c r="H2210" s="15"/>
      <c r="J2210" s="15"/>
    </row>
    <row r="2211" spans="6:10" ht="15">
      <c r="F2211" s="15"/>
      <c r="H2211" s="15"/>
      <c r="J2211" s="15"/>
    </row>
    <row r="2212" spans="6:10" ht="15">
      <c r="F2212" s="15"/>
      <c r="H2212" s="15"/>
      <c r="J2212" s="15"/>
    </row>
    <row r="2213" spans="6:10" ht="15">
      <c r="F2213" s="15"/>
      <c r="H2213" s="15"/>
      <c r="J2213" s="15"/>
    </row>
    <row r="2214" spans="6:10" ht="15">
      <c r="F2214" s="15"/>
      <c r="H2214" s="15"/>
      <c r="J2214" s="15"/>
    </row>
    <row r="2215" spans="6:10" ht="15">
      <c r="F2215" s="15"/>
      <c r="H2215" s="15"/>
      <c r="J2215" s="15"/>
    </row>
    <row r="2216" spans="6:10" ht="15">
      <c r="F2216" s="15"/>
      <c r="H2216" s="15"/>
      <c r="J2216" s="15"/>
    </row>
    <row r="2217" spans="6:10" ht="15">
      <c r="F2217" s="15"/>
      <c r="H2217" s="15"/>
      <c r="J2217" s="15"/>
    </row>
    <row r="2218" spans="6:10" ht="15">
      <c r="F2218" s="15"/>
      <c r="H2218" s="15"/>
      <c r="J2218" s="15"/>
    </row>
    <row r="2219" spans="6:10" ht="15">
      <c r="F2219" s="15"/>
      <c r="H2219" s="15"/>
      <c r="J2219" s="15"/>
    </row>
    <row r="2220" spans="6:10" ht="15">
      <c r="F2220" s="15"/>
      <c r="H2220" s="15"/>
      <c r="J2220" s="15"/>
    </row>
    <row r="2221" spans="6:10" ht="15">
      <c r="F2221" s="15"/>
      <c r="H2221" s="15"/>
      <c r="J2221" s="15"/>
    </row>
    <row r="2222" spans="6:10" ht="15">
      <c r="F2222" s="15"/>
      <c r="H2222" s="15"/>
      <c r="J2222" s="15"/>
    </row>
    <row r="2223" spans="6:10" ht="15">
      <c r="F2223" s="15"/>
      <c r="H2223" s="15"/>
      <c r="J2223" s="15"/>
    </row>
    <row r="2224" spans="6:10" ht="15">
      <c r="F2224" s="15"/>
      <c r="H2224" s="15"/>
      <c r="J2224" s="15"/>
    </row>
    <row r="2225" spans="6:10" ht="15">
      <c r="F2225" s="15"/>
      <c r="H2225" s="15"/>
      <c r="J2225" s="15"/>
    </row>
    <row r="2226" spans="6:10" ht="15">
      <c r="F2226" s="15"/>
      <c r="H2226" s="15"/>
      <c r="J2226" s="15"/>
    </row>
    <row r="2227" spans="6:10" ht="15">
      <c r="F2227" s="15"/>
      <c r="H2227" s="15"/>
      <c r="J2227" s="15"/>
    </row>
    <row r="2228" spans="6:10" ht="15">
      <c r="F2228" s="15"/>
      <c r="H2228" s="15"/>
      <c r="J2228" s="15"/>
    </row>
    <row r="2229" spans="6:10" ht="15">
      <c r="F2229" s="15"/>
      <c r="H2229" s="15"/>
      <c r="J2229" s="15"/>
    </row>
    <row r="2230" spans="6:10" ht="15">
      <c r="F2230" s="15"/>
      <c r="H2230" s="15"/>
      <c r="J2230" s="15"/>
    </row>
    <row r="2231" spans="6:10" ht="15">
      <c r="F2231" s="15"/>
      <c r="H2231" s="15"/>
      <c r="J2231" s="15"/>
    </row>
    <row r="2232" spans="6:10" ht="15">
      <c r="F2232" s="15"/>
      <c r="H2232" s="15"/>
      <c r="J2232" s="15"/>
    </row>
    <row r="2233" spans="6:10" ht="15">
      <c r="F2233" s="15"/>
      <c r="H2233" s="15"/>
      <c r="J2233" s="15"/>
    </row>
    <row r="2234" spans="6:10" ht="15">
      <c r="F2234" s="15"/>
      <c r="H2234" s="15"/>
      <c r="J2234" s="15"/>
    </row>
    <row r="2235" spans="6:10" ht="15">
      <c r="F2235" s="15"/>
      <c r="H2235" s="15"/>
      <c r="J2235" s="15"/>
    </row>
    <row r="2236" spans="6:10" ht="15">
      <c r="F2236" s="15"/>
      <c r="H2236" s="15"/>
      <c r="J2236" s="15"/>
    </row>
    <row r="2237" spans="6:10" ht="15">
      <c r="F2237" s="15"/>
      <c r="H2237" s="15"/>
      <c r="J2237" s="15"/>
    </row>
    <row r="2238" spans="6:10" ht="15">
      <c r="F2238" s="15"/>
      <c r="H2238" s="15"/>
      <c r="J2238" s="15"/>
    </row>
    <row r="2239" spans="6:10" ht="15">
      <c r="F2239" s="15"/>
      <c r="H2239" s="15"/>
      <c r="J2239" s="15"/>
    </row>
    <row r="2240" spans="6:10" ht="15">
      <c r="F2240" s="15"/>
      <c r="H2240" s="15"/>
      <c r="J2240" s="15"/>
    </row>
    <row r="2241" spans="6:10" ht="15">
      <c r="F2241" s="15"/>
      <c r="H2241" s="15"/>
      <c r="J2241" s="15"/>
    </row>
    <row r="2242" spans="6:10" ht="15">
      <c r="F2242" s="15"/>
      <c r="H2242" s="15"/>
      <c r="J2242" s="15"/>
    </row>
    <row r="2243" spans="6:10" ht="15">
      <c r="F2243" s="15"/>
      <c r="H2243" s="15"/>
      <c r="J2243" s="15"/>
    </row>
    <row r="2244" spans="6:10" ht="15">
      <c r="F2244" s="15"/>
      <c r="H2244" s="15"/>
      <c r="J2244" s="15"/>
    </row>
    <row r="2245" spans="6:10" ht="15">
      <c r="F2245" s="15"/>
      <c r="H2245" s="15"/>
      <c r="J2245" s="15"/>
    </row>
    <row r="2246" spans="6:10" ht="15">
      <c r="F2246" s="15"/>
      <c r="H2246" s="15"/>
      <c r="J2246" s="15"/>
    </row>
    <row r="2247" spans="6:10" ht="15">
      <c r="F2247" s="15"/>
      <c r="H2247" s="15"/>
      <c r="J2247" s="15"/>
    </row>
    <row r="2248" spans="6:10" ht="15">
      <c r="F2248" s="15"/>
      <c r="H2248" s="15"/>
      <c r="J2248" s="15"/>
    </row>
    <row r="2249" spans="6:10" ht="15">
      <c r="F2249" s="15"/>
      <c r="H2249" s="15"/>
      <c r="J2249" s="15"/>
    </row>
    <row r="2250" spans="6:10" ht="15">
      <c r="F2250" s="15"/>
      <c r="H2250" s="15"/>
      <c r="J2250" s="15"/>
    </row>
    <row r="2251" spans="6:10" ht="15">
      <c r="F2251" s="15"/>
      <c r="H2251" s="15"/>
      <c r="J2251" s="15"/>
    </row>
    <row r="2252" spans="6:10" ht="15">
      <c r="F2252" s="15"/>
      <c r="H2252" s="15"/>
      <c r="J2252" s="15"/>
    </row>
    <row r="2253" spans="6:10" ht="15">
      <c r="F2253" s="15"/>
      <c r="H2253" s="15"/>
      <c r="J2253" s="15"/>
    </row>
    <row r="2254" spans="6:10" ht="15">
      <c r="F2254" s="15"/>
      <c r="H2254" s="15"/>
      <c r="J2254" s="15"/>
    </row>
    <row r="2255" spans="6:10" ht="15">
      <c r="F2255" s="15"/>
      <c r="H2255" s="15"/>
      <c r="J2255" s="15"/>
    </row>
    <row r="2256" spans="6:10" ht="15">
      <c r="F2256" s="15"/>
      <c r="H2256" s="15"/>
      <c r="J2256" s="15"/>
    </row>
    <row r="2257" spans="6:10" ht="15">
      <c r="F2257" s="15"/>
      <c r="H2257" s="15"/>
      <c r="J2257" s="15"/>
    </row>
    <row r="2258" spans="6:10" ht="15">
      <c r="F2258" s="15"/>
      <c r="H2258" s="15"/>
      <c r="J2258" s="15"/>
    </row>
    <row r="2259" spans="6:10" ht="15">
      <c r="F2259" s="15"/>
      <c r="H2259" s="15"/>
      <c r="J2259" s="15"/>
    </row>
    <row r="2260" spans="6:10" ht="15">
      <c r="F2260" s="15"/>
      <c r="H2260" s="15"/>
      <c r="J2260" s="15"/>
    </row>
    <row r="2261" spans="6:10" ht="15">
      <c r="F2261" s="15"/>
      <c r="H2261" s="15"/>
      <c r="J2261" s="15"/>
    </row>
    <row r="2262" spans="6:10" ht="15">
      <c r="F2262" s="15"/>
      <c r="H2262" s="15"/>
      <c r="J2262" s="15"/>
    </row>
    <row r="2263" spans="6:10" ht="15">
      <c r="F2263" s="15"/>
      <c r="H2263" s="15"/>
      <c r="J2263" s="15"/>
    </row>
    <row r="2264" spans="6:10" ht="15">
      <c r="F2264" s="15"/>
      <c r="H2264" s="15"/>
      <c r="J2264" s="15"/>
    </row>
    <row r="2265" spans="6:10" ht="15">
      <c r="F2265" s="15"/>
      <c r="H2265" s="15"/>
      <c r="J2265" s="15"/>
    </row>
    <row r="2266" spans="6:10" ht="15">
      <c r="F2266" s="15"/>
      <c r="H2266" s="15"/>
      <c r="J2266" s="15"/>
    </row>
    <row r="2267" spans="6:10" ht="15">
      <c r="F2267" s="15"/>
      <c r="H2267" s="15"/>
      <c r="J2267" s="15"/>
    </row>
    <row r="2268" spans="6:10" ht="15">
      <c r="F2268" s="15"/>
      <c r="H2268" s="15"/>
      <c r="J2268" s="15"/>
    </row>
    <row r="2269" spans="6:10" ht="15">
      <c r="F2269" s="15"/>
      <c r="H2269" s="15"/>
      <c r="J2269" s="15"/>
    </row>
    <row r="2270" spans="6:10" ht="15">
      <c r="F2270" s="15"/>
      <c r="H2270" s="15"/>
      <c r="J2270" s="15"/>
    </row>
    <row r="2271" spans="6:10" ht="15">
      <c r="F2271" s="15"/>
      <c r="H2271" s="15"/>
      <c r="J2271" s="15"/>
    </row>
    <row r="2272" spans="6:10" ht="15">
      <c r="F2272" s="15"/>
      <c r="H2272" s="15"/>
      <c r="J2272" s="15"/>
    </row>
    <row r="2273" spans="6:10" ht="15">
      <c r="F2273" s="15"/>
      <c r="H2273" s="15"/>
      <c r="J2273" s="15"/>
    </row>
    <row r="2274" spans="6:10" ht="15">
      <c r="F2274" s="15"/>
      <c r="H2274" s="15"/>
      <c r="J2274" s="15"/>
    </row>
    <row r="2275" spans="6:10" ht="15">
      <c r="F2275" s="15"/>
      <c r="H2275" s="15"/>
      <c r="J2275" s="15"/>
    </row>
    <row r="2276" spans="6:10" ht="15">
      <c r="F2276" s="15"/>
      <c r="H2276" s="15"/>
      <c r="J2276" s="15"/>
    </row>
    <row r="2277" spans="6:10" ht="15">
      <c r="F2277" s="15"/>
      <c r="H2277" s="15"/>
      <c r="J2277" s="15"/>
    </row>
    <row r="2278" spans="6:10" ht="15">
      <c r="F2278" s="15"/>
      <c r="H2278" s="15"/>
      <c r="J2278" s="15"/>
    </row>
    <row r="2279" spans="6:10" ht="15">
      <c r="F2279" s="15"/>
      <c r="H2279" s="15"/>
      <c r="J2279" s="15"/>
    </row>
    <row r="2280" spans="6:10" ht="15">
      <c r="F2280" s="15"/>
      <c r="H2280" s="15"/>
      <c r="J2280" s="15"/>
    </row>
    <row r="2281" spans="6:10" ht="15">
      <c r="F2281" s="15"/>
      <c r="H2281" s="15"/>
      <c r="J2281" s="15"/>
    </row>
    <row r="2282" spans="6:10" ht="15">
      <c r="F2282" s="15"/>
      <c r="H2282" s="15"/>
      <c r="J2282" s="15"/>
    </row>
    <row r="2283" spans="6:10" ht="15">
      <c r="F2283" s="15"/>
      <c r="H2283" s="15"/>
      <c r="J2283" s="15"/>
    </row>
    <row r="2284" spans="6:10" ht="15">
      <c r="F2284" s="15"/>
      <c r="H2284" s="15"/>
      <c r="J2284" s="15"/>
    </row>
    <row r="2285" spans="6:10" ht="15">
      <c r="F2285" s="15"/>
      <c r="H2285" s="15"/>
      <c r="J2285" s="15"/>
    </row>
    <row r="2286" spans="6:10" ht="15">
      <c r="F2286" s="15"/>
      <c r="H2286" s="15"/>
      <c r="J2286" s="15"/>
    </row>
    <row r="2287" spans="6:10" ht="15">
      <c r="F2287" s="15"/>
      <c r="H2287" s="15"/>
      <c r="J2287" s="15"/>
    </row>
    <row r="2288" spans="6:10" ht="15">
      <c r="F2288" s="15"/>
      <c r="H2288" s="15"/>
      <c r="J2288" s="15"/>
    </row>
    <row r="2289" spans="6:10" ht="15">
      <c r="F2289" s="15"/>
      <c r="H2289" s="15"/>
      <c r="J2289" s="15"/>
    </row>
    <row r="2290" spans="6:10" ht="15">
      <c r="F2290" s="15"/>
      <c r="H2290" s="15"/>
      <c r="J2290" s="15"/>
    </row>
    <row r="2291" spans="6:10" ht="15">
      <c r="F2291" s="15"/>
      <c r="H2291" s="15"/>
      <c r="J2291" s="15"/>
    </row>
    <row r="2292" spans="6:10" ht="15">
      <c r="F2292" s="15"/>
      <c r="H2292" s="15"/>
      <c r="J2292" s="15"/>
    </row>
    <row r="2293" spans="6:10" ht="15">
      <c r="F2293" s="15"/>
      <c r="H2293" s="15"/>
      <c r="J2293" s="15"/>
    </row>
    <row r="2294" spans="6:10" ht="15">
      <c r="F2294" s="15"/>
      <c r="H2294" s="15"/>
      <c r="J2294" s="15"/>
    </row>
    <row r="2295" spans="6:10" ht="15">
      <c r="F2295" s="15"/>
      <c r="H2295" s="15"/>
      <c r="J2295" s="15"/>
    </row>
    <row r="2296" spans="6:10" ht="15">
      <c r="F2296" s="15"/>
      <c r="H2296" s="15"/>
      <c r="J2296" s="15"/>
    </row>
    <row r="2297" spans="6:10" ht="15">
      <c r="F2297" s="15"/>
      <c r="H2297" s="15"/>
      <c r="J2297" s="15"/>
    </row>
    <row r="2298" spans="6:10" ht="15">
      <c r="F2298" s="15"/>
      <c r="H2298" s="15"/>
      <c r="J2298" s="15"/>
    </row>
    <row r="2299" spans="6:10" ht="15">
      <c r="F2299" s="15"/>
      <c r="H2299" s="15"/>
      <c r="J2299" s="15"/>
    </row>
    <row r="2300" spans="6:10" ht="15">
      <c r="F2300" s="15"/>
      <c r="H2300" s="15"/>
      <c r="J2300" s="15"/>
    </row>
    <row r="2301" spans="6:10" ht="15">
      <c r="F2301" s="15"/>
      <c r="H2301" s="15"/>
      <c r="J2301" s="15"/>
    </row>
    <row r="2302" spans="6:10" ht="15">
      <c r="F2302" s="15"/>
      <c r="H2302" s="15"/>
      <c r="J2302" s="15"/>
    </row>
    <row r="2303" spans="6:10" ht="15">
      <c r="F2303" s="15"/>
      <c r="H2303" s="15"/>
      <c r="J2303" s="15"/>
    </row>
    <row r="2304" spans="6:10" ht="15">
      <c r="F2304" s="15"/>
      <c r="H2304" s="15"/>
      <c r="J2304" s="15"/>
    </row>
    <row r="2305" spans="6:10" ht="15">
      <c r="F2305" s="15"/>
      <c r="H2305" s="15"/>
      <c r="J2305" s="15"/>
    </row>
    <row r="2306" spans="6:10" ht="15">
      <c r="F2306" s="15"/>
      <c r="H2306" s="15"/>
      <c r="J2306" s="15"/>
    </row>
    <row r="2307" spans="6:10" ht="15">
      <c r="F2307" s="15"/>
      <c r="H2307" s="15"/>
      <c r="J2307" s="15"/>
    </row>
    <row r="2308" spans="6:10" ht="15">
      <c r="F2308" s="15"/>
      <c r="H2308" s="15"/>
      <c r="J2308" s="15"/>
    </row>
    <row r="2309" spans="6:10" ht="15">
      <c r="F2309" s="15"/>
      <c r="H2309" s="15"/>
      <c r="J2309" s="15"/>
    </row>
    <row r="2310" spans="6:10" ht="15">
      <c r="F2310" s="15"/>
      <c r="H2310" s="15"/>
      <c r="J2310" s="15"/>
    </row>
    <row r="2311" spans="6:10" ht="15">
      <c r="F2311" s="15"/>
      <c r="H2311" s="15"/>
      <c r="J2311" s="15"/>
    </row>
    <row r="2312" spans="6:10" ht="15">
      <c r="F2312" s="15"/>
      <c r="H2312" s="15"/>
      <c r="J2312" s="15"/>
    </row>
    <row r="2313" spans="6:10" ht="15">
      <c r="F2313" s="15"/>
      <c r="H2313" s="15"/>
      <c r="J2313" s="15"/>
    </row>
    <row r="2314" spans="6:10" ht="15">
      <c r="F2314" s="15"/>
      <c r="H2314" s="15"/>
      <c r="J2314" s="15"/>
    </row>
    <row r="2315" spans="6:10" ht="15">
      <c r="F2315" s="15"/>
      <c r="H2315" s="15"/>
      <c r="J2315" s="15"/>
    </row>
    <row r="2316" spans="6:10" ht="15">
      <c r="F2316" s="15"/>
      <c r="H2316" s="15"/>
      <c r="J2316" s="15"/>
    </row>
    <row r="2317" spans="6:10" ht="15">
      <c r="F2317" s="15"/>
      <c r="H2317" s="15"/>
      <c r="J2317" s="15"/>
    </row>
    <row r="2318" spans="6:10" ht="15">
      <c r="F2318" s="15"/>
      <c r="H2318" s="15"/>
      <c r="J2318" s="15"/>
    </row>
    <row r="2319" spans="6:10" ht="15">
      <c r="F2319" s="15"/>
      <c r="H2319" s="15"/>
      <c r="J2319" s="15"/>
    </row>
    <row r="2320" spans="6:10" ht="15">
      <c r="F2320" s="15"/>
      <c r="H2320" s="15"/>
      <c r="J2320" s="15"/>
    </row>
    <row r="2321" spans="6:10" ht="15">
      <c r="F2321" s="15"/>
      <c r="H2321" s="15"/>
      <c r="J2321" s="15"/>
    </row>
    <row r="2322" spans="6:10" ht="15">
      <c r="F2322" s="15"/>
      <c r="H2322" s="15"/>
      <c r="J2322" s="15"/>
    </row>
    <row r="2323" spans="6:10" ht="15">
      <c r="F2323" s="15"/>
      <c r="H2323" s="15"/>
      <c r="J2323" s="15"/>
    </row>
    <row r="2324" spans="6:10" ht="15">
      <c r="F2324" s="15"/>
      <c r="H2324" s="15"/>
      <c r="J2324" s="15"/>
    </row>
    <row r="2325" spans="6:10" ht="15">
      <c r="F2325" s="15"/>
      <c r="H2325" s="15"/>
      <c r="J2325" s="15"/>
    </row>
    <row r="2326" spans="6:10" ht="15">
      <c r="F2326" s="15"/>
      <c r="H2326" s="15"/>
      <c r="J2326" s="15"/>
    </row>
    <row r="2327" spans="6:10" ht="15">
      <c r="F2327" s="15"/>
      <c r="H2327" s="15"/>
      <c r="J2327" s="15"/>
    </row>
    <row r="2328" spans="6:10" ht="15">
      <c r="F2328" s="15"/>
      <c r="H2328" s="15"/>
      <c r="J2328" s="15"/>
    </row>
    <row r="2329" spans="6:10" ht="15">
      <c r="F2329" s="15"/>
      <c r="H2329" s="15"/>
      <c r="J2329" s="15"/>
    </row>
    <row r="2330" spans="6:10" ht="15">
      <c r="F2330" s="15"/>
      <c r="H2330" s="15"/>
      <c r="J2330" s="15"/>
    </row>
    <row r="2331" spans="6:10" ht="15">
      <c r="F2331" s="15"/>
      <c r="H2331" s="15"/>
      <c r="J2331" s="15"/>
    </row>
    <row r="2332" spans="6:10" ht="15">
      <c r="F2332" s="15"/>
      <c r="H2332" s="15"/>
      <c r="J2332" s="15"/>
    </row>
    <row r="2333" spans="6:10" ht="15">
      <c r="F2333" s="15"/>
      <c r="H2333" s="15"/>
      <c r="J2333" s="15"/>
    </row>
    <row r="2334" spans="6:10" ht="15">
      <c r="F2334" s="15"/>
      <c r="H2334" s="15"/>
      <c r="J2334" s="15"/>
    </row>
    <row r="2335" spans="6:10" ht="15">
      <c r="F2335" s="15"/>
      <c r="H2335" s="15"/>
      <c r="J2335" s="15"/>
    </row>
    <row r="2336" spans="6:10" ht="15">
      <c r="F2336" s="15"/>
      <c r="H2336" s="15"/>
      <c r="J2336" s="15"/>
    </row>
    <row r="2337" spans="6:10" ht="15">
      <c r="F2337" s="15"/>
      <c r="H2337" s="15"/>
      <c r="J2337" s="15"/>
    </row>
    <row r="2338" spans="6:10" ht="15">
      <c r="F2338" s="15"/>
      <c r="H2338" s="15"/>
      <c r="J2338" s="15"/>
    </row>
    <row r="2339" spans="6:10" ht="15">
      <c r="F2339" s="15"/>
      <c r="H2339" s="15"/>
      <c r="J2339" s="15"/>
    </row>
    <row r="2340" spans="6:10" ht="15">
      <c r="F2340" s="15"/>
      <c r="H2340" s="15"/>
      <c r="J2340" s="15"/>
    </row>
    <row r="2341" spans="6:10" ht="15">
      <c r="F2341" s="15"/>
      <c r="H2341" s="15"/>
      <c r="J2341" s="15"/>
    </row>
    <row r="2342" spans="6:10" ht="15">
      <c r="F2342" s="15"/>
      <c r="H2342" s="15"/>
      <c r="J2342" s="15"/>
    </row>
    <row r="2343" spans="6:10" ht="15">
      <c r="F2343" s="15"/>
      <c r="H2343" s="15"/>
      <c r="J2343" s="15"/>
    </row>
    <row r="2344" spans="6:10" ht="15">
      <c r="F2344" s="15"/>
      <c r="H2344" s="15"/>
      <c r="J2344" s="15"/>
    </row>
    <row r="2345" spans="6:10" ht="15">
      <c r="F2345" s="15"/>
      <c r="H2345" s="15"/>
      <c r="J2345" s="15"/>
    </row>
    <row r="2346" spans="6:10" ht="15">
      <c r="F2346" s="15"/>
      <c r="H2346" s="15"/>
      <c r="J2346" s="15"/>
    </row>
    <row r="2347" spans="6:10" ht="15">
      <c r="F2347" s="15"/>
      <c r="H2347" s="15"/>
      <c r="J2347" s="15"/>
    </row>
    <row r="2348" spans="6:10" ht="15">
      <c r="F2348" s="15"/>
      <c r="H2348" s="15"/>
      <c r="J2348" s="15"/>
    </row>
    <row r="2349" spans="6:10" ht="15">
      <c r="F2349" s="15"/>
      <c r="H2349" s="15"/>
      <c r="J2349" s="15"/>
    </row>
    <row r="2350" spans="6:10" ht="15">
      <c r="F2350" s="15"/>
      <c r="H2350" s="15"/>
      <c r="J2350" s="15"/>
    </row>
    <row r="2351" spans="6:10" ht="15">
      <c r="F2351" s="15"/>
      <c r="H2351" s="15"/>
      <c r="J2351" s="15"/>
    </row>
    <row r="2352" spans="6:10" ht="15">
      <c r="F2352" s="15"/>
      <c r="H2352" s="15"/>
      <c r="J2352" s="15"/>
    </row>
    <row r="2353" spans="6:10" ht="15">
      <c r="F2353" s="15"/>
      <c r="H2353" s="15"/>
      <c r="J2353" s="15"/>
    </row>
    <row r="2354" spans="6:10" ht="15">
      <c r="F2354" s="15"/>
      <c r="H2354" s="15"/>
      <c r="J2354" s="15"/>
    </row>
    <row r="2355" spans="6:10" ht="15">
      <c r="F2355" s="15"/>
      <c r="H2355" s="15"/>
      <c r="J2355" s="15"/>
    </row>
    <row r="2356" spans="6:10" ht="15">
      <c r="F2356" s="15"/>
      <c r="H2356" s="15"/>
      <c r="J2356" s="15"/>
    </row>
    <row r="2357" spans="6:10" ht="15">
      <c r="F2357" s="15"/>
      <c r="H2357" s="15"/>
      <c r="J2357" s="15"/>
    </row>
    <row r="2358" spans="6:10" ht="15">
      <c r="F2358" s="15"/>
      <c r="H2358" s="15"/>
      <c r="J2358" s="15"/>
    </row>
    <row r="2359" spans="6:10" ht="15">
      <c r="F2359" s="15"/>
      <c r="H2359" s="15"/>
      <c r="J2359" s="15"/>
    </row>
    <row r="2360" spans="6:10" ht="15">
      <c r="F2360" s="15"/>
      <c r="H2360" s="15"/>
      <c r="J2360" s="15"/>
    </row>
    <row r="2361" spans="6:10" ht="15">
      <c r="F2361" s="15"/>
      <c r="H2361" s="15"/>
      <c r="J2361" s="15"/>
    </row>
    <row r="2362" spans="6:10" ht="15">
      <c r="F2362" s="15"/>
      <c r="H2362" s="15"/>
      <c r="J2362" s="15"/>
    </row>
    <row r="2363" spans="6:10" ht="15">
      <c r="F2363" s="15"/>
      <c r="H2363" s="15"/>
      <c r="J2363" s="15"/>
    </row>
    <row r="2364" spans="6:10" ht="15">
      <c r="F2364" s="15"/>
      <c r="H2364" s="15"/>
      <c r="J2364" s="15"/>
    </row>
    <row r="2365" spans="6:10" ht="15">
      <c r="F2365" s="15"/>
      <c r="H2365" s="15"/>
      <c r="J2365" s="15"/>
    </row>
    <row r="2366" spans="6:10" ht="15">
      <c r="F2366" s="15"/>
      <c r="H2366" s="15"/>
      <c r="J2366" s="15"/>
    </row>
    <row r="2367" spans="6:10" ht="15">
      <c r="F2367" s="15"/>
      <c r="H2367" s="15"/>
      <c r="J2367" s="15"/>
    </row>
    <row r="2368" spans="6:10" ht="15">
      <c r="F2368" s="15"/>
      <c r="H2368" s="15"/>
      <c r="J2368" s="15"/>
    </row>
    <row r="2369" spans="6:10" ht="15">
      <c r="F2369" s="15"/>
      <c r="H2369" s="15"/>
      <c r="J2369" s="15"/>
    </row>
    <row r="2370" spans="6:10" ht="15">
      <c r="F2370" s="15"/>
      <c r="H2370" s="15"/>
      <c r="J2370" s="15"/>
    </row>
    <row r="2371" spans="6:10" ht="15">
      <c r="F2371" s="15"/>
      <c r="H2371" s="15"/>
      <c r="J2371" s="15"/>
    </row>
    <row r="2372" spans="6:10" ht="15">
      <c r="F2372" s="15"/>
      <c r="H2372" s="15"/>
      <c r="J2372" s="15"/>
    </row>
    <row r="2373" spans="6:10" ht="15">
      <c r="F2373" s="15"/>
      <c r="H2373" s="15"/>
      <c r="J2373" s="15"/>
    </row>
    <row r="2374" spans="6:10" ht="15">
      <c r="F2374" s="15"/>
      <c r="H2374" s="15"/>
      <c r="J2374" s="15"/>
    </row>
    <row r="2375" spans="6:10" ht="15">
      <c r="F2375" s="15"/>
      <c r="H2375" s="15"/>
      <c r="J2375" s="15"/>
    </row>
    <row r="2376" spans="6:10" ht="15">
      <c r="F2376" s="15"/>
      <c r="H2376" s="15"/>
      <c r="J2376" s="15"/>
    </row>
    <row r="2377" spans="6:10" ht="15">
      <c r="F2377" s="15"/>
      <c r="H2377" s="15"/>
      <c r="J2377" s="15"/>
    </row>
    <row r="2378" spans="6:10" ht="15">
      <c r="F2378" s="15"/>
      <c r="H2378" s="15"/>
      <c r="J2378" s="15"/>
    </row>
    <row r="2379" spans="6:10" ht="15">
      <c r="F2379" s="15"/>
      <c r="H2379" s="15"/>
      <c r="J2379" s="15"/>
    </row>
    <row r="2380" spans="6:10" ht="15">
      <c r="F2380" s="15"/>
      <c r="H2380" s="15"/>
      <c r="J2380" s="15"/>
    </row>
    <row r="2381" spans="6:10" ht="15">
      <c r="F2381" s="15"/>
      <c r="H2381" s="15"/>
      <c r="J2381" s="15"/>
    </row>
    <row r="2382" spans="6:10" ht="15">
      <c r="F2382" s="15"/>
      <c r="H2382" s="15"/>
      <c r="J2382" s="15"/>
    </row>
    <row r="2383" spans="6:10" ht="15">
      <c r="F2383" s="15"/>
      <c r="H2383" s="15"/>
      <c r="J2383" s="15"/>
    </row>
    <row r="2384" spans="6:10" ht="15">
      <c r="F2384" s="15"/>
      <c r="H2384" s="15"/>
      <c r="J2384" s="15"/>
    </row>
    <row r="2385" spans="6:10" ht="15">
      <c r="F2385" s="15"/>
      <c r="H2385" s="15"/>
      <c r="J2385" s="15"/>
    </row>
    <row r="2386" spans="6:10" ht="15">
      <c r="F2386" s="15"/>
      <c r="H2386" s="15"/>
      <c r="J2386" s="15"/>
    </row>
    <row r="2387" spans="6:10" ht="15">
      <c r="F2387" s="15"/>
      <c r="H2387" s="15"/>
      <c r="J2387" s="15"/>
    </row>
    <row r="2388" spans="6:10" ht="15">
      <c r="F2388" s="15"/>
      <c r="H2388" s="15"/>
      <c r="J2388" s="15"/>
    </row>
    <row r="2389" spans="6:10" ht="15">
      <c r="F2389" s="15"/>
      <c r="H2389" s="15"/>
      <c r="J2389" s="15"/>
    </row>
    <row r="2390" spans="6:10" ht="15">
      <c r="F2390" s="15"/>
      <c r="H2390" s="15"/>
      <c r="J2390" s="15"/>
    </row>
    <row r="2391" spans="6:10" ht="15">
      <c r="F2391" s="15"/>
      <c r="H2391" s="15"/>
      <c r="J2391" s="15"/>
    </row>
    <row r="2392" spans="6:10" ht="15">
      <c r="F2392" s="15"/>
      <c r="H2392" s="15"/>
      <c r="J2392" s="15"/>
    </row>
    <row r="2393" spans="6:10" ht="15">
      <c r="F2393" s="15"/>
      <c r="H2393" s="15"/>
      <c r="J2393" s="15"/>
    </row>
    <row r="2394" spans="6:10" ht="15">
      <c r="F2394" s="15"/>
      <c r="H2394" s="15"/>
      <c r="J2394" s="15"/>
    </row>
    <row r="2395" spans="6:10" ht="15">
      <c r="F2395" s="15"/>
      <c r="H2395" s="15"/>
      <c r="J2395" s="15"/>
    </row>
    <row r="2396" spans="6:10" ht="15">
      <c r="F2396" s="15"/>
      <c r="H2396" s="15"/>
      <c r="J2396" s="15"/>
    </row>
    <row r="2397" spans="6:10" ht="15">
      <c r="F2397" s="15"/>
      <c r="H2397" s="15"/>
      <c r="J2397" s="15"/>
    </row>
    <row r="2398" spans="6:10" ht="15">
      <c r="F2398" s="15"/>
      <c r="H2398" s="15"/>
      <c r="J2398" s="15"/>
    </row>
    <row r="2399" spans="6:10" ht="15">
      <c r="F2399" s="15"/>
      <c r="H2399" s="15"/>
      <c r="J2399" s="15"/>
    </row>
    <row r="2400" spans="6:10" ht="15">
      <c r="F2400" s="15"/>
      <c r="H2400" s="15"/>
      <c r="J2400" s="15"/>
    </row>
    <row r="2401" spans="6:10" ht="15">
      <c r="F2401" s="15"/>
      <c r="H2401" s="15"/>
      <c r="J2401" s="15"/>
    </row>
    <row r="2402" spans="6:10" ht="15">
      <c r="F2402" s="15"/>
      <c r="H2402" s="15"/>
      <c r="J2402" s="15"/>
    </row>
    <row r="2403" spans="6:10" ht="15">
      <c r="F2403" s="15"/>
      <c r="H2403" s="15"/>
      <c r="J2403" s="15"/>
    </row>
    <row r="2404" spans="6:10" ht="15">
      <c r="F2404" s="15"/>
      <c r="H2404" s="15"/>
      <c r="J2404" s="15"/>
    </row>
    <row r="2405" spans="6:10" ht="15">
      <c r="F2405" s="15"/>
      <c r="H2405" s="15"/>
      <c r="J2405" s="15"/>
    </row>
    <row r="2406" spans="6:10" ht="15">
      <c r="F2406" s="15"/>
      <c r="H2406" s="15"/>
      <c r="J2406" s="15"/>
    </row>
    <row r="2407" spans="6:10" ht="15">
      <c r="F2407" s="15"/>
      <c r="H2407" s="15"/>
      <c r="J2407" s="15"/>
    </row>
    <row r="2408" spans="6:10" ht="15">
      <c r="F2408" s="15"/>
      <c r="H2408" s="15"/>
      <c r="J2408" s="15"/>
    </row>
    <row r="2409" spans="6:10" ht="15">
      <c r="F2409" s="15"/>
      <c r="H2409" s="15"/>
      <c r="J2409" s="15"/>
    </row>
    <row r="2410" spans="6:10" ht="15">
      <c r="F2410" s="15"/>
      <c r="H2410" s="15"/>
      <c r="J2410" s="15"/>
    </row>
    <row r="2411" spans="6:10" ht="15">
      <c r="F2411" s="15"/>
      <c r="H2411" s="15"/>
      <c r="J2411" s="15"/>
    </row>
    <row r="2412" spans="6:10" ht="15">
      <c r="F2412" s="15"/>
      <c r="H2412" s="15"/>
      <c r="J2412" s="15"/>
    </row>
    <row r="2413" spans="6:10" ht="15">
      <c r="F2413" s="15"/>
      <c r="H2413" s="15"/>
      <c r="J2413" s="15"/>
    </row>
    <row r="2414" spans="6:10" ht="15">
      <c r="F2414" s="15"/>
      <c r="H2414" s="15"/>
      <c r="J2414" s="15"/>
    </row>
    <row r="2415" spans="6:10" ht="15">
      <c r="F2415" s="15"/>
      <c r="H2415" s="15"/>
      <c r="J2415" s="15"/>
    </row>
    <row r="2416" spans="6:10" ht="15">
      <c r="F2416" s="15"/>
      <c r="H2416" s="15"/>
      <c r="J2416" s="15"/>
    </row>
    <row r="2417" spans="6:10" ht="15">
      <c r="F2417" s="15"/>
      <c r="H2417" s="15"/>
      <c r="J2417" s="15"/>
    </row>
    <row r="2418" spans="6:10" ht="15">
      <c r="F2418" s="15"/>
      <c r="H2418" s="15"/>
      <c r="J2418" s="15"/>
    </row>
    <row r="2419" spans="6:10" ht="15">
      <c r="F2419" s="15"/>
      <c r="H2419" s="15"/>
      <c r="J2419" s="15"/>
    </row>
    <row r="2420" spans="6:10" ht="15">
      <c r="F2420" s="15"/>
      <c r="H2420" s="15"/>
      <c r="J2420" s="15"/>
    </row>
    <row r="2421" spans="6:10" ht="15">
      <c r="F2421" s="15"/>
      <c r="H2421" s="15"/>
      <c r="J2421" s="15"/>
    </row>
    <row r="2422" spans="6:10" ht="15">
      <c r="F2422" s="15"/>
      <c r="H2422" s="15"/>
      <c r="J2422" s="15"/>
    </row>
    <row r="2423" spans="6:10" ht="15">
      <c r="F2423" s="15"/>
      <c r="H2423" s="15"/>
      <c r="J2423" s="15"/>
    </row>
    <row r="2424" spans="6:10" ht="15">
      <c r="F2424" s="15"/>
      <c r="H2424" s="15"/>
      <c r="J2424" s="15"/>
    </row>
    <row r="2425" spans="6:10" ht="15">
      <c r="F2425" s="15"/>
      <c r="H2425" s="15"/>
      <c r="J2425" s="15"/>
    </row>
    <row r="2426" spans="6:10" ht="15">
      <c r="F2426" s="15"/>
      <c r="H2426" s="15"/>
      <c r="J2426" s="15"/>
    </row>
    <row r="2427" spans="6:10" ht="15">
      <c r="F2427" s="15"/>
      <c r="H2427" s="15"/>
      <c r="J2427" s="15"/>
    </row>
    <row r="2428" spans="6:10" ht="15">
      <c r="F2428" s="15"/>
      <c r="H2428" s="15"/>
      <c r="J2428" s="15"/>
    </row>
    <row r="2429" spans="6:10" ht="15">
      <c r="F2429" s="15"/>
      <c r="H2429" s="15"/>
      <c r="J2429" s="15"/>
    </row>
    <row r="2430" spans="6:10" ht="15">
      <c r="F2430" s="15"/>
      <c r="H2430" s="15"/>
      <c r="J2430" s="15"/>
    </row>
    <row r="2431" spans="6:10" ht="15">
      <c r="F2431" s="15"/>
      <c r="H2431" s="15"/>
      <c r="J2431" s="15"/>
    </row>
    <row r="2432" spans="6:10" ht="15">
      <c r="F2432" s="15"/>
      <c r="H2432" s="15"/>
      <c r="J2432" s="15"/>
    </row>
    <row r="2433" spans="6:10" ht="15">
      <c r="F2433" s="15"/>
      <c r="H2433" s="15"/>
      <c r="J2433" s="15"/>
    </row>
    <row r="2434" spans="6:10" ht="15">
      <c r="F2434" s="15"/>
      <c r="H2434" s="15"/>
      <c r="J2434" s="15"/>
    </row>
    <row r="2435" spans="6:10" ht="15">
      <c r="F2435" s="15"/>
      <c r="H2435" s="15"/>
      <c r="J2435" s="15"/>
    </row>
    <row r="2436" spans="6:10" ht="15">
      <c r="F2436" s="15"/>
      <c r="H2436" s="15"/>
      <c r="J2436" s="15"/>
    </row>
    <row r="2437" spans="6:10" ht="15">
      <c r="F2437" s="15"/>
      <c r="H2437" s="15"/>
      <c r="J2437" s="15"/>
    </row>
    <row r="2438" spans="6:10" ht="15">
      <c r="F2438" s="15"/>
      <c r="H2438" s="15"/>
      <c r="J2438" s="15"/>
    </row>
    <row r="2439" spans="6:10" ht="15">
      <c r="F2439" s="15"/>
      <c r="H2439" s="15"/>
      <c r="J2439" s="15"/>
    </row>
    <row r="2440" spans="6:10" ht="15">
      <c r="F2440" s="15"/>
      <c r="H2440" s="15"/>
      <c r="J2440" s="15"/>
    </row>
    <row r="2441" spans="6:10" ht="15">
      <c r="F2441" s="15"/>
      <c r="H2441" s="15"/>
      <c r="J2441" s="15"/>
    </row>
    <row r="2442" spans="6:10" ht="15">
      <c r="F2442" s="15"/>
      <c r="H2442" s="15"/>
      <c r="J2442" s="15"/>
    </row>
    <row r="2443" spans="6:10" ht="15">
      <c r="F2443" s="15"/>
      <c r="H2443" s="15"/>
      <c r="J2443" s="15"/>
    </row>
    <row r="2444" spans="6:10" ht="15">
      <c r="F2444" s="15"/>
      <c r="H2444" s="15"/>
      <c r="J2444" s="15"/>
    </row>
    <row r="2445" spans="6:10" ht="15">
      <c r="F2445" s="15"/>
      <c r="H2445" s="15"/>
      <c r="J2445" s="15"/>
    </row>
    <row r="2446" spans="6:10" ht="15">
      <c r="F2446" s="15"/>
      <c r="H2446" s="15"/>
      <c r="J2446" s="15"/>
    </row>
    <row r="2447" spans="6:10" ht="15">
      <c r="F2447" s="15"/>
      <c r="H2447" s="15"/>
      <c r="J2447" s="15"/>
    </row>
    <row r="2448" spans="6:10" ht="15">
      <c r="F2448" s="15"/>
      <c r="H2448" s="15"/>
      <c r="J2448" s="15"/>
    </row>
    <row r="2449" spans="6:10" ht="15">
      <c r="F2449" s="15"/>
      <c r="H2449" s="15"/>
      <c r="J2449" s="15"/>
    </row>
    <row r="2450" spans="6:10" ht="15">
      <c r="F2450" s="15"/>
      <c r="H2450" s="15"/>
      <c r="J2450" s="15"/>
    </row>
    <row r="2451" spans="6:10" ht="15">
      <c r="F2451" s="15"/>
      <c r="H2451" s="15"/>
      <c r="J2451" s="15"/>
    </row>
    <row r="2452" spans="6:10" ht="15">
      <c r="F2452" s="15"/>
      <c r="H2452" s="15"/>
      <c r="J2452" s="15"/>
    </row>
    <row r="2453" spans="6:10" ht="15">
      <c r="F2453" s="15"/>
      <c r="H2453" s="15"/>
      <c r="J2453" s="15"/>
    </row>
    <row r="2454" spans="6:10" ht="15">
      <c r="F2454" s="15"/>
      <c r="H2454" s="15"/>
      <c r="J2454" s="15"/>
    </row>
    <row r="2455" spans="6:10" ht="15">
      <c r="F2455" s="15"/>
      <c r="H2455" s="15"/>
      <c r="J2455" s="15"/>
    </row>
    <row r="2456" spans="6:10" ht="15">
      <c r="F2456" s="15"/>
      <c r="H2456" s="15"/>
      <c r="J2456" s="15"/>
    </row>
    <row r="2457" spans="6:10" ht="15">
      <c r="F2457" s="15"/>
      <c r="H2457" s="15"/>
      <c r="J2457" s="15"/>
    </row>
    <row r="2458" spans="6:10" ht="15">
      <c r="F2458" s="15"/>
      <c r="H2458" s="15"/>
      <c r="J2458" s="15"/>
    </row>
    <row r="2459" spans="6:10" ht="15">
      <c r="F2459" s="15"/>
      <c r="H2459" s="15"/>
      <c r="J2459" s="15"/>
    </row>
    <row r="2460" spans="6:10" ht="15">
      <c r="F2460" s="15"/>
      <c r="H2460" s="15"/>
      <c r="J2460" s="15"/>
    </row>
    <row r="2461" spans="6:10" ht="15">
      <c r="F2461" s="15"/>
      <c r="H2461" s="15"/>
      <c r="J2461" s="15"/>
    </row>
    <row r="2462" spans="6:10" ht="15">
      <c r="F2462" s="15"/>
      <c r="H2462" s="15"/>
      <c r="J2462" s="15"/>
    </row>
    <row r="2463" spans="6:10" ht="15">
      <c r="F2463" s="15"/>
      <c r="H2463" s="15"/>
      <c r="J2463" s="15"/>
    </row>
    <row r="2464" spans="6:10" ht="15">
      <c r="F2464" s="15"/>
      <c r="H2464" s="15"/>
      <c r="J2464" s="15"/>
    </row>
    <row r="2465" spans="6:10" ht="15">
      <c r="F2465" s="15"/>
      <c r="H2465" s="15"/>
      <c r="J2465" s="15"/>
    </row>
    <row r="2466" spans="6:10" ht="15">
      <c r="F2466" s="15"/>
      <c r="H2466" s="15"/>
      <c r="J2466" s="15"/>
    </row>
    <row r="2467" spans="6:10" ht="15">
      <c r="F2467" s="15"/>
      <c r="H2467" s="15"/>
      <c r="J2467" s="15"/>
    </row>
    <row r="2468" spans="6:10" ht="15">
      <c r="F2468" s="15"/>
      <c r="H2468" s="15"/>
      <c r="J2468" s="15"/>
    </row>
    <row r="2469" spans="6:10" ht="15">
      <c r="F2469" s="15"/>
      <c r="H2469" s="15"/>
      <c r="J2469" s="15"/>
    </row>
    <row r="2470" spans="6:10" ht="15">
      <c r="F2470" s="15"/>
      <c r="H2470" s="15"/>
      <c r="J2470" s="15"/>
    </row>
    <row r="2471" spans="6:10" ht="15">
      <c r="F2471" s="15"/>
      <c r="H2471" s="15"/>
      <c r="J2471" s="15"/>
    </row>
    <row r="2472" spans="6:10" ht="15">
      <c r="F2472" s="15"/>
      <c r="H2472" s="15"/>
      <c r="J2472" s="15"/>
    </row>
    <row r="2473" spans="6:10" ht="15">
      <c r="F2473" s="15"/>
      <c r="H2473" s="15"/>
      <c r="J2473" s="15"/>
    </row>
    <row r="2474" spans="6:10" ht="15">
      <c r="F2474" s="15"/>
      <c r="H2474" s="15"/>
      <c r="J2474" s="15"/>
    </row>
    <row r="2475" spans="6:10" ht="15">
      <c r="F2475" s="15"/>
      <c r="H2475" s="15"/>
      <c r="J2475" s="15"/>
    </row>
    <row r="2476" spans="6:10" ht="15">
      <c r="F2476" s="15"/>
      <c r="H2476" s="15"/>
      <c r="J2476" s="15"/>
    </row>
    <row r="2477" spans="6:10" ht="15">
      <c r="F2477" s="15"/>
      <c r="H2477" s="15"/>
      <c r="J2477" s="15"/>
    </row>
    <row r="2478" spans="6:10" ht="15">
      <c r="F2478" s="15"/>
      <c r="H2478" s="15"/>
      <c r="J2478" s="15"/>
    </row>
    <row r="2479" spans="6:10" ht="15">
      <c r="F2479" s="15"/>
      <c r="H2479" s="15"/>
      <c r="J2479" s="15"/>
    </row>
    <row r="2480" spans="6:10" ht="15">
      <c r="F2480" s="15"/>
      <c r="H2480" s="15"/>
      <c r="J2480" s="15"/>
    </row>
    <row r="2481" spans="6:10" ht="15">
      <c r="F2481" s="15"/>
      <c r="H2481" s="15"/>
      <c r="J2481" s="15"/>
    </row>
    <row r="2482" spans="6:10" ht="15">
      <c r="F2482" s="15"/>
      <c r="H2482" s="15"/>
      <c r="J2482" s="15"/>
    </row>
    <row r="2483" spans="6:10" ht="15">
      <c r="F2483" s="15"/>
      <c r="H2483" s="15"/>
      <c r="J2483" s="15"/>
    </row>
    <row r="2484" spans="6:10" ht="15">
      <c r="F2484" s="15"/>
      <c r="H2484" s="15"/>
      <c r="J2484" s="15"/>
    </row>
    <row r="2485" spans="6:10" ht="15">
      <c r="F2485" s="15"/>
      <c r="H2485" s="15"/>
      <c r="J2485" s="15"/>
    </row>
    <row r="2486" spans="6:10" ht="15">
      <c r="F2486" s="15"/>
      <c r="H2486" s="15"/>
      <c r="J2486" s="15"/>
    </row>
    <row r="2487" spans="6:10" ht="15">
      <c r="F2487" s="15"/>
      <c r="H2487" s="15"/>
      <c r="J2487" s="15"/>
    </row>
    <row r="2488" spans="6:10" ht="15">
      <c r="F2488" s="15"/>
      <c r="H2488" s="15"/>
      <c r="J2488" s="15"/>
    </row>
    <row r="2489" spans="6:10" ht="15">
      <c r="F2489" s="15"/>
      <c r="H2489" s="15"/>
      <c r="J2489" s="15"/>
    </row>
    <row r="2490" spans="6:10" ht="15">
      <c r="F2490" s="15"/>
      <c r="H2490" s="15"/>
      <c r="J2490" s="15"/>
    </row>
    <row r="2491" spans="6:10" ht="15">
      <c r="F2491" s="15"/>
      <c r="H2491" s="15"/>
      <c r="J2491" s="15"/>
    </row>
    <row r="2492" spans="6:10" ht="15">
      <c r="F2492" s="15"/>
      <c r="H2492" s="15"/>
      <c r="J2492" s="15"/>
    </row>
    <row r="2493" spans="6:10" ht="15">
      <c r="F2493" s="15"/>
      <c r="H2493" s="15"/>
      <c r="J2493" s="15"/>
    </row>
    <row r="2494" spans="6:10" ht="15">
      <c r="F2494" s="15"/>
      <c r="H2494" s="15"/>
      <c r="J2494" s="15"/>
    </row>
    <row r="2495" spans="6:10" ht="15">
      <c r="F2495" s="15"/>
      <c r="H2495" s="15"/>
      <c r="J2495" s="15"/>
    </row>
    <row r="2496" spans="6:10" ht="15">
      <c r="F2496" s="15"/>
      <c r="H2496" s="15"/>
      <c r="J2496" s="15"/>
    </row>
    <row r="2497" spans="6:10" ht="15">
      <c r="F2497" s="15"/>
      <c r="H2497" s="15"/>
      <c r="J2497" s="15"/>
    </row>
    <row r="2498" spans="6:10" ht="15">
      <c r="F2498" s="15"/>
      <c r="H2498" s="15"/>
      <c r="J2498" s="15"/>
    </row>
    <row r="2499" spans="6:10" ht="15">
      <c r="F2499" s="15"/>
      <c r="H2499" s="15"/>
      <c r="J2499" s="15"/>
    </row>
    <row r="2500" spans="6:10" ht="15">
      <c r="F2500" s="15"/>
      <c r="H2500" s="15"/>
      <c r="J2500" s="15"/>
    </row>
    <row r="2501" spans="6:10" ht="15">
      <c r="F2501" s="15"/>
      <c r="H2501" s="15"/>
      <c r="J2501" s="15"/>
    </row>
    <row r="2502" spans="6:10" ht="15">
      <c r="F2502" s="15"/>
      <c r="H2502" s="15"/>
      <c r="J2502" s="15"/>
    </row>
    <row r="2503" spans="6:10" ht="15">
      <c r="F2503" s="15"/>
      <c r="H2503" s="15"/>
      <c r="J2503" s="15"/>
    </row>
    <row r="2504" spans="6:10" ht="15">
      <c r="F2504" s="15"/>
      <c r="H2504" s="15"/>
      <c r="J2504" s="15"/>
    </row>
    <row r="2505" spans="6:10" ht="15">
      <c r="F2505" s="15"/>
      <c r="H2505" s="15"/>
      <c r="J2505" s="15"/>
    </row>
    <row r="2506" spans="6:10" ht="15">
      <c r="F2506" s="15"/>
      <c r="H2506" s="15"/>
      <c r="J2506" s="15"/>
    </row>
    <row r="2507" spans="6:10" ht="15">
      <c r="F2507" s="15"/>
      <c r="H2507" s="15"/>
      <c r="J2507" s="15"/>
    </row>
    <row r="2508" spans="6:10" ht="15">
      <c r="F2508" s="15"/>
      <c r="H2508" s="15"/>
      <c r="J2508" s="15"/>
    </row>
    <row r="2509" spans="6:10" ht="15">
      <c r="F2509" s="15"/>
      <c r="H2509" s="15"/>
      <c r="J2509" s="15"/>
    </row>
    <row r="2510" spans="6:10" ht="15">
      <c r="F2510" s="15"/>
      <c r="H2510" s="15"/>
      <c r="J2510" s="15"/>
    </row>
    <row r="2511" spans="6:10" ht="15">
      <c r="F2511" s="15"/>
      <c r="H2511" s="15"/>
      <c r="J2511" s="15"/>
    </row>
    <row r="2512" spans="6:10" ht="15">
      <c r="F2512" s="15"/>
      <c r="H2512" s="15"/>
      <c r="J2512" s="15"/>
    </row>
    <row r="2513" spans="6:10" ht="15">
      <c r="F2513" s="15"/>
      <c r="H2513" s="15"/>
      <c r="J2513" s="15"/>
    </row>
    <row r="2514" spans="6:10" ht="15">
      <c r="F2514" s="15"/>
      <c r="H2514" s="15"/>
      <c r="J2514" s="15"/>
    </row>
    <row r="2515" spans="6:10" ht="15">
      <c r="F2515" s="15"/>
      <c r="H2515" s="15"/>
      <c r="J2515" s="15"/>
    </row>
    <row r="2516" spans="6:10" ht="15">
      <c r="F2516" s="15"/>
      <c r="H2516" s="15"/>
      <c r="J2516" s="15"/>
    </row>
    <row r="2517" spans="6:10" ht="15">
      <c r="F2517" s="15"/>
      <c r="H2517" s="15"/>
      <c r="J2517" s="15"/>
    </row>
    <row r="2518" spans="6:10" ht="15">
      <c r="F2518" s="15"/>
      <c r="H2518" s="15"/>
      <c r="J2518" s="15"/>
    </row>
    <row r="2519" spans="6:10" ht="15">
      <c r="F2519" s="15"/>
      <c r="H2519" s="15"/>
      <c r="J2519" s="15"/>
    </row>
    <row r="2520" spans="6:10" ht="15">
      <c r="F2520" s="15"/>
      <c r="H2520" s="15"/>
      <c r="J2520" s="15"/>
    </row>
    <row r="2521" spans="6:10" ht="15">
      <c r="F2521" s="15"/>
      <c r="H2521" s="15"/>
      <c r="J2521" s="15"/>
    </row>
    <row r="2522" spans="6:10" ht="15">
      <c r="F2522" s="15"/>
      <c r="H2522" s="15"/>
      <c r="J2522" s="15"/>
    </row>
    <row r="2523" spans="6:10" ht="15">
      <c r="F2523" s="15"/>
      <c r="H2523" s="15"/>
      <c r="J2523" s="15"/>
    </row>
    <row r="2524" spans="6:10" ht="15">
      <c r="F2524" s="15"/>
      <c r="H2524" s="15"/>
      <c r="J2524" s="15"/>
    </row>
    <row r="2525" spans="6:10" ht="15">
      <c r="F2525" s="15"/>
      <c r="H2525" s="15"/>
      <c r="J2525" s="15"/>
    </row>
    <row r="2526" spans="6:10" ht="15">
      <c r="F2526" s="15"/>
      <c r="H2526" s="15"/>
      <c r="J2526" s="15"/>
    </row>
    <row r="2527" spans="6:10" ht="15">
      <c r="F2527" s="15"/>
      <c r="H2527" s="15"/>
      <c r="J2527" s="15"/>
    </row>
    <row r="2528" spans="6:10" ht="15">
      <c r="F2528" s="15"/>
      <c r="H2528" s="15"/>
      <c r="J2528" s="15"/>
    </row>
    <row r="2529" spans="6:10" ht="15">
      <c r="F2529" s="15"/>
      <c r="H2529" s="15"/>
      <c r="J2529" s="15"/>
    </row>
    <row r="2530" spans="6:10" ht="15">
      <c r="F2530" s="15"/>
      <c r="H2530" s="15"/>
      <c r="J2530" s="15"/>
    </row>
    <row r="2531" spans="6:10" ht="15">
      <c r="F2531" s="15"/>
      <c r="H2531" s="15"/>
      <c r="J2531" s="15"/>
    </row>
    <row r="2532" spans="6:10" ht="15">
      <c r="F2532" s="15"/>
      <c r="H2532" s="15"/>
      <c r="J2532" s="15"/>
    </row>
    <row r="2533" spans="6:10" ht="15">
      <c r="F2533" s="15"/>
      <c r="H2533" s="15"/>
      <c r="J2533" s="15"/>
    </row>
    <row r="2534" spans="6:10" ht="15">
      <c r="F2534" s="15"/>
      <c r="H2534" s="15"/>
      <c r="J2534" s="15"/>
    </row>
    <row r="2535" spans="6:10" ht="15">
      <c r="F2535" s="15"/>
      <c r="H2535" s="15"/>
      <c r="J2535" s="15"/>
    </row>
    <row r="2536" spans="6:10" ht="15">
      <c r="F2536" s="15"/>
      <c r="H2536" s="15"/>
      <c r="J2536" s="15"/>
    </row>
    <row r="2537" spans="6:10" ht="15">
      <c r="F2537" s="15"/>
      <c r="H2537" s="15"/>
      <c r="J2537" s="15"/>
    </row>
    <row r="2538" spans="6:10" ht="15">
      <c r="F2538" s="15"/>
      <c r="H2538" s="15"/>
      <c r="J2538" s="15"/>
    </row>
    <row r="2539" spans="6:10" ht="15">
      <c r="F2539" s="15"/>
      <c r="H2539" s="15"/>
      <c r="J2539" s="15"/>
    </row>
    <row r="2540" spans="6:10" ht="15">
      <c r="F2540" s="15"/>
      <c r="H2540" s="15"/>
      <c r="J2540" s="15"/>
    </row>
    <row r="2541" spans="6:10" ht="15">
      <c r="F2541" s="15"/>
      <c r="H2541" s="15"/>
      <c r="J2541" s="15"/>
    </row>
    <row r="2542" spans="6:10" ht="15">
      <c r="F2542" s="15"/>
      <c r="H2542" s="15"/>
      <c r="J2542" s="15"/>
    </row>
    <row r="2543" spans="6:10" ht="15">
      <c r="F2543" s="15"/>
      <c r="H2543" s="15"/>
      <c r="J2543" s="15"/>
    </row>
    <row r="2544" spans="6:10" ht="15">
      <c r="F2544" s="15"/>
      <c r="H2544" s="15"/>
      <c r="J2544" s="15"/>
    </row>
    <row r="2545" spans="6:10" ht="15">
      <c r="F2545" s="15"/>
      <c r="H2545" s="15"/>
      <c r="J2545" s="15"/>
    </row>
    <row r="2546" spans="6:10" ht="15">
      <c r="F2546" s="15"/>
      <c r="H2546" s="15"/>
      <c r="J2546" s="15"/>
    </row>
    <row r="2547" spans="6:10" ht="15">
      <c r="F2547" s="15"/>
      <c r="H2547" s="15"/>
      <c r="J2547" s="15"/>
    </row>
    <row r="2548" spans="6:10" ht="15">
      <c r="F2548" s="15"/>
      <c r="H2548" s="15"/>
      <c r="J2548" s="15"/>
    </row>
    <row r="2549" spans="6:10" ht="15">
      <c r="F2549" s="15"/>
      <c r="H2549" s="15"/>
      <c r="J2549" s="15"/>
    </row>
    <row r="2550" spans="6:10" ht="15">
      <c r="F2550" s="15"/>
      <c r="H2550" s="15"/>
      <c r="J2550" s="15"/>
    </row>
    <row r="2551" spans="6:10" ht="15">
      <c r="F2551" s="15"/>
      <c r="H2551" s="15"/>
      <c r="J2551" s="15"/>
    </row>
    <row r="2552" spans="6:10" ht="15">
      <c r="F2552" s="15"/>
      <c r="H2552" s="15"/>
      <c r="J2552" s="15"/>
    </row>
    <row r="2553" spans="6:10" ht="15">
      <c r="F2553" s="15"/>
      <c r="H2553" s="15"/>
      <c r="J2553" s="15"/>
    </row>
    <row r="2554" spans="6:10" ht="15">
      <c r="F2554" s="15"/>
      <c r="H2554" s="15"/>
      <c r="J2554" s="15"/>
    </row>
    <row r="2555" spans="6:10" ht="15">
      <c r="F2555" s="15"/>
      <c r="H2555" s="15"/>
      <c r="J2555" s="15"/>
    </row>
    <row r="2556" spans="6:10" ht="15">
      <c r="F2556" s="15"/>
      <c r="H2556" s="15"/>
      <c r="J2556" s="15"/>
    </row>
    <row r="2557" spans="6:10" ht="15">
      <c r="F2557" s="15"/>
      <c r="H2557" s="15"/>
      <c r="J2557" s="15"/>
    </row>
    <row r="2558" spans="6:10" ht="15">
      <c r="F2558" s="15"/>
      <c r="H2558" s="15"/>
      <c r="J2558" s="15"/>
    </row>
    <row r="2559" spans="6:10" ht="15">
      <c r="F2559" s="15"/>
      <c r="H2559" s="15"/>
      <c r="J2559" s="15"/>
    </row>
    <row r="2560" spans="6:10" ht="15">
      <c r="F2560" s="15"/>
      <c r="H2560" s="15"/>
      <c r="J2560" s="15"/>
    </row>
    <row r="2561" spans="6:10" ht="15">
      <c r="F2561" s="15"/>
      <c r="H2561" s="15"/>
      <c r="J2561" s="15"/>
    </row>
    <row r="2562" spans="6:10" ht="15">
      <c r="F2562" s="15"/>
      <c r="H2562" s="15"/>
      <c r="J2562" s="15"/>
    </row>
    <row r="2563" spans="6:10" ht="15">
      <c r="F2563" s="15"/>
      <c r="H2563" s="15"/>
      <c r="J2563" s="15"/>
    </row>
    <row r="2564" spans="6:10" ht="15">
      <c r="F2564" s="15"/>
      <c r="H2564" s="15"/>
      <c r="J2564" s="15"/>
    </row>
    <row r="2565" spans="6:10" ht="15">
      <c r="F2565" s="15"/>
      <c r="H2565" s="15"/>
      <c r="J2565" s="15"/>
    </row>
    <row r="2566" spans="6:10" ht="15">
      <c r="F2566" s="15"/>
      <c r="H2566" s="15"/>
      <c r="J2566" s="15"/>
    </row>
    <row r="2567" spans="6:10" ht="15">
      <c r="F2567" s="15"/>
      <c r="H2567" s="15"/>
      <c r="J2567" s="15"/>
    </row>
    <row r="2568" spans="6:10" ht="15">
      <c r="F2568" s="15"/>
      <c r="H2568" s="15"/>
      <c r="J2568" s="15"/>
    </row>
    <row r="2569" spans="6:10" ht="15">
      <c r="F2569" s="15"/>
      <c r="H2569" s="15"/>
      <c r="J2569" s="15"/>
    </row>
    <row r="2570" spans="6:10" ht="15">
      <c r="F2570" s="15"/>
      <c r="H2570" s="15"/>
      <c r="J2570" s="15"/>
    </row>
    <row r="2571" spans="6:10" ht="15">
      <c r="F2571" s="15"/>
      <c r="H2571" s="15"/>
      <c r="J2571" s="15"/>
    </row>
    <row r="2572" spans="6:10" ht="15">
      <c r="F2572" s="15"/>
      <c r="H2572" s="15"/>
      <c r="J2572" s="15"/>
    </row>
    <row r="2573" spans="6:10" ht="15">
      <c r="F2573" s="15"/>
      <c r="H2573" s="15"/>
      <c r="J2573" s="15"/>
    </row>
    <row r="2574" spans="6:10" ht="15">
      <c r="F2574" s="15"/>
      <c r="H2574" s="15"/>
      <c r="J2574" s="15"/>
    </row>
    <row r="2575" spans="6:10" ht="15">
      <c r="F2575" s="15"/>
      <c r="H2575" s="15"/>
      <c r="J2575" s="15"/>
    </row>
    <row r="2576" spans="6:10" ht="15">
      <c r="F2576" s="15"/>
      <c r="H2576" s="15"/>
      <c r="J2576" s="15"/>
    </row>
    <row r="2577" spans="6:10" ht="15">
      <c r="F2577" s="15"/>
      <c r="H2577" s="15"/>
      <c r="J2577" s="15"/>
    </row>
    <row r="2578" spans="6:10" ht="15">
      <c r="F2578" s="15"/>
      <c r="H2578" s="15"/>
      <c r="J2578" s="15"/>
    </row>
    <row r="2579" spans="6:10" ht="15">
      <c r="F2579" s="15"/>
      <c r="H2579" s="15"/>
      <c r="J2579" s="15"/>
    </row>
    <row r="2580" spans="6:10" ht="15">
      <c r="F2580" s="15"/>
      <c r="H2580" s="15"/>
      <c r="J2580" s="15"/>
    </row>
    <row r="2581" spans="6:10" ht="15">
      <c r="F2581" s="15"/>
      <c r="H2581" s="15"/>
      <c r="J2581" s="15"/>
    </row>
    <row r="2582" spans="6:10" ht="15">
      <c r="F2582" s="15"/>
      <c r="H2582" s="15"/>
      <c r="J2582" s="15"/>
    </row>
    <row r="2583" spans="6:10" ht="15">
      <c r="F2583" s="15"/>
      <c r="H2583" s="15"/>
      <c r="J2583" s="15"/>
    </row>
    <row r="2584" spans="6:10" ht="15">
      <c r="F2584" s="15"/>
      <c r="H2584" s="15"/>
      <c r="J2584" s="15"/>
    </row>
    <row r="2585" spans="6:10" ht="15">
      <c r="F2585" s="15"/>
      <c r="H2585" s="15"/>
      <c r="J2585" s="15"/>
    </row>
    <row r="2586" spans="6:10" ht="15">
      <c r="F2586" s="15"/>
      <c r="H2586" s="15"/>
      <c r="J2586" s="15"/>
    </row>
    <row r="2587" spans="6:10" ht="15">
      <c r="F2587" s="15"/>
      <c r="H2587" s="15"/>
      <c r="J2587" s="15"/>
    </row>
    <row r="2588" spans="6:10" ht="15">
      <c r="F2588" s="15"/>
      <c r="H2588" s="15"/>
      <c r="J2588" s="15"/>
    </row>
    <row r="2589" spans="6:10" ht="15">
      <c r="F2589" s="15"/>
      <c r="H2589" s="15"/>
      <c r="J2589" s="15"/>
    </row>
    <row r="2590" spans="6:10" ht="15">
      <c r="F2590" s="15"/>
      <c r="H2590" s="15"/>
      <c r="J2590" s="15"/>
    </row>
    <row r="2591" spans="6:10" ht="15">
      <c r="F2591" s="15"/>
      <c r="H2591" s="15"/>
      <c r="J2591" s="15"/>
    </row>
    <row r="2592" spans="6:10" ht="15">
      <c r="F2592" s="15"/>
      <c r="H2592" s="15"/>
      <c r="J2592" s="15"/>
    </row>
    <row r="2593" spans="6:10" ht="15">
      <c r="F2593" s="15"/>
      <c r="H2593" s="15"/>
      <c r="J2593" s="15"/>
    </row>
    <row r="2594" spans="6:10" ht="15">
      <c r="F2594" s="15"/>
      <c r="H2594" s="15"/>
      <c r="J2594" s="15"/>
    </row>
    <row r="2595" spans="6:10" ht="15">
      <c r="F2595" s="15"/>
      <c r="H2595" s="15"/>
      <c r="J2595" s="15"/>
    </row>
    <row r="2596" spans="6:10" ht="15">
      <c r="F2596" s="15"/>
      <c r="H2596" s="15"/>
      <c r="J2596" s="15"/>
    </row>
    <row r="2597" spans="6:10" ht="15">
      <c r="F2597" s="15"/>
      <c r="H2597" s="15"/>
      <c r="J2597" s="15"/>
    </row>
    <row r="2598" spans="6:10" ht="15">
      <c r="F2598" s="15"/>
      <c r="H2598" s="15"/>
      <c r="J2598" s="15"/>
    </row>
    <row r="2599" spans="6:10" ht="15">
      <c r="F2599" s="15"/>
      <c r="H2599" s="15"/>
      <c r="J2599" s="15"/>
    </row>
    <row r="2600" spans="6:10" ht="15">
      <c r="F2600" s="15"/>
      <c r="H2600" s="15"/>
      <c r="J2600" s="15"/>
    </row>
    <row r="2601" spans="6:10" ht="15">
      <c r="F2601" s="15"/>
      <c r="H2601" s="15"/>
      <c r="J2601" s="15"/>
    </row>
    <row r="2602" spans="6:10" ht="15">
      <c r="F2602" s="15"/>
      <c r="H2602" s="15"/>
      <c r="J2602" s="15"/>
    </row>
    <row r="2603" spans="6:10" ht="15">
      <c r="F2603" s="15"/>
      <c r="H2603" s="15"/>
      <c r="J2603" s="15"/>
    </row>
    <row r="2604" spans="6:10" ht="15">
      <c r="F2604" s="15"/>
      <c r="H2604" s="15"/>
      <c r="J2604" s="15"/>
    </row>
    <row r="2605" spans="6:10" ht="15">
      <c r="F2605" s="15"/>
      <c r="H2605" s="15"/>
      <c r="J2605" s="15"/>
    </row>
    <row r="2606" spans="6:10" ht="15">
      <c r="F2606" s="15"/>
      <c r="H2606" s="15"/>
      <c r="J2606" s="15"/>
    </row>
    <row r="2607" spans="6:10" ht="15">
      <c r="F2607" s="15"/>
      <c r="H2607" s="15"/>
      <c r="J2607" s="15"/>
    </row>
    <row r="2608" spans="6:10" ht="15">
      <c r="F2608" s="15"/>
      <c r="H2608" s="15"/>
      <c r="J2608" s="15"/>
    </row>
    <row r="2609" spans="6:10" ht="15">
      <c r="F2609" s="15"/>
      <c r="H2609" s="15"/>
      <c r="J2609" s="15"/>
    </row>
    <row r="2610" spans="6:10" ht="15">
      <c r="F2610" s="15"/>
      <c r="H2610" s="15"/>
      <c r="J2610" s="15"/>
    </row>
    <row r="2611" spans="6:10" ht="15">
      <c r="F2611" s="15"/>
      <c r="H2611" s="15"/>
      <c r="J2611" s="15"/>
    </row>
    <row r="2612" spans="6:10" ht="15">
      <c r="F2612" s="15"/>
      <c r="H2612" s="15"/>
      <c r="J2612" s="15"/>
    </row>
    <row r="2613" spans="6:10" ht="15">
      <c r="F2613" s="15"/>
      <c r="H2613" s="15"/>
      <c r="J2613" s="15"/>
    </row>
    <row r="2614" spans="6:10" ht="15">
      <c r="F2614" s="15"/>
      <c r="H2614" s="15"/>
      <c r="J2614" s="15"/>
    </row>
    <row r="2615" spans="6:10" ht="15">
      <c r="F2615" s="15"/>
      <c r="H2615" s="15"/>
      <c r="J2615" s="15"/>
    </row>
    <row r="2616" spans="6:10" ht="15">
      <c r="F2616" s="15"/>
      <c r="H2616" s="15"/>
      <c r="J2616" s="15"/>
    </row>
    <row r="2617" spans="6:10" ht="15">
      <c r="F2617" s="15"/>
      <c r="H2617" s="15"/>
      <c r="J2617" s="15"/>
    </row>
    <row r="2618" spans="6:10" ht="15">
      <c r="F2618" s="15"/>
      <c r="H2618" s="15"/>
      <c r="J2618" s="15"/>
    </row>
    <row r="2619" spans="6:10" ht="15">
      <c r="F2619" s="15"/>
      <c r="H2619" s="15"/>
      <c r="J2619" s="15"/>
    </row>
    <row r="2620" spans="6:10" ht="15">
      <c r="F2620" s="15"/>
      <c r="H2620" s="15"/>
      <c r="J2620" s="15"/>
    </row>
    <row r="2621" spans="6:10" ht="15">
      <c r="F2621" s="15"/>
      <c r="H2621" s="15"/>
      <c r="J2621" s="15"/>
    </row>
    <row r="2622" spans="6:10" ht="15">
      <c r="F2622" s="15"/>
      <c r="H2622" s="15"/>
      <c r="J2622" s="15"/>
    </row>
    <row r="2623" spans="6:10" ht="15">
      <c r="F2623" s="15"/>
      <c r="H2623" s="15"/>
      <c r="J2623" s="15"/>
    </row>
    <row r="2624" spans="6:10" ht="15">
      <c r="F2624" s="15"/>
      <c r="H2624" s="15"/>
      <c r="J2624" s="15"/>
    </row>
    <row r="2625" spans="6:10" ht="15">
      <c r="F2625" s="15"/>
      <c r="H2625" s="15"/>
      <c r="J2625" s="15"/>
    </row>
    <row r="2626" spans="6:10" ht="15">
      <c r="F2626" s="15"/>
      <c r="H2626" s="15"/>
      <c r="J2626" s="15"/>
    </row>
    <row r="2627" spans="6:10" ht="15">
      <c r="F2627" s="15"/>
      <c r="H2627" s="15"/>
      <c r="J2627" s="15"/>
    </row>
    <row r="2628" spans="6:10" ht="15">
      <c r="F2628" s="15"/>
      <c r="H2628" s="15"/>
      <c r="J2628" s="15"/>
    </row>
    <row r="2629" spans="6:10" ht="15">
      <c r="F2629" s="15"/>
      <c r="H2629" s="15"/>
      <c r="J2629" s="15"/>
    </row>
    <row r="2630" spans="6:10" ht="15">
      <c r="F2630" s="15"/>
      <c r="H2630" s="15"/>
      <c r="J2630" s="15"/>
    </row>
    <row r="2631" spans="6:10" ht="15">
      <c r="F2631" s="15"/>
      <c r="H2631" s="15"/>
      <c r="J2631" s="15"/>
    </row>
    <row r="2632" spans="6:10" ht="15">
      <c r="F2632" s="15"/>
      <c r="H2632" s="15"/>
      <c r="J2632" s="15"/>
    </row>
    <row r="2633" spans="6:10" ht="15">
      <c r="F2633" s="15"/>
      <c r="H2633" s="15"/>
      <c r="J2633" s="15"/>
    </row>
    <row r="2634" spans="6:10" ht="15">
      <c r="F2634" s="15"/>
      <c r="H2634" s="15"/>
      <c r="J2634" s="15"/>
    </row>
    <row r="2635" spans="6:10" ht="15">
      <c r="F2635" s="15"/>
      <c r="H2635" s="15"/>
      <c r="J2635" s="15"/>
    </row>
    <row r="2636" spans="6:10" ht="15">
      <c r="F2636" s="15"/>
      <c r="H2636" s="15"/>
      <c r="J2636" s="15"/>
    </row>
    <row r="2637" spans="6:10" ht="15">
      <c r="F2637" s="15"/>
      <c r="H2637" s="15"/>
      <c r="J2637" s="15"/>
    </row>
    <row r="2638" spans="6:10" ht="15">
      <c r="F2638" s="15"/>
      <c r="H2638" s="15"/>
      <c r="J2638" s="15"/>
    </row>
    <row r="2639" spans="6:10" ht="15">
      <c r="F2639" s="15"/>
      <c r="H2639" s="15"/>
      <c r="J2639" s="15"/>
    </row>
    <row r="2640" spans="6:10" ht="15">
      <c r="F2640" s="15"/>
      <c r="H2640" s="15"/>
      <c r="J2640" s="15"/>
    </row>
    <row r="2641" spans="6:10" ht="15">
      <c r="F2641" s="15"/>
      <c r="H2641" s="15"/>
      <c r="J2641" s="15"/>
    </row>
    <row r="2642" spans="6:10" ht="15">
      <c r="F2642" s="15"/>
      <c r="H2642" s="15"/>
      <c r="J2642" s="15"/>
    </row>
    <row r="2643" spans="6:10" ht="15">
      <c r="F2643" s="15"/>
      <c r="H2643" s="15"/>
      <c r="J2643" s="15"/>
    </row>
    <row r="2644" spans="6:10" ht="15">
      <c r="F2644" s="15"/>
      <c r="H2644" s="15"/>
      <c r="J2644" s="15"/>
    </row>
    <row r="2645" spans="6:10" ht="15">
      <c r="F2645" s="15"/>
      <c r="H2645" s="15"/>
      <c r="J2645" s="15"/>
    </row>
    <row r="2646" spans="6:10" ht="15">
      <c r="F2646" s="15"/>
      <c r="H2646" s="15"/>
      <c r="J2646" s="15"/>
    </row>
    <row r="2647" spans="6:10" ht="15">
      <c r="F2647" s="15"/>
      <c r="H2647" s="15"/>
      <c r="J2647" s="15"/>
    </row>
    <row r="2648" spans="6:10" ht="15">
      <c r="F2648" s="15"/>
      <c r="H2648" s="15"/>
      <c r="J2648" s="15"/>
    </row>
    <row r="2649" spans="6:10" ht="15">
      <c r="F2649" s="15"/>
      <c r="H2649" s="15"/>
      <c r="J2649" s="15"/>
    </row>
    <row r="2650" spans="6:10" ht="15">
      <c r="F2650" s="15"/>
      <c r="H2650" s="15"/>
      <c r="J2650" s="15"/>
    </row>
    <row r="2651" spans="6:10" ht="15">
      <c r="F2651" s="15"/>
      <c r="H2651" s="15"/>
      <c r="J2651" s="15"/>
    </row>
    <row r="2652" spans="6:10" ht="15">
      <c r="F2652" s="15"/>
      <c r="H2652" s="15"/>
      <c r="J2652" s="15"/>
    </row>
    <row r="2653" spans="6:10" ht="15">
      <c r="F2653" s="15"/>
      <c r="H2653" s="15"/>
      <c r="J2653" s="15"/>
    </row>
    <row r="2654" spans="6:10" ht="15">
      <c r="F2654" s="15"/>
      <c r="H2654" s="15"/>
      <c r="J2654" s="15"/>
    </row>
    <row r="2655" spans="6:10" ht="15">
      <c r="F2655" s="15"/>
      <c r="H2655" s="15"/>
      <c r="J2655" s="15"/>
    </row>
    <row r="2656" spans="6:10" ht="15">
      <c r="F2656" s="15"/>
      <c r="H2656" s="15"/>
      <c r="J2656" s="15"/>
    </row>
    <row r="2657" spans="6:10" ht="15">
      <c r="F2657" s="15"/>
      <c r="H2657" s="15"/>
      <c r="J2657" s="15"/>
    </row>
    <row r="2658" spans="6:10" ht="15">
      <c r="F2658" s="15"/>
      <c r="H2658" s="15"/>
      <c r="J2658" s="15"/>
    </row>
    <row r="2659" spans="6:10" ht="15">
      <c r="F2659" s="15"/>
      <c r="H2659" s="15"/>
      <c r="J2659" s="15"/>
    </row>
    <row r="2660" spans="6:10" ht="15">
      <c r="F2660" s="15"/>
      <c r="H2660" s="15"/>
      <c r="J2660" s="15"/>
    </row>
    <row r="2661" spans="6:10" ht="15">
      <c r="F2661" s="15"/>
      <c r="H2661" s="15"/>
      <c r="J2661" s="15"/>
    </row>
    <row r="2662" spans="6:10" ht="15">
      <c r="F2662" s="15"/>
      <c r="H2662" s="15"/>
      <c r="J2662" s="15"/>
    </row>
    <row r="2663" spans="6:10" ht="15">
      <c r="F2663" s="15"/>
      <c r="H2663" s="15"/>
      <c r="J2663" s="15"/>
    </row>
    <row r="2664" spans="6:10" ht="15">
      <c r="F2664" s="15"/>
      <c r="H2664" s="15"/>
      <c r="J2664" s="15"/>
    </row>
    <row r="2665" spans="6:10" ht="15">
      <c r="F2665" s="15"/>
      <c r="H2665" s="15"/>
      <c r="J2665" s="15"/>
    </row>
    <row r="2666" spans="6:10" ht="15">
      <c r="F2666" s="15"/>
      <c r="H2666" s="15"/>
      <c r="J2666" s="15"/>
    </row>
    <row r="2667" spans="6:10" ht="15">
      <c r="F2667" s="15"/>
      <c r="H2667" s="15"/>
      <c r="J2667" s="15"/>
    </row>
    <row r="2668" spans="6:10" ht="15">
      <c r="F2668" s="15"/>
      <c r="H2668" s="15"/>
      <c r="J2668" s="15"/>
    </row>
    <row r="2669" spans="6:10" ht="15">
      <c r="F2669" s="15"/>
      <c r="H2669" s="15"/>
      <c r="J2669" s="15"/>
    </row>
    <row r="2670" spans="6:10" ht="15">
      <c r="F2670" s="15"/>
      <c r="H2670" s="15"/>
      <c r="J2670" s="15"/>
    </row>
    <row r="2671" spans="6:10" ht="15">
      <c r="F2671" s="15"/>
      <c r="H2671" s="15"/>
      <c r="J2671" s="15"/>
    </row>
    <row r="2672" spans="6:10" ht="15">
      <c r="F2672" s="15"/>
      <c r="H2672" s="15"/>
      <c r="J2672" s="15"/>
    </row>
    <row r="2673" spans="6:10" ht="15">
      <c r="F2673" s="15"/>
      <c r="H2673" s="15"/>
      <c r="J2673" s="15"/>
    </row>
    <row r="2674" spans="6:10" ht="15">
      <c r="F2674" s="15"/>
      <c r="H2674" s="15"/>
      <c r="J2674" s="15"/>
    </row>
    <row r="2675" spans="6:10" ht="15">
      <c r="F2675" s="15"/>
      <c r="H2675" s="15"/>
      <c r="J2675" s="15"/>
    </row>
    <row r="2676" spans="6:10" ht="15">
      <c r="F2676" s="15"/>
      <c r="H2676" s="15"/>
      <c r="J2676" s="15"/>
    </row>
    <row r="2677" spans="6:10" ht="15">
      <c r="F2677" s="15"/>
      <c r="H2677" s="15"/>
      <c r="J2677" s="15"/>
    </row>
    <row r="2678" spans="6:10" ht="15">
      <c r="F2678" s="15"/>
      <c r="H2678" s="15"/>
      <c r="J2678" s="15"/>
    </row>
    <row r="2679" spans="6:10" ht="15">
      <c r="F2679" s="15"/>
      <c r="H2679" s="15"/>
      <c r="J2679" s="15"/>
    </row>
    <row r="2680" spans="6:10" ht="15">
      <c r="F2680" s="15"/>
      <c r="H2680" s="15"/>
      <c r="J2680" s="15"/>
    </row>
    <row r="2681" spans="6:10" ht="15">
      <c r="F2681" s="15"/>
      <c r="H2681" s="15"/>
      <c r="J2681" s="15"/>
    </row>
    <row r="2682" spans="6:10" ht="15">
      <c r="F2682" s="15"/>
      <c r="H2682" s="15"/>
      <c r="J2682" s="15"/>
    </row>
    <row r="2683" spans="6:10" ht="15">
      <c r="F2683" s="15"/>
      <c r="H2683" s="15"/>
      <c r="J2683" s="15"/>
    </row>
    <row r="2684" spans="6:10" ht="15">
      <c r="F2684" s="15"/>
      <c r="H2684" s="15"/>
      <c r="J2684" s="15"/>
    </row>
    <row r="2685" spans="6:10" ht="15">
      <c r="F2685" s="15"/>
      <c r="H2685" s="15"/>
      <c r="J2685" s="15"/>
    </row>
    <row r="2686" spans="6:10" ht="15">
      <c r="F2686" s="15"/>
      <c r="H2686" s="15"/>
      <c r="J2686" s="15"/>
    </row>
    <row r="2687" spans="6:10" ht="15">
      <c r="F2687" s="15"/>
      <c r="H2687" s="15"/>
      <c r="J2687" s="15"/>
    </row>
    <row r="2688" spans="6:10" ht="15">
      <c r="F2688" s="15"/>
      <c r="H2688" s="15"/>
      <c r="J2688" s="15"/>
    </row>
    <row r="2689" spans="6:10" ht="15">
      <c r="F2689" s="15"/>
      <c r="H2689" s="15"/>
      <c r="J2689" s="15"/>
    </row>
    <row r="2690" spans="6:10" ht="15">
      <c r="F2690" s="15"/>
      <c r="H2690" s="15"/>
      <c r="J2690" s="15"/>
    </row>
    <row r="2691" spans="6:10" ht="15">
      <c r="F2691" s="15"/>
      <c r="H2691" s="15"/>
      <c r="J2691" s="15"/>
    </row>
    <row r="2692" spans="6:10" ht="15">
      <c r="F2692" s="15"/>
      <c r="H2692" s="15"/>
      <c r="J2692" s="15"/>
    </row>
    <row r="2693" spans="6:10" ht="15">
      <c r="F2693" s="15"/>
      <c r="H2693" s="15"/>
      <c r="J2693" s="15"/>
    </row>
    <row r="2694" spans="6:10" ht="15">
      <c r="F2694" s="15"/>
      <c r="H2694" s="15"/>
      <c r="J2694" s="15"/>
    </row>
    <row r="2695" spans="6:10" ht="15">
      <c r="F2695" s="15"/>
      <c r="H2695" s="15"/>
      <c r="J2695" s="15"/>
    </row>
    <row r="2696" spans="6:10" ht="15">
      <c r="F2696" s="15"/>
      <c r="H2696" s="15"/>
      <c r="J2696" s="15"/>
    </row>
    <row r="2697" spans="6:10" ht="15">
      <c r="F2697" s="15"/>
      <c r="H2697" s="15"/>
      <c r="J2697" s="15"/>
    </row>
    <row r="2698" spans="6:10" ht="15">
      <c r="F2698" s="15"/>
      <c r="H2698" s="15"/>
      <c r="J2698" s="15"/>
    </row>
    <row r="2699" spans="6:10" ht="15">
      <c r="F2699" s="15"/>
      <c r="H2699" s="15"/>
      <c r="J2699" s="15"/>
    </row>
    <row r="2700" spans="6:10" ht="15">
      <c r="F2700" s="15"/>
      <c r="H2700" s="15"/>
      <c r="J2700" s="15"/>
    </row>
    <row r="2701" spans="6:10" ht="15">
      <c r="F2701" s="15"/>
      <c r="H2701" s="15"/>
      <c r="J2701" s="15"/>
    </row>
    <row r="2702" spans="6:10" ht="15">
      <c r="F2702" s="15"/>
      <c r="H2702" s="15"/>
      <c r="J2702" s="15"/>
    </row>
    <row r="2703" spans="6:10" ht="15">
      <c r="F2703" s="15"/>
      <c r="H2703" s="15"/>
      <c r="J2703" s="15"/>
    </row>
    <row r="2704" spans="6:10" ht="15">
      <c r="F2704" s="15"/>
      <c r="H2704" s="15"/>
      <c r="J2704" s="15"/>
    </row>
    <row r="2705" spans="6:10" ht="15">
      <c r="F2705" s="15"/>
      <c r="H2705" s="15"/>
      <c r="J2705" s="15"/>
    </row>
    <row r="2706" spans="6:10" ht="15">
      <c r="F2706" s="15"/>
      <c r="H2706" s="15"/>
      <c r="J2706" s="15"/>
    </row>
    <row r="2707" spans="6:10" ht="15">
      <c r="F2707" s="15"/>
      <c r="H2707" s="15"/>
      <c r="J2707" s="15"/>
    </row>
    <row r="2708" spans="6:10" ht="15">
      <c r="F2708" s="15"/>
      <c r="H2708" s="15"/>
      <c r="J2708" s="15"/>
    </row>
    <row r="2709" spans="6:10" ht="15">
      <c r="F2709" s="15"/>
      <c r="H2709" s="15"/>
      <c r="J2709" s="15"/>
    </row>
    <row r="2710" spans="6:10" ht="15">
      <c r="F2710" s="15"/>
      <c r="H2710" s="15"/>
      <c r="J2710" s="15"/>
    </row>
    <row r="2711" spans="6:10" ht="15">
      <c r="F2711" s="15"/>
      <c r="H2711" s="15"/>
      <c r="J2711" s="15"/>
    </row>
    <row r="2712" spans="6:10" ht="15">
      <c r="F2712" s="15"/>
      <c r="H2712" s="15"/>
      <c r="J2712" s="15"/>
    </row>
    <row r="2713" spans="6:10" ht="15">
      <c r="F2713" s="15"/>
      <c r="H2713" s="15"/>
      <c r="J2713" s="15"/>
    </row>
    <row r="2714" spans="6:10" ht="15">
      <c r="F2714" s="15"/>
      <c r="H2714" s="15"/>
      <c r="J2714" s="15"/>
    </row>
    <row r="2715" spans="6:10" ht="15">
      <c r="F2715" s="15"/>
      <c r="H2715" s="15"/>
      <c r="J2715" s="15"/>
    </row>
    <row r="2716" spans="6:10" ht="15">
      <c r="F2716" s="15"/>
      <c r="H2716" s="15"/>
      <c r="J2716" s="15"/>
    </row>
    <row r="2717" spans="6:10" ht="15">
      <c r="F2717" s="15"/>
      <c r="H2717" s="15"/>
      <c r="J2717" s="15"/>
    </row>
    <row r="2718" spans="6:10" ht="15">
      <c r="F2718" s="15"/>
      <c r="H2718" s="15"/>
      <c r="J2718" s="15"/>
    </row>
    <row r="2719" spans="6:10" ht="15">
      <c r="F2719" s="15"/>
      <c r="H2719" s="15"/>
      <c r="J2719" s="15"/>
    </row>
    <row r="2720" spans="6:10" ht="15">
      <c r="F2720" s="15"/>
      <c r="H2720" s="15"/>
      <c r="J2720" s="15"/>
    </row>
    <row r="2721" spans="6:10" ht="15">
      <c r="F2721" s="15"/>
      <c r="H2721" s="15"/>
      <c r="J2721" s="15"/>
    </row>
    <row r="2722" spans="6:10" ht="15">
      <c r="F2722" s="15"/>
      <c r="H2722" s="15"/>
      <c r="J2722" s="15"/>
    </row>
    <row r="2723" spans="6:10" ht="15">
      <c r="F2723" s="15"/>
      <c r="H2723" s="15"/>
      <c r="J2723" s="15"/>
    </row>
    <row r="2724" spans="6:10" ht="15">
      <c r="F2724" s="15"/>
      <c r="H2724" s="15"/>
      <c r="J2724" s="15"/>
    </row>
    <row r="2725" spans="6:10" ht="15">
      <c r="F2725" s="15"/>
      <c r="H2725" s="15"/>
      <c r="J2725" s="15"/>
    </row>
    <row r="2726" spans="6:10" ht="15">
      <c r="F2726" s="15"/>
      <c r="H2726" s="15"/>
      <c r="J2726" s="15"/>
    </row>
    <row r="2727" spans="6:10" ht="15">
      <c r="F2727" s="15"/>
      <c r="H2727" s="15"/>
      <c r="J2727" s="15"/>
    </row>
    <row r="2728" spans="6:10" ht="15">
      <c r="F2728" s="15"/>
      <c r="H2728" s="15"/>
      <c r="J2728" s="15"/>
    </row>
    <row r="2729" spans="6:10" ht="15">
      <c r="F2729" s="15"/>
      <c r="H2729" s="15"/>
      <c r="J2729" s="15"/>
    </row>
    <row r="2730" spans="6:10" ht="15">
      <c r="F2730" s="15"/>
      <c r="H2730" s="15"/>
      <c r="J2730" s="15"/>
    </row>
    <row r="2731" spans="6:10" ht="15">
      <c r="F2731" s="15"/>
      <c r="H2731" s="15"/>
      <c r="J2731" s="15"/>
    </row>
    <row r="2732" spans="6:10" ht="15">
      <c r="F2732" s="15"/>
      <c r="H2732" s="15"/>
      <c r="J2732" s="15"/>
    </row>
    <row r="2733" spans="6:10" ht="15">
      <c r="F2733" s="15"/>
      <c r="H2733" s="15"/>
      <c r="J2733" s="15"/>
    </row>
    <row r="2734" spans="6:10" ht="15">
      <c r="F2734" s="15"/>
      <c r="H2734" s="15"/>
      <c r="J2734" s="15"/>
    </row>
    <row r="2735" spans="6:10" ht="15">
      <c r="F2735" s="15"/>
      <c r="H2735" s="15"/>
      <c r="J2735" s="15"/>
    </row>
    <row r="2736" spans="6:10" ht="15">
      <c r="F2736" s="15"/>
      <c r="H2736" s="15"/>
      <c r="J2736" s="15"/>
    </row>
    <row r="2737" spans="6:10" ht="15">
      <c r="F2737" s="15"/>
      <c r="H2737" s="15"/>
      <c r="J2737" s="15"/>
    </row>
    <row r="2738" spans="6:10" ht="15">
      <c r="F2738" s="15"/>
      <c r="H2738" s="15"/>
      <c r="J2738" s="15"/>
    </row>
    <row r="2739" spans="6:10" ht="15">
      <c r="F2739" s="15"/>
      <c r="H2739" s="15"/>
      <c r="J2739" s="15"/>
    </row>
    <row r="2740" spans="6:10" ht="15">
      <c r="F2740" s="15"/>
      <c r="H2740" s="15"/>
      <c r="J2740" s="15"/>
    </row>
    <row r="2741" spans="6:10" ht="15">
      <c r="F2741" s="15"/>
      <c r="H2741" s="15"/>
      <c r="J2741" s="15"/>
    </row>
    <row r="2742" spans="6:10" ht="15">
      <c r="F2742" s="15"/>
      <c r="H2742" s="15"/>
      <c r="J2742" s="15"/>
    </row>
    <row r="2743" spans="6:10" ht="15">
      <c r="F2743" s="15"/>
      <c r="H2743" s="15"/>
      <c r="J2743" s="15"/>
    </row>
    <row r="2744" spans="6:10" ht="15">
      <c r="F2744" s="15"/>
      <c r="H2744" s="15"/>
      <c r="J2744" s="15"/>
    </row>
    <row r="2745" spans="6:10" ht="15">
      <c r="F2745" s="15"/>
      <c r="H2745" s="15"/>
      <c r="J2745" s="15"/>
    </row>
    <row r="2746" spans="6:10" ht="15">
      <c r="F2746" s="15"/>
      <c r="H2746" s="15"/>
      <c r="J2746" s="15"/>
    </row>
    <row r="2747" spans="6:10" ht="15">
      <c r="F2747" s="15"/>
      <c r="H2747" s="15"/>
      <c r="J2747" s="15"/>
    </row>
    <row r="2748" spans="6:10" ht="15">
      <c r="F2748" s="15"/>
      <c r="H2748" s="15"/>
      <c r="J2748" s="15"/>
    </row>
    <row r="2749" spans="6:10" ht="15">
      <c r="F2749" s="15"/>
      <c r="H2749" s="15"/>
      <c r="J2749" s="15"/>
    </row>
    <row r="2750" spans="6:10" ht="15">
      <c r="F2750" s="15"/>
      <c r="H2750" s="15"/>
      <c r="J2750" s="15"/>
    </row>
    <row r="2751" spans="6:10" ht="15">
      <c r="F2751" s="15"/>
      <c r="H2751" s="15"/>
      <c r="J2751" s="15"/>
    </row>
    <row r="2752" spans="6:10" ht="15">
      <c r="F2752" s="15"/>
      <c r="H2752" s="15"/>
      <c r="J2752" s="15"/>
    </row>
    <row r="2753" spans="6:10" ht="15">
      <c r="F2753" s="15"/>
      <c r="H2753" s="15"/>
      <c r="J2753" s="15"/>
    </row>
    <row r="2754" spans="6:10" ht="15">
      <c r="F2754" s="15"/>
      <c r="H2754" s="15"/>
      <c r="J2754" s="15"/>
    </row>
    <row r="2755" spans="6:10" ht="15">
      <c r="F2755" s="15"/>
      <c r="H2755" s="15"/>
      <c r="J2755" s="15"/>
    </row>
    <row r="2756" spans="6:10" ht="15">
      <c r="F2756" s="15"/>
      <c r="H2756" s="15"/>
      <c r="J2756" s="15"/>
    </row>
    <row r="2757" spans="6:10" ht="15">
      <c r="F2757" s="15"/>
      <c r="H2757" s="15"/>
      <c r="J2757" s="15"/>
    </row>
    <row r="2758" spans="6:10" ht="15">
      <c r="F2758" s="15"/>
      <c r="H2758" s="15"/>
      <c r="J2758" s="15"/>
    </row>
    <row r="2759" spans="6:10" ht="15">
      <c r="F2759" s="15"/>
      <c r="H2759" s="15"/>
      <c r="J2759" s="15"/>
    </row>
    <row r="2760" spans="6:10" ht="15">
      <c r="F2760" s="15"/>
      <c r="H2760" s="15"/>
      <c r="J2760" s="15"/>
    </row>
    <row r="2761" spans="6:10" ht="15">
      <c r="F2761" s="15"/>
      <c r="H2761" s="15"/>
      <c r="J2761" s="15"/>
    </row>
    <row r="2762" spans="6:10" ht="15">
      <c r="F2762" s="15"/>
      <c r="H2762" s="15"/>
      <c r="J2762" s="15"/>
    </row>
    <row r="2763" spans="6:10" ht="15">
      <c r="F2763" s="15"/>
      <c r="H2763" s="15"/>
      <c r="J2763" s="15"/>
    </row>
    <row r="2764" spans="6:10" ht="15">
      <c r="F2764" s="15"/>
      <c r="H2764" s="15"/>
      <c r="J2764" s="15"/>
    </row>
    <row r="2765" spans="6:10" ht="15">
      <c r="F2765" s="15"/>
      <c r="H2765" s="15"/>
      <c r="J2765" s="15"/>
    </row>
    <row r="2766" spans="6:10" ht="15">
      <c r="F2766" s="15"/>
      <c r="H2766" s="15"/>
      <c r="J2766" s="15"/>
    </row>
    <row r="2767" spans="6:10" ht="15">
      <c r="F2767" s="15"/>
      <c r="H2767" s="15"/>
      <c r="J2767" s="15"/>
    </row>
    <row r="2768" spans="6:10" ht="15">
      <c r="F2768" s="15"/>
      <c r="H2768" s="15"/>
      <c r="J2768" s="15"/>
    </row>
    <row r="2769" spans="6:10" ht="15">
      <c r="F2769" s="15"/>
      <c r="H2769" s="15"/>
      <c r="J2769" s="15"/>
    </row>
    <row r="2770" spans="6:10" ht="15">
      <c r="F2770" s="15"/>
      <c r="H2770" s="15"/>
      <c r="J2770" s="15"/>
    </row>
    <row r="2771" spans="6:10" ht="15">
      <c r="F2771" s="15"/>
      <c r="H2771" s="15"/>
      <c r="J2771" s="15"/>
    </row>
    <row r="2772" spans="6:10" ht="15">
      <c r="F2772" s="15"/>
      <c r="H2772" s="15"/>
      <c r="J2772" s="15"/>
    </row>
    <row r="2773" spans="6:10" ht="15">
      <c r="F2773" s="15"/>
      <c r="H2773" s="15"/>
      <c r="J2773" s="15"/>
    </row>
    <row r="2774" spans="6:10" ht="15">
      <c r="F2774" s="15"/>
      <c r="H2774" s="15"/>
      <c r="J2774" s="15"/>
    </row>
    <row r="2775" spans="6:10" ht="15">
      <c r="F2775" s="15"/>
      <c r="H2775" s="15"/>
      <c r="J2775" s="15"/>
    </row>
    <row r="2776" spans="6:10" ht="15">
      <c r="F2776" s="15"/>
      <c r="H2776" s="15"/>
      <c r="J2776" s="15"/>
    </row>
    <row r="2777" spans="6:10" ht="15">
      <c r="F2777" s="15"/>
      <c r="H2777" s="15"/>
      <c r="J2777" s="15"/>
    </row>
    <row r="2778" spans="6:10" ht="15">
      <c r="F2778" s="15"/>
      <c r="H2778" s="15"/>
      <c r="J2778" s="15"/>
    </row>
    <row r="2779" spans="6:10" ht="15">
      <c r="F2779" s="15"/>
      <c r="H2779" s="15"/>
      <c r="J2779" s="15"/>
    </row>
    <row r="2780" spans="6:10" ht="15">
      <c r="F2780" s="15"/>
      <c r="H2780" s="15"/>
      <c r="J2780" s="15"/>
    </row>
    <row r="2781" spans="6:10" ht="15">
      <c r="F2781" s="15"/>
      <c r="H2781" s="15"/>
      <c r="J2781" s="15"/>
    </row>
    <row r="2782" spans="6:10" ht="15">
      <c r="F2782" s="15"/>
      <c r="H2782" s="15"/>
      <c r="J2782" s="15"/>
    </row>
    <row r="2783" spans="6:10" ht="15">
      <c r="F2783" s="15"/>
      <c r="H2783" s="15"/>
      <c r="J2783" s="15"/>
    </row>
    <row r="2784" spans="6:10" ht="15">
      <c r="F2784" s="15"/>
      <c r="H2784" s="15"/>
      <c r="J2784" s="15"/>
    </row>
    <row r="2785" spans="6:10" ht="15">
      <c r="F2785" s="15"/>
      <c r="H2785" s="15"/>
      <c r="J2785" s="15"/>
    </row>
    <row r="2786" spans="6:10" ht="15">
      <c r="F2786" s="15"/>
      <c r="H2786" s="15"/>
      <c r="J2786" s="15"/>
    </row>
    <row r="2787" spans="6:10" ht="15">
      <c r="F2787" s="15"/>
      <c r="H2787" s="15"/>
      <c r="J2787" s="15"/>
    </row>
    <row r="2788" spans="6:10" ht="15">
      <c r="F2788" s="15"/>
      <c r="H2788" s="15"/>
      <c r="J2788" s="15"/>
    </row>
    <row r="2789" spans="6:10" ht="15">
      <c r="F2789" s="15"/>
      <c r="H2789" s="15"/>
      <c r="J2789" s="15"/>
    </row>
    <row r="2790" spans="6:10" ht="15">
      <c r="F2790" s="15"/>
      <c r="H2790" s="15"/>
      <c r="J2790" s="15"/>
    </row>
    <row r="2791" spans="6:10" ht="15">
      <c r="F2791" s="15"/>
      <c r="H2791" s="15"/>
      <c r="J2791" s="15"/>
    </row>
    <row r="2792" spans="6:10" ht="15">
      <c r="F2792" s="15"/>
      <c r="H2792" s="15"/>
      <c r="J2792" s="15"/>
    </row>
    <row r="2793" spans="6:10" ht="15">
      <c r="F2793" s="15"/>
      <c r="H2793" s="15"/>
      <c r="J2793" s="15"/>
    </row>
    <row r="2794" spans="6:10" ht="15">
      <c r="F2794" s="15"/>
      <c r="H2794" s="15"/>
      <c r="J2794" s="15"/>
    </row>
    <row r="2795" spans="6:10" ht="15">
      <c r="F2795" s="15"/>
      <c r="H2795" s="15"/>
      <c r="J2795" s="15"/>
    </row>
    <row r="2796" spans="6:10" ht="15">
      <c r="F2796" s="15"/>
      <c r="H2796" s="15"/>
      <c r="J2796" s="15"/>
    </row>
    <row r="2797" spans="6:10" ht="15">
      <c r="F2797" s="15"/>
      <c r="H2797" s="15"/>
      <c r="J2797" s="15"/>
    </row>
    <row r="2798" spans="6:10" ht="15">
      <c r="F2798" s="15"/>
      <c r="H2798" s="15"/>
      <c r="J2798" s="15"/>
    </row>
    <row r="2799" spans="6:10" ht="15">
      <c r="F2799" s="15"/>
      <c r="H2799" s="15"/>
      <c r="J2799" s="15"/>
    </row>
    <row r="2800" spans="6:10" ht="15">
      <c r="F2800" s="15"/>
      <c r="H2800" s="15"/>
      <c r="J2800" s="15"/>
    </row>
    <row r="2801" spans="6:10" ht="15">
      <c r="F2801" s="15"/>
      <c r="H2801" s="15"/>
      <c r="J2801" s="15"/>
    </row>
    <row r="2802" spans="6:10" ht="15">
      <c r="F2802" s="15"/>
      <c r="H2802" s="15"/>
      <c r="J2802" s="15"/>
    </row>
    <row r="2803" spans="6:10" ht="15">
      <c r="F2803" s="15"/>
      <c r="H2803" s="15"/>
      <c r="J2803" s="15"/>
    </row>
    <row r="2804" spans="6:10" ht="15">
      <c r="F2804" s="15"/>
      <c r="H2804" s="15"/>
      <c r="J2804" s="15"/>
    </row>
    <row r="2805" spans="6:10" ht="15">
      <c r="F2805" s="15"/>
      <c r="H2805" s="15"/>
      <c r="J2805" s="15"/>
    </row>
    <row r="2806" spans="6:10" ht="15">
      <c r="F2806" s="15"/>
      <c r="H2806" s="15"/>
      <c r="J2806" s="15"/>
    </row>
    <row r="2807" spans="6:10" ht="15">
      <c r="F2807" s="15"/>
      <c r="H2807" s="15"/>
      <c r="J2807" s="15"/>
    </row>
    <row r="2808" spans="6:10" ht="15">
      <c r="F2808" s="15"/>
      <c r="H2808" s="15"/>
      <c r="J2808" s="15"/>
    </row>
    <row r="2809" spans="6:10" ht="15">
      <c r="F2809" s="15"/>
      <c r="H2809" s="15"/>
      <c r="J2809" s="15"/>
    </row>
    <row r="2810" spans="6:10" ht="15">
      <c r="F2810" s="15"/>
      <c r="H2810" s="15"/>
      <c r="J2810" s="15"/>
    </row>
    <row r="2811" spans="6:10" ht="15">
      <c r="F2811" s="15"/>
      <c r="H2811" s="15"/>
      <c r="J2811" s="15"/>
    </row>
    <row r="2812" spans="6:10" ht="15">
      <c r="F2812" s="15"/>
      <c r="H2812" s="15"/>
      <c r="J2812" s="15"/>
    </row>
    <row r="2813" spans="6:10" ht="15">
      <c r="F2813" s="15"/>
      <c r="H2813" s="15"/>
      <c r="J2813" s="15"/>
    </row>
    <row r="2814" spans="6:10" ht="15">
      <c r="F2814" s="15"/>
      <c r="H2814" s="15"/>
      <c r="J2814" s="15"/>
    </row>
    <row r="2815" spans="6:10" ht="15">
      <c r="F2815" s="15"/>
      <c r="H2815" s="15"/>
      <c r="J2815" s="15"/>
    </row>
    <row r="2816" spans="6:10" ht="15">
      <c r="F2816" s="15"/>
      <c r="H2816" s="15"/>
      <c r="J2816" s="15"/>
    </row>
    <row r="2817" spans="6:10" ht="15">
      <c r="F2817" s="15"/>
      <c r="H2817" s="15"/>
      <c r="J2817" s="15"/>
    </row>
    <row r="2818" spans="6:10" ht="15">
      <c r="F2818" s="15"/>
      <c r="H2818" s="15"/>
      <c r="J2818" s="15"/>
    </row>
    <row r="2819" spans="6:10" ht="15">
      <c r="F2819" s="15"/>
      <c r="H2819" s="15"/>
      <c r="J2819" s="15"/>
    </row>
    <row r="2820" spans="6:10" ht="15">
      <c r="F2820" s="15"/>
      <c r="H2820" s="15"/>
      <c r="J2820" s="15"/>
    </row>
    <row r="2821" spans="6:10" ht="15">
      <c r="F2821" s="15"/>
      <c r="H2821" s="15"/>
      <c r="J2821" s="15"/>
    </row>
    <row r="2822" spans="6:10" ht="15">
      <c r="F2822" s="15"/>
      <c r="H2822" s="15"/>
      <c r="J2822" s="15"/>
    </row>
    <row r="2823" spans="6:10" ht="15">
      <c r="F2823" s="15"/>
      <c r="H2823" s="15"/>
      <c r="J2823" s="15"/>
    </row>
    <row r="2824" spans="6:10" ht="15">
      <c r="F2824" s="15"/>
      <c r="H2824" s="15"/>
      <c r="J2824" s="15"/>
    </row>
    <row r="2825" spans="6:10" ht="15">
      <c r="F2825" s="15"/>
      <c r="H2825" s="15"/>
      <c r="J2825" s="15"/>
    </row>
    <row r="2826" spans="6:10" ht="15">
      <c r="F2826" s="15"/>
      <c r="H2826" s="15"/>
      <c r="J2826" s="15"/>
    </row>
    <row r="2827" spans="6:10" ht="15">
      <c r="F2827" s="15"/>
      <c r="H2827" s="15"/>
      <c r="J2827" s="15"/>
    </row>
    <row r="2828" spans="6:10" ht="15">
      <c r="F2828" s="15"/>
      <c r="H2828" s="15"/>
      <c r="J2828" s="15"/>
    </row>
    <row r="2829" spans="6:10" ht="15">
      <c r="F2829" s="15"/>
      <c r="H2829" s="15"/>
      <c r="J2829" s="15"/>
    </row>
    <row r="2830" spans="6:10" ht="15">
      <c r="F2830" s="15"/>
      <c r="H2830" s="15"/>
      <c r="J2830" s="15"/>
    </row>
    <row r="2831" spans="6:10" ht="15">
      <c r="F2831" s="15"/>
      <c r="H2831" s="15"/>
      <c r="J2831" s="15"/>
    </row>
    <row r="2832" spans="6:10" ht="15">
      <c r="F2832" s="15"/>
      <c r="H2832" s="15"/>
      <c r="J2832" s="15"/>
    </row>
    <row r="2833" spans="6:10" ht="15">
      <c r="F2833" s="15"/>
      <c r="H2833" s="15"/>
      <c r="J2833" s="15"/>
    </row>
    <row r="2834" spans="6:10" ht="15">
      <c r="F2834" s="15"/>
      <c r="H2834" s="15"/>
      <c r="J2834" s="15"/>
    </row>
    <row r="2835" spans="6:10" ht="15">
      <c r="F2835" s="15"/>
      <c r="H2835" s="15"/>
      <c r="J2835" s="15"/>
    </row>
    <row r="2836" spans="6:10" ht="15">
      <c r="F2836" s="15"/>
      <c r="H2836" s="15"/>
      <c r="J2836" s="15"/>
    </row>
    <row r="2837" spans="6:10" ht="15">
      <c r="F2837" s="15"/>
      <c r="H2837" s="15"/>
      <c r="J2837" s="15"/>
    </row>
    <row r="2838" spans="6:10" ht="15">
      <c r="F2838" s="15"/>
      <c r="H2838" s="15"/>
      <c r="J2838" s="15"/>
    </row>
    <row r="2839" spans="6:10" ht="15">
      <c r="F2839" s="15"/>
      <c r="H2839" s="15"/>
      <c r="J2839" s="15"/>
    </row>
    <row r="2840" spans="6:10" ht="15">
      <c r="F2840" s="15"/>
      <c r="H2840" s="15"/>
      <c r="J2840" s="15"/>
    </row>
    <row r="2841" spans="6:10" ht="15">
      <c r="F2841" s="15"/>
      <c r="H2841" s="15"/>
      <c r="J2841" s="15"/>
    </row>
    <row r="2842" spans="6:10" ht="15">
      <c r="F2842" s="15"/>
      <c r="H2842" s="15"/>
      <c r="J2842" s="15"/>
    </row>
    <row r="2843" spans="6:10" ht="15">
      <c r="F2843" s="15"/>
      <c r="H2843" s="15"/>
      <c r="J2843" s="15"/>
    </row>
    <row r="2844" spans="6:10" ht="15">
      <c r="F2844" s="15"/>
      <c r="H2844" s="15"/>
      <c r="J2844" s="15"/>
    </row>
    <row r="2845" spans="6:10" ht="15">
      <c r="F2845" s="15"/>
      <c r="H2845" s="15"/>
      <c r="J2845" s="15"/>
    </row>
    <row r="2846" spans="6:10" ht="15">
      <c r="F2846" s="15"/>
      <c r="H2846" s="15"/>
      <c r="J2846" s="15"/>
    </row>
    <row r="2847" spans="6:10" ht="15">
      <c r="F2847" s="15"/>
      <c r="H2847" s="15"/>
      <c r="J2847" s="15"/>
    </row>
    <row r="2848" spans="6:10" ht="15">
      <c r="F2848" s="15"/>
      <c r="H2848" s="15"/>
      <c r="J2848" s="15"/>
    </row>
    <row r="2849" spans="6:10" ht="15">
      <c r="F2849" s="15"/>
      <c r="H2849" s="15"/>
      <c r="J2849" s="15"/>
    </row>
    <row r="2850" spans="6:10" ht="15">
      <c r="F2850" s="15"/>
      <c r="H2850" s="15"/>
      <c r="J2850" s="15"/>
    </row>
    <row r="2851" spans="6:10" ht="15">
      <c r="F2851" s="15"/>
      <c r="H2851" s="15"/>
      <c r="J2851" s="15"/>
    </row>
    <row r="2852" spans="6:10" ht="15">
      <c r="F2852" s="15"/>
      <c r="H2852" s="15"/>
      <c r="J2852" s="15"/>
    </row>
    <row r="2853" spans="6:10" ht="15">
      <c r="F2853" s="15"/>
      <c r="H2853" s="15"/>
      <c r="J2853" s="15"/>
    </row>
    <row r="2854" spans="6:10" ht="15">
      <c r="F2854" s="15"/>
      <c r="H2854" s="15"/>
      <c r="J2854" s="15"/>
    </row>
    <row r="2855" spans="6:10" ht="15">
      <c r="F2855" s="15"/>
      <c r="H2855" s="15"/>
      <c r="J2855" s="15"/>
    </row>
    <row r="2856" spans="6:10" ht="15">
      <c r="F2856" s="15"/>
      <c r="H2856" s="15"/>
      <c r="J2856" s="15"/>
    </row>
    <row r="2857" spans="6:10" ht="15">
      <c r="F2857" s="15"/>
      <c r="H2857" s="15"/>
      <c r="J2857" s="15"/>
    </row>
    <row r="2858" spans="6:10" ht="15">
      <c r="F2858" s="15"/>
      <c r="H2858" s="15"/>
      <c r="J2858" s="15"/>
    </row>
    <row r="2859" spans="6:10" ht="15">
      <c r="F2859" s="15"/>
      <c r="H2859" s="15"/>
      <c r="J2859" s="15"/>
    </row>
    <row r="2860" spans="6:10" ht="15">
      <c r="F2860" s="15"/>
      <c r="H2860" s="15"/>
      <c r="J2860" s="15"/>
    </row>
    <row r="2861" spans="6:10" ht="15">
      <c r="F2861" s="15"/>
      <c r="H2861" s="15"/>
      <c r="J2861" s="15"/>
    </row>
    <row r="2862" spans="6:10" ht="15">
      <c r="F2862" s="15"/>
      <c r="H2862" s="15"/>
      <c r="J2862" s="15"/>
    </row>
    <row r="2863" spans="6:10" ht="15">
      <c r="F2863" s="15"/>
      <c r="H2863" s="15"/>
      <c r="J2863" s="15"/>
    </row>
    <row r="2864" spans="6:10" ht="15">
      <c r="F2864" s="15"/>
      <c r="H2864" s="15"/>
      <c r="J2864" s="15"/>
    </row>
    <row r="2865" spans="6:10" ht="15">
      <c r="F2865" s="15"/>
      <c r="H2865" s="15"/>
      <c r="J2865" s="15"/>
    </row>
    <row r="2866" spans="6:10" ht="15">
      <c r="F2866" s="15"/>
      <c r="H2866" s="15"/>
      <c r="J2866" s="15"/>
    </row>
    <row r="2867" spans="6:10" ht="15">
      <c r="F2867" s="15"/>
      <c r="H2867" s="15"/>
      <c r="J2867" s="15"/>
    </row>
    <row r="2868" spans="6:10" ht="15">
      <c r="F2868" s="15"/>
      <c r="H2868" s="15"/>
      <c r="J2868" s="15"/>
    </row>
    <row r="2869" spans="6:10" ht="15">
      <c r="F2869" s="15"/>
      <c r="H2869" s="15"/>
      <c r="J2869" s="15"/>
    </row>
    <row r="2870" spans="6:10" ht="15">
      <c r="F2870" s="15"/>
      <c r="H2870" s="15"/>
      <c r="J2870" s="15"/>
    </row>
    <row r="2871" spans="6:10" ht="15">
      <c r="F2871" s="15"/>
      <c r="H2871" s="15"/>
      <c r="J2871" s="15"/>
    </row>
    <row r="2872" spans="6:10" ht="15">
      <c r="F2872" s="15"/>
      <c r="H2872" s="15"/>
      <c r="J2872" s="15"/>
    </row>
    <row r="2873" spans="6:10" ht="15">
      <c r="F2873" s="15"/>
      <c r="H2873" s="15"/>
      <c r="J2873" s="15"/>
    </row>
    <row r="2874" spans="6:10" ht="15">
      <c r="F2874" s="15"/>
      <c r="H2874" s="15"/>
      <c r="J2874" s="15"/>
    </row>
    <row r="2875" spans="6:10" ht="15">
      <c r="F2875" s="15"/>
      <c r="H2875" s="15"/>
      <c r="J2875" s="15"/>
    </row>
    <row r="2876" spans="6:10" ht="15">
      <c r="F2876" s="15"/>
      <c r="H2876" s="15"/>
      <c r="J2876" s="15"/>
    </row>
    <row r="2877" spans="6:10" ht="15">
      <c r="F2877" s="15"/>
      <c r="H2877" s="15"/>
      <c r="J2877" s="15"/>
    </row>
    <row r="2878" spans="6:10" ht="15">
      <c r="F2878" s="15"/>
      <c r="H2878" s="15"/>
      <c r="J2878" s="15"/>
    </row>
    <row r="2879" spans="6:10" ht="15">
      <c r="F2879" s="15"/>
      <c r="H2879" s="15"/>
      <c r="J2879" s="15"/>
    </row>
    <row r="2880" spans="6:10" ht="15">
      <c r="F2880" s="15"/>
      <c r="H2880" s="15"/>
      <c r="J2880" s="15"/>
    </row>
    <row r="2881" spans="6:10" ht="15">
      <c r="F2881" s="15"/>
      <c r="H2881" s="15"/>
      <c r="J2881" s="15"/>
    </row>
    <row r="2882" spans="6:10" ht="15">
      <c r="F2882" s="15"/>
      <c r="H2882" s="15"/>
      <c r="J2882" s="15"/>
    </row>
    <row r="2883" spans="6:10" ht="15">
      <c r="F2883" s="15"/>
      <c r="H2883" s="15"/>
      <c r="J2883" s="15"/>
    </row>
    <row r="2884" spans="6:10" ht="15">
      <c r="F2884" s="15"/>
      <c r="H2884" s="15"/>
      <c r="J2884" s="15"/>
    </row>
    <row r="2885" spans="6:10" ht="15">
      <c r="F2885" s="15"/>
      <c r="H2885" s="15"/>
      <c r="J2885" s="15"/>
    </row>
    <row r="2886" spans="6:10" ht="15">
      <c r="F2886" s="15"/>
      <c r="H2886" s="15"/>
      <c r="J2886" s="15"/>
    </row>
    <row r="2887" spans="6:10" ht="15">
      <c r="F2887" s="15"/>
      <c r="H2887" s="15"/>
      <c r="J2887" s="15"/>
    </row>
    <row r="2888" spans="6:10" ht="15">
      <c r="F2888" s="15"/>
      <c r="H2888" s="15"/>
      <c r="J2888" s="15"/>
    </row>
    <row r="2889" spans="6:10" ht="15">
      <c r="F2889" s="15"/>
      <c r="H2889" s="15"/>
      <c r="J2889" s="15"/>
    </row>
    <row r="2890" spans="6:10" ht="15">
      <c r="F2890" s="15"/>
      <c r="H2890" s="15"/>
      <c r="J2890" s="15"/>
    </row>
    <row r="2891" spans="6:10" ht="15">
      <c r="F2891" s="15"/>
      <c r="H2891" s="15"/>
      <c r="J2891" s="15"/>
    </row>
    <row r="2892" spans="6:10" ht="15">
      <c r="F2892" s="15"/>
      <c r="H2892" s="15"/>
      <c r="J2892" s="15"/>
    </row>
    <row r="2893" spans="6:10" ht="15">
      <c r="F2893" s="15"/>
      <c r="H2893" s="15"/>
      <c r="J2893" s="15"/>
    </row>
    <row r="2894" spans="6:10" ht="15">
      <c r="F2894" s="15"/>
      <c r="H2894" s="15"/>
      <c r="J2894" s="15"/>
    </row>
    <row r="2895" spans="6:10" ht="15">
      <c r="F2895" s="15"/>
      <c r="H2895" s="15"/>
      <c r="J2895" s="15"/>
    </row>
    <row r="2896" spans="6:10" ht="15">
      <c r="F2896" s="15"/>
      <c r="H2896" s="15"/>
      <c r="J2896" s="15"/>
    </row>
    <row r="2897" spans="6:10" ht="15">
      <c r="F2897" s="15"/>
      <c r="H2897" s="15"/>
      <c r="J2897" s="15"/>
    </row>
    <row r="2898" spans="6:10" ht="15">
      <c r="F2898" s="15"/>
      <c r="H2898" s="15"/>
      <c r="J2898" s="15"/>
    </row>
    <row r="2899" spans="6:10" ht="15">
      <c r="F2899" s="15"/>
      <c r="H2899" s="15"/>
      <c r="J2899" s="15"/>
    </row>
    <row r="2900" spans="6:10" ht="15">
      <c r="F2900" s="15"/>
      <c r="H2900" s="15"/>
      <c r="J2900" s="15"/>
    </row>
    <row r="2901" spans="6:10" ht="15">
      <c r="F2901" s="15"/>
      <c r="H2901" s="15"/>
      <c r="J2901" s="15"/>
    </row>
    <row r="2902" spans="6:10" ht="15">
      <c r="F2902" s="15"/>
      <c r="H2902" s="15"/>
      <c r="J2902" s="15"/>
    </row>
    <row r="2903" spans="6:10" ht="15">
      <c r="F2903" s="15"/>
      <c r="H2903" s="15"/>
      <c r="J2903" s="15"/>
    </row>
    <row r="2904" spans="6:10" ht="15">
      <c r="F2904" s="15"/>
      <c r="H2904" s="15"/>
      <c r="J2904" s="15"/>
    </row>
    <row r="2905" spans="6:10" ht="15">
      <c r="F2905" s="15"/>
      <c r="H2905" s="15"/>
      <c r="J2905" s="15"/>
    </row>
    <row r="2906" spans="6:10" ht="15">
      <c r="F2906" s="15"/>
      <c r="H2906" s="15"/>
      <c r="J2906" s="15"/>
    </row>
    <row r="2907" spans="6:10" ht="15">
      <c r="F2907" s="15"/>
      <c r="H2907" s="15"/>
      <c r="J2907" s="15"/>
    </row>
    <row r="2908" spans="6:10" ht="15">
      <c r="F2908" s="15"/>
      <c r="H2908" s="15"/>
      <c r="J2908" s="15"/>
    </row>
    <row r="2909" spans="6:10" ht="15">
      <c r="F2909" s="15"/>
      <c r="H2909" s="15"/>
      <c r="J2909" s="15"/>
    </row>
    <row r="2910" spans="6:10" ht="15">
      <c r="F2910" s="15"/>
      <c r="H2910" s="15"/>
      <c r="J2910" s="15"/>
    </row>
    <row r="2911" spans="6:10" ht="15">
      <c r="F2911" s="15"/>
      <c r="H2911" s="15"/>
      <c r="J2911" s="15"/>
    </row>
    <row r="2912" spans="6:10" ht="15">
      <c r="F2912" s="15"/>
      <c r="H2912" s="15"/>
      <c r="J2912" s="15"/>
    </row>
    <row r="2913" spans="6:10" ht="15">
      <c r="F2913" s="15"/>
      <c r="H2913" s="15"/>
      <c r="J2913" s="15"/>
    </row>
    <row r="2914" spans="6:10" ht="15">
      <c r="F2914" s="15"/>
      <c r="H2914" s="15"/>
      <c r="J2914" s="15"/>
    </row>
    <row r="2915" spans="6:10" ht="15">
      <c r="F2915" s="15"/>
      <c r="H2915" s="15"/>
      <c r="J2915" s="15"/>
    </row>
    <row r="2916" spans="6:10" ht="15">
      <c r="F2916" s="15"/>
      <c r="H2916" s="15"/>
      <c r="J2916" s="15"/>
    </row>
    <row r="2917" spans="6:10" ht="15">
      <c r="F2917" s="15"/>
      <c r="H2917" s="15"/>
      <c r="J2917" s="15"/>
    </row>
    <row r="2918" spans="6:10" ht="15">
      <c r="F2918" s="15"/>
      <c r="H2918" s="15"/>
      <c r="J2918" s="15"/>
    </row>
    <row r="2919" spans="6:10" ht="15">
      <c r="F2919" s="15"/>
      <c r="H2919" s="15"/>
      <c r="J2919" s="15"/>
    </row>
    <row r="2920" spans="6:10" ht="15">
      <c r="F2920" s="15"/>
      <c r="H2920" s="15"/>
      <c r="J2920" s="15"/>
    </row>
    <row r="2921" spans="6:10" ht="15">
      <c r="F2921" s="15"/>
      <c r="H2921" s="15"/>
      <c r="J2921" s="15"/>
    </row>
    <row r="2922" spans="6:10" ht="15">
      <c r="F2922" s="15"/>
      <c r="H2922" s="15"/>
      <c r="J2922" s="15"/>
    </row>
    <row r="2923" spans="6:10" ht="15">
      <c r="F2923" s="15"/>
      <c r="H2923" s="15"/>
      <c r="J2923" s="15"/>
    </row>
    <row r="2924" spans="6:10" ht="15">
      <c r="F2924" s="15"/>
      <c r="H2924" s="15"/>
      <c r="J2924" s="15"/>
    </row>
    <row r="2925" spans="6:10" ht="15">
      <c r="F2925" s="15"/>
      <c r="H2925" s="15"/>
      <c r="J2925" s="15"/>
    </row>
    <row r="2926" spans="6:10" ht="15">
      <c r="F2926" s="15"/>
      <c r="H2926" s="15"/>
      <c r="J2926" s="15"/>
    </row>
    <row r="2927" spans="6:10" ht="15">
      <c r="F2927" s="15"/>
      <c r="H2927" s="15"/>
      <c r="J2927" s="15"/>
    </row>
    <row r="2928" spans="6:10" ht="15">
      <c r="F2928" s="15"/>
      <c r="H2928" s="15"/>
      <c r="J2928" s="15"/>
    </row>
    <row r="2929" spans="6:10" ht="15">
      <c r="F2929" s="15"/>
      <c r="H2929" s="15"/>
      <c r="J2929" s="15"/>
    </row>
    <row r="2930" spans="6:10" ht="15">
      <c r="F2930" s="15"/>
      <c r="H2930" s="15"/>
      <c r="J2930" s="15"/>
    </row>
    <row r="2931" spans="6:10" ht="15">
      <c r="F2931" s="15"/>
      <c r="H2931" s="15"/>
      <c r="J2931" s="15"/>
    </row>
    <row r="2932" spans="6:10" ht="15">
      <c r="F2932" s="15"/>
      <c r="H2932" s="15"/>
      <c r="J2932" s="15"/>
    </row>
    <row r="2933" spans="6:10" ht="15">
      <c r="F2933" s="15"/>
      <c r="H2933" s="15"/>
      <c r="J2933" s="15"/>
    </row>
    <row r="2934" spans="6:10" ht="15">
      <c r="F2934" s="15"/>
      <c r="H2934" s="15"/>
      <c r="J2934" s="15"/>
    </row>
    <row r="2935" spans="6:10" ht="15">
      <c r="F2935" s="15"/>
      <c r="H2935" s="15"/>
      <c r="J2935" s="15"/>
    </row>
    <row r="2936" spans="6:10" ht="15">
      <c r="F2936" s="15"/>
      <c r="H2936" s="15"/>
      <c r="J2936" s="15"/>
    </row>
    <row r="2937" spans="6:10" ht="15">
      <c r="F2937" s="15"/>
      <c r="H2937" s="15"/>
      <c r="J2937" s="15"/>
    </row>
    <row r="2938" spans="6:10" ht="15">
      <c r="F2938" s="15"/>
      <c r="H2938" s="15"/>
      <c r="J2938" s="15"/>
    </row>
    <row r="2939" spans="6:10" ht="15">
      <c r="F2939" s="15"/>
      <c r="H2939" s="15"/>
      <c r="J2939" s="15"/>
    </row>
    <row r="2940" spans="6:10" ht="15">
      <c r="F2940" s="15"/>
      <c r="H2940" s="15"/>
      <c r="J2940" s="15"/>
    </row>
    <row r="2941" spans="6:10" ht="15">
      <c r="F2941" s="15"/>
      <c r="H2941" s="15"/>
      <c r="J2941" s="15"/>
    </row>
    <row r="2942" spans="6:10" ht="15">
      <c r="F2942" s="15"/>
      <c r="H2942" s="15"/>
      <c r="J2942" s="15"/>
    </row>
    <row r="2943" spans="6:10" ht="15">
      <c r="F2943" s="15"/>
      <c r="H2943" s="15"/>
      <c r="J2943" s="15"/>
    </row>
    <row r="2944" spans="6:10" ht="15">
      <c r="F2944" s="15"/>
      <c r="H2944" s="15"/>
      <c r="J2944" s="15"/>
    </row>
    <row r="2945" spans="6:10" ht="15">
      <c r="F2945" s="15"/>
      <c r="H2945" s="15"/>
      <c r="J2945" s="15"/>
    </row>
    <row r="2946" spans="6:10" ht="15">
      <c r="F2946" s="15"/>
      <c r="H2946" s="15"/>
      <c r="J2946" s="15"/>
    </row>
    <row r="2947" spans="6:10" ht="15">
      <c r="F2947" s="15"/>
      <c r="H2947" s="15"/>
      <c r="J2947" s="15"/>
    </row>
    <row r="2948" spans="6:10" ht="15">
      <c r="F2948" s="15"/>
      <c r="H2948" s="15"/>
      <c r="J2948" s="15"/>
    </row>
    <row r="2949" spans="6:10" ht="15">
      <c r="F2949" s="15"/>
      <c r="H2949" s="15"/>
      <c r="J2949" s="15"/>
    </row>
    <row r="2950" spans="6:10" ht="15">
      <c r="F2950" s="15"/>
      <c r="H2950" s="15"/>
      <c r="J2950" s="15"/>
    </row>
    <row r="2951" spans="6:10" ht="15">
      <c r="F2951" s="15"/>
      <c r="H2951" s="15"/>
      <c r="J2951" s="15"/>
    </row>
    <row r="2952" spans="6:10" ht="15">
      <c r="F2952" s="15"/>
      <c r="H2952" s="15"/>
      <c r="J2952" s="15"/>
    </row>
    <row r="2953" spans="6:10" ht="15">
      <c r="F2953" s="15"/>
      <c r="H2953" s="15"/>
      <c r="J2953" s="15"/>
    </row>
    <row r="2954" spans="6:10" ht="15">
      <c r="F2954" s="15"/>
      <c r="H2954" s="15"/>
      <c r="J2954" s="15"/>
    </row>
    <row r="2955" spans="6:10" ht="15">
      <c r="F2955" s="15"/>
      <c r="H2955" s="15"/>
      <c r="J2955" s="15"/>
    </row>
    <row r="2956" spans="6:10" ht="15">
      <c r="F2956" s="15"/>
      <c r="H2956" s="15"/>
      <c r="J2956" s="15"/>
    </row>
    <row r="2957" spans="6:10" ht="15">
      <c r="F2957" s="15"/>
      <c r="H2957" s="15"/>
      <c r="J2957" s="15"/>
    </row>
    <row r="2958" spans="6:10" ht="15">
      <c r="F2958" s="15"/>
      <c r="H2958" s="15"/>
      <c r="J2958" s="15"/>
    </row>
    <row r="2959" spans="6:10" ht="15">
      <c r="F2959" s="15"/>
      <c r="H2959" s="15"/>
      <c r="J2959" s="15"/>
    </row>
    <row r="2960" spans="6:10" ht="15">
      <c r="F2960" s="15"/>
      <c r="H2960" s="15"/>
      <c r="J2960" s="15"/>
    </row>
    <row r="2961" spans="6:10" ht="15">
      <c r="F2961" s="15"/>
      <c r="H2961" s="15"/>
      <c r="J2961" s="15"/>
    </row>
    <row r="2962" spans="6:10" ht="15">
      <c r="F2962" s="15"/>
      <c r="H2962" s="15"/>
      <c r="J2962" s="15"/>
    </row>
    <row r="2963" spans="6:10" ht="15">
      <c r="F2963" s="15"/>
      <c r="H2963" s="15"/>
      <c r="J2963" s="15"/>
    </row>
    <row r="2964" spans="6:10" ht="15">
      <c r="F2964" s="15"/>
      <c r="H2964" s="15"/>
      <c r="J2964" s="15"/>
    </row>
    <row r="2965" spans="6:10" ht="15">
      <c r="F2965" s="15"/>
      <c r="H2965" s="15"/>
      <c r="J2965" s="15"/>
    </row>
    <row r="2966" spans="6:10" ht="15">
      <c r="F2966" s="15"/>
      <c r="H2966" s="15"/>
      <c r="J2966" s="15"/>
    </row>
    <row r="2967" spans="6:10" ht="15">
      <c r="F2967" s="15"/>
      <c r="H2967" s="15"/>
      <c r="J2967" s="15"/>
    </row>
    <row r="2968" spans="6:10" ht="15">
      <c r="F2968" s="15"/>
      <c r="H2968" s="15"/>
      <c r="J2968" s="15"/>
    </row>
    <row r="2969" spans="6:10" ht="15">
      <c r="F2969" s="15"/>
      <c r="H2969" s="15"/>
      <c r="J2969" s="15"/>
    </row>
    <row r="2970" spans="6:10" ht="15">
      <c r="F2970" s="15"/>
      <c r="H2970" s="15"/>
      <c r="J2970" s="15"/>
    </row>
    <row r="2971" spans="6:10" ht="15">
      <c r="F2971" s="15"/>
      <c r="H2971" s="15"/>
      <c r="J2971" s="15"/>
    </row>
    <row r="2972" spans="6:10" ht="15">
      <c r="F2972" s="15"/>
      <c r="H2972" s="15"/>
      <c r="J2972" s="15"/>
    </row>
    <row r="2973" spans="6:10" ht="15">
      <c r="F2973" s="15"/>
      <c r="H2973" s="15"/>
      <c r="J2973" s="15"/>
    </row>
    <row r="2974" spans="6:10" ht="15">
      <c r="F2974" s="15"/>
      <c r="H2974" s="15"/>
      <c r="J2974" s="15"/>
    </row>
    <row r="2975" spans="6:10" ht="15">
      <c r="F2975" s="15"/>
      <c r="H2975" s="15"/>
      <c r="J2975" s="15"/>
    </row>
    <row r="2976" spans="6:10" ht="15">
      <c r="F2976" s="15"/>
      <c r="H2976" s="15"/>
      <c r="J2976" s="15"/>
    </row>
    <row r="2977" spans="6:10" ht="15">
      <c r="F2977" s="15"/>
      <c r="H2977" s="15"/>
      <c r="J2977" s="15"/>
    </row>
    <row r="2978" spans="6:10" ht="15">
      <c r="F2978" s="15"/>
      <c r="H2978" s="15"/>
      <c r="J2978" s="15"/>
    </row>
    <row r="2979" spans="6:10" ht="15">
      <c r="F2979" s="15"/>
      <c r="H2979" s="15"/>
      <c r="J2979" s="15"/>
    </row>
    <row r="2980" spans="6:10" ht="15">
      <c r="F2980" s="15"/>
      <c r="H2980" s="15"/>
      <c r="J2980" s="15"/>
    </row>
    <row r="2981" spans="6:10" ht="15">
      <c r="F2981" s="15"/>
      <c r="H2981" s="15"/>
      <c r="J2981" s="15"/>
    </row>
    <row r="2982" spans="6:10" ht="15">
      <c r="F2982" s="15"/>
      <c r="H2982" s="15"/>
      <c r="J2982" s="15"/>
    </row>
    <row r="2983" spans="6:10" ht="15">
      <c r="F2983" s="15"/>
      <c r="H2983" s="15"/>
      <c r="J2983" s="15"/>
    </row>
    <row r="2984" spans="6:10" ht="15">
      <c r="F2984" s="15"/>
      <c r="H2984" s="15"/>
      <c r="J2984" s="15"/>
    </row>
    <row r="2985" spans="6:10" ht="15">
      <c r="F2985" s="15"/>
      <c r="H2985" s="15"/>
      <c r="J2985" s="15"/>
    </row>
    <row r="2986" spans="6:10" ht="15">
      <c r="F2986" s="15"/>
      <c r="H2986" s="15"/>
      <c r="J2986" s="15"/>
    </row>
    <row r="2987" spans="6:10" ht="15">
      <c r="F2987" s="15"/>
      <c r="H2987" s="15"/>
      <c r="J2987" s="15"/>
    </row>
    <row r="2988" spans="6:10" ht="15">
      <c r="F2988" s="15"/>
      <c r="H2988" s="15"/>
      <c r="J2988" s="15"/>
    </row>
    <row r="2989" spans="6:10" ht="15">
      <c r="F2989" s="15"/>
      <c r="H2989" s="15"/>
      <c r="J2989" s="15"/>
    </row>
    <row r="2990" spans="6:10" ht="15">
      <c r="F2990" s="15"/>
      <c r="H2990" s="15"/>
      <c r="J2990" s="15"/>
    </row>
    <row r="2991" spans="6:10" ht="15">
      <c r="F2991" s="15"/>
      <c r="H2991" s="15"/>
      <c r="J2991" s="15"/>
    </row>
    <row r="2992" spans="6:10" ht="15">
      <c r="F2992" s="15"/>
      <c r="H2992" s="15"/>
      <c r="J2992" s="15"/>
    </row>
    <row r="2993" spans="6:10" ht="15">
      <c r="F2993" s="15"/>
      <c r="H2993" s="15"/>
      <c r="J2993" s="15"/>
    </row>
    <row r="2994" spans="6:10" ht="15">
      <c r="F2994" s="15"/>
      <c r="H2994" s="15"/>
      <c r="J2994" s="15"/>
    </row>
    <row r="2995" spans="6:10" ht="15">
      <c r="F2995" s="15"/>
      <c r="H2995" s="15"/>
      <c r="J2995" s="15"/>
    </row>
    <row r="2996" spans="6:10" ht="15">
      <c r="F2996" s="15"/>
      <c r="H2996" s="15"/>
      <c r="J2996" s="15"/>
    </row>
    <row r="2997" spans="6:10" ht="15">
      <c r="F2997" s="15"/>
      <c r="H2997" s="15"/>
      <c r="J2997" s="15"/>
    </row>
    <row r="2998" spans="6:10" ht="15">
      <c r="F2998" s="15"/>
      <c r="H2998" s="15"/>
      <c r="J2998" s="15"/>
    </row>
    <row r="2999" spans="6:10" ht="15">
      <c r="F2999" s="15"/>
      <c r="H2999" s="15"/>
      <c r="J2999" s="15"/>
    </row>
    <row r="3000" spans="6:10" ht="15">
      <c r="F3000" s="15"/>
      <c r="H3000" s="15"/>
      <c r="J3000" s="15"/>
    </row>
    <row r="3001" spans="6:10" ht="15">
      <c r="F3001" s="15"/>
      <c r="H3001" s="15"/>
      <c r="J3001" s="15"/>
    </row>
    <row r="3002" spans="6:10" ht="15">
      <c r="F3002" s="15"/>
      <c r="H3002" s="15"/>
      <c r="J3002" s="15"/>
    </row>
    <row r="3003" spans="6:10" ht="15">
      <c r="F3003" s="15"/>
      <c r="H3003" s="15"/>
      <c r="J3003" s="15"/>
    </row>
    <row r="3004" spans="6:10" ht="15">
      <c r="F3004" s="15"/>
      <c r="H3004" s="15"/>
      <c r="J3004" s="15"/>
    </row>
    <row r="3005" spans="6:10" ht="15">
      <c r="F3005" s="15"/>
      <c r="H3005" s="15"/>
      <c r="J3005" s="15"/>
    </row>
    <row r="3006" spans="6:10" ht="15">
      <c r="F3006" s="15"/>
      <c r="H3006" s="15"/>
      <c r="J3006" s="15"/>
    </row>
    <row r="3007" spans="6:10" ht="15">
      <c r="F3007" s="15"/>
      <c r="H3007" s="15"/>
      <c r="J3007" s="15"/>
    </row>
    <row r="3008" spans="6:10" ht="15">
      <c r="F3008" s="15"/>
      <c r="H3008" s="15"/>
      <c r="J3008" s="15"/>
    </row>
    <row r="3009" spans="6:10" ht="15">
      <c r="F3009" s="15"/>
      <c r="H3009" s="15"/>
      <c r="J3009" s="15"/>
    </row>
    <row r="3010" spans="6:10" ht="15">
      <c r="F3010" s="15"/>
      <c r="H3010" s="15"/>
      <c r="J3010" s="15"/>
    </row>
    <row r="3011" spans="6:10" ht="15">
      <c r="F3011" s="15"/>
      <c r="H3011" s="15"/>
      <c r="J3011" s="15"/>
    </row>
    <row r="3012" spans="6:10" ht="15">
      <c r="F3012" s="15"/>
      <c r="H3012" s="15"/>
      <c r="J3012" s="15"/>
    </row>
    <row r="3013" spans="6:10" ht="15">
      <c r="F3013" s="15"/>
      <c r="H3013" s="15"/>
      <c r="J3013" s="15"/>
    </row>
    <row r="3014" spans="6:10" ht="15">
      <c r="F3014" s="15"/>
      <c r="H3014" s="15"/>
      <c r="J3014" s="15"/>
    </row>
    <row r="3015" spans="6:10" ht="15">
      <c r="F3015" s="15"/>
      <c r="H3015" s="15"/>
      <c r="J3015" s="15"/>
    </row>
    <row r="3016" spans="6:10" ht="15">
      <c r="F3016" s="15"/>
      <c r="H3016" s="15"/>
      <c r="J3016" s="15"/>
    </row>
    <row r="3017" spans="6:10" ht="15">
      <c r="F3017" s="15"/>
      <c r="H3017" s="15"/>
      <c r="J3017" s="15"/>
    </row>
    <row r="3018" spans="6:10" ht="15">
      <c r="F3018" s="15"/>
      <c r="H3018" s="15"/>
      <c r="J3018" s="15"/>
    </row>
    <row r="3019" spans="6:10" ht="15">
      <c r="F3019" s="15"/>
      <c r="H3019" s="15"/>
      <c r="J3019" s="15"/>
    </row>
    <row r="3020" spans="6:10" ht="15">
      <c r="F3020" s="15"/>
      <c r="H3020" s="15"/>
      <c r="J3020" s="15"/>
    </row>
    <row r="3021" spans="6:10" ht="15">
      <c r="F3021" s="15"/>
      <c r="H3021" s="15"/>
      <c r="J3021" s="15"/>
    </row>
    <row r="3022" spans="6:10" ht="15">
      <c r="F3022" s="15"/>
      <c r="H3022" s="15"/>
      <c r="J3022" s="15"/>
    </row>
    <row r="3023" spans="6:10" ht="15">
      <c r="F3023" s="15"/>
      <c r="H3023" s="15"/>
      <c r="J3023" s="15"/>
    </row>
    <row r="3024" spans="6:10" ht="15">
      <c r="F3024" s="15"/>
      <c r="H3024" s="15"/>
      <c r="J3024" s="15"/>
    </row>
    <row r="3025" spans="6:10" ht="15">
      <c r="F3025" s="15"/>
      <c r="H3025" s="15"/>
      <c r="J3025" s="15"/>
    </row>
    <row r="3026" spans="6:10" ht="15">
      <c r="F3026" s="15"/>
      <c r="H3026" s="15"/>
      <c r="J3026" s="15"/>
    </row>
    <row r="3027" spans="6:10" ht="15">
      <c r="F3027" s="15"/>
      <c r="H3027" s="15"/>
      <c r="J3027" s="15"/>
    </row>
    <row r="3028" spans="6:10" ht="15">
      <c r="F3028" s="15"/>
      <c r="H3028" s="15"/>
      <c r="J3028" s="15"/>
    </row>
    <row r="3029" spans="6:10" ht="15">
      <c r="F3029" s="15"/>
      <c r="H3029" s="15"/>
      <c r="J3029" s="15"/>
    </row>
    <row r="3030" spans="6:10" ht="15">
      <c r="F3030" s="15"/>
      <c r="H3030" s="15"/>
      <c r="J3030" s="15"/>
    </row>
    <row r="3031" spans="6:10" ht="15">
      <c r="F3031" s="15"/>
      <c r="H3031" s="15"/>
      <c r="J3031" s="15"/>
    </row>
    <row r="3032" spans="6:10" ht="15">
      <c r="F3032" s="15"/>
      <c r="H3032" s="15"/>
      <c r="J3032" s="15"/>
    </row>
    <row r="3033" spans="6:10" ht="15">
      <c r="F3033" s="15"/>
      <c r="H3033" s="15"/>
      <c r="J3033" s="15"/>
    </row>
    <row r="3034" spans="6:10" ht="15">
      <c r="F3034" s="15"/>
      <c r="H3034" s="15"/>
      <c r="J3034" s="15"/>
    </row>
    <row r="3035" spans="6:10" ht="15">
      <c r="F3035" s="15"/>
      <c r="H3035" s="15"/>
      <c r="J3035" s="15"/>
    </row>
    <row r="3036" spans="6:10" ht="15">
      <c r="F3036" s="15"/>
      <c r="H3036" s="15"/>
      <c r="J3036" s="15"/>
    </row>
    <row r="3037" spans="6:10" ht="15">
      <c r="F3037" s="15"/>
      <c r="H3037" s="15"/>
      <c r="J3037" s="15"/>
    </row>
    <row r="3038" spans="6:10" ht="15">
      <c r="F3038" s="15"/>
      <c r="H3038" s="15"/>
      <c r="J3038" s="15"/>
    </row>
    <row r="3039" spans="6:10" ht="15">
      <c r="F3039" s="15"/>
      <c r="H3039" s="15"/>
      <c r="J3039" s="15"/>
    </row>
    <row r="3040" spans="6:10" ht="15">
      <c r="F3040" s="15"/>
      <c r="H3040" s="15"/>
      <c r="J3040" s="15"/>
    </row>
    <row r="3041" spans="6:10" ht="15">
      <c r="F3041" s="15"/>
      <c r="H3041" s="15"/>
      <c r="J3041" s="15"/>
    </row>
    <row r="3042" spans="6:10" ht="15">
      <c r="F3042" s="15"/>
      <c r="H3042" s="15"/>
      <c r="J3042" s="15"/>
    </row>
    <row r="3043" spans="6:10" ht="15">
      <c r="F3043" s="15"/>
      <c r="H3043" s="15"/>
      <c r="J3043" s="15"/>
    </row>
    <row r="3044" spans="6:10" ht="15">
      <c r="F3044" s="15"/>
      <c r="H3044" s="15"/>
      <c r="J3044" s="15"/>
    </row>
    <row r="3045" spans="6:10" ht="15">
      <c r="F3045" s="15"/>
      <c r="H3045" s="15"/>
      <c r="J3045" s="15"/>
    </row>
    <row r="3046" spans="6:10" ht="15">
      <c r="F3046" s="15"/>
      <c r="H3046" s="15"/>
      <c r="J3046" s="15"/>
    </row>
    <row r="3047" spans="6:10" ht="15">
      <c r="F3047" s="15"/>
      <c r="H3047" s="15"/>
      <c r="J3047" s="15"/>
    </row>
    <row r="3048" spans="6:10" ht="15">
      <c r="F3048" s="15"/>
      <c r="H3048" s="15"/>
      <c r="J3048" s="15"/>
    </row>
    <row r="3049" spans="6:10" ht="15">
      <c r="F3049" s="15"/>
      <c r="H3049" s="15"/>
      <c r="J3049" s="15"/>
    </row>
    <row r="3050" spans="6:10" ht="15">
      <c r="F3050" s="15"/>
      <c r="H3050" s="15"/>
      <c r="J3050" s="15"/>
    </row>
    <row r="3051" spans="6:10" ht="15">
      <c r="F3051" s="15"/>
      <c r="H3051" s="15"/>
      <c r="J3051" s="15"/>
    </row>
    <row r="3052" spans="6:10" ht="15">
      <c r="F3052" s="15"/>
      <c r="H3052" s="15"/>
      <c r="J3052" s="15"/>
    </row>
    <row r="3053" spans="6:10" ht="15">
      <c r="F3053" s="15"/>
      <c r="H3053" s="15"/>
      <c r="J3053" s="15"/>
    </row>
    <row r="3054" spans="6:10" ht="15">
      <c r="F3054" s="15"/>
      <c r="H3054" s="15"/>
      <c r="J3054" s="15"/>
    </row>
    <row r="3055" spans="6:10" ht="15">
      <c r="F3055" s="15"/>
      <c r="H3055" s="15"/>
      <c r="J3055" s="15"/>
    </row>
    <row r="3056" spans="6:10" ht="15">
      <c r="F3056" s="15"/>
      <c r="H3056" s="15"/>
      <c r="J3056" s="15"/>
    </row>
    <row r="3057" spans="6:10" ht="15">
      <c r="F3057" s="15"/>
      <c r="H3057" s="15"/>
      <c r="J3057" s="15"/>
    </row>
    <row r="3058" spans="6:10" ht="15">
      <c r="F3058" s="15"/>
      <c r="H3058" s="15"/>
      <c r="J3058" s="15"/>
    </row>
    <row r="3059" spans="6:10" ht="15">
      <c r="F3059" s="15"/>
      <c r="H3059" s="15"/>
      <c r="J3059" s="15"/>
    </row>
    <row r="3060" spans="6:10" ht="15">
      <c r="F3060" s="15"/>
      <c r="H3060" s="15"/>
      <c r="J3060" s="15"/>
    </row>
    <row r="3061" spans="6:10" ht="15">
      <c r="F3061" s="15"/>
      <c r="H3061" s="15"/>
      <c r="J3061" s="15"/>
    </row>
    <row r="3062" spans="6:10" ht="15">
      <c r="F3062" s="15"/>
      <c r="H3062" s="15"/>
      <c r="J3062" s="15"/>
    </row>
    <row r="3063" spans="6:10" ht="15">
      <c r="F3063" s="15"/>
      <c r="H3063" s="15"/>
      <c r="J3063" s="15"/>
    </row>
    <row r="3064" spans="6:10" ht="15">
      <c r="F3064" s="15"/>
      <c r="H3064" s="15"/>
      <c r="J3064" s="15"/>
    </row>
    <row r="3065" spans="6:10" ht="15">
      <c r="F3065" s="15"/>
      <c r="H3065" s="15"/>
      <c r="J3065" s="15"/>
    </row>
    <row r="3066" spans="6:10" ht="15">
      <c r="F3066" s="15"/>
      <c r="H3066" s="15"/>
      <c r="J3066" s="15"/>
    </row>
    <row r="3067" spans="6:10" ht="15">
      <c r="F3067" s="15"/>
      <c r="H3067" s="15"/>
      <c r="J3067" s="15"/>
    </row>
    <row r="3068" spans="6:10" ht="15">
      <c r="F3068" s="15"/>
      <c r="H3068" s="15"/>
      <c r="J3068" s="15"/>
    </row>
    <row r="3069" spans="6:10" ht="15">
      <c r="F3069" s="15"/>
      <c r="H3069" s="15"/>
      <c r="J3069" s="15"/>
    </row>
    <row r="3070" spans="6:10" ht="15">
      <c r="F3070" s="15"/>
      <c r="H3070" s="15"/>
      <c r="J3070" s="15"/>
    </row>
    <row r="3071" spans="6:10" ht="15">
      <c r="F3071" s="15"/>
      <c r="H3071" s="15"/>
      <c r="J3071" s="15"/>
    </row>
    <row r="3072" spans="6:10" ht="15">
      <c r="F3072" s="15"/>
      <c r="H3072" s="15"/>
      <c r="J3072" s="15"/>
    </row>
    <row r="3073" spans="6:10" ht="15">
      <c r="F3073" s="15"/>
      <c r="H3073" s="15"/>
      <c r="J3073" s="15"/>
    </row>
    <row r="3074" spans="6:10" ht="15">
      <c r="F3074" s="15"/>
      <c r="H3074" s="15"/>
      <c r="J3074" s="15"/>
    </row>
    <row r="3075" spans="6:10" ht="15">
      <c r="F3075" s="15"/>
      <c r="H3075" s="15"/>
      <c r="J3075" s="15"/>
    </row>
    <row r="3076" spans="6:10" ht="15">
      <c r="F3076" s="15"/>
      <c r="H3076" s="15"/>
      <c r="J3076" s="15"/>
    </row>
    <row r="3077" spans="6:10" ht="15">
      <c r="F3077" s="15"/>
      <c r="H3077" s="15"/>
      <c r="J3077" s="15"/>
    </row>
    <row r="3078" spans="6:10" ht="15">
      <c r="F3078" s="15"/>
      <c r="H3078" s="15"/>
      <c r="J3078" s="15"/>
    </row>
    <row r="3079" spans="6:10" ht="15">
      <c r="F3079" s="15"/>
      <c r="H3079" s="15"/>
      <c r="J3079" s="15"/>
    </row>
    <row r="3080" spans="6:10" ht="15">
      <c r="F3080" s="15"/>
      <c r="H3080" s="15"/>
      <c r="J3080" s="15"/>
    </row>
    <row r="3081" spans="6:10" ht="15">
      <c r="F3081" s="15"/>
      <c r="H3081" s="15"/>
      <c r="J3081" s="15"/>
    </row>
    <row r="3082" spans="6:10" ht="15">
      <c r="F3082" s="15"/>
      <c r="H3082" s="15"/>
      <c r="J3082" s="15"/>
    </row>
    <row r="3083" spans="6:10" ht="15">
      <c r="F3083" s="15"/>
      <c r="H3083" s="15"/>
      <c r="J3083" s="15"/>
    </row>
    <row r="3084" spans="6:10" ht="15">
      <c r="F3084" s="15"/>
      <c r="H3084" s="15"/>
      <c r="J3084" s="15"/>
    </row>
    <row r="3085" spans="6:10" ht="15">
      <c r="F3085" s="15"/>
      <c r="H3085" s="15"/>
      <c r="J3085" s="15"/>
    </row>
    <row r="3086" spans="6:10" ht="15">
      <c r="F3086" s="15"/>
      <c r="H3086" s="15"/>
      <c r="J3086" s="15"/>
    </row>
    <row r="3087" spans="6:10" ht="15">
      <c r="F3087" s="15"/>
      <c r="H3087" s="15"/>
      <c r="J3087" s="15"/>
    </row>
    <row r="3088" spans="6:10" ht="15">
      <c r="F3088" s="15"/>
      <c r="H3088" s="15"/>
      <c r="J3088" s="15"/>
    </row>
    <row r="3089" spans="6:10" ht="15">
      <c r="F3089" s="15"/>
      <c r="H3089" s="15"/>
      <c r="J3089" s="15"/>
    </row>
    <row r="3090" spans="6:10" ht="15">
      <c r="F3090" s="15"/>
      <c r="H3090" s="15"/>
      <c r="J3090" s="15"/>
    </row>
    <row r="3091" spans="6:10" ht="15">
      <c r="F3091" s="15"/>
      <c r="H3091" s="15"/>
      <c r="J3091" s="15"/>
    </row>
    <row r="3092" spans="6:10" ht="15">
      <c r="F3092" s="15"/>
      <c r="H3092" s="15"/>
      <c r="J3092" s="15"/>
    </row>
    <row r="3093" spans="6:10" ht="15">
      <c r="F3093" s="15"/>
      <c r="H3093" s="15"/>
      <c r="J3093" s="15"/>
    </row>
    <row r="3094" spans="6:10" ht="15">
      <c r="F3094" s="15"/>
      <c r="H3094" s="15"/>
      <c r="J3094" s="15"/>
    </row>
    <row r="3095" spans="6:10" ht="15">
      <c r="F3095" s="15"/>
      <c r="H3095" s="15"/>
      <c r="J3095" s="15"/>
    </row>
    <row r="3096" spans="6:10" ht="15">
      <c r="F3096" s="15"/>
      <c r="H3096" s="15"/>
      <c r="J3096" s="15"/>
    </row>
    <row r="3097" spans="6:10" ht="15">
      <c r="F3097" s="15"/>
      <c r="H3097" s="15"/>
      <c r="J3097" s="15"/>
    </row>
    <row r="3098" spans="6:10" ht="15">
      <c r="F3098" s="15"/>
      <c r="H3098" s="15"/>
      <c r="J3098" s="15"/>
    </row>
    <row r="3099" spans="6:10" ht="15">
      <c r="F3099" s="15"/>
      <c r="H3099" s="15"/>
      <c r="J3099" s="15"/>
    </row>
    <row r="3100" spans="6:10" ht="15">
      <c r="F3100" s="15"/>
      <c r="H3100" s="15"/>
      <c r="J3100" s="15"/>
    </row>
    <row r="3101" spans="6:10" ht="15">
      <c r="F3101" s="15"/>
      <c r="H3101" s="15"/>
      <c r="J3101" s="15"/>
    </row>
    <row r="3102" spans="6:10" ht="15">
      <c r="F3102" s="15"/>
      <c r="H3102" s="15"/>
      <c r="J3102" s="15"/>
    </row>
    <row r="3103" spans="6:10" ht="15">
      <c r="F3103" s="15"/>
      <c r="H3103" s="15"/>
      <c r="J3103" s="15"/>
    </row>
    <row r="3104" spans="6:10" ht="15">
      <c r="F3104" s="15"/>
      <c r="H3104" s="15"/>
      <c r="J3104" s="15"/>
    </row>
    <row r="3105" spans="6:10" ht="15">
      <c r="F3105" s="15"/>
      <c r="H3105" s="15"/>
      <c r="J3105" s="15"/>
    </row>
    <row r="3106" spans="6:10" ht="15">
      <c r="F3106" s="15"/>
      <c r="H3106" s="15"/>
      <c r="J3106" s="15"/>
    </row>
    <row r="3107" spans="6:10" ht="15">
      <c r="F3107" s="15"/>
      <c r="H3107" s="15"/>
      <c r="J3107" s="15"/>
    </row>
    <row r="3108" spans="6:10" ht="15">
      <c r="F3108" s="15"/>
      <c r="H3108" s="15"/>
      <c r="J3108" s="15"/>
    </row>
    <row r="3109" spans="6:10" ht="15">
      <c r="F3109" s="15"/>
      <c r="H3109" s="15"/>
      <c r="J3109" s="15"/>
    </row>
    <row r="3110" spans="6:10" ht="15">
      <c r="F3110" s="15"/>
      <c r="H3110" s="15"/>
      <c r="J3110" s="15"/>
    </row>
    <row r="3111" spans="6:10" ht="15">
      <c r="F3111" s="15"/>
      <c r="H3111" s="15"/>
      <c r="J3111" s="15"/>
    </row>
    <row r="3112" spans="6:10" ht="15">
      <c r="F3112" s="15"/>
      <c r="H3112" s="15"/>
      <c r="J3112" s="15"/>
    </row>
    <row r="3113" spans="6:10" ht="15">
      <c r="F3113" s="15"/>
      <c r="H3113" s="15"/>
      <c r="J3113" s="15"/>
    </row>
    <row r="3114" spans="6:10" ht="15">
      <c r="F3114" s="15"/>
      <c r="H3114" s="15"/>
      <c r="J3114" s="15"/>
    </row>
    <row r="3115" spans="6:10" ht="15">
      <c r="F3115" s="15"/>
      <c r="H3115" s="15"/>
      <c r="J3115" s="15"/>
    </row>
    <row r="3116" spans="6:10" ht="15">
      <c r="F3116" s="15"/>
      <c r="H3116" s="15"/>
      <c r="J3116" s="15"/>
    </row>
    <row r="3117" spans="6:10" ht="15">
      <c r="F3117" s="15"/>
      <c r="H3117" s="15"/>
      <c r="J3117" s="15"/>
    </row>
    <row r="3118" spans="6:10" ht="15">
      <c r="F3118" s="15"/>
      <c r="H3118" s="15"/>
      <c r="J3118" s="15"/>
    </row>
    <row r="3119" spans="6:10" ht="15">
      <c r="F3119" s="15"/>
      <c r="H3119" s="15"/>
      <c r="J3119" s="15"/>
    </row>
    <row r="3120" spans="6:10" ht="15">
      <c r="F3120" s="15"/>
      <c r="H3120" s="15"/>
      <c r="J3120" s="15"/>
    </row>
    <row r="3121" spans="6:10" ht="15">
      <c r="F3121" s="15"/>
      <c r="H3121" s="15"/>
      <c r="J3121" s="15"/>
    </row>
    <row r="3122" spans="6:10" ht="15">
      <c r="F3122" s="15"/>
      <c r="H3122" s="15"/>
      <c r="J3122" s="15"/>
    </row>
    <row r="3123" spans="6:10" ht="15">
      <c r="F3123" s="15"/>
      <c r="H3123" s="15"/>
      <c r="J3123" s="15"/>
    </row>
    <row r="3124" spans="6:10" ht="15">
      <c r="F3124" s="15"/>
      <c r="H3124" s="15"/>
      <c r="J3124" s="15"/>
    </row>
    <row r="3125" spans="6:10" ht="15">
      <c r="F3125" s="15"/>
      <c r="H3125" s="15"/>
      <c r="J3125" s="15"/>
    </row>
    <row r="3126" spans="6:10" ht="15">
      <c r="F3126" s="15"/>
      <c r="H3126" s="15"/>
      <c r="J3126" s="15"/>
    </row>
    <row r="3127" spans="6:10" ht="15">
      <c r="F3127" s="15"/>
      <c r="H3127" s="15"/>
      <c r="J3127" s="15"/>
    </row>
    <row r="3128" spans="6:10" ht="15">
      <c r="F3128" s="15"/>
      <c r="H3128" s="15"/>
      <c r="J3128" s="15"/>
    </row>
    <row r="3129" spans="6:10" ht="15">
      <c r="F3129" s="15"/>
      <c r="H3129" s="15"/>
      <c r="J3129" s="15"/>
    </row>
    <row r="3130" spans="6:10" ht="15">
      <c r="F3130" s="15"/>
      <c r="H3130" s="15"/>
      <c r="J3130" s="15"/>
    </row>
    <row r="3131" spans="6:10" ht="15">
      <c r="F3131" s="15"/>
      <c r="H3131" s="15"/>
      <c r="J3131" s="15"/>
    </row>
    <row r="3132" spans="6:10" ht="15">
      <c r="F3132" s="15"/>
      <c r="H3132" s="15"/>
      <c r="J3132" s="15"/>
    </row>
    <row r="3133" spans="6:10" ht="15">
      <c r="F3133" s="15"/>
      <c r="H3133" s="15"/>
      <c r="J3133" s="15"/>
    </row>
    <row r="3134" spans="6:10" ht="15">
      <c r="F3134" s="15"/>
      <c r="H3134" s="15"/>
      <c r="J3134" s="15"/>
    </row>
    <row r="3135" spans="6:10" ht="15">
      <c r="F3135" s="15"/>
      <c r="H3135" s="15"/>
      <c r="J3135" s="15"/>
    </row>
    <row r="3136" spans="6:10" ht="15">
      <c r="F3136" s="15"/>
      <c r="H3136" s="15"/>
      <c r="J3136" s="15"/>
    </row>
    <row r="3137" spans="6:10" ht="15">
      <c r="F3137" s="15"/>
      <c r="H3137" s="15"/>
      <c r="J3137" s="15"/>
    </row>
    <row r="3138" spans="6:10" ht="15">
      <c r="F3138" s="15"/>
      <c r="H3138" s="15"/>
      <c r="J3138" s="15"/>
    </row>
    <row r="3139" spans="6:10" ht="15">
      <c r="F3139" s="15"/>
      <c r="H3139" s="15"/>
      <c r="J3139" s="15"/>
    </row>
    <row r="3140" spans="6:10" ht="15">
      <c r="F3140" s="15"/>
      <c r="H3140" s="15"/>
      <c r="J3140" s="15"/>
    </row>
    <row r="3141" spans="6:10" ht="15">
      <c r="F3141" s="15"/>
      <c r="H3141" s="15"/>
      <c r="J3141" s="15"/>
    </row>
    <row r="3142" spans="6:10" ht="15">
      <c r="F3142" s="15"/>
      <c r="H3142" s="15"/>
      <c r="J3142" s="15"/>
    </row>
    <row r="3143" spans="6:10" ht="15">
      <c r="F3143" s="15"/>
      <c r="H3143" s="15"/>
      <c r="J3143" s="15"/>
    </row>
    <row r="3144" spans="6:10" ht="15">
      <c r="F3144" s="15"/>
      <c r="H3144" s="15"/>
      <c r="J3144" s="15"/>
    </row>
    <row r="3145" spans="6:10" ht="15">
      <c r="F3145" s="15"/>
      <c r="H3145" s="15"/>
      <c r="J3145" s="15"/>
    </row>
    <row r="3146" spans="6:10" ht="15">
      <c r="F3146" s="15"/>
      <c r="H3146" s="15"/>
      <c r="J3146" s="15"/>
    </row>
    <row r="3147" spans="6:10" ht="15">
      <c r="F3147" s="15"/>
      <c r="H3147" s="15"/>
      <c r="J3147" s="15"/>
    </row>
    <row r="3148" spans="6:10" ht="15">
      <c r="F3148" s="15"/>
      <c r="H3148" s="15"/>
      <c r="J3148" s="15"/>
    </row>
    <row r="3149" spans="6:10" ht="15">
      <c r="F3149" s="15"/>
      <c r="H3149" s="15"/>
      <c r="J3149" s="15"/>
    </row>
    <row r="3150" spans="6:10" ht="15">
      <c r="F3150" s="15"/>
      <c r="H3150" s="15"/>
      <c r="J3150" s="15"/>
    </row>
    <row r="3151" spans="6:10" ht="15">
      <c r="F3151" s="15"/>
      <c r="H3151" s="15"/>
      <c r="J3151" s="15"/>
    </row>
    <row r="3152" spans="6:10" ht="15">
      <c r="F3152" s="15"/>
      <c r="H3152" s="15"/>
      <c r="J3152" s="15"/>
    </row>
    <row r="3153" spans="6:10" ht="15">
      <c r="F3153" s="15"/>
      <c r="H3153" s="15"/>
      <c r="J3153" s="15"/>
    </row>
    <row r="3154" spans="6:10" ht="15">
      <c r="F3154" s="15"/>
      <c r="H3154" s="15"/>
      <c r="J3154" s="15"/>
    </row>
    <row r="3155" spans="6:10" ht="15">
      <c r="F3155" s="15"/>
      <c r="H3155" s="15"/>
      <c r="J3155" s="15"/>
    </row>
    <row r="3156" spans="6:10" ht="15">
      <c r="F3156" s="15"/>
      <c r="H3156" s="15"/>
      <c r="J3156" s="15"/>
    </row>
    <row r="3157" spans="6:10" ht="15">
      <c r="F3157" s="15"/>
      <c r="H3157" s="15"/>
      <c r="J3157" s="15"/>
    </row>
    <row r="3158" spans="6:10" ht="15">
      <c r="F3158" s="15"/>
      <c r="H3158" s="15"/>
      <c r="J3158" s="15"/>
    </row>
    <row r="3159" spans="6:10" ht="15">
      <c r="F3159" s="15"/>
      <c r="H3159" s="15"/>
      <c r="J3159" s="15"/>
    </row>
    <row r="3160" spans="6:10" ht="15">
      <c r="F3160" s="15"/>
      <c r="H3160" s="15"/>
      <c r="J3160" s="15"/>
    </row>
    <row r="3161" spans="6:10" ht="15">
      <c r="F3161" s="15"/>
      <c r="H3161" s="15"/>
      <c r="J3161" s="15"/>
    </row>
    <row r="3162" spans="6:10" ht="15">
      <c r="F3162" s="15"/>
      <c r="H3162" s="15"/>
      <c r="J3162" s="15"/>
    </row>
    <row r="3163" spans="6:10" ht="15">
      <c r="F3163" s="15"/>
      <c r="H3163" s="15"/>
      <c r="J3163" s="15"/>
    </row>
    <row r="3164" spans="6:10" ht="15">
      <c r="F3164" s="15"/>
      <c r="H3164" s="15"/>
      <c r="J3164" s="15"/>
    </row>
    <row r="3165" spans="6:10" ht="15">
      <c r="F3165" s="15"/>
      <c r="H3165" s="15"/>
      <c r="J3165" s="15"/>
    </row>
    <row r="3166" spans="6:10" ht="15">
      <c r="F3166" s="15"/>
      <c r="H3166" s="15"/>
      <c r="J3166" s="15"/>
    </row>
    <row r="3167" spans="6:10" ht="15">
      <c r="F3167" s="15"/>
      <c r="H3167" s="15"/>
      <c r="J3167" s="15"/>
    </row>
    <row r="3168" spans="6:10" ht="15">
      <c r="F3168" s="15"/>
      <c r="H3168" s="15"/>
      <c r="J3168" s="15"/>
    </row>
    <row r="3169" spans="6:10" ht="15">
      <c r="F3169" s="15"/>
      <c r="H3169" s="15"/>
      <c r="J3169" s="15"/>
    </row>
    <row r="3170" spans="6:10" ht="15">
      <c r="F3170" s="15"/>
      <c r="H3170" s="15"/>
      <c r="J3170" s="15"/>
    </row>
    <row r="3171" spans="6:10" ht="15">
      <c r="F3171" s="15"/>
      <c r="H3171" s="15"/>
      <c r="J3171" s="15"/>
    </row>
    <row r="3172" spans="6:10" ht="15">
      <c r="F3172" s="15"/>
      <c r="H3172" s="15"/>
      <c r="J3172" s="15"/>
    </row>
    <row r="3173" spans="6:10" ht="15">
      <c r="F3173" s="15"/>
      <c r="H3173" s="15"/>
      <c r="J3173" s="15"/>
    </row>
    <row r="3174" spans="6:10" ht="15">
      <c r="F3174" s="15"/>
      <c r="H3174" s="15"/>
      <c r="J3174" s="15"/>
    </row>
    <row r="3175" spans="6:10" ht="15">
      <c r="F3175" s="15"/>
      <c r="H3175" s="15"/>
      <c r="J3175" s="15"/>
    </row>
    <row r="3176" spans="6:10" ht="15">
      <c r="F3176" s="15"/>
      <c r="H3176" s="15"/>
      <c r="J3176" s="15"/>
    </row>
    <row r="3177" spans="6:10" ht="15">
      <c r="F3177" s="15"/>
      <c r="H3177" s="15"/>
      <c r="J3177" s="15"/>
    </row>
    <row r="3178" spans="6:10" ht="15">
      <c r="F3178" s="15"/>
      <c r="H3178" s="15"/>
      <c r="J3178" s="15"/>
    </row>
    <row r="3179" spans="6:10" ht="15">
      <c r="F3179" s="15"/>
      <c r="H3179" s="15"/>
      <c r="J3179" s="15"/>
    </row>
    <row r="3180" spans="6:10" ht="15">
      <c r="F3180" s="15"/>
      <c r="H3180" s="15"/>
      <c r="J3180" s="15"/>
    </row>
    <row r="3181" spans="6:10" ht="15">
      <c r="F3181" s="15"/>
      <c r="H3181" s="15"/>
      <c r="J3181" s="15"/>
    </row>
    <row r="3182" spans="6:10" ht="15">
      <c r="F3182" s="15"/>
      <c r="H3182" s="15"/>
      <c r="J3182" s="15"/>
    </row>
    <row r="3183" spans="6:10" ht="15">
      <c r="F3183" s="15"/>
      <c r="H3183" s="15"/>
      <c r="J3183" s="15"/>
    </row>
    <row r="3184" spans="6:10" ht="15">
      <c r="F3184" s="15"/>
      <c r="H3184" s="15"/>
      <c r="J3184" s="15"/>
    </row>
    <row r="3185" spans="6:10" ht="15">
      <c r="F3185" s="15"/>
      <c r="H3185" s="15"/>
      <c r="J3185" s="15"/>
    </row>
    <row r="3186" spans="6:10" ht="15">
      <c r="F3186" s="15"/>
      <c r="H3186" s="15"/>
      <c r="J3186" s="15"/>
    </row>
    <row r="3187" spans="6:10" ht="15">
      <c r="F3187" s="15"/>
      <c r="H3187" s="15"/>
      <c r="J3187" s="15"/>
    </row>
    <row r="3188" spans="6:10" ht="15">
      <c r="F3188" s="15"/>
      <c r="H3188" s="15"/>
      <c r="J3188" s="15"/>
    </row>
    <row r="3189" spans="6:10" ht="15">
      <c r="F3189" s="15"/>
      <c r="H3189" s="15"/>
      <c r="J3189" s="15"/>
    </row>
    <row r="3190" spans="6:10" ht="15">
      <c r="F3190" s="15"/>
      <c r="H3190" s="15"/>
      <c r="J3190" s="15"/>
    </row>
    <row r="3191" spans="6:10" ht="15">
      <c r="F3191" s="15"/>
      <c r="H3191" s="15"/>
      <c r="J3191" s="15"/>
    </row>
    <row r="3192" spans="6:10" ht="15">
      <c r="F3192" s="15"/>
      <c r="H3192" s="15"/>
      <c r="J3192" s="15"/>
    </row>
    <row r="3193" spans="6:10" ht="15">
      <c r="F3193" s="15"/>
      <c r="H3193" s="15"/>
      <c r="J3193" s="15"/>
    </row>
    <row r="3194" spans="6:10" ht="15">
      <c r="F3194" s="15"/>
      <c r="H3194" s="15"/>
      <c r="J3194" s="15"/>
    </row>
    <row r="3195" spans="6:10" ht="15">
      <c r="F3195" s="15"/>
      <c r="H3195" s="15"/>
      <c r="J3195" s="15"/>
    </row>
    <row r="3196" spans="6:10" ht="15">
      <c r="F3196" s="15"/>
      <c r="H3196" s="15"/>
      <c r="J3196" s="15"/>
    </row>
    <row r="3197" spans="6:10" ht="15">
      <c r="F3197" s="15"/>
      <c r="H3197" s="15"/>
      <c r="J3197" s="15"/>
    </row>
    <row r="3198" spans="6:10" ht="15">
      <c r="F3198" s="15"/>
      <c r="H3198" s="15"/>
      <c r="J3198" s="15"/>
    </row>
    <row r="3199" spans="6:10" ht="15">
      <c r="F3199" s="15"/>
      <c r="H3199" s="15"/>
      <c r="J3199" s="15"/>
    </row>
    <row r="3200" spans="6:10" ht="15">
      <c r="F3200" s="15"/>
      <c r="H3200" s="15"/>
      <c r="J3200" s="15"/>
    </row>
    <row r="3201" spans="6:10" ht="15">
      <c r="F3201" s="15"/>
      <c r="H3201" s="15"/>
      <c r="J3201" s="15"/>
    </row>
    <row r="3202" spans="6:10" ht="15">
      <c r="F3202" s="15"/>
      <c r="H3202" s="15"/>
      <c r="J3202" s="15"/>
    </row>
    <row r="3203" spans="6:10" ht="15">
      <c r="F3203" s="15"/>
      <c r="H3203" s="15"/>
      <c r="J3203" s="15"/>
    </row>
    <row r="3204" spans="6:10" ht="15">
      <c r="F3204" s="15"/>
      <c r="H3204" s="15"/>
      <c r="J3204" s="15"/>
    </row>
    <row r="3205" spans="6:10" ht="15">
      <c r="F3205" s="15"/>
      <c r="H3205" s="15"/>
      <c r="J3205" s="15"/>
    </row>
    <row r="3206" spans="6:10" ht="15">
      <c r="F3206" s="15"/>
      <c r="H3206" s="15"/>
      <c r="J3206" s="15"/>
    </row>
    <row r="3207" spans="6:10" ht="15">
      <c r="F3207" s="15"/>
      <c r="H3207" s="15"/>
      <c r="J3207" s="15"/>
    </row>
    <row r="3208" spans="6:10" ht="15">
      <c r="F3208" s="15"/>
      <c r="H3208" s="15"/>
      <c r="J3208" s="15"/>
    </row>
    <row r="3209" spans="6:10" ht="15">
      <c r="F3209" s="15"/>
      <c r="H3209" s="15"/>
      <c r="J3209" s="15"/>
    </row>
    <row r="3210" spans="6:10" ht="15">
      <c r="F3210" s="15"/>
      <c r="H3210" s="15"/>
      <c r="J3210" s="15"/>
    </row>
    <row r="3211" spans="6:10" ht="15">
      <c r="F3211" s="15"/>
      <c r="H3211" s="15"/>
      <c r="J3211" s="15"/>
    </row>
    <row r="3212" spans="6:10" ht="15">
      <c r="F3212" s="15"/>
      <c r="H3212" s="15"/>
      <c r="J3212" s="15"/>
    </row>
    <row r="3213" spans="6:10" ht="15">
      <c r="F3213" s="15"/>
      <c r="H3213" s="15"/>
      <c r="J3213" s="15"/>
    </row>
    <row r="3214" spans="6:10" ht="15">
      <c r="F3214" s="15"/>
      <c r="H3214" s="15"/>
      <c r="J3214" s="15"/>
    </row>
    <row r="3215" spans="6:10" ht="15">
      <c r="F3215" s="15"/>
      <c r="H3215" s="15"/>
      <c r="J3215" s="15"/>
    </row>
    <row r="3216" spans="6:10" ht="15">
      <c r="F3216" s="15"/>
      <c r="H3216" s="15"/>
      <c r="J3216" s="15"/>
    </row>
    <row r="3217" spans="6:10" ht="15">
      <c r="F3217" s="15"/>
      <c r="H3217" s="15"/>
      <c r="J3217" s="15"/>
    </row>
    <row r="3218" spans="6:10" ht="15">
      <c r="F3218" s="15"/>
      <c r="H3218" s="15"/>
      <c r="J3218" s="15"/>
    </row>
    <row r="3219" spans="6:10" ht="15">
      <c r="F3219" s="15"/>
      <c r="H3219" s="15"/>
      <c r="J3219" s="15"/>
    </row>
    <row r="3220" spans="6:10" ht="15">
      <c r="F3220" s="15"/>
      <c r="H3220" s="15"/>
      <c r="J3220" s="15"/>
    </row>
    <row r="3221" spans="6:10" ht="15">
      <c r="F3221" s="15"/>
      <c r="H3221" s="15"/>
      <c r="J3221" s="15"/>
    </row>
    <row r="3222" spans="6:10" ht="15">
      <c r="F3222" s="15"/>
      <c r="H3222" s="15"/>
      <c r="J3222" s="15"/>
    </row>
    <row r="3223" spans="6:10" ht="15">
      <c r="F3223" s="15"/>
      <c r="H3223" s="15"/>
      <c r="J3223" s="15"/>
    </row>
    <row r="3224" spans="6:10" ht="15">
      <c r="F3224" s="15"/>
      <c r="H3224" s="15"/>
      <c r="J3224" s="15"/>
    </row>
    <row r="3225" spans="6:10" ht="15">
      <c r="F3225" s="15"/>
      <c r="H3225" s="15"/>
      <c r="J3225" s="15"/>
    </row>
    <row r="3226" spans="6:10" ht="15">
      <c r="F3226" s="15"/>
      <c r="H3226" s="15"/>
      <c r="J3226" s="15"/>
    </row>
    <row r="3227" spans="6:10" ht="15">
      <c r="F3227" s="15"/>
      <c r="H3227" s="15"/>
      <c r="J3227" s="15"/>
    </row>
    <row r="3228" spans="6:10" ht="15">
      <c r="F3228" s="15"/>
      <c r="H3228" s="15"/>
      <c r="J3228" s="15"/>
    </row>
    <row r="3229" spans="6:10" ht="15">
      <c r="F3229" s="15"/>
      <c r="H3229" s="15"/>
      <c r="J3229" s="15"/>
    </row>
    <row r="3230" spans="6:10" ht="15">
      <c r="F3230" s="15"/>
      <c r="H3230" s="15"/>
      <c r="J3230" s="15"/>
    </row>
    <row r="3231" spans="6:10" ht="15">
      <c r="F3231" s="15"/>
      <c r="H3231" s="15"/>
      <c r="J3231" s="15"/>
    </row>
    <row r="3232" spans="6:10" ht="15">
      <c r="F3232" s="15"/>
      <c r="H3232" s="15"/>
      <c r="J3232" s="15"/>
    </row>
    <row r="3233" spans="6:10" ht="15">
      <c r="F3233" s="15"/>
      <c r="H3233" s="15"/>
      <c r="J3233" s="15"/>
    </row>
    <row r="3234" spans="6:10" ht="15">
      <c r="F3234" s="15"/>
      <c r="H3234" s="15"/>
      <c r="J3234" s="15"/>
    </row>
    <row r="3235" spans="6:10" ht="15">
      <c r="F3235" s="15"/>
      <c r="H3235" s="15"/>
      <c r="J3235" s="15"/>
    </row>
    <row r="3236" spans="6:10" ht="15">
      <c r="F3236" s="15"/>
      <c r="H3236" s="15"/>
      <c r="J3236" s="15"/>
    </row>
    <row r="3237" spans="6:10" ht="15">
      <c r="F3237" s="15"/>
      <c r="H3237" s="15"/>
      <c r="J3237" s="15"/>
    </row>
    <row r="3238" spans="6:10" ht="15">
      <c r="F3238" s="15"/>
      <c r="H3238" s="15"/>
      <c r="J3238" s="15"/>
    </row>
    <row r="3239" spans="6:10" ht="15">
      <c r="F3239" s="15"/>
      <c r="H3239" s="15"/>
      <c r="J3239" s="15"/>
    </row>
    <row r="3240" spans="6:10" ht="15">
      <c r="F3240" s="15"/>
      <c r="H3240" s="15"/>
      <c r="J3240" s="15"/>
    </row>
    <row r="3241" spans="6:10" ht="15">
      <c r="F3241" s="15"/>
      <c r="H3241" s="15"/>
      <c r="J3241" s="15"/>
    </row>
    <row r="3242" spans="6:10" ht="15">
      <c r="F3242" s="15"/>
      <c r="H3242" s="15"/>
      <c r="J3242" s="15"/>
    </row>
    <row r="3243" spans="6:10" ht="15">
      <c r="F3243" s="15"/>
      <c r="H3243" s="15"/>
      <c r="J3243" s="15"/>
    </row>
    <row r="3244" spans="6:10" ht="15">
      <c r="F3244" s="15"/>
      <c r="H3244" s="15"/>
      <c r="J3244" s="15"/>
    </row>
    <row r="3245" spans="6:10" ht="15">
      <c r="F3245" s="15"/>
      <c r="H3245" s="15"/>
      <c r="J3245" s="15"/>
    </row>
    <row r="3246" spans="6:10" ht="15">
      <c r="F3246" s="15"/>
      <c r="H3246" s="15"/>
      <c r="J3246" s="15"/>
    </row>
    <row r="3247" spans="6:10" ht="15">
      <c r="F3247" s="15"/>
      <c r="H3247" s="15"/>
      <c r="J3247" s="15"/>
    </row>
    <row r="3248" spans="6:10" ht="15">
      <c r="F3248" s="15"/>
      <c r="H3248" s="15"/>
      <c r="J3248" s="15"/>
    </row>
    <row r="3249" spans="6:10" ht="15">
      <c r="F3249" s="15"/>
      <c r="H3249" s="15"/>
      <c r="J3249" s="15"/>
    </row>
    <row r="3250" spans="6:10" ht="15">
      <c r="F3250" s="15"/>
      <c r="H3250" s="15"/>
      <c r="J3250" s="15"/>
    </row>
    <row r="3251" spans="6:10" ht="15">
      <c r="F3251" s="15"/>
      <c r="H3251" s="15"/>
      <c r="J3251" s="15"/>
    </row>
    <row r="3252" spans="6:10" ht="15">
      <c r="F3252" s="15"/>
      <c r="H3252" s="15"/>
      <c r="J3252" s="15"/>
    </row>
    <row r="3253" spans="6:10" ht="15">
      <c r="F3253" s="15"/>
      <c r="H3253" s="15"/>
      <c r="J3253" s="15"/>
    </row>
    <row r="3254" spans="6:10" ht="15">
      <c r="F3254" s="15"/>
      <c r="H3254" s="15"/>
      <c r="J3254" s="15"/>
    </row>
    <row r="3255" spans="6:10" ht="15">
      <c r="F3255" s="15"/>
      <c r="H3255" s="15"/>
      <c r="J3255" s="15"/>
    </row>
    <row r="3256" spans="6:10" ht="15">
      <c r="F3256" s="15"/>
      <c r="H3256" s="15"/>
      <c r="J3256" s="15"/>
    </row>
    <row r="3257" spans="6:10" ht="15">
      <c r="F3257" s="15"/>
      <c r="H3257" s="15"/>
      <c r="J3257" s="15"/>
    </row>
    <row r="3258" spans="6:10" ht="15">
      <c r="F3258" s="15"/>
      <c r="H3258" s="15"/>
      <c r="J3258" s="15"/>
    </row>
    <row r="3259" spans="6:10" ht="15">
      <c r="F3259" s="15"/>
      <c r="H3259" s="15"/>
      <c r="J3259" s="15"/>
    </row>
    <row r="3260" spans="6:10" ht="15">
      <c r="F3260" s="15"/>
      <c r="H3260" s="15"/>
      <c r="J3260" s="15"/>
    </row>
    <row r="3261" spans="6:10" ht="15">
      <c r="F3261" s="15"/>
      <c r="H3261" s="15"/>
      <c r="J3261" s="15"/>
    </row>
    <row r="3262" spans="6:10" ht="15">
      <c r="F3262" s="15"/>
      <c r="H3262" s="15"/>
      <c r="J3262" s="15"/>
    </row>
    <row r="3263" spans="6:10" ht="15">
      <c r="F3263" s="15"/>
      <c r="H3263" s="15"/>
      <c r="J3263" s="15"/>
    </row>
    <row r="3264" spans="6:10" ht="15">
      <c r="F3264" s="15"/>
      <c r="H3264" s="15"/>
      <c r="J3264" s="15"/>
    </row>
    <row r="3265" spans="6:10" ht="15">
      <c r="F3265" s="15"/>
      <c r="H3265" s="15"/>
      <c r="J3265" s="15"/>
    </row>
    <row r="3266" spans="6:10" ht="15">
      <c r="F3266" s="15"/>
      <c r="H3266" s="15"/>
      <c r="J3266" s="15"/>
    </row>
    <row r="3267" spans="6:10" ht="15">
      <c r="F3267" s="15"/>
      <c r="H3267" s="15"/>
      <c r="J3267" s="15"/>
    </row>
    <row r="3268" spans="6:10" ht="15">
      <c r="F3268" s="15"/>
      <c r="H3268" s="15"/>
      <c r="J3268" s="15"/>
    </row>
    <row r="3269" spans="6:10" ht="15">
      <c r="F3269" s="15"/>
      <c r="H3269" s="15"/>
      <c r="J3269" s="15"/>
    </row>
    <row r="3270" spans="6:10" ht="15">
      <c r="F3270" s="15"/>
      <c r="H3270" s="15"/>
      <c r="J3270" s="15"/>
    </row>
    <row r="3271" spans="6:10" ht="15">
      <c r="F3271" s="15"/>
      <c r="H3271" s="15"/>
      <c r="J3271" s="15"/>
    </row>
    <row r="3272" spans="6:10" ht="15">
      <c r="F3272" s="15"/>
      <c r="H3272" s="15"/>
      <c r="J3272" s="15"/>
    </row>
    <row r="3273" spans="6:10" ht="15">
      <c r="F3273" s="15"/>
      <c r="H3273" s="15"/>
      <c r="J3273" s="15"/>
    </row>
    <row r="3274" spans="6:10" ht="15">
      <c r="F3274" s="15"/>
      <c r="H3274" s="15"/>
      <c r="J3274" s="15"/>
    </row>
    <row r="3275" spans="6:10" ht="15">
      <c r="F3275" s="15"/>
      <c r="H3275" s="15"/>
      <c r="J3275" s="15"/>
    </row>
    <row r="3276" spans="6:10" ht="15">
      <c r="F3276" s="15"/>
      <c r="H3276" s="15"/>
      <c r="J3276" s="15"/>
    </row>
    <row r="3277" spans="6:10" ht="15">
      <c r="F3277" s="15"/>
      <c r="H3277" s="15"/>
      <c r="J3277" s="15"/>
    </row>
    <row r="3278" spans="6:10" ht="15">
      <c r="F3278" s="15"/>
      <c r="H3278" s="15"/>
      <c r="J3278" s="15"/>
    </row>
    <row r="3279" spans="6:10" ht="15">
      <c r="F3279" s="15"/>
      <c r="H3279" s="15"/>
      <c r="J3279" s="15"/>
    </row>
    <row r="3280" spans="6:10" ht="15">
      <c r="F3280" s="15"/>
      <c r="H3280" s="15"/>
      <c r="J3280" s="15"/>
    </row>
    <row r="3281" spans="6:10" ht="15">
      <c r="F3281" s="15"/>
      <c r="H3281" s="15"/>
      <c r="J3281" s="15"/>
    </row>
    <row r="3282" spans="6:10" ht="15">
      <c r="F3282" s="15"/>
      <c r="H3282" s="15"/>
      <c r="J3282" s="15"/>
    </row>
    <row r="3283" spans="6:10" ht="15">
      <c r="F3283" s="15"/>
      <c r="H3283" s="15"/>
      <c r="J3283" s="15"/>
    </row>
    <row r="3284" spans="6:10" ht="15">
      <c r="F3284" s="15"/>
      <c r="H3284" s="15"/>
      <c r="J3284" s="15"/>
    </row>
    <row r="3285" spans="6:10" ht="15">
      <c r="F3285" s="15"/>
      <c r="H3285" s="15"/>
      <c r="J3285" s="15"/>
    </row>
    <row r="3286" spans="6:10" ht="15">
      <c r="F3286" s="15"/>
      <c r="H3286" s="15"/>
      <c r="J3286" s="15"/>
    </row>
    <row r="3287" spans="6:10" ht="15">
      <c r="F3287" s="15"/>
      <c r="H3287" s="15"/>
      <c r="J3287" s="15"/>
    </row>
    <row r="3288" spans="6:10" ht="15">
      <c r="F3288" s="15"/>
      <c r="H3288" s="15"/>
      <c r="J3288" s="15"/>
    </row>
    <row r="3289" spans="6:10" ht="15">
      <c r="F3289" s="15"/>
      <c r="H3289" s="15"/>
      <c r="J3289" s="15"/>
    </row>
    <row r="3290" spans="6:10" ht="15">
      <c r="F3290" s="15"/>
      <c r="H3290" s="15"/>
      <c r="J3290" s="15"/>
    </row>
    <row r="3291" spans="6:10" ht="15">
      <c r="F3291" s="15"/>
      <c r="H3291" s="15"/>
      <c r="J3291" s="15"/>
    </row>
    <row r="3292" spans="6:10" ht="15">
      <c r="F3292" s="15"/>
      <c r="H3292" s="15"/>
      <c r="J3292" s="15"/>
    </row>
    <row r="3293" spans="6:10" ht="15">
      <c r="F3293" s="15"/>
      <c r="H3293" s="15"/>
      <c r="J3293" s="15"/>
    </row>
    <row r="3294" spans="6:10" ht="15">
      <c r="F3294" s="15"/>
      <c r="H3294" s="15"/>
      <c r="J3294" s="15"/>
    </row>
    <row r="3295" spans="6:10" ht="15">
      <c r="F3295" s="15"/>
      <c r="H3295" s="15"/>
      <c r="J3295" s="15"/>
    </row>
    <row r="3296" spans="6:10" ht="15">
      <c r="F3296" s="15"/>
      <c r="H3296" s="15"/>
      <c r="J3296" s="15"/>
    </row>
    <row r="3297" spans="6:10" ht="15">
      <c r="F3297" s="15"/>
      <c r="H3297" s="15"/>
      <c r="J3297" s="15"/>
    </row>
    <row r="3298" spans="6:10" ht="15">
      <c r="F3298" s="15"/>
      <c r="H3298" s="15"/>
      <c r="J3298" s="15"/>
    </row>
    <row r="3299" spans="6:10" ht="15">
      <c r="F3299" s="15"/>
      <c r="H3299" s="15"/>
      <c r="J3299" s="15"/>
    </row>
    <row r="3300" spans="6:10" ht="15">
      <c r="F3300" s="15"/>
      <c r="H3300" s="15"/>
      <c r="J3300" s="15"/>
    </row>
    <row r="3301" spans="6:10" ht="15">
      <c r="F3301" s="15"/>
      <c r="H3301" s="15"/>
      <c r="J3301" s="15"/>
    </row>
    <row r="3302" spans="6:10" ht="15">
      <c r="F3302" s="15"/>
      <c r="H3302" s="15"/>
      <c r="J3302" s="15"/>
    </row>
    <row r="3303" spans="6:10" ht="15">
      <c r="F3303" s="15"/>
      <c r="H3303" s="15"/>
      <c r="J3303" s="15"/>
    </row>
    <row r="3304" spans="6:10" ht="15">
      <c r="F3304" s="15"/>
      <c r="H3304" s="15"/>
      <c r="J3304" s="15"/>
    </row>
    <row r="3305" spans="6:10" ht="15">
      <c r="F3305" s="15"/>
      <c r="H3305" s="15"/>
      <c r="J3305" s="15"/>
    </row>
    <row r="3306" spans="6:10" ht="15">
      <c r="F3306" s="15"/>
      <c r="H3306" s="15"/>
      <c r="J3306" s="15"/>
    </row>
    <row r="3307" spans="6:10" ht="15">
      <c r="F3307" s="15"/>
      <c r="H3307" s="15"/>
      <c r="J3307" s="15"/>
    </row>
    <row r="3308" spans="6:10" ht="15">
      <c r="F3308" s="15"/>
      <c r="H3308" s="15"/>
      <c r="J3308" s="15"/>
    </row>
    <row r="3309" spans="6:10" ht="15">
      <c r="F3309" s="15"/>
      <c r="H3309" s="15"/>
      <c r="J3309" s="15"/>
    </row>
    <row r="3310" spans="6:10" ht="15">
      <c r="F3310" s="15"/>
      <c r="H3310" s="15"/>
      <c r="J3310" s="15"/>
    </row>
    <row r="3311" spans="6:10" ht="15">
      <c r="F3311" s="15"/>
      <c r="H3311" s="15"/>
      <c r="J3311" s="15"/>
    </row>
    <row r="3312" spans="6:10" ht="15">
      <c r="F3312" s="15"/>
      <c r="H3312" s="15"/>
      <c r="J3312" s="15"/>
    </row>
    <row r="3313" spans="6:10" ht="15">
      <c r="F3313" s="15"/>
      <c r="H3313" s="15"/>
      <c r="J3313" s="15"/>
    </row>
    <row r="3314" spans="6:10" ht="15">
      <c r="F3314" s="15"/>
      <c r="H3314" s="15"/>
      <c r="J3314" s="15"/>
    </row>
    <row r="3315" spans="6:10" ht="15">
      <c r="F3315" s="15"/>
      <c r="H3315" s="15"/>
      <c r="J3315" s="15"/>
    </row>
    <row r="3316" spans="6:10" ht="15">
      <c r="F3316" s="15"/>
      <c r="H3316" s="15"/>
      <c r="J3316" s="15"/>
    </row>
    <row r="3317" spans="6:10" ht="15">
      <c r="F3317" s="15"/>
      <c r="H3317" s="15"/>
      <c r="J3317" s="15"/>
    </row>
    <row r="3318" spans="6:10" ht="15">
      <c r="F3318" s="15"/>
      <c r="H3318" s="15"/>
      <c r="J3318" s="15"/>
    </row>
    <row r="3319" spans="6:10" ht="15">
      <c r="F3319" s="15"/>
      <c r="H3319" s="15"/>
      <c r="J3319" s="15"/>
    </row>
    <row r="3320" spans="6:10" ht="15">
      <c r="F3320" s="15"/>
      <c r="H3320" s="15"/>
      <c r="J3320" s="15"/>
    </row>
    <row r="3321" spans="6:10" ht="15">
      <c r="F3321" s="15"/>
      <c r="H3321" s="15"/>
      <c r="J3321" s="15"/>
    </row>
    <row r="3322" spans="6:10" ht="15">
      <c r="F3322" s="15"/>
      <c r="H3322" s="15"/>
      <c r="J3322" s="15"/>
    </row>
    <row r="3323" spans="6:10" ht="15">
      <c r="F3323" s="15"/>
      <c r="H3323" s="15"/>
      <c r="J3323" s="15"/>
    </row>
    <row r="3324" spans="6:10" ht="15">
      <c r="F3324" s="15"/>
      <c r="H3324" s="15"/>
      <c r="J3324" s="15"/>
    </row>
    <row r="3325" spans="6:10" ht="15">
      <c r="F3325" s="15"/>
      <c r="H3325" s="15"/>
      <c r="J3325" s="15"/>
    </row>
    <row r="3326" spans="6:10" ht="15">
      <c r="F3326" s="15"/>
      <c r="H3326" s="15"/>
      <c r="J3326" s="15"/>
    </row>
    <row r="3327" spans="6:10" ht="15">
      <c r="F3327" s="15"/>
      <c r="H3327" s="15"/>
      <c r="J3327" s="15"/>
    </row>
    <row r="3328" spans="6:10" ht="15">
      <c r="F3328" s="15"/>
      <c r="H3328" s="15"/>
      <c r="J3328" s="15"/>
    </row>
    <row r="3329" spans="6:10" ht="15">
      <c r="F3329" s="15"/>
      <c r="H3329" s="15"/>
      <c r="J3329" s="15"/>
    </row>
    <row r="3330" spans="6:10" ht="15">
      <c r="F3330" s="15"/>
      <c r="H3330" s="15"/>
      <c r="J3330" s="15"/>
    </row>
    <row r="3331" spans="6:10" ht="15">
      <c r="F3331" s="15"/>
      <c r="H3331" s="15"/>
      <c r="J3331" s="15"/>
    </row>
    <row r="3332" spans="6:10" ht="15">
      <c r="F3332" s="15"/>
      <c r="H3332" s="15"/>
      <c r="J3332" s="15"/>
    </row>
    <row r="3333" spans="6:10" ht="15">
      <c r="F3333" s="15"/>
      <c r="H3333" s="15"/>
      <c r="J3333" s="15"/>
    </row>
    <row r="3334" spans="6:10" ht="15">
      <c r="F3334" s="15"/>
      <c r="H3334" s="15"/>
      <c r="J3334" s="15"/>
    </row>
    <row r="3335" spans="6:10" ht="15">
      <c r="F3335" s="15"/>
      <c r="H3335" s="15"/>
      <c r="J3335" s="15"/>
    </row>
    <row r="3336" spans="6:10" ht="15">
      <c r="F3336" s="15"/>
      <c r="H3336" s="15"/>
      <c r="J3336" s="15"/>
    </row>
    <row r="3337" spans="6:10" ht="15">
      <c r="F3337" s="15"/>
      <c r="H3337" s="15"/>
      <c r="J3337" s="15"/>
    </row>
    <row r="3338" spans="6:10" ht="15">
      <c r="F3338" s="15"/>
      <c r="H3338" s="15"/>
      <c r="J3338" s="15"/>
    </row>
    <row r="3339" spans="6:10" ht="15">
      <c r="F3339" s="15"/>
      <c r="H3339" s="15"/>
      <c r="J3339" s="15"/>
    </row>
    <row r="3340" spans="6:10" ht="15">
      <c r="F3340" s="15"/>
      <c r="H3340" s="15"/>
      <c r="J3340" s="15"/>
    </row>
    <row r="3341" spans="6:10" ht="15">
      <c r="F3341" s="15"/>
      <c r="H3341" s="15"/>
      <c r="J3341" s="15"/>
    </row>
    <row r="3342" spans="6:10" ht="15">
      <c r="F3342" s="15"/>
      <c r="H3342" s="15"/>
      <c r="J3342" s="15"/>
    </row>
    <row r="3343" spans="6:10" ht="15">
      <c r="F3343" s="15"/>
      <c r="H3343" s="15"/>
      <c r="J3343" s="15"/>
    </row>
    <row r="3344" spans="6:10" ht="15">
      <c r="F3344" s="15"/>
      <c r="H3344" s="15"/>
      <c r="J3344" s="15"/>
    </row>
    <row r="3345" spans="6:10" ht="15">
      <c r="F3345" s="15"/>
      <c r="H3345" s="15"/>
      <c r="J3345" s="15"/>
    </row>
    <row r="3346" spans="6:10" ht="15">
      <c r="F3346" s="15"/>
      <c r="H3346" s="15"/>
      <c r="J3346" s="15"/>
    </row>
    <row r="3347" spans="6:10" ht="15">
      <c r="F3347" s="15"/>
      <c r="H3347" s="15"/>
      <c r="J3347" s="15"/>
    </row>
    <row r="3348" spans="6:10" ht="15">
      <c r="F3348" s="15"/>
      <c r="H3348" s="15"/>
      <c r="J3348" s="15"/>
    </row>
    <row r="3349" spans="6:10" ht="15">
      <c r="F3349" s="15"/>
      <c r="H3349" s="15"/>
      <c r="J3349" s="15"/>
    </row>
    <row r="3350" spans="6:10" ht="15">
      <c r="F3350" s="15"/>
      <c r="H3350" s="15"/>
      <c r="J3350" s="15"/>
    </row>
    <row r="3351" spans="6:10" ht="15">
      <c r="F3351" s="15"/>
      <c r="H3351" s="15"/>
      <c r="J3351" s="15"/>
    </row>
    <row r="3352" spans="6:10" ht="15">
      <c r="F3352" s="15"/>
      <c r="H3352" s="15"/>
      <c r="J3352" s="15"/>
    </row>
    <row r="3353" spans="6:10" ht="15">
      <c r="F3353" s="15"/>
      <c r="H3353" s="15"/>
      <c r="J3353" s="15"/>
    </row>
    <row r="3354" spans="6:10" ht="15">
      <c r="F3354" s="15"/>
      <c r="H3354" s="15"/>
      <c r="J3354" s="15"/>
    </row>
    <row r="3355" spans="6:10" ht="15">
      <c r="F3355" s="15"/>
      <c r="H3355" s="15"/>
      <c r="J3355" s="15"/>
    </row>
    <row r="3356" spans="6:10" ht="15">
      <c r="F3356" s="15"/>
      <c r="H3356" s="15"/>
      <c r="J3356" s="15"/>
    </row>
    <row r="3357" spans="6:10" ht="15">
      <c r="F3357" s="15"/>
      <c r="H3357" s="15"/>
      <c r="J3357" s="15"/>
    </row>
    <row r="3358" spans="6:10" ht="15">
      <c r="F3358" s="15"/>
      <c r="H3358" s="15"/>
      <c r="J3358" s="15"/>
    </row>
    <row r="3359" spans="6:10" ht="15">
      <c r="F3359" s="15"/>
      <c r="H3359" s="15"/>
      <c r="J3359" s="15"/>
    </row>
    <row r="3360" spans="6:10" ht="15">
      <c r="F3360" s="15"/>
      <c r="H3360" s="15"/>
      <c r="J3360" s="15"/>
    </row>
    <row r="3361" spans="6:10" ht="15">
      <c r="F3361" s="15"/>
      <c r="H3361" s="15"/>
      <c r="J3361" s="15"/>
    </row>
    <row r="3362" spans="6:10" ht="15">
      <c r="F3362" s="15"/>
      <c r="H3362" s="15"/>
      <c r="J3362" s="15"/>
    </row>
    <row r="3363" spans="6:10" ht="15">
      <c r="F3363" s="15"/>
      <c r="H3363" s="15"/>
      <c r="J3363" s="15"/>
    </row>
    <row r="3364" spans="6:10" ht="15">
      <c r="F3364" s="15"/>
      <c r="H3364" s="15"/>
      <c r="J3364" s="15"/>
    </row>
    <row r="3365" spans="6:10" ht="15">
      <c r="F3365" s="15"/>
      <c r="H3365" s="15"/>
      <c r="J3365" s="15"/>
    </row>
    <row r="3366" spans="6:10" ht="15">
      <c r="F3366" s="15"/>
      <c r="H3366" s="15"/>
      <c r="J3366" s="15"/>
    </row>
    <row r="3367" spans="6:10" ht="15">
      <c r="F3367" s="15"/>
      <c r="H3367" s="15"/>
      <c r="J3367" s="15"/>
    </row>
    <row r="3368" spans="6:10" ht="15">
      <c r="F3368" s="15"/>
      <c r="H3368" s="15"/>
      <c r="J3368" s="15"/>
    </row>
    <row r="3369" spans="6:10" ht="15">
      <c r="F3369" s="15"/>
      <c r="H3369" s="15"/>
      <c r="J3369" s="15"/>
    </row>
    <row r="3370" spans="6:10" ht="15">
      <c r="F3370" s="15"/>
      <c r="H3370" s="15"/>
      <c r="J3370" s="15"/>
    </row>
    <row r="3371" spans="6:10" ht="15">
      <c r="F3371" s="15"/>
      <c r="H3371" s="15"/>
      <c r="J3371" s="15"/>
    </row>
    <row r="3372" spans="6:10" ht="15">
      <c r="F3372" s="15"/>
      <c r="H3372" s="15"/>
      <c r="J3372" s="15"/>
    </row>
    <row r="3373" spans="6:10" ht="15">
      <c r="F3373" s="15"/>
      <c r="H3373" s="15"/>
      <c r="J3373" s="15"/>
    </row>
    <row r="3374" spans="6:10" ht="15">
      <c r="F3374" s="15"/>
      <c r="H3374" s="15"/>
      <c r="J3374" s="15"/>
    </row>
    <row r="3375" spans="6:10" ht="15">
      <c r="F3375" s="15"/>
      <c r="H3375" s="15"/>
      <c r="J3375" s="15"/>
    </row>
    <row r="3376" spans="6:10" ht="15">
      <c r="F3376" s="15"/>
      <c r="H3376" s="15"/>
      <c r="J3376" s="15"/>
    </row>
    <row r="3377" spans="6:10" ht="15">
      <c r="F3377" s="15"/>
      <c r="H3377" s="15"/>
      <c r="J3377" s="15"/>
    </row>
    <row r="3378" spans="6:10" ht="15">
      <c r="F3378" s="15"/>
      <c r="H3378" s="15"/>
      <c r="J3378" s="15"/>
    </row>
    <row r="3379" spans="6:10" ht="15">
      <c r="F3379" s="15"/>
      <c r="H3379" s="15"/>
      <c r="J3379" s="15"/>
    </row>
    <row r="3380" spans="6:10" ht="15">
      <c r="F3380" s="15"/>
      <c r="H3380" s="15"/>
      <c r="J3380" s="15"/>
    </row>
    <row r="3381" spans="6:10" ht="15">
      <c r="F3381" s="15"/>
      <c r="H3381" s="15"/>
      <c r="J3381" s="15"/>
    </row>
    <row r="3382" spans="6:10" ht="15">
      <c r="F3382" s="15"/>
      <c r="H3382" s="15"/>
      <c r="J3382" s="15"/>
    </row>
    <row r="3383" spans="6:10" ht="15">
      <c r="F3383" s="15"/>
      <c r="H3383" s="15"/>
      <c r="J3383" s="15"/>
    </row>
    <row r="3384" spans="6:10" ht="15">
      <c r="F3384" s="15"/>
      <c r="H3384" s="15"/>
      <c r="J3384" s="15"/>
    </row>
    <row r="3385" spans="6:10" ht="15">
      <c r="F3385" s="15"/>
      <c r="H3385" s="15"/>
      <c r="J3385" s="15"/>
    </row>
    <row r="3386" spans="6:10" ht="15">
      <c r="F3386" s="15"/>
      <c r="H3386" s="15"/>
      <c r="J3386" s="15"/>
    </row>
    <row r="3387" spans="6:10" ht="15">
      <c r="F3387" s="15"/>
      <c r="H3387" s="15"/>
      <c r="J3387" s="15"/>
    </row>
    <row r="3388" spans="6:10" ht="15">
      <c r="F3388" s="15"/>
      <c r="H3388" s="15"/>
      <c r="J3388" s="15"/>
    </row>
    <row r="3389" spans="6:10" ht="15">
      <c r="F3389" s="15"/>
      <c r="H3389" s="15"/>
      <c r="J3389" s="15"/>
    </row>
    <row r="3390" spans="6:10" ht="15">
      <c r="F3390" s="15"/>
      <c r="H3390" s="15"/>
      <c r="J3390" s="15"/>
    </row>
    <row r="3391" spans="6:10" ht="15">
      <c r="F3391" s="15"/>
      <c r="H3391" s="15"/>
      <c r="J3391" s="15"/>
    </row>
    <row r="3392" spans="6:10" ht="15">
      <c r="F3392" s="15"/>
      <c r="H3392" s="15"/>
      <c r="J3392" s="15"/>
    </row>
    <row r="3393" spans="6:10" ht="15">
      <c r="F3393" s="15"/>
      <c r="H3393" s="15"/>
      <c r="J3393" s="15"/>
    </row>
    <row r="3394" spans="6:10" ht="15">
      <c r="F3394" s="15"/>
      <c r="H3394" s="15"/>
      <c r="J3394" s="15"/>
    </row>
    <row r="3395" spans="6:10" ht="15">
      <c r="F3395" s="15"/>
      <c r="H3395" s="15"/>
      <c r="J3395" s="15"/>
    </row>
    <row r="3396" spans="6:10" ht="15">
      <c r="F3396" s="15"/>
      <c r="H3396" s="15"/>
      <c r="J3396" s="15"/>
    </row>
    <row r="3397" spans="6:10" ht="15">
      <c r="F3397" s="15"/>
      <c r="H3397" s="15"/>
      <c r="J3397" s="15"/>
    </row>
    <row r="3398" spans="6:10" ht="15">
      <c r="F3398" s="15"/>
      <c r="H3398" s="15"/>
      <c r="J3398" s="15"/>
    </row>
    <row r="3399" spans="6:10" ht="15">
      <c r="F3399" s="15"/>
      <c r="H3399" s="15"/>
      <c r="J3399" s="15"/>
    </row>
    <row r="3400" spans="6:10" ht="15">
      <c r="F3400" s="15"/>
      <c r="H3400" s="15"/>
      <c r="J3400" s="15"/>
    </row>
    <row r="3401" spans="6:10" ht="15">
      <c r="F3401" s="15"/>
      <c r="H3401" s="15"/>
      <c r="J3401" s="15"/>
    </row>
    <row r="3402" spans="6:10" ht="15">
      <c r="F3402" s="15"/>
      <c r="H3402" s="15"/>
      <c r="J3402" s="15"/>
    </row>
    <row r="3403" spans="6:10" ht="15">
      <c r="F3403" s="15"/>
      <c r="H3403" s="15"/>
      <c r="J3403" s="15"/>
    </row>
    <row r="3404" spans="6:10" ht="15">
      <c r="F3404" s="15"/>
      <c r="H3404" s="15"/>
      <c r="J3404" s="15"/>
    </row>
    <row r="3405" spans="6:10" ht="15">
      <c r="F3405" s="15"/>
      <c r="H3405" s="15"/>
      <c r="J3405" s="15"/>
    </row>
    <row r="3406" spans="6:10" ht="15">
      <c r="F3406" s="15"/>
      <c r="H3406" s="15"/>
      <c r="J3406" s="15"/>
    </row>
    <row r="3407" spans="6:10" ht="15">
      <c r="F3407" s="15"/>
      <c r="H3407" s="15"/>
      <c r="J3407" s="15"/>
    </row>
    <row r="3408" spans="6:10" ht="15">
      <c r="F3408" s="15"/>
      <c r="H3408" s="15"/>
      <c r="J3408" s="15"/>
    </row>
    <row r="3409" spans="6:10" ht="15">
      <c r="F3409" s="15"/>
      <c r="H3409" s="15"/>
      <c r="J3409" s="15"/>
    </row>
    <row r="3410" spans="6:10" ht="15">
      <c r="F3410" s="15"/>
      <c r="H3410" s="15"/>
      <c r="J3410" s="15"/>
    </row>
    <row r="3411" spans="6:10" ht="15">
      <c r="F3411" s="15"/>
      <c r="H3411" s="15"/>
      <c r="J3411" s="15"/>
    </row>
    <row r="3412" spans="6:10" ht="15">
      <c r="F3412" s="15"/>
      <c r="H3412" s="15"/>
      <c r="J3412" s="15"/>
    </row>
    <row r="3413" spans="6:10" ht="15">
      <c r="F3413" s="15"/>
      <c r="H3413" s="15"/>
      <c r="J3413" s="15"/>
    </row>
    <row r="3414" spans="6:10" ht="15">
      <c r="F3414" s="15"/>
      <c r="H3414" s="15"/>
      <c r="J3414" s="15"/>
    </row>
    <row r="3415" spans="6:10" ht="15">
      <c r="F3415" s="15"/>
      <c r="H3415" s="15"/>
      <c r="J3415" s="15"/>
    </row>
    <row r="3416" spans="6:10" ht="15">
      <c r="F3416" s="15"/>
      <c r="H3416" s="15"/>
      <c r="J3416" s="15"/>
    </row>
    <row r="3417" spans="6:10" ht="15">
      <c r="F3417" s="15"/>
      <c r="H3417" s="15"/>
      <c r="J3417" s="15"/>
    </row>
    <row r="3418" spans="6:10" ht="15">
      <c r="F3418" s="15"/>
      <c r="H3418" s="15"/>
      <c r="J3418" s="15"/>
    </row>
    <row r="3419" spans="6:10" ht="15">
      <c r="F3419" s="15"/>
      <c r="H3419" s="15"/>
      <c r="J3419" s="15"/>
    </row>
    <row r="3420" spans="6:10" ht="15">
      <c r="F3420" s="15"/>
      <c r="H3420" s="15"/>
      <c r="J3420" s="15"/>
    </row>
    <row r="3421" spans="6:10" ht="15">
      <c r="F3421" s="15"/>
      <c r="H3421" s="15"/>
      <c r="J3421" s="15"/>
    </row>
    <row r="3422" spans="6:10" ht="15">
      <c r="F3422" s="15"/>
      <c r="H3422" s="15"/>
      <c r="J3422" s="15"/>
    </row>
    <row r="3423" spans="6:10" ht="15">
      <c r="F3423" s="15"/>
      <c r="H3423" s="15"/>
      <c r="J3423" s="15"/>
    </row>
    <row r="3424" spans="6:10" ht="15">
      <c r="F3424" s="15"/>
      <c r="H3424" s="15"/>
      <c r="J3424" s="15"/>
    </row>
    <row r="3425" spans="6:10" ht="15">
      <c r="F3425" s="15"/>
      <c r="H3425" s="15"/>
      <c r="J3425" s="15"/>
    </row>
    <row r="3426" spans="6:10" ht="15">
      <c r="F3426" s="15"/>
      <c r="H3426" s="15"/>
      <c r="J3426" s="15"/>
    </row>
    <row r="3427" spans="6:10" ht="15">
      <c r="F3427" s="15"/>
      <c r="H3427" s="15"/>
      <c r="J3427" s="15"/>
    </row>
    <row r="3428" spans="6:10" ht="15">
      <c r="F3428" s="15"/>
      <c r="H3428" s="15"/>
      <c r="J3428" s="15"/>
    </row>
    <row r="3429" spans="6:10" ht="15">
      <c r="F3429" s="15"/>
      <c r="H3429" s="15"/>
      <c r="J3429" s="15"/>
    </row>
    <row r="3430" spans="6:10" ht="15">
      <c r="F3430" s="15"/>
      <c r="H3430" s="15"/>
      <c r="J3430" s="15"/>
    </row>
    <row r="3431" spans="6:10" ht="15">
      <c r="F3431" s="15"/>
      <c r="H3431" s="15"/>
      <c r="J3431" s="15"/>
    </row>
    <row r="3432" spans="6:10" ht="15">
      <c r="F3432" s="15"/>
      <c r="H3432" s="15"/>
      <c r="J3432" s="15"/>
    </row>
    <row r="3433" spans="6:10" ht="15">
      <c r="F3433" s="15"/>
      <c r="H3433" s="15"/>
      <c r="J3433" s="15"/>
    </row>
    <row r="3434" spans="6:10" ht="15">
      <c r="F3434" s="15"/>
      <c r="H3434" s="15"/>
      <c r="J3434" s="15"/>
    </row>
    <row r="3435" spans="6:10" ht="15">
      <c r="F3435" s="15"/>
      <c r="H3435" s="15"/>
      <c r="J3435" s="15"/>
    </row>
    <row r="3436" spans="6:10" ht="15">
      <c r="F3436" s="15"/>
      <c r="H3436" s="15"/>
      <c r="J3436" s="15"/>
    </row>
    <row r="3437" spans="6:10" ht="15">
      <c r="F3437" s="15"/>
      <c r="H3437" s="15"/>
      <c r="J3437" s="15"/>
    </row>
    <row r="3438" spans="6:10" ht="15">
      <c r="F3438" s="15"/>
      <c r="H3438" s="15"/>
      <c r="J3438" s="15"/>
    </row>
    <row r="3439" spans="6:10" ht="15">
      <c r="F3439" s="15"/>
      <c r="H3439" s="15"/>
      <c r="J3439" s="15"/>
    </row>
    <row r="3440" spans="6:10" ht="15">
      <c r="F3440" s="15"/>
      <c r="H3440" s="15"/>
      <c r="J3440" s="15"/>
    </row>
    <row r="3441" spans="6:10" ht="15">
      <c r="F3441" s="15"/>
      <c r="H3441" s="15"/>
      <c r="J3441" s="15"/>
    </row>
    <row r="3442" spans="6:10" ht="15">
      <c r="F3442" s="15"/>
      <c r="H3442" s="15"/>
      <c r="J3442" s="15"/>
    </row>
    <row r="3443" spans="6:10" ht="15">
      <c r="F3443" s="15"/>
      <c r="H3443" s="15"/>
      <c r="J3443" s="15"/>
    </row>
    <row r="3444" spans="6:10" ht="15">
      <c r="F3444" s="15"/>
      <c r="H3444" s="15"/>
      <c r="J3444" s="15"/>
    </row>
    <row r="3445" spans="6:10" ht="15">
      <c r="F3445" s="15"/>
      <c r="H3445" s="15"/>
      <c r="J3445" s="15"/>
    </row>
    <row r="3446" spans="6:10" ht="15">
      <c r="F3446" s="15"/>
      <c r="H3446" s="15"/>
      <c r="J3446" s="15"/>
    </row>
    <row r="3447" spans="6:10" ht="15">
      <c r="F3447" s="15"/>
      <c r="H3447" s="15"/>
      <c r="J3447" s="15"/>
    </row>
    <row r="3448" spans="6:10" ht="15">
      <c r="F3448" s="15"/>
      <c r="H3448" s="15"/>
      <c r="J3448" s="15"/>
    </row>
    <row r="3449" spans="6:10" ht="15">
      <c r="F3449" s="15"/>
      <c r="H3449" s="15"/>
      <c r="J3449" s="15"/>
    </row>
    <row r="3450" spans="6:10" ht="15">
      <c r="F3450" s="15"/>
      <c r="H3450" s="15"/>
      <c r="J3450" s="15"/>
    </row>
    <row r="3451" spans="6:10" ht="15">
      <c r="F3451" s="15"/>
      <c r="H3451" s="15"/>
      <c r="J3451" s="15"/>
    </row>
    <row r="3452" spans="6:10" ht="15">
      <c r="F3452" s="15"/>
      <c r="H3452" s="15"/>
      <c r="J3452" s="15"/>
    </row>
    <row r="3453" spans="6:10" ht="15">
      <c r="F3453" s="15"/>
      <c r="H3453" s="15"/>
      <c r="J3453" s="15"/>
    </row>
    <row r="3454" spans="6:10" ht="15">
      <c r="F3454" s="15"/>
      <c r="H3454" s="15"/>
      <c r="J3454" s="15"/>
    </row>
    <row r="3455" spans="6:10" ht="15">
      <c r="F3455" s="15"/>
      <c r="H3455" s="15"/>
      <c r="J3455" s="15"/>
    </row>
    <row r="3456" spans="6:10" ht="15">
      <c r="F3456" s="15"/>
      <c r="H3456" s="15"/>
      <c r="J3456" s="15"/>
    </row>
    <row r="3457" spans="6:10" ht="15">
      <c r="F3457" s="15"/>
      <c r="H3457" s="15"/>
      <c r="J3457" s="15"/>
    </row>
    <row r="3458" spans="6:10" ht="15">
      <c r="F3458" s="15"/>
      <c r="H3458" s="15"/>
      <c r="J3458" s="15"/>
    </row>
    <row r="3459" spans="6:10" ht="15">
      <c r="F3459" s="15"/>
      <c r="H3459" s="15"/>
      <c r="J3459" s="15"/>
    </row>
    <row r="3460" spans="6:10" ht="15">
      <c r="F3460" s="15"/>
      <c r="H3460" s="15"/>
      <c r="J3460" s="15"/>
    </row>
    <row r="3461" spans="6:10" ht="15">
      <c r="F3461" s="15"/>
      <c r="H3461" s="15"/>
      <c r="J3461" s="15"/>
    </row>
    <row r="3462" spans="6:10" ht="15">
      <c r="F3462" s="15"/>
      <c r="H3462" s="15"/>
      <c r="J3462" s="15"/>
    </row>
    <row r="3463" spans="6:10" ht="15">
      <c r="F3463" s="15"/>
      <c r="H3463" s="15"/>
      <c r="J3463" s="15"/>
    </row>
    <row r="3464" spans="6:10" ht="15">
      <c r="F3464" s="15"/>
      <c r="H3464" s="15"/>
      <c r="J3464" s="15"/>
    </row>
    <row r="3465" spans="6:10" ht="15">
      <c r="F3465" s="15"/>
      <c r="H3465" s="15"/>
      <c r="J3465" s="15"/>
    </row>
    <row r="3466" spans="6:10" ht="15">
      <c r="F3466" s="15"/>
      <c r="H3466" s="15"/>
      <c r="J3466" s="15"/>
    </row>
    <row r="3467" spans="6:10" ht="15">
      <c r="F3467" s="15"/>
      <c r="H3467" s="15"/>
      <c r="J3467" s="15"/>
    </row>
    <row r="3468" spans="6:10" ht="15">
      <c r="F3468" s="15"/>
      <c r="H3468" s="15"/>
      <c r="J3468" s="15"/>
    </row>
    <row r="3469" spans="6:10" ht="15">
      <c r="F3469" s="15"/>
      <c r="H3469" s="15"/>
      <c r="J3469" s="15"/>
    </row>
    <row r="3470" spans="6:10" ht="15">
      <c r="F3470" s="15"/>
      <c r="H3470" s="15"/>
      <c r="J3470" s="15"/>
    </row>
    <row r="3471" spans="6:10" ht="15">
      <c r="F3471" s="15"/>
      <c r="H3471" s="15"/>
      <c r="J3471" s="15"/>
    </row>
    <row r="3472" spans="6:10" ht="15">
      <c r="F3472" s="15"/>
      <c r="H3472" s="15"/>
      <c r="J3472" s="15"/>
    </row>
    <row r="3473" spans="6:10" ht="15">
      <c r="F3473" s="15"/>
      <c r="H3473" s="15"/>
      <c r="J3473" s="15"/>
    </row>
    <row r="3474" spans="6:10" ht="15">
      <c r="F3474" s="15"/>
      <c r="H3474" s="15"/>
      <c r="J3474" s="15"/>
    </row>
    <row r="3475" spans="6:10" ht="15">
      <c r="F3475" s="15"/>
      <c r="H3475" s="15"/>
      <c r="J3475" s="15"/>
    </row>
    <row r="3476" spans="6:10" ht="15">
      <c r="F3476" s="15"/>
      <c r="H3476" s="15"/>
      <c r="J3476" s="15"/>
    </row>
    <row r="3477" spans="6:10" ht="15">
      <c r="F3477" s="15"/>
      <c r="H3477" s="15"/>
      <c r="J3477" s="15"/>
    </row>
    <row r="3478" spans="6:10" ht="15">
      <c r="F3478" s="15"/>
      <c r="H3478" s="15"/>
      <c r="J3478" s="15"/>
    </row>
    <row r="3479" spans="6:10" ht="15">
      <c r="F3479" s="15"/>
      <c r="H3479" s="15"/>
      <c r="J3479" s="15"/>
    </row>
    <row r="3480" spans="6:10" ht="15">
      <c r="F3480" s="15"/>
      <c r="H3480" s="15"/>
      <c r="J3480" s="15"/>
    </row>
    <row r="3481" spans="6:10" ht="15">
      <c r="F3481" s="15"/>
      <c r="H3481" s="15"/>
      <c r="J3481" s="15"/>
    </row>
    <row r="3482" spans="6:10" ht="15">
      <c r="F3482" s="15"/>
      <c r="H3482" s="15"/>
      <c r="J3482" s="15"/>
    </row>
    <row r="3483" spans="6:10" ht="15">
      <c r="F3483" s="15"/>
      <c r="H3483" s="15"/>
      <c r="J3483" s="15"/>
    </row>
    <row r="3484" spans="6:10" ht="15">
      <c r="F3484" s="15"/>
      <c r="H3484" s="15"/>
      <c r="J3484" s="15"/>
    </row>
    <row r="3485" spans="6:10" ht="15">
      <c r="F3485" s="15"/>
      <c r="H3485" s="15"/>
      <c r="J3485" s="15"/>
    </row>
    <row r="3486" spans="6:10" ht="15">
      <c r="F3486" s="15"/>
      <c r="H3486" s="15"/>
      <c r="J3486" s="15"/>
    </row>
    <row r="3487" spans="6:10" ht="15">
      <c r="F3487" s="15"/>
      <c r="H3487" s="15"/>
      <c r="J3487" s="15"/>
    </row>
    <row r="3488" spans="6:10" ht="15">
      <c r="F3488" s="15"/>
      <c r="H3488" s="15"/>
      <c r="J3488" s="15"/>
    </row>
    <row r="3489" spans="6:10" ht="15">
      <c r="F3489" s="15"/>
      <c r="H3489" s="15"/>
      <c r="J3489" s="15"/>
    </row>
    <row r="3490" spans="6:10" ht="15">
      <c r="F3490" s="15"/>
      <c r="H3490" s="15"/>
      <c r="J3490" s="15"/>
    </row>
    <row r="3491" spans="6:10" ht="15">
      <c r="F3491" s="15"/>
      <c r="H3491" s="15"/>
      <c r="J3491" s="15"/>
    </row>
    <row r="3492" spans="6:10" ht="15">
      <c r="F3492" s="15"/>
      <c r="H3492" s="15"/>
      <c r="J3492" s="15"/>
    </row>
    <row r="3493" spans="6:10" ht="15">
      <c r="F3493" s="15"/>
      <c r="H3493" s="15"/>
      <c r="J3493" s="15"/>
    </row>
    <row r="3494" spans="6:10" ht="15">
      <c r="F3494" s="15"/>
      <c r="H3494" s="15"/>
      <c r="J3494" s="15"/>
    </row>
    <row r="3495" spans="6:10" ht="15">
      <c r="F3495" s="15"/>
      <c r="H3495" s="15"/>
      <c r="J3495" s="15"/>
    </row>
    <row r="3496" spans="6:10" ht="15">
      <c r="F3496" s="15"/>
      <c r="H3496" s="15"/>
      <c r="J3496" s="15"/>
    </row>
    <row r="3497" spans="6:10" ht="15">
      <c r="F3497" s="15"/>
      <c r="H3497" s="15"/>
      <c r="J3497" s="15"/>
    </row>
    <row r="3498" spans="6:10" ht="15">
      <c r="F3498" s="15"/>
      <c r="H3498" s="15"/>
      <c r="J3498" s="15"/>
    </row>
    <row r="3499" spans="6:10" ht="15">
      <c r="F3499" s="15"/>
      <c r="H3499" s="15"/>
      <c r="J3499" s="15"/>
    </row>
    <row r="3500" spans="6:10" ht="15">
      <c r="F3500" s="15"/>
      <c r="H3500" s="15"/>
      <c r="J3500" s="15"/>
    </row>
    <row r="3501" spans="6:10" ht="15">
      <c r="F3501" s="15"/>
      <c r="H3501" s="15"/>
      <c r="J3501" s="15"/>
    </row>
    <row r="3502" spans="6:10" ht="15">
      <c r="F3502" s="15"/>
      <c r="H3502" s="15"/>
      <c r="J3502" s="15"/>
    </row>
    <row r="3503" spans="6:10" ht="15">
      <c r="F3503" s="15"/>
      <c r="H3503" s="15"/>
      <c r="J3503" s="15"/>
    </row>
    <row r="3504" spans="6:10" ht="15">
      <c r="F3504" s="15"/>
      <c r="H3504" s="15"/>
      <c r="J3504" s="15"/>
    </row>
    <row r="3505" spans="6:10" ht="15">
      <c r="F3505" s="15"/>
      <c r="H3505" s="15"/>
      <c r="J3505" s="15"/>
    </row>
    <row r="3506" spans="6:10" ht="15">
      <c r="F3506" s="15"/>
      <c r="H3506" s="15"/>
      <c r="J3506" s="15"/>
    </row>
    <row r="3507" spans="6:10" ht="15">
      <c r="F3507" s="15"/>
      <c r="H3507" s="15"/>
      <c r="J3507" s="15"/>
    </row>
    <row r="3508" spans="6:10" ht="15">
      <c r="F3508" s="15"/>
      <c r="H3508" s="15"/>
      <c r="J3508" s="15"/>
    </row>
    <row r="3509" spans="6:10" ht="15">
      <c r="F3509" s="15"/>
      <c r="H3509" s="15"/>
      <c r="J3509" s="15"/>
    </row>
    <row r="3510" spans="6:10" ht="15">
      <c r="F3510" s="15"/>
      <c r="H3510" s="15"/>
      <c r="J3510" s="15"/>
    </row>
    <row r="3511" spans="6:10" ht="15">
      <c r="F3511" s="15"/>
      <c r="H3511" s="15"/>
      <c r="J3511" s="15"/>
    </row>
    <row r="3512" spans="6:10" ht="15">
      <c r="F3512" s="15"/>
      <c r="H3512" s="15"/>
      <c r="J3512" s="15"/>
    </row>
    <row r="3513" spans="6:10" ht="15">
      <c r="F3513" s="15"/>
      <c r="H3513" s="15"/>
      <c r="J3513" s="15"/>
    </row>
    <row r="3514" spans="6:10" ht="15">
      <c r="F3514" s="15"/>
      <c r="H3514" s="15"/>
      <c r="J3514" s="15"/>
    </row>
    <row r="3515" spans="6:10" ht="15">
      <c r="F3515" s="15"/>
      <c r="H3515" s="15"/>
      <c r="J3515" s="15"/>
    </row>
    <row r="3516" spans="6:10" ht="15">
      <c r="F3516" s="15"/>
      <c r="H3516" s="15"/>
      <c r="J3516" s="15"/>
    </row>
    <row r="3517" spans="6:10" ht="15">
      <c r="F3517" s="15"/>
      <c r="H3517" s="15"/>
      <c r="J3517" s="15"/>
    </row>
    <row r="3518" spans="6:10" ht="15">
      <c r="F3518" s="15"/>
      <c r="H3518" s="15"/>
      <c r="J3518" s="15"/>
    </row>
    <row r="3519" spans="6:10" ht="15">
      <c r="F3519" s="15"/>
      <c r="H3519" s="15"/>
      <c r="J3519" s="15"/>
    </row>
    <row r="3520" spans="6:10" ht="15">
      <c r="F3520" s="15"/>
      <c r="H3520" s="15"/>
      <c r="J3520" s="15"/>
    </row>
    <row r="3521" spans="6:10" ht="15">
      <c r="F3521" s="15"/>
      <c r="H3521" s="15"/>
      <c r="J3521" s="15"/>
    </row>
    <row r="3522" spans="6:10" ht="15">
      <c r="F3522" s="15"/>
      <c r="H3522" s="15"/>
      <c r="J3522" s="15"/>
    </row>
    <row r="3523" spans="6:10" ht="15">
      <c r="F3523" s="15"/>
      <c r="H3523" s="15"/>
      <c r="J3523" s="15"/>
    </row>
    <row r="3524" spans="6:10" ht="15">
      <c r="F3524" s="15"/>
      <c r="H3524" s="15"/>
      <c r="J3524" s="15"/>
    </row>
    <row r="3525" spans="6:10" ht="15">
      <c r="F3525" s="15"/>
      <c r="H3525" s="15"/>
      <c r="J3525" s="15"/>
    </row>
    <row r="3526" spans="6:10" ht="15">
      <c r="F3526" s="15"/>
      <c r="H3526" s="15"/>
      <c r="J3526" s="15"/>
    </row>
    <row r="3527" spans="6:10" ht="15">
      <c r="F3527" s="15"/>
      <c r="H3527" s="15"/>
      <c r="J3527" s="15"/>
    </row>
    <row r="3528" spans="6:10" ht="15">
      <c r="F3528" s="15"/>
      <c r="H3528" s="15"/>
      <c r="J3528" s="15"/>
    </row>
    <row r="3529" spans="6:10" ht="15">
      <c r="F3529" s="15"/>
      <c r="H3529" s="15"/>
      <c r="J3529" s="15"/>
    </row>
    <row r="3530" spans="6:10" ht="15">
      <c r="F3530" s="15"/>
      <c r="H3530" s="15"/>
      <c r="J3530" s="15"/>
    </row>
    <row r="3531" spans="6:10" ht="15">
      <c r="F3531" s="15"/>
      <c r="H3531" s="15"/>
      <c r="J3531" s="15"/>
    </row>
    <row r="3532" spans="6:10" ht="15">
      <c r="F3532" s="15"/>
      <c r="H3532" s="15"/>
      <c r="J3532" s="15"/>
    </row>
    <row r="3533" spans="6:10" ht="15">
      <c r="F3533" s="15"/>
      <c r="H3533" s="15"/>
      <c r="J3533" s="15"/>
    </row>
    <row r="3534" spans="6:10" ht="15">
      <c r="F3534" s="15"/>
      <c r="H3534" s="15"/>
      <c r="J3534" s="15"/>
    </row>
    <row r="3535" spans="6:10" ht="15">
      <c r="F3535" s="15"/>
      <c r="H3535" s="15"/>
      <c r="J3535" s="15"/>
    </row>
    <row r="3536" spans="6:10" ht="15">
      <c r="F3536" s="15"/>
      <c r="H3536" s="15"/>
      <c r="J3536" s="15"/>
    </row>
    <row r="3537" spans="6:10" ht="15">
      <c r="F3537" s="15"/>
      <c r="H3537" s="15"/>
      <c r="J3537" s="15"/>
    </row>
    <row r="3538" spans="6:10" ht="15">
      <c r="F3538" s="15"/>
      <c r="H3538" s="15"/>
      <c r="J3538" s="15"/>
    </row>
    <row r="3539" spans="6:10" ht="15">
      <c r="F3539" s="15"/>
      <c r="H3539" s="15"/>
      <c r="J3539" s="15"/>
    </row>
    <row r="3540" spans="6:10" ht="15">
      <c r="F3540" s="15"/>
      <c r="H3540" s="15"/>
      <c r="J3540" s="15"/>
    </row>
    <row r="3541" spans="6:10" ht="15">
      <c r="F3541" s="15"/>
      <c r="H3541" s="15"/>
      <c r="J3541" s="15"/>
    </row>
    <row r="3542" spans="6:10" ht="15">
      <c r="F3542" s="15"/>
      <c r="H3542" s="15"/>
      <c r="J3542" s="15"/>
    </row>
    <row r="3543" spans="6:10" ht="15">
      <c r="F3543" s="15"/>
      <c r="H3543" s="15"/>
      <c r="J3543" s="15"/>
    </row>
    <row r="3544" spans="6:10" ht="15">
      <c r="F3544" s="15"/>
      <c r="H3544" s="15"/>
      <c r="J3544" s="15"/>
    </row>
    <row r="3545" spans="6:10" ht="15">
      <c r="F3545" s="15"/>
      <c r="H3545" s="15"/>
      <c r="J3545" s="15"/>
    </row>
    <row r="3546" spans="6:10" ht="15">
      <c r="F3546" s="15"/>
      <c r="H3546" s="15"/>
      <c r="J3546" s="15"/>
    </row>
    <row r="3547" spans="6:10" ht="15">
      <c r="F3547" s="15"/>
      <c r="H3547" s="15"/>
      <c r="J3547" s="15"/>
    </row>
    <row r="3548" spans="6:10" ht="15">
      <c r="F3548" s="15"/>
      <c r="H3548" s="15"/>
      <c r="J3548" s="15"/>
    </row>
    <row r="3549" spans="6:10" ht="15">
      <c r="F3549" s="15"/>
      <c r="H3549" s="15"/>
      <c r="J3549" s="15"/>
    </row>
    <row r="3550" spans="6:10" ht="15">
      <c r="F3550" s="15"/>
      <c r="H3550" s="15"/>
      <c r="J3550" s="15"/>
    </row>
    <row r="3551" spans="6:10" ht="15">
      <c r="F3551" s="15"/>
      <c r="H3551" s="15"/>
      <c r="J3551" s="15"/>
    </row>
    <row r="3552" spans="6:10" ht="15">
      <c r="F3552" s="15"/>
      <c r="H3552" s="15"/>
      <c r="J3552" s="15"/>
    </row>
    <row r="3553" spans="6:10" ht="15">
      <c r="F3553" s="15"/>
      <c r="H3553" s="15"/>
      <c r="J3553" s="15"/>
    </row>
    <row r="3554" spans="6:10" ht="15">
      <c r="F3554" s="15"/>
      <c r="H3554" s="15"/>
      <c r="J3554" s="15"/>
    </row>
    <row r="3555" spans="6:10" ht="15">
      <c r="F3555" s="15"/>
      <c r="H3555" s="15"/>
      <c r="J3555" s="15"/>
    </row>
    <row r="3556" spans="6:10" ht="15">
      <c r="F3556" s="15"/>
      <c r="H3556" s="15"/>
      <c r="J3556" s="15"/>
    </row>
    <row r="3557" spans="6:10" ht="15">
      <c r="F3557" s="15"/>
      <c r="H3557" s="15"/>
      <c r="J3557" s="15"/>
    </row>
    <row r="3558" spans="6:10" ht="15">
      <c r="F3558" s="15"/>
      <c r="H3558" s="15"/>
      <c r="J3558" s="15"/>
    </row>
    <row r="3559" spans="6:10" ht="15">
      <c r="F3559" s="15"/>
      <c r="H3559" s="15"/>
      <c r="J3559" s="15"/>
    </row>
    <row r="3560" spans="6:10" ht="15">
      <c r="F3560" s="15"/>
      <c r="H3560" s="15"/>
      <c r="J3560" s="15"/>
    </row>
    <row r="3561" spans="6:10" ht="15">
      <c r="F3561" s="15"/>
      <c r="H3561" s="15"/>
      <c r="J3561" s="15"/>
    </row>
    <row r="3562" spans="6:10" ht="15">
      <c r="F3562" s="15"/>
      <c r="H3562" s="15"/>
      <c r="J3562" s="15"/>
    </row>
    <row r="3563" spans="6:10" ht="15">
      <c r="F3563" s="15"/>
      <c r="H3563" s="15"/>
      <c r="J3563" s="15"/>
    </row>
    <row r="3564" spans="6:10" ht="15">
      <c r="F3564" s="15"/>
      <c r="H3564" s="15"/>
      <c r="J3564" s="15"/>
    </row>
    <row r="3565" spans="6:10" ht="15">
      <c r="F3565" s="15"/>
      <c r="H3565" s="15"/>
      <c r="J3565" s="15"/>
    </row>
    <row r="3566" spans="6:10" ht="15">
      <c r="F3566" s="15"/>
      <c r="H3566" s="15"/>
      <c r="J3566" s="15"/>
    </row>
    <row r="3567" spans="6:10" ht="15">
      <c r="F3567" s="15"/>
      <c r="H3567" s="15"/>
      <c r="J3567" s="15"/>
    </row>
    <row r="3568" spans="6:10" ht="15">
      <c r="F3568" s="15"/>
      <c r="H3568" s="15"/>
      <c r="J3568" s="15"/>
    </row>
    <row r="3569" spans="6:10" ht="15">
      <c r="F3569" s="15"/>
      <c r="H3569" s="15"/>
      <c r="J3569" s="15"/>
    </row>
    <row r="3570" spans="6:10" ht="15">
      <c r="F3570" s="15"/>
      <c r="H3570" s="15"/>
      <c r="J3570" s="15"/>
    </row>
    <row r="3571" spans="6:10" ht="15">
      <c r="F3571" s="15"/>
      <c r="H3571" s="15"/>
      <c r="J3571" s="15"/>
    </row>
    <row r="3572" spans="6:10" ht="15">
      <c r="F3572" s="15"/>
      <c r="H3572" s="15"/>
      <c r="J3572" s="15"/>
    </row>
    <row r="3573" spans="6:10" ht="15">
      <c r="F3573" s="15"/>
      <c r="H3573" s="15"/>
      <c r="J3573" s="15"/>
    </row>
    <row r="3574" spans="6:10" ht="15">
      <c r="F3574" s="15"/>
      <c r="H3574" s="15"/>
      <c r="J3574" s="15"/>
    </row>
    <row r="3575" spans="6:10" ht="15">
      <c r="F3575" s="15"/>
      <c r="H3575" s="15"/>
      <c r="J3575" s="15"/>
    </row>
    <row r="3576" spans="6:10" ht="15">
      <c r="F3576" s="15"/>
      <c r="H3576" s="15"/>
      <c r="J3576" s="15"/>
    </row>
    <row r="3577" spans="6:10" ht="15">
      <c r="F3577" s="15"/>
      <c r="H3577" s="15"/>
      <c r="J3577" s="15"/>
    </row>
    <row r="3578" spans="6:10" ht="15">
      <c r="F3578" s="15"/>
      <c r="H3578" s="15"/>
      <c r="J3578" s="15"/>
    </row>
    <row r="3579" spans="6:10" ht="15">
      <c r="F3579" s="15"/>
      <c r="H3579" s="15"/>
      <c r="J3579" s="15"/>
    </row>
    <row r="3580" spans="6:10" ht="15">
      <c r="F3580" s="15"/>
      <c r="H3580" s="15"/>
      <c r="J3580" s="15"/>
    </row>
    <row r="3581" spans="6:10" ht="15">
      <c r="F3581" s="15"/>
      <c r="H3581" s="15"/>
      <c r="J3581" s="15"/>
    </row>
    <row r="3582" spans="6:10" ht="15">
      <c r="F3582" s="15"/>
      <c r="H3582" s="15"/>
      <c r="J3582" s="15"/>
    </row>
    <row r="3583" spans="6:10" ht="15">
      <c r="F3583" s="15"/>
      <c r="H3583" s="15"/>
      <c r="J3583" s="15"/>
    </row>
    <row r="3584" spans="6:10" ht="15">
      <c r="F3584" s="15"/>
      <c r="H3584" s="15"/>
      <c r="J3584" s="15"/>
    </row>
    <row r="3585" spans="6:10" ht="15">
      <c r="F3585" s="15"/>
      <c r="H3585" s="15"/>
      <c r="J3585" s="15"/>
    </row>
    <row r="3586" spans="6:10" ht="15">
      <c r="F3586" s="15"/>
      <c r="H3586" s="15"/>
      <c r="J3586" s="15"/>
    </row>
    <row r="3587" spans="6:10" ht="15">
      <c r="F3587" s="15"/>
      <c r="H3587" s="15"/>
      <c r="J3587" s="15"/>
    </row>
    <row r="3588" spans="6:10" ht="15">
      <c r="F3588" s="15"/>
      <c r="H3588" s="15"/>
      <c r="J3588" s="15"/>
    </row>
    <row r="3589" spans="6:10" ht="15">
      <c r="F3589" s="15"/>
      <c r="H3589" s="15"/>
      <c r="J3589" s="15"/>
    </row>
    <row r="3590" spans="6:10" ht="15">
      <c r="F3590" s="15"/>
      <c r="H3590" s="15"/>
      <c r="J3590" s="15"/>
    </row>
    <row r="3591" spans="6:10" ht="15">
      <c r="F3591" s="15"/>
      <c r="H3591" s="15"/>
      <c r="J3591" s="15"/>
    </row>
    <row r="3592" spans="6:10" ht="15">
      <c r="F3592" s="15"/>
      <c r="H3592" s="15"/>
      <c r="J3592" s="15"/>
    </row>
    <row r="3593" spans="6:10" ht="15">
      <c r="F3593" s="15"/>
      <c r="H3593" s="15"/>
      <c r="J3593" s="15"/>
    </row>
    <row r="3594" spans="6:10" ht="15">
      <c r="F3594" s="15"/>
      <c r="H3594" s="15"/>
      <c r="J3594" s="15"/>
    </row>
    <row r="3595" spans="6:10" ht="15">
      <c r="F3595" s="15"/>
      <c r="H3595" s="15"/>
      <c r="J3595" s="15"/>
    </row>
    <row r="3596" spans="6:10" ht="15">
      <c r="F3596" s="15"/>
      <c r="H3596" s="15"/>
      <c r="J3596" s="15"/>
    </row>
    <row r="3597" spans="6:10" ht="15">
      <c r="F3597" s="15"/>
      <c r="H3597" s="15"/>
      <c r="J3597" s="15"/>
    </row>
    <row r="3598" spans="6:10" ht="15">
      <c r="F3598" s="15"/>
      <c r="H3598" s="15"/>
      <c r="J3598" s="15"/>
    </row>
    <row r="3599" spans="6:10" ht="15">
      <c r="F3599" s="15"/>
      <c r="H3599" s="15"/>
      <c r="J3599" s="15"/>
    </row>
    <row r="3600" spans="6:10" ht="15">
      <c r="F3600" s="15"/>
      <c r="H3600" s="15"/>
      <c r="J3600" s="15"/>
    </row>
    <row r="3601" spans="6:10" ht="15">
      <c r="F3601" s="15"/>
      <c r="H3601" s="15"/>
      <c r="J3601" s="15"/>
    </row>
    <row r="3602" spans="6:10" ht="15">
      <c r="F3602" s="15"/>
      <c r="H3602" s="15"/>
      <c r="J3602" s="15"/>
    </row>
    <row r="3603" spans="6:10" ht="15">
      <c r="F3603" s="15"/>
      <c r="H3603" s="15"/>
      <c r="J3603" s="15"/>
    </row>
    <row r="3604" spans="6:10" ht="15">
      <c r="F3604" s="15"/>
      <c r="H3604" s="15"/>
      <c r="J3604" s="15"/>
    </row>
    <row r="3605" spans="6:10" ht="15">
      <c r="F3605" s="15"/>
      <c r="H3605" s="15"/>
      <c r="J3605" s="15"/>
    </row>
    <row r="3606" spans="6:10" ht="15">
      <c r="F3606" s="15"/>
      <c r="H3606" s="15"/>
      <c r="J3606" s="15"/>
    </row>
    <row r="3607" spans="6:10" ht="15">
      <c r="F3607" s="15"/>
      <c r="H3607" s="15"/>
      <c r="J3607" s="15"/>
    </row>
    <row r="3608" spans="6:10" ht="15">
      <c r="F3608" s="15"/>
      <c r="H3608" s="15"/>
      <c r="J3608" s="15"/>
    </row>
    <row r="3609" spans="6:10" ht="15">
      <c r="F3609" s="15"/>
      <c r="H3609" s="15"/>
      <c r="J3609" s="15"/>
    </row>
    <row r="3610" spans="6:10" ht="15">
      <c r="F3610" s="15"/>
      <c r="H3610" s="15"/>
      <c r="J3610" s="15"/>
    </row>
    <row r="3611" spans="6:10" ht="15">
      <c r="F3611" s="15"/>
      <c r="H3611" s="15"/>
      <c r="J3611" s="15"/>
    </row>
    <row r="3612" spans="6:10" ht="15">
      <c r="F3612" s="15"/>
      <c r="H3612" s="15"/>
      <c r="J3612" s="15"/>
    </row>
    <row r="3613" spans="6:10" ht="15">
      <c r="F3613" s="15"/>
      <c r="H3613" s="15"/>
      <c r="J3613" s="15"/>
    </row>
    <row r="3614" spans="6:10" ht="15">
      <c r="F3614" s="15"/>
      <c r="H3614" s="15"/>
      <c r="J3614" s="15"/>
    </row>
    <row r="3615" spans="6:10" ht="15">
      <c r="F3615" s="15"/>
      <c r="H3615" s="15"/>
      <c r="J3615" s="15"/>
    </row>
    <row r="3616" spans="6:10" ht="15">
      <c r="F3616" s="15"/>
      <c r="H3616" s="15"/>
      <c r="J3616" s="15"/>
    </row>
    <row r="3617" spans="6:10" ht="15">
      <c r="F3617" s="15"/>
      <c r="H3617" s="15"/>
      <c r="J3617" s="15"/>
    </row>
    <row r="3618" spans="6:10" ht="15">
      <c r="F3618" s="15"/>
      <c r="H3618" s="15"/>
      <c r="J3618" s="15"/>
    </row>
    <row r="3619" spans="6:10" ht="15">
      <c r="F3619" s="15"/>
      <c r="H3619" s="15"/>
      <c r="J3619" s="15"/>
    </row>
    <row r="3620" spans="6:10" ht="15">
      <c r="F3620" s="15"/>
      <c r="H3620" s="15"/>
      <c r="J3620" s="15"/>
    </row>
    <row r="3621" spans="6:10" ht="15">
      <c r="F3621" s="15"/>
      <c r="H3621" s="15"/>
      <c r="J3621" s="15"/>
    </row>
    <row r="3622" spans="6:10" ht="15">
      <c r="F3622" s="15"/>
      <c r="H3622" s="15"/>
      <c r="J3622" s="15"/>
    </row>
    <row r="3623" spans="6:10" ht="15">
      <c r="F3623" s="15"/>
      <c r="H3623" s="15"/>
      <c r="J3623" s="15"/>
    </row>
    <row r="3624" spans="6:10" ht="15">
      <c r="F3624" s="15"/>
      <c r="H3624" s="15"/>
      <c r="J3624" s="15"/>
    </row>
    <row r="3625" spans="6:10" ht="15">
      <c r="F3625" s="15"/>
      <c r="H3625" s="15"/>
      <c r="J3625" s="15"/>
    </row>
    <row r="3626" spans="6:10" ht="15">
      <c r="F3626" s="15"/>
      <c r="H3626" s="15"/>
      <c r="J3626" s="15"/>
    </row>
    <row r="3627" spans="6:10" ht="15">
      <c r="F3627" s="15"/>
      <c r="H3627" s="15"/>
      <c r="J3627" s="15"/>
    </row>
    <row r="3628" spans="6:10" ht="15">
      <c r="F3628" s="15"/>
      <c r="H3628" s="15"/>
      <c r="J3628" s="15"/>
    </row>
    <row r="3629" spans="6:10" ht="15">
      <c r="F3629" s="15"/>
      <c r="H3629" s="15"/>
      <c r="J3629" s="15"/>
    </row>
    <row r="3630" spans="6:10" ht="15">
      <c r="F3630" s="15"/>
      <c r="H3630" s="15"/>
      <c r="J3630" s="15"/>
    </row>
    <row r="3631" spans="6:10" ht="15">
      <c r="F3631" s="15"/>
      <c r="H3631" s="15"/>
      <c r="J3631" s="15"/>
    </row>
    <row r="3632" spans="6:10" ht="15">
      <c r="F3632" s="15"/>
      <c r="H3632" s="15"/>
      <c r="J3632" s="15"/>
    </row>
    <row r="3633" spans="6:10" ht="15">
      <c r="F3633" s="15"/>
      <c r="H3633" s="15"/>
      <c r="J3633" s="15"/>
    </row>
    <row r="3634" spans="6:10" ht="15">
      <c r="F3634" s="15"/>
      <c r="H3634" s="15"/>
      <c r="J3634" s="15"/>
    </row>
    <row r="3635" spans="6:10" ht="15">
      <c r="F3635" s="15"/>
      <c r="H3635" s="15"/>
      <c r="J3635" s="15"/>
    </row>
    <row r="3636" spans="6:10" ht="15">
      <c r="F3636" s="15"/>
      <c r="H3636" s="15"/>
      <c r="J3636" s="15"/>
    </row>
    <row r="3637" spans="6:10" ht="15">
      <c r="F3637" s="15"/>
      <c r="H3637" s="15"/>
      <c r="J3637" s="15"/>
    </row>
    <row r="3638" spans="6:10" ht="15">
      <c r="F3638" s="15"/>
      <c r="H3638" s="15"/>
      <c r="J3638" s="15"/>
    </row>
    <row r="3639" spans="6:10" ht="15">
      <c r="F3639" s="15"/>
      <c r="H3639" s="15"/>
      <c r="J3639" s="15"/>
    </row>
    <row r="3640" spans="6:10" ht="15">
      <c r="F3640" s="15"/>
      <c r="H3640" s="15"/>
      <c r="J3640" s="15"/>
    </row>
    <row r="3641" spans="6:10" ht="15">
      <c r="F3641" s="15"/>
      <c r="H3641" s="15"/>
      <c r="J3641" s="15"/>
    </row>
    <row r="3642" spans="6:10" ht="15">
      <c r="F3642" s="15"/>
      <c r="H3642" s="15"/>
      <c r="J3642" s="15"/>
    </row>
    <row r="3643" spans="6:10" ht="15">
      <c r="F3643" s="15"/>
      <c r="H3643" s="15"/>
      <c r="J3643" s="15"/>
    </row>
    <row r="3644" spans="6:10" ht="15">
      <c r="F3644" s="15"/>
      <c r="H3644" s="15"/>
      <c r="J3644" s="15"/>
    </row>
    <row r="3645" spans="6:10" ht="15">
      <c r="F3645" s="15"/>
      <c r="H3645" s="15"/>
      <c r="J3645" s="15"/>
    </row>
    <row r="3646" spans="6:10" ht="15">
      <c r="F3646" s="15"/>
      <c r="H3646" s="15"/>
      <c r="J3646" s="15"/>
    </row>
    <row r="3647" spans="6:10" ht="15">
      <c r="F3647" s="15"/>
      <c r="H3647" s="15"/>
      <c r="J3647" s="15"/>
    </row>
    <row r="3648" spans="6:10" ht="15">
      <c r="F3648" s="15"/>
      <c r="H3648" s="15"/>
      <c r="J3648" s="15"/>
    </row>
    <row r="3649" spans="6:10" ht="15">
      <c r="F3649" s="15"/>
      <c r="H3649" s="15"/>
      <c r="J3649" s="15"/>
    </row>
    <row r="3650" spans="6:10" ht="15">
      <c r="F3650" s="15"/>
      <c r="H3650" s="15"/>
      <c r="J3650" s="15"/>
    </row>
    <row r="3651" spans="6:10" ht="15">
      <c r="F3651" s="15"/>
      <c r="H3651" s="15"/>
      <c r="J3651" s="15"/>
    </row>
    <row r="3652" spans="6:10" ht="15">
      <c r="F3652" s="15"/>
      <c r="H3652" s="15"/>
      <c r="J3652" s="15"/>
    </row>
    <row r="3653" spans="6:10" ht="15">
      <c r="F3653" s="15"/>
      <c r="H3653" s="15"/>
      <c r="J3653" s="15"/>
    </row>
    <row r="3654" spans="6:10" ht="15">
      <c r="F3654" s="15"/>
      <c r="H3654" s="15"/>
      <c r="J3654" s="15"/>
    </row>
    <row r="3655" spans="6:10" ht="15">
      <c r="F3655" s="15"/>
      <c r="H3655" s="15"/>
      <c r="J3655" s="15"/>
    </row>
    <row r="3656" spans="6:10" ht="15">
      <c r="F3656" s="15"/>
      <c r="H3656" s="15"/>
      <c r="J3656" s="15"/>
    </row>
    <row r="3657" spans="6:10" ht="15">
      <c r="F3657" s="15"/>
      <c r="H3657" s="15"/>
      <c r="J3657" s="15"/>
    </row>
    <row r="3658" spans="6:10" ht="15">
      <c r="F3658" s="15"/>
      <c r="H3658" s="15"/>
      <c r="J3658" s="15"/>
    </row>
    <row r="3659" spans="6:10" ht="15">
      <c r="F3659" s="15"/>
      <c r="H3659" s="15"/>
      <c r="J3659" s="15"/>
    </row>
    <row r="3660" spans="6:10" ht="15">
      <c r="F3660" s="15"/>
      <c r="H3660" s="15"/>
      <c r="J3660" s="15"/>
    </row>
    <row r="3661" spans="6:10" ht="15">
      <c r="F3661" s="15"/>
      <c r="H3661" s="15"/>
      <c r="J3661" s="15"/>
    </row>
    <row r="3662" spans="6:10" ht="15">
      <c r="F3662" s="15"/>
      <c r="H3662" s="15"/>
      <c r="J3662" s="15"/>
    </row>
    <row r="3663" spans="6:10" ht="15">
      <c r="F3663" s="15"/>
      <c r="H3663" s="15"/>
      <c r="J3663" s="15"/>
    </row>
    <row r="3664" spans="6:10" ht="15">
      <c r="F3664" s="15"/>
      <c r="H3664" s="15"/>
      <c r="J3664" s="15"/>
    </row>
    <row r="3665" spans="6:10" ht="15">
      <c r="F3665" s="15"/>
      <c r="H3665" s="15"/>
      <c r="J3665" s="15"/>
    </row>
    <row r="3666" spans="6:10" ht="15">
      <c r="F3666" s="15"/>
      <c r="H3666" s="15"/>
      <c r="J3666" s="15"/>
    </row>
    <row r="3667" spans="6:10" ht="15">
      <c r="F3667" s="15"/>
      <c r="H3667" s="15"/>
      <c r="J3667" s="15"/>
    </row>
    <row r="3668" spans="6:10" ht="15">
      <c r="F3668" s="15"/>
      <c r="H3668" s="15"/>
      <c r="J3668" s="15"/>
    </row>
    <row r="3669" spans="6:10" ht="15">
      <c r="F3669" s="15"/>
      <c r="H3669" s="15"/>
      <c r="J3669" s="15"/>
    </row>
    <row r="3670" spans="6:10" ht="15">
      <c r="F3670" s="15"/>
      <c r="H3670" s="15"/>
      <c r="J3670" s="15"/>
    </row>
    <row r="3671" spans="6:10" ht="15">
      <c r="F3671" s="15"/>
      <c r="H3671" s="15"/>
      <c r="J3671" s="15"/>
    </row>
    <row r="3672" spans="6:10" ht="15">
      <c r="F3672" s="15"/>
      <c r="H3672" s="15"/>
      <c r="J3672" s="15"/>
    </row>
    <row r="3673" spans="6:10" ht="15">
      <c r="F3673" s="15"/>
      <c r="H3673" s="15"/>
      <c r="J3673" s="15"/>
    </row>
    <row r="3674" spans="6:10" ht="15">
      <c r="F3674" s="15"/>
      <c r="H3674" s="15"/>
      <c r="J3674" s="15"/>
    </row>
    <row r="3675" spans="6:10" ht="15">
      <c r="F3675" s="15"/>
      <c r="H3675" s="15"/>
      <c r="J3675" s="15"/>
    </row>
    <row r="3676" spans="6:10" ht="15">
      <c r="F3676" s="15"/>
      <c r="H3676" s="15"/>
      <c r="J3676" s="15"/>
    </row>
    <row r="3677" spans="6:10" ht="15">
      <c r="F3677" s="15"/>
      <c r="H3677" s="15"/>
      <c r="J3677" s="15"/>
    </row>
    <row r="3678" spans="6:10" ht="15">
      <c r="F3678" s="15"/>
      <c r="H3678" s="15"/>
      <c r="J3678" s="15"/>
    </row>
    <row r="3679" spans="6:10" ht="15">
      <c r="F3679" s="15"/>
      <c r="H3679" s="15"/>
      <c r="J3679" s="15"/>
    </row>
    <row r="3680" spans="6:10" ht="15">
      <c r="F3680" s="15"/>
      <c r="H3680" s="15"/>
      <c r="J3680" s="15"/>
    </row>
    <row r="3681" spans="6:10" ht="15">
      <c r="F3681" s="15"/>
      <c r="H3681" s="15"/>
      <c r="J3681" s="15"/>
    </row>
    <row r="3682" spans="6:10" ht="15">
      <c r="F3682" s="15"/>
      <c r="H3682" s="15"/>
      <c r="J3682" s="15"/>
    </row>
    <row r="3683" spans="6:10" ht="15">
      <c r="F3683" s="15"/>
      <c r="H3683" s="15"/>
      <c r="J3683" s="15"/>
    </row>
    <row r="3684" spans="6:10" ht="15">
      <c r="F3684" s="15"/>
      <c r="H3684" s="15"/>
      <c r="J3684" s="15"/>
    </row>
    <row r="3685" spans="6:10" ht="15">
      <c r="F3685" s="15"/>
      <c r="H3685" s="15"/>
      <c r="J3685" s="15"/>
    </row>
    <row r="3686" spans="6:10" ht="15">
      <c r="F3686" s="15"/>
      <c r="H3686" s="15"/>
      <c r="J3686" s="15"/>
    </row>
    <row r="3687" spans="6:10" ht="15">
      <c r="F3687" s="15"/>
      <c r="H3687" s="15"/>
      <c r="J3687" s="15"/>
    </row>
    <row r="3688" spans="6:10" ht="15">
      <c r="F3688" s="15"/>
      <c r="H3688" s="15"/>
      <c r="J3688" s="15"/>
    </row>
    <row r="3689" spans="6:10" ht="15">
      <c r="F3689" s="15"/>
      <c r="H3689" s="15"/>
      <c r="J3689" s="15"/>
    </row>
    <row r="3690" spans="6:10" ht="15">
      <c r="F3690" s="15"/>
      <c r="H3690" s="15"/>
      <c r="J3690" s="15"/>
    </row>
    <row r="3691" spans="6:10" ht="15">
      <c r="F3691" s="15"/>
      <c r="H3691" s="15"/>
      <c r="J3691" s="15"/>
    </row>
    <row r="3692" spans="6:10" ht="15">
      <c r="F3692" s="15"/>
      <c r="H3692" s="15"/>
      <c r="J3692" s="15"/>
    </row>
    <row r="3693" spans="6:10" ht="15">
      <c r="F3693" s="15"/>
      <c r="H3693" s="15"/>
      <c r="J3693" s="15"/>
    </row>
    <row r="3694" spans="6:10" ht="15">
      <c r="F3694" s="15"/>
      <c r="H3694" s="15"/>
      <c r="J3694" s="15"/>
    </row>
    <row r="3695" spans="6:10" ht="15">
      <c r="F3695" s="15"/>
      <c r="H3695" s="15"/>
      <c r="J3695" s="15"/>
    </row>
    <row r="3696" spans="6:10" ht="15">
      <c r="F3696" s="15"/>
      <c r="H3696" s="15"/>
      <c r="J3696" s="15"/>
    </row>
    <row r="3697" spans="6:10" ht="15">
      <c r="F3697" s="15"/>
      <c r="H3697" s="15"/>
      <c r="J3697" s="15"/>
    </row>
    <row r="3698" spans="6:10" ht="15">
      <c r="F3698" s="15"/>
      <c r="H3698" s="15"/>
      <c r="J3698" s="15"/>
    </row>
    <row r="3699" spans="6:10" ht="15">
      <c r="F3699" s="15"/>
      <c r="H3699" s="15"/>
      <c r="J3699" s="15"/>
    </row>
    <row r="3700" spans="6:10" ht="15">
      <c r="F3700" s="15"/>
      <c r="H3700" s="15"/>
      <c r="J3700" s="15"/>
    </row>
    <row r="3701" spans="6:10" ht="15">
      <c r="F3701" s="15"/>
      <c r="H3701" s="15"/>
      <c r="J3701" s="15"/>
    </row>
    <row r="3702" spans="6:10" ht="15">
      <c r="F3702" s="15"/>
      <c r="H3702" s="15"/>
      <c r="J3702" s="15"/>
    </row>
    <row r="3703" spans="6:10" ht="15">
      <c r="F3703" s="15"/>
      <c r="H3703" s="15"/>
      <c r="J3703" s="15"/>
    </row>
    <row r="3704" spans="6:10" ht="15">
      <c r="F3704" s="15"/>
      <c r="H3704" s="15"/>
      <c r="J3704" s="15"/>
    </row>
    <row r="3705" spans="6:10" ht="15">
      <c r="F3705" s="15"/>
      <c r="H3705" s="15"/>
      <c r="J3705" s="15"/>
    </row>
    <row r="3706" spans="6:10" ht="15">
      <c r="F3706" s="15"/>
      <c r="H3706" s="15"/>
      <c r="J3706" s="15"/>
    </row>
    <row r="3707" spans="6:10" ht="15">
      <c r="F3707" s="15"/>
      <c r="H3707" s="15"/>
      <c r="J3707" s="15"/>
    </row>
    <row r="3708" spans="6:10" ht="15">
      <c r="F3708" s="15"/>
      <c r="H3708" s="15"/>
      <c r="J3708" s="15"/>
    </row>
    <row r="3709" spans="6:10" ht="15">
      <c r="F3709" s="15"/>
      <c r="H3709" s="15"/>
      <c r="J3709" s="15"/>
    </row>
    <row r="3710" spans="6:10" ht="15">
      <c r="F3710" s="15"/>
      <c r="H3710" s="15"/>
      <c r="J3710" s="15"/>
    </row>
    <row r="3711" spans="6:10" ht="15">
      <c r="F3711" s="15"/>
      <c r="H3711" s="15"/>
      <c r="J3711" s="15"/>
    </row>
    <row r="3712" spans="6:10" ht="15">
      <c r="F3712" s="15"/>
      <c r="H3712" s="15"/>
      <c r="J3712" s="15"/>
    </row>
    <row r="3713" spans="6:10" ht="15">
      <c r="F3713" s="15"/>
      <c r="H3713" s="15"/>
      <c r="J3713" s="15"/>
    </row>
    <row r="3714" spans="6:10" ht="15">
      <c r="F3714" s="15"/>
      <c r="H3714" s="15"/>
      <c r="J3714" s="15"/>
    </row>
    <row r="3715" spans="6:10" ht="15">
      <c r="F3715" s="15"/>
      <c r="H3715" s="15"/>
      <c r="J3715" s="15"/>
    </row>
    <row r="3716" spans="6:10" ht="15">
      <c r="F3716" s="15"/>
      <c r="H3716" s="15"/>
      <c r="J3716" s="15"/>
    </row>
    <row r="3717" spans="6:10" ht="15">
      <c r="F3717" s="15"/>
      <c r="H3717" s="15"/>
      <c r="J3717" s="15"/>
    </row>
    <row r="3718" spans="6:10" ht="15">
      <c r="F3718" s="15"/>
      <c r="H3718" s="15"/>
      <c r="J3718" s="15"/>
    </row>
    <row r="3719" spans="6:10" ht="15">
      <c r="F3719" s="15"/>
      <c r="H3719" s="15"/>
      <c r="J3719" s="15"/>
    </row>
    <row r="3720" spans="6:10" ht="15">
      <c r="F3720" s="15"/>
      <c r="H3720" s="15"/>
      <c r="J3720" s="15"/>
    </row>
    <row r="3721" spans="6:10" ht="15">
      <c r="F3721" s="15"/>
      <c r="H3721" s="15"/>
      <c r="J3721" s="15"/>
    </row>
    <row r="3722" spans="6:10" ht="15">
      <c r="F3722" s="15"/>
      <c r="H3722" s="15"/>
      <c r="J3722" s="15"/>
    </row>
    <row r="3723" spans="6:10" ht="15">
      <c r="F3723" s="15"/>
      <c r="H3723" s="15"/>
      <c r="J3723" s="15"/>
    </row>
    <row r="3724" spans="6:10" ht="15">
      <c r="F3724" s="15"/>
      <c r="H3724" s="15"/>
      <c r="J3724" s="15"/>
    </row>
    <row r="3725" spans="6:10" ht="15">
      <c r="F3725" s="15"/>
      <c r="H3725" s="15"/>
      <c r="J3725" s="15"/>
    </row>
    <row r="3726" spans="6:10" ht="15">
      <c r="F3726" s="15"/>
      <c r="H3726" s="15"/>
      <c r="J3726" s="15"/>
    </row>
    <row r="3727" spans="6:10" ht="15">
      <c r="F3727" s="15"/>
      <c r="H3727" s="15"/>
      <c r="J3727" s="15"/>
    </row>
    <row r="3728" spans="6:10" ht="15">
      <c r="F3728" s="15"/>
      <c r="H3728" s="15"/>
      <c r="J3728" s="15"/>
    </row>
    <row r="3729" spans="6:10" ht="15">
      <c r="F3729" s="15"/>
      <c r="H3729" s="15"/>
      <c r="J3729" s="15"/>
    </row>
    <row r="3730" spans="6:10" ht="15">
      <c r="F3730" s="15"/>
      <c r="H3730" s="15"/>
      <c r="J3730" s="15"/>
    </row>
    <row r="3731" spans="6:10" ht="15">
      <c r="F3731" s="15"/>
      <c r="H3731" s="15"/>
      <c r="J3731" s="15"/>
    </row>
    <row r="3732" spans="6:10" ht="15">
      <c r="F3732" s="15"/>
      <c r="H3732" s="15"/>
      <c r="J3732" s="15"/>
    </row>
    <row r="3733" spans="6:10" ht="15">
      <c r="F3733" s="15"/>
      <c r="H3733" s="15"/>
      <c r="J3733" s="15"/>
    </row>
    <row r="3734" spans="6:10" ht="15">
      <c r="F3734" s="15"/>
      <c r="H3734" s="15"/>
      <c r="J3734" s="15"/>
    </row>
    <row r="3735" spans="6:10" ht="15">
      <c r="F3735" s="15"/>
      <c r="H3735" s="15"/>
      <c r="J3735" s="15"/>
    </row>
    <row r="3736" spans="6:10" ht="15">
      <c r="F3736" s="15"/>
      <c r="H3736" s="15"/>
      <c r="J3736" s="15"/>
    </row>
    <row r="3737" spans="6:10" ht="15">
      <c r="F3737" s="15"/>
      <c r="H3737" s="15"/>
      <c r="J3737" s="15"/>
    </row>
    <row r="3738" spans="6:10" ht="15">
      <c r="F3738" s="15"/>
      <c r="H3738" s="15"/>
      <c r="J3738" s="15"/>
    </row>
    <row r="3739" spans="6:10" ht="15">
      <c r="F3739" s="15"/>
      <c r="H3739" s="15"/>
      <c r="J3739" s="15"/>
    </row>
    <row r="3740" spans="6:10" ht="15">
      <c r="F3740" s="15"/>
      <c r="H3740" s="15"/>
      <c r="J3740" s="15"/>
    </row>
    <row r="3741" spans="6:10" ht="15">
      <c r="F3741" s="15"/>
      <c r="H3741" s="15"/>
      <c r="J3741" s="15"/>
    </row>
    <row r="3742" spans="6:10" ht="15">
      <c r="F3742" s="15"/>
      <c r="H3742" s="15"/>
      <c r="J3742" s="15"/>
    </row>
    <row r="3743" spans="6:10" ht="15">
      <c r="F3743" s="15"/>
      <c r="H3743" s="15"/>
      <c r="J3743" s="15"/>
    </row>
    <row r="3744" spans="6:10" ht="15">
      <c r="F3744" s="15"/>
      <c r="H3744" s="15"/>
      <c r="J3744" s="15"/>
    </row>
    <row r="3745" spans="6:10" ht="15">
      <c r="F3745" s="15"/>
      <c r="H3745" s="15"/>
      <c r="J3745" s="15"/>
    </row>
    <row r="3746" spans="6:10" ht="15">
      <c r="F3746" s="15"/>
      <c r="H3746" s="15"/>
      <c r="J3746" s="15"/>
    </row>
    <row r="3747" spans="6:10" ht="15">
      <c r="F3747" s="15"/>
      <c r="H3747" s="15"/>
      <c r="J3747" s="15"/>
    </row>
    <row r="3748" spans="6:10" ht="15">
      <c r="F3748" s="15"/>
      <c r="H3748" s="15"/>
      <c r="J3748" s="15"/>
    </row>
    <row r="3749" spans="6:10" ht="15">
      <c r="F3749" s="15"/>
      <c r="H3749" s="15"/>
      <c r="J3749" s="15"/>
    </row>
    <row r="3750" spans="6:10" ht="15">
      <c r="F3750" s="15"/>
      <c r="H3750" s="15"/>
      <c r="J3750" s="15"/>
    </row>
    <row r="3751" spans="6:10" ht="15">
      <c r="F3751" s="15"/>
      <c r="H3751" s="15"/>
      <c r="J3751" s="15"/>
    </row>
    <row r="3752" spans="6:10" ht="15">
      <c r="F3752" s="15"/>
      <c r="H3752" s="15"/>
      <c r="J3752" s="15"/>
    </row>
    <row r="3753" spans="6:10" ht="15">
      <c r="F3753" s="15"/>
      <c r="H3753" s="15"/>
      <c r="J3753" s="15"/>
    </row>
    <row r="3754" spans="6:10" ht="15">
      <c r="F3754" s="15"/>
      <c r="H3754" s="15"/>
      <c r="J3754" s="15"/>
    </row>
    <row r="3755" spans="6:10" ht="15">
      <c r="F3755" s="15"/>
      <c r="H3755" s="15"/>
      <c r="J3755" s="15"/>
    </row>
    <row r="3756" spans="6:10" ht="15">
      <c r="F3756" s="15"/>
      <c r="H3756" s="15"/>
      <c r="J3756" s="15"/>
    </row>
    <row r="3757" spans="6:10" ht="15">
      <c r="F3757" s="15"/>
      <c r="H3757" s="15"/>
      <c r="J3757" s="15"/>
    </row>
    <row r="3758" spans="6:10" ht="15">
      <c r="F3758" s="15"/>
      <c r="H3758" s="15"/>
      <c r="J3758" s="15"/>
    </row>
    <row r="3759" spans="6:10" ht="15">
      <c r="F3759" s="15"/>
      <c r="H3759" s="15"/>
      <c r="J3759" s="15"/>
    </row>
    <row r="3760" spans="6:10" ht="15">
      <c r="F3760" s="15"/>
      <c r="H3760" s="15"/>
      <c r="J3760" s="15"/>
    </row>
    <row r="3761" spans="6:10" ht="15">
      <c r="F3761" s="15"/>
      <c r="H3761" s="15"/>
      <c r="J3761" s="15"/>
    </row>
    <row r="3762" spans="6:10" ht="15">
      <c r="F3762" s="15"/>
      <c r="H3762" s="15"/>
      <c r="J3762" s="15"/>
    </row>
    <row r="3763" spans="6:10" ht="15">
      <c r="F3763" s="15"/>
      <c r="H3763" s="15"/>
      <c r="J3763" s="15"/>
    </row>
    <row r="3764" spans="6:10" ht="15">
      <c r="F3764" s="15"/>
      <c r="H3764" s="15"/>
      <c r="J3764" s="15"/>
    </row>
    <row r="3765" spans="6:10" ht="15">
      <c r="F3765" s="15"/>
      <c r="H3765" s="15"/>
      <c r="J3765" s="15"/>
    </row>
    <row r="3766" spans="6:10" ht="15">
      <c r="F3766" s="15"/>
      <c r="H3766" s="15"/>
      <c r="J3766" s="15"/>
    </row>
    <row r="3767" spans="6:10" ht="15">
      <c r="F3767" s="15"/>
      <c r="H3767" s="15"/>
      <c r="J3767" s="15"/>
    </row>
    <row r="3768" spans="6:10" ht="15">
      <c r="F3768" s="15"/>
      <c r="H3768" s="15"/>
      <c r="J3768" s="15"/>
    </row>
    <row r="3769" spans="6:10" ht="15">
      <c r="F3769" s="15"/>
      <c r="H3769" s="15"/>
      <c r="J3769" s="15"/>
    </row>
    <row r="3770" spans="6:10" ht="15">
      <c r="F3770" s="15"/>
      <c r="H3770" s="15"/>
      <c r="J3770" s="15"/>
    </row>
    <row r="3771" spans="6:10" ht="15">
      <c r="F3771" s="15"/>
      <c r="H3771" s="15"/>
      <c r="J3771" s="15"/>
    </row>
    <row r="3772" spans="6:10" ht="15">
      <c r="F3772" s="15"/>
      <c r="H3772" s="15"/>
      <c r="J3772" s="15"/>
    </row>
    <row r="3773" spans="6:10" ht="15">
      <c r="F3773" s="15"/>
      <c r="H3773" s="15"/>
      <c r="J3773" s="15"/>
    </row>
    <row r="3774" spans="6:10" ht="15">
      <c r="F3774" s="15"/>
      <c r="H3774" s="15"/>
      <c r="J3774" s="15"/>
    </row>
    <row r="3775" spans="6:10" ht="15">
      <c r="F3775" s="15"/>
      <c r="H3775" s="15"/>
      <c r="J3775" s="15"/>
    </row>
    <row r="3776" spans="6:10" ht="15">
      <c r="F3776" s="15"/>
      <c r="H3776" s="15"/>
      <c r="J3776" s="15"/>
    </row>
    <row r="3777" spans="6:10" ht="15">
      <c r="F3777" s="15"/>
      <c r="H3777" s="15"/>
      <c r="J3777" s="15"/>
    </row>
    <row r="3778" spans="6:10" ht="15">
      <c r="F3778" s="15"/>
      <c r="H3778" s="15"/>
      <c r="J3778" s="15"/>
    </row>
    <row r="3779" spans="6:10" ht="15">
      <c r="F3779" s="15"/>
      <c r="H3779" s="15"/>
      <c r="J3779" s="15"/>
    </row>
    <row r="3780" spans="6:10" ht="15">
      <c r="F3780" s="15"/>
      <c r="H3780" s="15"/>
      <c r="J3780" s="15"/>
    </row>
    <row r="3781" spans="6:10" ht="15">
      <c r="F3781" s="15"/>
      <c r="H3781" s="15"/>
      <c r="J3781" s="15"/>
    </row>
    <row r="3782" spans="6:10" ht="15">
      <c r="F3782" s="15"/>
      <c r="H3782" s="15"/>
      <c r="J3782" s="15"/>
    </row>
    <row r="3783" spans="6:10" ht="15">
      <c r="F3783" s="15"/>
      <c r="H3783" s="15"/>
      <c r="J3783" s="15"/>
    </row>
    <row r="3784" spans="6:10" ht="15">
      <c r="F3784" s="15"/>
      <c r="H3784" s="15"/>
      <c r="J3784" s="15"/>
    </row>
    <row r="3785" spans="6:10" ht="15">
      <c r="F3785" s="15"/>
      <c r="H3785" s="15"/>
      <c r="J3785" s="15"/>
    </row>
    <row r="3786" spans="6:10" ht="15">
      <c r="F3786" s="15"/>
      <c r="H3786" s="15"/>
      <c r="J3786" s="15"/>
    </row>
    <row r="3787" spans="6:10" ht="15">
      <c r="F3787" s="15"/>
      <c r="H3787" s="15"/>
      <c r="J3787" s="15"/>
    </row>
    <row r="3788" spans="6:10" ht="15">
      <c r="F3788" s="15"/>
      <c r="H3788" s="15"/>
      <c r="J3788" s="15"/>
    </row>
    <row r="3789" spans="6:10" ht="15">
      <c r="F3789" s="15"/>
      <c r="H3789" s="15"/>
      <c r="J3789" s="15"/>
    </row>
    <row r="3790" spans="6:10" ht="15">
      <c r="F3790" s="15"/>
      <c r="H3790" s="15"/>
      <c r="J3790" s="15"/>
    </row>
    <row r="3791" spans="6:10" ht="15">
      <c r="F3791" s="15"/>
      <c r="H3791" s="15"/>
      <c r="J3791" s="15"/>
    </row>
    <row r="3792" spans="6:10" ht="15">
      <c r="F3792" s="15"/>
      <c r="H3792" s="15"/>
      <c r="J3792" s="15"/>
    </row>
    <row r="3793" spans="6:10" ht="15">
      <c r="F3793" s="15"/>
      <c r="H3793" s="15"/>
      <c r="J3793" s="15"/>
    </row>
    <row r="3794" spans="6:10" ht="15">
      <c r="F3794" s="15"/>
      <c r="H3794" s="15"/>
      <c r="J3794" s="15"/>
    </row>
    <row r="3795" spans="6:10" ht="15">
      <c r="F3795" s="15"/>
      <c r="H3795" s="15"/>
      <c r="J3795" s="15"/>
    </row>
    <row r="3796" spans="6:10" ht="15">
      <c r="F3796" s="15"/>
      <c r="H3796" s="15"/>
      <c r="J3796" s="15"/>
    </row>
    <row r="3797" spans="6:10" ht="15">
      <c r="F3797" s="15"/>
      <c r="H3797" s="15"/>
      <c r="J3797" s="15"/>
    </row>
    <row r="3798" spans="6:10" ht="15">
      <c r="F3798" s="15"/>
      <c r="H3798" s="15"/>
      <c r="J3798" s="15"/>
    </row>
    <row r="3799" spans="6:10" ht="15">
      <c r="F3799" s="15"/>
      <c r="H3799" s="15"/>
      <c r="J3799" s="15"/>
    </row>
    <row r="3800" spans="6:10" ht="15">
      <c r="F3800" s="15"/>
      <c r="H3800" s="15"/>
      <c r="J3800" s="15"/>
    </row>
    <row r="3801" spans="6:10" ht="15">
      <c r="F3801" s="15"/>
      <c r="H3801" s="15"/>
      <c r="J3801" s="15"/>
    </row>
    <row r="3802" spans="6:10" ht="15">
      <c r="F3802" s="15"/>
      <c r="H3802" s="15"/>
      <c r="J3802" s="15"/>
    </row>
    <row r="3803" spans="6:10" ht="15">
      <c r="F3803" s="15"/>
      <c r="H3803" s="15"/>
      <c r="J3803" s="15"/>
    </row>
    <row r="3804" spans="6:10" ht="15">
      <c r="F3804" s="15"/>
      <c r="H3804" s="15"/>
      <c r="J3804" s="15"/>
    </row>
    <row r="3805" spans="6:10" ht="15">
      <c r="F3805" s="15"/>
      <c r="H3805" s="15"/>
      <c r="J3805" s="15"/>
    </row>
    <row r="3806" spans="6:10" ht="15">
      <c r="F3806" s="15"/>
      <c r="H3806" s="15"/>
      <c r="J3806" s="15"/>
    </row>
    <row r="3807" spans="6:10" ht="15">
      <c r="F3807" s="15"/>
      <c r="H3807" s="15"/>
      <c r="J3807" s="15"/>
    </row>
    <row r="3808" spans="6:10" ht="15">
      <c r="F3808" s="15"/>
      <c r="H3808" s="15"/>
      <c r="J3808" s="15"/>
    </row>
    <row r="3809" spans="6:10" ht="15">
      <c r="F3809" s="15"/>
      <c r="H3809" s="15"/>
      <c r="J3809" s="15"/>
    </row>
    <row r="3810" spans="6:10" ht="15">
      <c r="F3810" s="15"/>
      <c r="H3810" s="15"/>
      <c r="J3810" s="15"/>
    </row>
    <row r="3811" spans="6:10" ht="15">
      <c r="F3811" s="15"/>
      <c r="H3811" s="15"/>
      <c r="J3811" s="15"/>
    </row>
    <row r="3812" spans="6:10" ht="15">
      <c r="F3812" s="15"/>
      <c r="H3812" s="15"/>
      <c r="J3812" s="15"/>
    </row>
    <row r="3813" spans="6:10" ht="15">
      <c r="F3813" s="15"/>
      <c r="H3813" s="15"/>
      <c r="J3813" s="15"/>
    </row>
    <row r="3814" spans="6:10" ht="15">
      <c r="F3814" s="15"/>
      <c r="H3814" s="15"/>
      <c r="J3814" s="15"/>
    </row>
    <row r="3815" spans="6:10" ht="15">
      <c r="F3815" s="15"/>
      <c r="H3815" s="15"/>
      <c r="J3815" s="15"/>
    </row>
    <row r="3816" spans="6:10" ht="15">
      <c r="F3816" s="15"/>
      <c r="H3816" s="15"/>
      <c r="J3816" s="15"/>
    </row>
    <row r="3817" spans="6:10" ht="15">
      <c r="F3817" s="15"/>
      <c r="H3817" s="15"/>
      <c r="J3817" s="15"/>
    </row>
    <row r="3818" spans="6:10" ht="15">
      <c r="F3818" s="15"/>
      <c r="H3818" s="15"/>
      <c r="J3818" s="15"/>
    </row>
    <row r="3819" spans="6:10" ht="15">
      <c r="F3819" s="15"/>
      <c r="H3819" s="15"/>
      <c r="J3819" s="15"/>
    </row>
    <row r="3820" spans="6:10" ht="15">
      <c r="F3820" s="15"/>
      <c r="H3820" s="15"/>
      <c r="J3820" s="15"/>
    </row>
    <row r="3821" spans="6:10" ht="15">
      <c r="F3821" s="15"/>
      <c r="H3821" s="15"/>
      <c r="J3821" s="15"/>
    </row>
    <row r="3822" spans="6:10" ht="15">
      <c r="F3822" s="15"/>
      <c r="H3822" s="15"/>
      <c r="J3822" s="15"/>
    </row>
    <row r="3823" spans="6:10" ht="15">
      <c r="F3823" s="15"/>
      <c r="H3823" s="15"/>
      <c r="J3823" s="15"/>
    </row>
    <row r="3824" spans="6:10" ht="15">
      <c r="F3824" s="15"/>
      <c r="H3824" s="15"/>
      <c r="J3824" s="15"/>
    </row>
    <row r="3825" spans="6:10" ht="15">
      <c r="F3825" s="15"/>
      <c r="H3825" s="15"/>
      <c r="J3825" s="15"/>
    </row>
    <row r="3826" spans="6:10" ht="15">
      <c r="F3826" s="15"/>
      <c r="H3826" s="15"/>
      <c r="J3826" s="15"/>
    </row>
    <row r="3827" spans="6:10" ht="15">
      <c r="F3827" s="15"/>
      <c r="H3827" s="15"/>
      <c r="J3827" s="15"/>
    </row>
    <row r="3828" spans="6:10" ht="15">
      <c r="F3828" s="15"/>
      <c r="H3828" s="15"/>
      <c r="J3828" s="15"/>
    </row>
    <row r="3829" spans="6:10" ht="15">
      <c r="F3829" s="15"/>
      <c r="H3829" s="15"/>
      <c r="J3829" s="15"/>
    </row>
    <row r="3830" spans="6:10" ht="15">
      <c r="F3830" s="15"/>
      <c r="H3830" s="15"/>
      <c r="J3830" s="15"/>
    </row>
    <row r="3831" spans="6:10" ht="15">
      <c r="F3831" s="15"/>
      <c r="H3831" s="15"/>
      <c r="J3831" s="15"/>
    </row>
    <row r="3832" spans="6:10" ht="15">
      <c r="F3832" s="15"/>
      <c r="H3832" s="15"/>
      <c r="J3832" s="15"/>
    </row>
    <row r="3833" spans="6:10" ht="15">
      <c r="F3833" s="15"/>
      <c r="H3833" s="15"/>
      <c r="J3833" s="15"/>
    </row>
    <row r="3834" spans="6:10" ht="15">
      <c r="F3834" s="15"/>
      <c r="H3834" s="15"/>
      <c r="J3834" s="15"/>
    </row>
    <row r="3835" spans="6:10" ht="15">
      <c r="F3835" s="15"/>
      <c r="H3835" s="15"/>
      <c r="J3835" s="15"/>
    </row>
    <row r="3836" spans="6:10" ht="15">
      <c r="F3836" s="15"/>
      <c r="H3836" s="15"/>
      <c r="J3836" s="15"/>
    </row>
    <row r="3837" spans="6:10" ht="15">
      <c r="F3837" s="15"/>
      <c r="H3837" s="15"/>
      <c r="J3837" s="15"/>
    </row>
    <row r="3838" spans="6:10" ht="15">
      <c r="F3838" s="15"/>
      <c r="H3838" s="15"/>
      <c r="J3838" s="15"/>
    </row>
    <row r="3839" spans="6:10" ht="15">
      <c r="F3839" s="15"/>
      <c r="H3839" s="15"/>
      <c r="J3839" s="15"/>
    </row>
    <row r="3840" spans="6:10" ht="15">
      <c r="F3840" s="15"/>
      <c r="H3840" s="15"/>
      <c r="J3840" s="15"/>
    </row>
    <row r="3841" spans="6:10" ht="15">
      <c r="F3841" s="15"/>
      <c r="H3841" s="15"/>
      <c r="J3841" s="15"/>
    </row>
    <row r="3842" spans="6:10" ht="15">
      <c r="F3842" s="15"/>
      <c r="H3842" s="15"/>
      <c r="J3842" s="15"/>
    </row>
    <row r="3843" spans="6:10" ht="15">
      <c r="F3843" s="15"/>
      <c r="H3843" s="15"/>
      <c r="J3843" s="15"/>
    </row>
    <row r="3844" spans="6:10" ht="15">
      <c r="F3844" s="15"/>
      <c r="H3844" s="15"/>
      <c r="J3844" s="15"/>
    </row>
    <row r="3845" spans="6:10" ht="15">
      <c r="F3845" s="15"/>
      <c r="H3845" s="15"/>
      <c r="J3845" s="15"/>
    </row>
    <row r="3846" spans="6:10" ht="15">
      <c r="F3846" s="15"/>
      <c r="H3846" s="15"/>
      <c r="J3846" s="15"/>
    </row>
    <row r="3847" spans="6:10" ht="15">
      <c r="F3847" s="15"/>
      <c r="H3847" s="15"/>
      <c r="J3847" s="15"/>
    </row>
    <row r="3848" spans="6:10" ht="15">
      <c r="F3848" s="15"/>
      <c r="H3848" s="15"/>
      <c r="J3848" s="15"/>
    </row>
    <row r="3849" spans="6:10" ht="15">
      <c r="F3849" s="15"/>
      <c r="H3849" s="15"/>
      <c r="J3849" s="15"/>
    </row>
    <row r="3850" spans="6:10" ht="15">
      <c r="F3850" s="15"/>
      <c r="H3850" s="15"/>
      <c r="J3850" s="15"/>
    </row>
    <row r="3851" spans="6:10" ht="15">
      <c r="F3851" s="15"/>
      <c r="H3851" s="15"/>
      <c r="J3851" s="15"/>
    </row>
    <row r="3852" spans="6:10" ht="15">
      <c r="F3852" s="15"/>
      <c r="H3852" s="15"/>
      <c r="J3852" s="15"/>
    </row>
    <row r="3853" spans="6:10" ht="15">
      <c r="F3853" s="15"/>
      <c r="H3853" s="15"/>
      <c r="J3853" s="15"/>
    </row>
    <row r="3854" spans="6:10" ht="15">
      <c r="F3854" s="15"/>
      <c r="H3854" s="15"/>
      <c r="J3854" s="15"/>
    </row>
    <row r="3855" spans="6:10" ht="15">
      <c r="F3855" s="15"/>
      <c r="H3855" s="15"/>
      <c r="J3855" s="15"/>
    </row>
    <row r="3856" spans="6:10" ht="15">
      <c r="F3856" s="15"/>
      <c r="H3856" s="15"/>
      <c r="J3856" s="15"/>
    </row>
    <row r="3857" spans="6:10" ht="15">
      <c r="F3857" s="15"/>
      <c r="H3857" s="15"/>
      <c r="J3857" s="15"/>
    </row>
    <row r="3858" spans="6:10" ht="15">
      <c r="F3858" s="15"/>
      <c r="H3858" s="15"/>
      <c r="J3858" s="15"/>
    </row>
    <row r="3859" spans="6:10" ht="15">
      <c r="F3859" s="15"/>
      <c r="H3859" s="15"/>
      <c r="J3859" s="15"/>
    </row>
    <row r="3860" spans="6:10" ht="15">
      <c r="F3860" s="15"/>
      <c r="H3860" s="15"/>
      <c r="J3860" s="15"/>
    </row>
    <row r="3861" spans="6:10" ht="15">
      <c r="F3861" s="15"/>
      <c r="H3861" s="15"/>
      <c r="J3861" s="15"/>
    </row>
    <row r="3862" spans="6:10" ht="15">
      <c r="F3862" s="15"/>
      <c r="H3862" s="15"/>
      <c r="J3862" s="15"/>
    </row>
    <row r="3863" spans="6:10" ht="15">
      <c r="F3863" s="15"/>
      <c r="H3863" s="15"/>
      <c r="J3863" s="15"/>
    </row>
    <row r="3864" spans="6:10" ht="15">
      <c r="F3864" s="15"/>
      <c r="H3864" s="15"/>
      <c r="J3864" s="15"/>
    </row>
    <row r="3865" spans="6:10" ht="15">
      <c r="F3865" s="15"/>
      <c r="H3865" s="15"/>
      <c r="J3865" s="15"/>
    </row>
    <row r="3866" spans="6:10" ht="15">
      <c r="F3866" s="15"/>
      <c r="H3866" s="15"/>
      <c r="J3866" s="15"/>
    </row>
    <row r="3867" spans="6:10" ht="15">
      <c r="F3867" s="15"/>
      <c r="H3867" s="15"/>
      <c r="J3867" s="15"/>
    </row>
    <row r="3868" spans="6:10" ht="15">
      <c r="F3868" s="15"/>
      <c r="H3868" s="15"/>
      <c r="J3868" s="15"/>
    </row>
    <row r="3869" spans="6:10" ht="15">
      <c r="F3869" s="15"/>
      <c r="H3869" s="15"/>
      <c r="J3869" s="15"/>
    </row>
    <row r="3870" spans="6:10" ht="15">
      <c r="F3870" s="15"/>
      <c r="H3870" s="15"/>
      <c r="J3870" s="15"/>
    </row>
    <row r="3871" spans="6:10" ht="15">
      <c r="F3871" s="15"/>
      <c r="H3871" s="15"/>
      <c r="J3871" s="15"/>
    </row>
    <row r="3872" spans="6:10" ht="15">
      <c r="F3872" s="15"/>
      <c r="H3872" s="15"/>
      <c r="J3872" s="15"/>
    </row>
    <row r="3873" spans="6:10" ht="15">
      <c r="F3873" s="15"/>
      <c r="H3873" s="15"/>
      <c r="J3873" s="15"/>
    </row>
    <row r="3874" spans="6:10" ht="15">
      <c r="F3874" s="15"/>
      <c r="H3874" s="15"/>
      <c r="J3874" s="15"/>
    </row>
    <row r="3875" spans="6:10" ht="15">
      <c r="F3875" s="15"/>
      <c r="H3875" s="15"/>
      <c r="J3875" s="15"/>
    </row>
    <row r="3876" spans="6:10" ht="15">
      <c r="F3876" s="15"/>
      <c r="H3876" s="15"/>
      <c r="J3876" s="15"/>
    </row>
    <row r="3877" spans="6:10" ht="15">
      <c r="F3877" s="15"/>
      <c r="H3877" s="15"/>
      <c r="J3877" s="15"/>
    </row>
    <row r="3878" spans="6:10" ht="15">
      <c r="F3878" s="15"/>
      <c r="H3878" s="15"/>
      <c r="J3878" s="15"/>
    </row>
    <row r="3879" spans="6:10" ht="15">
      <c r="F3879" s="15"/>
      <c r="H3879" s="15"/>
      <c r="J3879" s="15"/>
    </row>
    <row r="3880" spans="6:10" ht="15">
      <c r="F3880" s="15"/>
      <c r="H3880" s="15"/>
      <c r="J3880" s="15"/>
    </row>
    <row r="3881" spans="6:10" ht="15">
      <c r="F3881" s="15"/>
      <c r="H3881" s="15"/>
      <c r="J3881" s="15"/>
    </row>
    <row r="3882" spans="6:10" ht="15">
      <c r="F3882" s="15"/>
      <c r="H3882" s="15"/>
      <c r="J3882" s="15"/>
    </row>
    <row r="3883" spans="6:10" ht="15">
      <c r="F3883" s="15"/>
      <c r="H3883" s="15"/>
      <c r="J3883" s="15"/>
    </row>
    <row r="3884" spans="6:10" ht="15">
      <c r="F3884" s="15"/>
      <c r="H3884" s="15"/>
      <c r="J3884" s="15"/>
    </row>
    <row r="3885" spans="6:10" ht="15">
      <c r="F3885" s="15"/>
      <c r="H3885" s="15"/>
      <c r="J3885" s="15"/>
    </row>
    <row r="3886" spans="6:10" ht="15">
      <c r="F3886" s="15"/>
      <c r="H3886" s="15"/>
      <c r="J3886" s="15"/>
    </row>
    <row r="3887" spans="6:10" ht="15">
      <c r="F3887" s="15"/>
      <c r="H3887" s="15"/>
      <c r="J3887" s="15"/>
    </row>
    <row r="3888" spans="6:10" ht="15">
      <c r="F3888" s="15"/>
      <c r="H3888" s="15"/>
      <c r="J3888" s="15"/>
    </row>
    <row r="3889" spans="6:10" ht="15">
      <c r="F3889" s="15"/>
      <c r="H3889" s="15"/>
      <c r="J3889" s="15"/>
    </row>
    <row r="3890" spans="6:10" ht="15">
      <c r="F3890" s="15"/>
      <c r="H3890" s="15"/>
      <c r="J3890" s="15"/>
    </row>
    <row r="3891" spans="6:10" ht="15">
      <c r="F3891" s="15"/>
      <c r="H3891" s="15"/>
      <c r="J3891" s="15"/>
    </row>
    <row r="3892" spans="6:10" ht="15">
      <c r="F3892" s="15"/>
      <c r="H3892" s="15"/>
      <c r="J3892" s="15"/>
    </row>
    <row r="3893" spans="6:10" ht="15">
      <c r="F3893" s="15"/>
      <c r="H3893" s="15"/>
      <c r="J3893" s="15"/>
    </row>
    <row r="3894" spans="6:10" ht="15">
      <c r="F3894" s="15"/>
      <c r="H3894" s="15"/>
      <c r="J3894" s="15"/>
    </row>
    <row r="3895" spans="6:10" ht="15">
      <c r="F3895" s="15"/>
      <c r="H3895" s="15"/>
      <c r="J3895" s="15"/>
    </row>
    <row r="3896" spans="6:10" ht="15">
      <c r="F3896" s="15"/>
      <c r="H3896" s="15"/>
      <c r="J3896" s="15"/>
    </row>
    <row r="3897" spans="6:10" ht="15">
      <c r="F3897" s="15"/>
      <c r="H3897" s="15"/>
      <c r="J3897" s="15"/>
    </row>
    <row r="3898" spans="6:10" ht="15">
      <c r="F3898" s="15"/>
      <c r="H3898" s="15"/>
      <c r="J3898" s="15"/>
    </row>
    <row r="3899" spans="6:10" ht="15">
      <c r="F3899" s="15"/>
      <c r="H3899" s="15"/>
      <c r="J3899" s="15"/>
    </row>
    <row r="3900" spans="6:10" ht="15">
      <c r="F3900" s="15"/>
      <c r="H3900" s="15"/>
      <c r="J3900" s="15"/>
    </row>
    <row r="3901" spans="6:10" ht="15">
      <c r="F3901" s="15"/>
      <c r="H3901" s="15"/>
      <c r="J3901" s="15"/>
    </row>
    <row r="3902" spans="6:10" ht="15">
      <c r="F3902" s="15"/>
      <c r="H3902" s="15"/>
      <c r="J3902" s="15"/>
    </row>
    <row r="3903" spans="6:10" ht="15">
      <c r="F3903" s="15"/>
      <c r="H3903" s="15"/>
      <c r="J3903" s="15"/>
    </row>
    <row r="3904" spans="6:10" ht="15">
      <c r="F3904" s="15"/>
      <c r="H3904" s="15"/>
      <c r="J3904" s="15"/>
    </row>
    <row r="3905" spans="6:10" ht="15">
      <c r="F3905" s="15"/>
      <c r="H3905" s="15"/>
      <c r="J3905" s="15"/>
    </row>
    <row r="3906" spans="6:10" ht="15">
      <c r="F3906" s="15"/>
      <c r="H3906" s="15"/>
      <c r="J3906" s="15"/>
    </row>
    <row r="3907" spans="6:10" ht="15">
      <c r="F3907" s="15"/>
      <c r="H3907" s="15"/>
      <c r="J3907" s="15"/>
    </row>
    <row r="3908" spans="6:10" ht="15">
      <c r="F3908" s="15"/>
      <c r="H3908" s="15"/>
      <c r="J3908" s="15"/>
    </row>
    <row r="3909" spans="6:10" ht="15">
      <c r="F3909" s="15"/>
      <c r="H3909" s="15"/>
      <c r="J3909" s="15"/>
    </row>
    <row r="3910" spans="6:10" ht="15">
      <c r="F3910" s="15"/>
      <c r="H3910" s="15"/>
      <c r="J3910" s="15"/>
    </row>
    <row r="3911" spans="6:10" ht="15">
      <c r="F3911" s="15"/>
      <c r="H3911" s="15"/>
      <c r="J3911" s="15"/>
    </row>
    <row r="3912" spans="6:10" ht="15">
      <c r="F3912" s="15"/>
      <c r="H3912" s="15"/>
      <c r="J3912" s="15"/>
    </row>
    <row r="3913" spans="6:10" ht="15">
      <c r="F3913" s="15"/>
      <c r="H3913" s="15"/>
      <c r="J3913" s="15"/>
    </row>
    <row r="3914" spans="6:10" ht="15">
      <c r="F3914" s="15"/>
      <c r="H3914" s="15"/>
      <c r="J3914" s="15"/>
    </row>
    <row r="3915" spans="6:10" ht="15">
      <c r="F3915" s="15"/>
      <c r="H3915" s="15"/>
      <c r="J3915" s="15"/>
    </row>
    <row r="3916" spans="6:10" ht="15">
      <c r="F3916" s="15"/>
      <c r="H3916" s="15"/>
      <c r="J3916" s="15"/>
    </row>
    <row r="3917" spans="6:10" ht="15">
      <c r="F3917" s="15"/>
      <c r="H3917" s="15"/>
      <c r="J3917" s="15"/>
    </row>
    <row r="3918" spans="6:10" ht="15">
      <c r="F3918" s="15"/>
      <c r="H3918" s="15"/>
      <c r="J3918" s="15"/>
    </row>
    <row r="3919" spans="6:10" ht="15">
      <c r="F3919" s="15"/>
      <c r="H3919" s="15"/>
      <c r="J3919" s="15"/>
    </row>
    <row r="3920" spans="6:10" ht="15">
      <c r="F3920" s="15"/>
      <c r="H3920" s="15"/>
      <c r="J3920" s="15"/>
    </row>
    <row r="3921" spans="6:10" ht="15">
      <c r="F3921" s="15"/>
      <c r="H3921" s="15"/>
      <c r="J3921" s="15"/>
    </row>
    <row r="3922" spans="6:10" ht="15">
      <c r="F3922" s="15"/>
      <c r="H3922" s="15"/>
      <c r="J3922" s="15"/>
    </row>
    <row r="3923" spans="6:10" ht="15">
      <c r="F3923" s="15"/>
      <c r="H3923" s="15"/>
      <c r="J3923" s="15"/>
    </row>
    <row r="3924" spans="6:10" ht="15">
      <c r="F3924" s="15"/>
      <c r="H3924" s="15"/>
      <c r="J3924" s="15"/>
    </row>
    <row r="3925" spans="6:10" ht="15">
      <c r="F3925" s="15"/>
      <c r="H3925" s="15"/>
      <c r="J3925" s="15"/>
    </row>
    <row r="3926" spans="6:10" ht="15">
      <c r="F3926" s="15"/>
      <c r="H3926" s="15"/>
      <c r="J3926" s="15"/>
    </row>
    <row r="3927" spans="6:10" ht="15">
      <c r="F3927" s="15"/>
      <c r="H3927" s="15"/>
      <c r="J3927" s="15"/>
    </row>
    <row r="3928" spans="6:10" ht="15">
      <c r="F3928" s="15"/>
      <c r="H3928" s="15"/>
      <c r="J3928" s="15"/>
    </row>
    <row r="3929" spans="6:10" ht="15">
      <c r="F3929" s="15"/>
      <c r="H3929" s="15"/>
      <c r="J3929" s="15"/>
    </row>
    <row r="3930" spans="6:10" ht="15">
      <c r="F3930" s="15"/>
      <c r="H3930" s="15"/>
      <c r="J3930" s="15"/>
    </row>
    <row r="3931" spans="6:10" ht="15">
      <c r="F3931" s="15"/>
      <c r="H3931" s="15"/>
      <c r="J3931" s="15"/>
    </row>
    <row r="3932" spans="6:10" ht="15">
      <c r="F3932" s="15"/>
      <c r="H3932" s="15"/>
      <c r="J3932" s="15"/>
    </row>
    <row r="3933" spans="6:10" ht="15">
      <c r="F3933" s="15"/>
      <c r="H3933" s="15"/>
      <c r="J3933" s="15"/>
    </row>
    <row r="3934" spans="6:10" ht="15">
      <c r="F3934" s="15"/>
      <c r="H3934" s="15"/>
      <c r="J3934" s="15"/>
    </row>
    <row r="3935" spans="6:10" ht="15">
      <c r="F3935" s="15"/>
      <c r="H3935" s="15"/>
      <c r="J3935" s="15"/>
    </row>
    <row r="3936" spans="6:10" ht="15">
      <c r="F3936" s="15"/>
      <c r="H3936" s="15"/>
      <c r="J3936" s="15"/>
    </row>
    <row r="3937" spans="6:10" ht="15">
      <c r="F3937" s="15"/>
      <c r="H3937" s="15"/>
      <c r="J3937" s="15"/>
    </row>
    <row r="3938" spans="6:10" ht="15">
      <c r="F3938" s="15"/>
      <c r="H3938" s="15"/>
      <c r="J3938" s="15"/>
    </row>
    <row r="3939" spans="6:10" ht="15">
      <c r="F3939" s="15"/>
      <c r="H3939" s="15"/>
      <c r="J3939" s="15"/>
    </row>
    <row r="3940" spans="6:10" ht="15">
      <c r="F3940" s="15"/>
      <c r="H3940" s="15"/>
      <c r="J3940" s="15"/>
    </row>
    <row r="3941" spans="6:10" ht="15">
      <c r="F3941" s="15"/>
      <c r="H3941" s="15"/>
      <c r="J3941" s="15"/>
    </row>
    <row r="3942" spans="6:10" ht="15">
      <c r="F3942" s="15"/>
      <c r="H3942" s="15"/>
      <c r="J3942" s="15"/>
    </row>
    <row r="3943" spans="6:10" ht="15">
      <c r="F3943" s="15"/>
      <c r="H3943" s="15"/>
      <c r="J3943" s="15"/>
    </row>
    <row r="3944" spans="6:10" ht="15">
      <c r="F3944" s="15"/>
      <c r="H3944" s="15"/>
      <c r="J3944" s="15"/>
    </row>
    <row r="3945" spans="6:10" ht="15">
      <c r="F3945" s="15"/>
      <c r="H3945" s="15"/>
      <c r="J3945" s="15"/>
    </row>
    <row r="3946" spans="6:10" ht="15">
      <c r="F3946" s="15"/>
      <c r="H3946" s="15"/>
      <c r="J3946" s="15"/>
    </row>
    <row r="3947" spans="6:10" ht="15">
      <c r="F3947" s="15"/>
      <c r="H3947" s="15"/>
      <c r="J3947" s="15"/>
    </row>
    <row r="3948" spans="6:10" ht="15">
      <c r="F3948" s="15"/>
      <c r="H3948" s="15"/>
      <c r="J3948" s="15"/>
    </row>
    <row r="3949" spans="6:10" ht="15">
      <c r="F3949" s="15"/>
      <c r="H3949" s="15"/>
      <c r="J3949" s="15"/>
    </row>
    <row r="3950" spans="6:10" ht="15">
      <c r="F3950" s="15"/>
      <c r="H3950" s="15"/>
      <c r="J3950" s="15"/>
    </row>
    <row r="3951" spans="6:10" ht="15">
      <c r="F3951" s="15"/>
      <c r="H3951" s="15"/>
      <c r="J3951" s="15"/>
    </row>
    <row r="3952" spans="6:10" ht="15">
      <c r="F3952" s="15"/>
      <c r="H3952" s="15"/>
      <c r="J3952" s="15"/>
    </row>
    <row r="3953" spans="6:10" ht="15">
      <c r="F3953" s="15"/>
      <c r="H3953" s="15"/>
      <c r="J3953" s="15"/>
    </row>
    <row r="3954" spans="6:10" ht="15">
      <c r="F3954" s="15"/>
      <c r="H3954" s="15"/>
      <c r="J3954" s="15"/>
    </row>
    <row r="3955" spans="6:10" ht="15">
      <c r="F3955" s="15"/>
      <c r="H3955" s="15"/>
      <c r="J3955" s="15"/>
    </row>
    <row r="3956" spans="6:10" ht="15">
      <c r="F3956" s="15"/>
      <c r="H3956" s="15"/>
      <c r="J3956" s="15"/>
    </row>
    <row r="3957" spans="6:10" ht="15">
      <c r="F3957" s="15"/>
      <c r="H3957" s="15"/>
      <c r="J3957" s="15"/>
    </row>
    <row r="3958" spans="6:10" ht="15">
      <c r="F3958" s="15"/>
      <c r="H3958" s="15"/>
      <c r="J3958" s="15"/>
    </row>
    <row r="3959" spans="6:10" ht="15">
      <c r="F3959" s="15"/>
      <c r="H3959" s="15"/>
      <c r="J3959" s="15"/>
    </row>
    <row r="3960" spans="6:10" ht="15">
      <c r="F3960" s="15"/>
      <c r="H3960" s="15"/>
      <c r="J3960" s="15"/>
    </row>
    <row r="3961" spans="6:10" ht="15">
      <c r="F3961" s="15"/>
      <c r="H3961" s="15"/>
      <c r="J3961" s="15"/>
    </row>
    <row r="3962" spans="6:10" ht="15">
      <c r="F3962" s="15"/>
      <c r="H3962" s="15"/>
      <c r="J3962" s="15"/>
    </row>
    <row r="3963" spans="6:10" ht="15">
      <c r="F3963" s="15"/>
      <c r="H3963" s="15"/>
      <c r="J3963" s="15"/>
    </row>
    <row r="3964" spans="6:10" ht="15">
      <c r="F3964" s="15"/>
      <c r="H3964" s="15"/>
      <c r="J3964" s="15"/>
    </row>
    <row r="3965" spans="6:10" ht="15">
      <c r="F3965" s="15"/>
      <c r="H3965" s="15"/>
      <c r="J3965" s="15"/>
    </row>
    <row r="3966" spans="6:10" ht="15">
      <c r="F3966" s="15"/>
      <c r="H3966" s="15"/>
      <c r="J3966" s="15"/>
    </row>
    <row r="3967" spans="6:10" ht="15">
      <c r="F3967" s="15"/>
      <c r="H3967" s="15"/>
      <c r="J3967" s="15"/>
    </row>
    <row r="3968" spans="6:10" ht="15">
      <c r="F3968" s="15"/>
      <c r="H3968" s="15"/>
      <c r="J3968" s="15"/>
    </row>
    <row r="3969" spans="6:10" ht="15">
      <c r="F3969" s="15"/>
      <c r="H3969" s="15"/>
      <c r="J3969" s="15"/>
    </row>
    <row r="3970" spans="6:10" ht="15">
      <c r="F3970" s="15"/>
      <c r="H3970" s="15"/>
      <c r="J3970" s="15"/>
    </row>
    <row r="3971" spans="6:10" ht="15">
      <c r="F3971" s="15"/>
      <c r="H3971" s="15"/>
      <c r="J3971" s="15"/>
    </row>
    <row r="3972" spans="6:10" ht="15">
      <c r="F3972" s="15"/>
      <c r="H3972" s="15"/>
      <c r="J3972" s="15"/>
    </row>
    <row r="3973" spans="6:10" ht="15">
      <c r="F3973" s="15"/>
      <c r="H3973" s="15"/>
      <c r="J3973" s="15"/>
    </row>
    <row r="3974" spans="6:10" ht="15">
      <c r="F3974" s="15"/>
      <c r="H3974" s="15"/>
      <c r="J3974" s="15"/>
    </row>
    <row r="3975" spans="6:10" ht="15">
      <c r="F3975" s="15"/>
      <c r="H3975" s="15"/>
      <c r="J3975" s="15"/>
    </row>
    <row r="3976" spans="6:10" ht="15">
      <c r="F3976" s="15"/>
      <c r="H3976" s="15"/>
      <c r="J3976" s="15"/>
    </row>
    <row r="3977" spans="6:10" ht="15">
      <c r="F3977" s="15"/>
      <c r="H3977" s="15"/>
      <c r="J3977" s="15"/>
    </row>
    <row r="3978" spans="6:10" ht="15">
      <c r="F3978" s="15"/>
      <c r="H3978" s="15"/>
      <c r="J3978" s="15"/>
    </row>
    <row r="3979" spans="6:10" ht="15">
      <c r="F3979" s="15"/>
      <c r="H3979" s="15"/>
      <c r="J3979" s="15"/>
    </row>
    <row r="3980" spans="6:10" ht="15">
      <c r="F3980" s="15"/>
      <c r="H3980" s="15"/>
      <c r="J3980" s="15"/>
    </row>
    <row r="3981" spans="6:10" ht="15">
      <c r="F3981" s="15"/>
      <c r="H3981" s="15"/>
      <c r="J3981" s="15"/>
    </row>
    <row r="3982" spans="6:10" ht="15">
      <c r="F3982" s="15"/>
      <c r="H3982" s="15"/>
      <c r="J3982" s="15"/>
    </row>
    <row r="3983" spans="6:10" ht="15">
      <c r="F3983" s="15"/>
      <c r="H3983" s="15"/>
      <c r="J3983" s="15"/>
    </row>
    <row r="3984" spans="6:10" ht="15">
      <c r="F3984" s="15"/>
      <c r="H3984" s="15"/>
      <c r="J3984" s="15"/>
    </row>
    <row r="3985" spans="6:10" ht="15">
      <c r="F3985" s="15"/>
      <c r="H3985" s="15"/>
      <c r="J3985" s="15"/>
    </row>
    <row r="3986" spans="6:10" ht="15">
      <c r="F3986" s="15"/>
      <c r="H3986" s="15"/>
      <c r="J3986" s="15"/>
    </row>
    <row r="3987" spans="6:10" ht="15">
      <c r="F3987" s="15"/>
      <c r="H3987" s="15"/>
      <c r="J3987" s="15"/>
    </row>
    <row r="3988" spans="6:10" ht="15">
      <c r="F3988" s="15"/>
      <c r="H3988" s="15"/>
      <c r="J3988" s="15"/>
    </row>
    <row r="3989" spans="6:10" ht="15">
      <c r="F3989" s="15"/>
      <c r="H3989" s="15"/>
      <c r="J3989" s="15"/>
    </row>
    <row r="3990" spans="6:10" ht="15">
      <c r="F3990" s="15"/>
      <c r="H3990" s="15"/>
      <c r="J3990" s="15"/>
    </row>
    <row r="3991" spans="6:10" ht="15">
      <c r="F3991" s="15"/>
      <c r="H3991" s="15"/>
      <c r="J3991" s="15"/>
    </row>
    <row r="3992" spans="6:10" ht="15">
      <c r="F3992" s="15"/>
      <c r="H3992" s="15"/>
      <c r="J3992" s="15"/>
    </row>
    <row r="3993" spans="6:10" ht="15">
      <c r="F3993" s="15"/>
      <c r="H3993" s="15"/>
      <c r="J3993" s="15"/>
    </row>
    <row r="3994" spans="6:10" ht="15">
      <c r="F3994" s="15"/>
      <c r="H3994" s="15"/>
      <c r="J3994" s="15"/>
    </row>
    <row r="3995" spans="6:10" ht="15">
      <c r="F3995" s="15"/>
      <c r="H3995" s="15"/>
      <c r="J3995" s="15"/>
    </row>
    <row r="3996" spans="6:10" ht="15">
      <c r="F3996" s="15"/>
      <c r="H3996" s="15"/>
      <c r="J3996" s="15"/>
    </row>
    <row r="3997" spans="6:10" ht="15">
      <c r="F3997" s="15"/>
      <c r="H3997" s="15"/>
      <c r="J3997" s="15"/>
    </row>
    <row r="3998" spans="6:10" ht="15">
      <c r="F3998" s="15"/>
      <c r="H3998" s="15"/>
      <c r="J3998" s="15"/>
    </row>
    <row r="3999" spans="6:10" ht="15">
      <c r="F3999" s="15"/>
      <c r="H3999" s="15"/>
      <c r="J3999" s="15"/>
    </row>
    <row r="4000" spans="6:10" ht="15">
      <c r="F4000" s="15"/>
      <c r="H4000" s="15"/>
      <c r="J4000" s="15"/>
    </row>
    <row r="4001" spans="6:10" ht="15">
      <c r="F4001" s="15"/>
      <c r="H4001" s="15"/>
      <c r="J4001" s="15"/>
    </row>
    <row r="4002" spans="6:10" ht="15">
      <c r="F4002" s="15"/>
      <c r="H4002" s="15"/>
      <c r="J4002" s="15"/>
    </row>
    <row r="4003" spans="6:10" ht="15">
      <c r="F4003" s="15"/>
      <c r="H4003" s="15"/>
      <c r="J4003" s="15"/>
    </row>
    <row r="4004" spans="6:10" ht="15">
      <c r="F4004" s="15"/>
      <c r="H4004" s="15"/>
      <c r="J4004" s="15"/>
    </row>
    <row r="4005" spans="6:10" ht="15">
      <c r="F4005" s="15"/>
      <c r="H4005" s="15"/>
      <c r="J4005" s="15"/>
    </row>
    <row r="4006" spans="6:10" ht="15">
      <c r="F4006" s="15"/>
      <c r="H4006" s="15"/>
      <c r="J4006" s="15"/>
    </row>
    <row r="4007" spans="6:10" ht="15">
      <c r="F4007" s="15"/>
      <c r="H4007" s="15"/>
      <c r="J4007" s="15"/>
    </row>
    <row r="4008" spans="6:10" ht="15">
      <c r="F4008" s="15"/>
      <c r="H4008" s="15"/>
      <c r="J4008" s="15"/>
    </row>
    <row r="4009" spans="6:10" ht="15">
      <c r="F4009" s="15"/>
      <c r="H4009" s="15"/>
      <c r="J4009" s="15"/>
    </row>
    <row r="4010" spans="6:10" ht="15">
      <c r="F4010" s="15"/>
      <c r="H4010" s="15"/>
      <c r="J4010" s="15"/>
    </row>
    <row r="4011" spans="6:10" ht="15">
      <c r="F4011" s="15"/>
      <c r="H4011" s="15"/>
      <c r="J4011" s="15"/>
    </row>
    <row r="4012" spans="6:10" ht="15">
      <c r="F4012" s="15"/>
      <c r="H4012" s="15"/>
      <c r="J4012" s="15"/>
    </row>
    <row r="4013" spans="6:10" ht="15">
      <c r="F4013" s="15"/>
      <c r="H4013" s="15"/>
      <c r="J4013" s="15"/>
    </row>
    <row r="4014" spans="6:10" ht="15">
      <c r="F4014" s="15"/>
      <c r="H4014" s="15"/>
      <c r="J4014" s="15"/>
    </row>
    <row r="4015" spans="6:10" ht="15">
      <c r="F4015" s="15"/>
      <c r="H4015" s="15"/>
      <c r="J4015" s="15"/>
    </row>
    <row r="4016" spans="6:10" ht="15">
      <c r="F4016" s="15"/>
      <c r="H4016" s="15"/>
      <c r="J4016" s="15"/>
    </row>
    <row r="4017" spans="6:10" ht="15">
      <c r="F4017" s="15"/>
      <c r="H4017" s="15"/>
      <c r="J4017" s="15"/>
    </row>
    <row r="4018" spans="6:10" ht="15">
      <c r="F4018" s="15"/>
      <c r="H4018" s="15"/>
      <c r="J4018" s="15"/>
    </row>
    <row r="4019" spans="6:10" ht="15">
      <c r="F4019" s="15"/>
      <c r="H4019" s="15"/>
      <c r="J4019" s="15"/>
    </row>
    <row r="4020" spans="6:10" ht="15">
      <c r="F4020" s="15"/>
      <c r="H4020" s="15"/>
      <c r="J4020" s="15"/>
    </row>
    <row r="4021" spans="6:10" ht="15">
      <c r="F4021" s="15"/>
      <c r="H4021" s="15"/>
      <c r="J4021" s="15"/>
    </row>
    <row r="4022" spans="6:10" ht="15">
      <c r="F4022" s="15"/>
      <c r="H4022" s="15"/>
      <c r="J4022" s="15"/>
    </row>
    <row r="4023" spans="6:10" ht="15">
      <c r="F4023" s="15"/>
      <c r="H4023" s="15"/>
      <c r="J4023" s="15"/>
    </row>
    <row r="4024" spans="6:10" ht="15">
      <c r="F4024" s="15"/>
      <c r="H4024" s="15"/>
      <c r="J4024" s="15"/>
    </row>
    <row r="4025" spans="6:10" ht="15">
      <c r="F4025" s="15"/>
      <c r="H4025" s="15"/>
      <c r="J4025" s="15"/>
    </row>
    <row r="4026" spans="6:10" ht="15">
      <c r="F4026" s="15"/>
      <c r="H4026" s="15"/>
      <c r="J4026" s="15"/>
    </row>
    <row r="4027" spans="6:10" ht="15">
      <c r="F4027" s="15"/>
      <c r="H4027" s="15"/>
      <c r="J4027" s="15"/>
    </row>
    <row r="4028" spans="6:10" ht="15">
      <c r="F4028" s="15"/>
      <c r="H4028" s="15"/>
      <c r="J4028" s="15"/>
    </row>
    <row r="4029" spans="6:10" ht="15">
      <c r="F4029" s="15"/>
      <c r="H4029" s="15"/>
      <c r="J4029" s="15"/>
    </row>
    <row r="4030" spans="6:10" ht="15">
      <c r="F4030" s="15"/>
      <c r="H4030" s="15"/>
      <c r="J4030" s="15"/>
    </row>
    <row r="4031" spans="6:10" ht="15">
      <c r="F4031" s="15"/>
      <c r="H4031" s="15"/>
      <c r="J4031" s="15"/>
    </row>
    <row r="4032" spans="6:10" ht="15">
      <c r="F4032" s="15"/>
      <c r="H4032" s="15"/>
      <c r="J4032" s="15"/>
    </row>
    <row r="4033" spans="6:10" ht="15">
      <c r="F4033" s="15"/>
      <c r="H4033" s="15"/>
      <c r="J4033" s="15"/>
    </row>
    <row r="4034" spans="6:10" ht="15">
      <c r="F4034" s="15"/>
      <c r="H4034" s="15"/>
      <c r="J4034" s="15"/>
    </row>
    <row r="4035" spans="6:10" ht="15">
      <c r="F4035" s="15"/>
      <c r="H4035" s="15"/>
      <c r="J4035" s="15"/>
    </row>
    <row r="4036" spans="6:10" ht="15">
      <c r="F4036" s="15"/>
      <c r="H4036" s="15"/>
      <c r="J4036" s="15"/>
    </row>
    <row r="4037" spans="6:10" ht="15">
      <c r="F4037" s="15"/>
      <c r="H4037" s="15"/>
      <c r="J4037" s="15"/>
    </row>
    <row r="4038" spans="6:10" ht="15">
      <c r="F4038" s="15"/>
      <c r="H4038" s="15"/>
      <c r="J4038" s="15"/>
    </row>
    <row r="4039" spans="6:10" ht="15">
      <c r="F4039" s="15"/>
      <c r="H4039" s="15"/>
      <c r="J4039" s="15"/>
    </row>
    <row r="4040" spans="6:10" ht="15">
      <c r="F4040" s="15"/>
      <c r="H4040" s="15"/>
      <c r="J4040" s="15"/>
    </row>
    <row r="4041" spans="6:10" ht="15">
      <c r="F4041" s="15"/>
      <c r="H4041" s="15"/>
      <c r="J4041" s="15"/>
    </row>
    <row r="4042" spans="6:10" ht="15">
      <c r="F4042" s="15"/>
      <c r="H4042" s="15"/>
      <c r="J4042" s="15"/>
    </row>
    <row r="4043" spans="6:10" ht="15">
      <c r="F4043" s="15"/>
      <c r="H4043" s="15"/>
      <c r="J4043" s="15"/>
    </row>
    <row r="4044" spans="6:10" ht="15">
      <c r="F4044" s="15"/>
      <c r="H4044" s="15"/>
      <c r="J4044" s="15"/>
    </row>
    <row r="4045" spans="6:10" ht="15">
      <c r="F4045" s="15"/>
      <c r="H4045" s="15"/>
      <c r="J4045" s="15"/>
    </row>
    <row r="4046" spans="6:10" ht="15">
      <c r="F4046" s="15"/>
      <c r="H4046" s="15"/>
      <c r="J4046" s="15"/>
    </row>
    <row r="4047" spans="6:10" ht="15">
      <c r="F4047" s="15"/>
      <c r="H4047" s="15"/>
      <c r="J4047" s="15"/>
    </row>
    <row r="4048" spans="6:10" ht="15">
      <c r="F4048" s="15"/>
      <c r="H4048" s="15"/>
      <c r="J4048" s="15"/>
    </row>
    <row r="4049" spans="6:10" ht="15">
      <c r="F4049" s="15"/>
      <c r="H4049" s="15"/>
      <c r="J4049" s="15"/>
    </row>
    <row r="4050" spans="6:10" ht="15">
      <c r="F4050" s="15"/>
      <c r="H4050" s="15"/>
      <c r="J4050" s="15"/>
    </row>
    <row r="4051" spans="6:10" ht="15">
      <c r="F4051" s="15"/>
      <c r="H4051" s="15"/>
      <c r="J4051" s="15"/>
    </row>
    <row r="4052" spans="6:10" ht="15">
      <c r="F4052" s="15"/>
      <c r="H4052" s="15"/>
      <c r="J4052" s="15"/>
    </row>
    <row r="4053" spans="6:10" ht="15">
      <c r="F4053" s="15"/>
      <c r="H4053" s="15"/>
      <c r="J4053" s="15"/>
    </row>
    <row r="4054" spans="6:10" ht="15">
      <c r="F4054" s="15"/>
      <c r="H4054" s="15"/>
      <c r="J4054" s="15"/>
    </row>
    <row r="4055" spans="6:10" ht="15">
      <c r="F4055" s="15"/>
      <c r="H4055" s="15"/>
      <c r="J4055" s="15"/>
    </row>
    <row r="4056" spans="6:10" ht="15">
      <c r="F4056" s="15"/>
      <c r="H4056" s="15"/>
      <c r="J4056" s="15"/>
    </row>
    <row r="4057" spans="6:10" ht="15">
      <c r="F4057" s="15"/>
      <c r="H4057" s="15"/>
      <c r="J4057" s="15"/>
    </row>
    <row r="4058" spans="6:10" ht="15">
      <c r="F4058" s="15"/>
      <c r="H4058" s="15"/>
      <c r="J4058" s="15"/>
    </row>
    <row r="4059" spans="6:10" ht="15">
      <c r="F4059" s="15"/>
      <c r="H4059" s="15"/>
      <c r="J4059" s="15"/>
    </row>
    <row r="4060" spans="6:10" ht="15">
      <c r="F4060" s="15"/>
      <c r="H4060" s="15"/>
      <c r="J4060" s="15"/>
    </row>
    <row r="4061" spans="6:10" ht="15">
      <c r="F4061" s="15"/>
      <c r="H4061" s="15"/>
      <c r="J4061" s="15"/>
    </row>
    <row r="4062" spans="6:10" ht="15">
      <c r="F4062" s="15"/>
      <c r="H4062" s="15"/>
      <c r="J4062" s="15"/>
    </row>
    <row r="4063" spans="6:10" ht="15">
      <c r="F4063" s="15"/>
      <c r="H4063" s="15"/>
      <c r="J4063" s="15"/>
    </row>
    <row r="4064" spans="6:10" ht="15">
      <c r="F4064" s="15"/>
      <c r="H4064" s="15"/>
      <c r="J4064" s="15"/>
    </row>
    <row r="4065" spans="6:10" ht="15">
      <c r="F4065" s="15"/>
      <c r="H4065" s="15"/>
      <c r="J4065" s="15"/>
    </row>
    <row r="4066" spans="6:10" ht="15">
      <c r="F4066" s="15"/>
      <c r="H4066" s="15"/>
      <c r="J4066" s="15"/>
    </row>
    <row r="4067" spans="6:10" ht="15">
      <c r="F4067" s="15"/>
      <c r="H4067" s="15"/>
      <c r="J4067" s="15"/>
    </row>
    <row r="4068" spans="6:10" ht="15">
      <c r="F4068" s="15"/>
      <c r="H4068" s="15"/>
      <c r="J4068" s="15"/>
    </row>
    <row r="4069" spans="6:10" ht="15">
      <c r="F4069" s="15"/>
      <c r="H4069" s="15"/>
      <c r="J4069" s="15"/>
    </row>
    <row r="4070" spans="6:10" ht="15">
      <c r="F4070" s="15"/>
      <c r="H4070" s="15"/>
      <c r="J4070" s="15"/>
    </row>
    <row r="4071" spans="6:10" ht="15">
      <c r="F4071" s="15"/>
      <c r="H4071" s="15"/>
      <c r="J4071" s="15"/>
    </row>
    <row r="4072" spans="6:10" ht="15">
      <c r="F4072" s="15"/>
      <c r="H4072" s="15"/>
      <c r="J4072" s="15"/>
    </row>
    <row r="4073" spans="6:10" ht="15">
      <c r="F4073" s="15"/>
      <c r="H4073" s="15"/>
      <c r="J4073" s="15"/>
    </row>
    <row r="4074" spans="6:10" ht="15">
      <c r="F4074" s="15"/>
      <c r="H4074" s="15"/>
      <c r="J4074" s="15"/>
    </row>
    <row r="4075" spans="6:10" ht="15">
      <c r="F4075" s="15"/>
      <c r="H4075" s="15"/>
      <c r="J4075" s="15"/>
    </row>
    <row r="4076" spans="6:10" ht="15">
      <c r="F4076" s="15"/>
      <c r="H4076" s="15"/>
      <c r="J4076" s="15"/>
    </row>
    <row r="4077" spans="6:10" ht="15">
      <c r="F4077" s="15"/>
      <c r="H4077" s="15"/>
      <c r="J4077" s="15"/>
    </row>
    <row r="4078" spans="6:10" ht="15">
      <c r="F4078" s="15"/>
      <c r="H4078" s="15"/>
      <c r="J4078" s="15"/>
    </row>
    <row r="4079" spans="6:10" ht="15">
      <c r="F4079" s="15"/>
      <c r="H4079" s="15"/>
      <c r="J4079" s="15"/>
    </row>
    <row r="4080" spans="6:10" ht="15">
      <c r="F4080" s="15"/>
      <c r="H4080" s="15"/>
      <c r="J4080" s="15"/>
    </row>
    <row r="4081" spans="6:10" ht="15">
      <c r="F4081" s="15"/>
      <c r="H4081" s="15"/>
      <c r="J4081" s="15"/>
    </row>
    <row r="4082" spans="6:10" ht="15">
      <c r="F4082" s="15"/>
      <c r="H4082" s="15"/>
      <c r="J4082" s="15"/>
    </row>
    <row r="4083" spans="6:10" ht="15">
      <c r="F4083" s="15"/>
      <c r="H4083" s="15"/>
      <c r="J4083" s="15"/>
    </row>
    <row r="4084" spans="6:10" ht="15">
      <c r="F4084" s="15"/>
      <c r="H4084" s="15"/>
      <c r="J4084" s="15"/>
    </row>
    <row r="4085" spans="6:10" ht="15">
      <c r="F4085" s="15"/>
      <c r="H4085" s="15"/>
      <c r="J4085" s="15"/>
    </row>
    <row r="4086" spans="6:10" ht="15">
      <c r="F4086" s="15"/>
      <c r="H4086" s="15"/>
      <c r="J4086" s="15"/>
    </row>
    <row r="4087" spans="6:10" ht="15">
      <c r="F4087" s="15"/>
      <c r="H4087" s="15"/>
      <c r="J4087" s="15"/>
    </row>
    <row r="4088" spans="6:10" ht="15">
      <c r="F4088" s="15"/>
      <c r="H4088" s="15"/>
      <c r="J4088" s="15"/>
    </row>
    <row r="4089" spans="6:10" ht="15">
      <c r="F4089" s="15"/>
      <c r="H4089" s="15"/>
      <c r="J4089" s="15"/>
    </row>
    <row r="4090" spans="6:10" ht="15">
      <c r="F4090" s="15"/>
      <c r="H4090" s="15"/>
      <c r="J4090" s="15"/>
    </row>
    <row r="4091" spans="6:10" ht="15">
      <c r="F4091" s="15"/>
      <c r="H4091" s="15"/>
      <c r="J4091" s="15"/>
    </row>
    <row r="4092" spans="6:10" ht="15">
      <c r="F4092" s="15"/>
      <c r="H4092" s="15"/>
      <c r="J4092" s="15"/>
    </row>
    <row r="4093" spans="6:10" ht="15">
      <c r="F4093" s="15"/>
      <c r="H4093" s="15"/>
      <c r="J4093" s="15"/>
    </row>
    <row r="4094" spans="6:10" ht="15">
      <c r="F4094" s="15"/>
      <c r="H4094" s="15"/>
      <c r="J4094" s="15"/>
    </row>
    <row r="4095" spans="6:10" ht="15">
      <c r="F4095" s="15"/>
      <c r="H4095" s="15"/>
      <c r="J4095" s="15"/>
    </row>
    <row r="4096" spans="6:10" ht="15">
      <c r="F4096" s="15"/>
      <c r="H4096" s="15"/>
      <c r="J4096" s="15"/>
    </row>
    <row r="4097" spans="6:10" ht="15">
      <c r="F4097" s="15"/>
      <c r="H4097" s="15"/>
      <c r="J4097" s="15"/>
    </row>
    <row r="4098" spans="6:10" ht="15">
      <c r="F4098" s="15"/>
      <c r="H4098" s="15"/>
      <c r="J4098" s="15"/>
    </row>
    <row r="4099" spans="6:10" ht="15">
      <c r="F4099" s="15"/>
      <c r="H4099" s="15"/>
      <c r="J4099" s="15"/>
    </row>
    <row r="4100" spans="6:10" ht="15">
      <c r="F4100" s="15"/>
      <c r="H4100" s="15"/>
      <c r="J4100" s="15"/>
    </row>
    <row r="4101" spans="6:10" ht="15">
      <c r="F4101" s="15"/>
      <c r="H4101" s="15"/>
      <c r="J4101" s="15"/>
    </row>
    <row r="4102" spans="6:10" ht="15">
      <c r="F4102" s="15"/>
      <c r="H4102" s="15"/>
      <c r="J4102" s="15"/>
    </row>
    <row r="4103" spans="6:10" ht="15">
      <c r="F4103" s="15"/>
      <c r="H4103" s="15"/>
      <c r="J4103" s="15"/>
    </row>
    <row r="4104" spans="6:10" ht="15">
      <c r="F4104" s="15"/>
      <c r="H4104" s="15"/>
      <c r="J4104" s="15"/>
    </row>
    <row r="4105" spans="6:10" ht="15">
      <c r="F4105" s="15"/>
      <c r="H4105" s="15"/>
      <c r="J4105" s="15"/>
    </row>
    <row r="4106" spans="6:10" ht="15">
      <c r="F4106" s="15"/>
      <c r="H4106" s="15"/>
      <c r="J4106" s="15"/>
    </row>
    <row r="4107" spans="6:10" ht="15">
      <c r="F4107" s="15"/>
      <c r="H4107" s="15"/>
      <c r="J4107" s="15"/>
    </row>
    <row r="4108" spans="6:10" ht="15">
      <c r="F4108" s="15"/>
      <c r="H4108" s="15"/>
      <c r="J4108" s="15"/>
    </row>
    <row r="4109" spans="6:10" ht="15">
      <c r="F4109" s="15"/>
      <c r="H4109" s="15"/>
      <c r="J4109" s="15"/>
    </row>
    <row r="4110" spans="6:10" ht="15">
      <c r="F4110" s="15"/>
      <c r="H4110" s="15"/>
      <c r="J4110" s="15"/>
    </row>
    <row r="4111" spans="6:10" ht="15">
      <c r="F4111" s="15"/>
      <c r="H4111" s="15"/>
      <c r="J4111" s="15"/>
    </row>
    <row r="4112" spans="6:10" ht="15">
      <c r="F4112" s="15"/>
      <c r="H4112" s="15"/>
      <c r="J4112" s="15"/>
    </row>
    <row r="4113" spans="6:10" ht="15">
      <c r="F4113" s="15"/>
      <c r="H4113" s="15"/>
      <c r="J4113" s="15"/>
    </row>
    <row r="4114" spans="6:10" ht="15">
      <c r="F4114" s="15"/>
      <c r="H4114" s="15"/>
      <c r="J4114" s="15"/>
    </row>
    <row r="4115" spans="6:10" ht="15">
      <c r="F4115" s="15"/>
      <c r="H4115" s="15"/>
      <c r="J4115" s="15"/>
    </row>
    <row r="4116" spans="6:10" ht="15">
      <c r="F4116" s="15"/>
      <c r="H4116" s="15"/>
      <c r="J4116" s="15"/>
    </row>
    <row r="4117" spans="6:10" ht="15">
      <c r="F4117" s="15"/>
      <c r="H4117" s="15"/>
      <c r="J4117" s="15"/>
    </row>
    <row r="4118" spans="6:10" ht="15">
      <c r="F4118" s="15"/>
      <c r="H4118" s="15"/>
      <c r="J4118" s="15"/>
    </row>
    <row r="4119" spans="6:10" ht="15">
      <c r="F4119" s="15"/>
      <c r="H4119" s="15"/>
      <c r="J4119" s="15"/>
    </row>
    <row r="4120" spans="6:10" ht="15">
      <c r="F4120" s="15"/>
      <c r="H4120" s="15"/>
      <c r="J4120" s="15"/>
    </row>
    <row r="4121" spans="6:10" ht="15">
      <c r="F4121" s="15"/>
      <c r="H4121" s="15"/>
      <c r="J4121" s="15"/>
    </row>
    <row r="4122" spans="6:10" ht="15">
      <c r="F4122" s="15"/>
      <c r="H4122" s="15"/>
      <c r="J4122" s="15"/>
    </row>
    <row r="4123" spans="6:10" ht="15">
      <c r="F4123" s="15"/>
      <c r="H4123" s="15"/>
      <c r="J4123" s="15"/>
    </row>
    <row r="4124" spans="6:10" ht="15">
      <c r="F4124" s="15"/>
      <c r="H4124" s="15"/>
      <c r="J4124" s="15"/>
    </row>
    <row r="4125" spans="6:10" ht="15">
      <c r="F4125" s="15"/>
      <c r="H4125" s="15"/>
      <c r="J4125" s="15"/>
    </row>
    <row r="4126" spans="6:10" ht="15">
      <c r="F4126" s="15"/>
      <c r="H4126" s="15"/>
      <c r="J4126" s="15"/>
    </row>
    <row r="4127" spans="6:10" ht="15">
      <c r="F4127" s="15"/>
      <c r="H4127" s="15"/>
      <c r="J4127" s="15"/>
    </row>
    <row r="4128" spans="6:10" ht="15">
      <c r="F4128" s="15"/>
      <c r="H4128" s="15"/>
      <c r="J4128" s="15"/>
    </row>
    <row r="4129" spans="6:10" ht="15">
      <c r="F4129" s="15"/>
      <c r="H4129" s="15"/>
      <c r="J4129" s="15"/>
    </row>
    <row r="4130" spans="6:10" ht="15">
      <c r="F4130" s="15"/>
      <c r="H4130" s="15"/>
      <c r="J4130" s="15"/>
    </row>
    <row r="4131" spans="6:10" ht="15">
      <c r="F4131" s="15"/>
      <c r="H4131" s="15"/>
      <c r="J4131" s="15"/>
    </row>
    <row r="4132" spans="6:10" ht="15">
      <c r="F4132" s="15"/>
      <c r="H4132" s="15"/>
      <c r="J4132" s="15"/>
    </row>
    <row r="4133" spans="6:10" ht="15">
      <c r="F4133" s="15"/>
      <c r="H4133" s="15"/>
      <c r="J4133" s="15"/>
    </row>
    <row r="4134" spans="6:10" ht="15">
      <c r="F4134" s="15"/>
      <c r="H4134" s="15"/>
      <c r="J4134" s="15"/>
    </row>
    <row r="4135" spans="6:10" ht="15">
      <c r="F4135" s="15"/>
      <c r="H4135" s="15"/>
      <c r="J4135" s="15"/>
    </row>
    <row r="4136" spans="6:10" ht="15">
      <c r="F4136" s="15"/>
      <c r="H4136" s="15"/>
      <c r="J4136" s="15"/>
    </row>
    <row r="4137" spans="6:10" ht="15">
      <c r="F4137" s="15"/>
      <c r="H4137" s="15"/>
      <c r="J4137" s="15"/>
    </row>
    <row r="4138" spans="6:10" ht="15">
      <c r="F4138" s="15"/>
      <c r="H4138" s="15"/>
      <c r="J4138" s="15"/>
    </row>
    <row r="4139" spans="6:10" ht="15">
      <c r="F4139" s="15"/>
      <c r="H4139" s="15"/>
      <c r="J4139" s="15"/>
    </row>
    <row r="4140" spans="6:10" ht="15">
      <c r="F4140" s="15"/>
      <c r="H4140" s="15"/>
      <c r="J4140" s="15"/>
    </row>
    <row r="4141" spans="6:10" ht="15">
      <c r="F4141" s="15"/>
      <c r="H4141" s="15"/>
      <c r="J4141" s="15"/>
    </row>
    <row r="4142" spans="6:10" ht="15">
      <c r="F4142" s="15"/>
      <c r="H4142" s="15"/>
      <c r="J4142" s="15"/>
    </row>
    <row r="4143" spans="6:10" ht="15">
      <c r="F4143" s="15"/>
      <c r="H4143" s="15"/>
      <c r="J4143" s="15"/>
    </row>
    <row r="4144" spans="6:10" ht="15">
      <c r="F4144" s="15"/>
      <c r="H4144" s="15"/>
      <c r="J4144" s="15"/>
    </row>
    <row r="4145" spans="6:10" ht="15">
      <c r="F4145" s="15"/>
      <c r="H4145" s="15"/>
      <c r="J4145" s="15"/>
    </row>
    <row r="4146" spans="6:10" ht="15">
      <c r="F4146" s="15"/>
      <c r="H4146" s="15"/>
      <c r="J4146" s="15"/>
    </row>
    <row r="4147" spans="6:10" ht="15">
      <c r="F4147" s="15"/>
      <c r="H4147" s="15"/>
      <c r="J4147" s="15"/>
    </row>
    <row r="4148" spans="6:10" ht="15">
      <c r="F4148" s="15"/>
      <c r="H4148" s="15"/>
      <c r="J4148" s="15"/>
    </row>
    <row r="4149" spans="6:10" ht="15">
      <c r="F4149" s="15"/>
      <c r="H4149" s="15"/>
      <c r="J4149" s="15"/>
    </row>
    <row r="4150" spans="6:10" ht="15">
      <c r="F4150" s="15"/>
      <c r="H4150" s="15"/>
      <c r="J4150" s="15"/>
    </row>
    <row r="4151" spans="6:10" ht="15">
      <c r="F4151" s="15"/>
      <c r="H4151" s="15"/>
      <c r="J4151" s="15"/>
    </row>
    <row r="4152" spans="6:10" ht="15">
      <c r="F4152" s="15"/>
      <c r="H4152" s="15"/>
      <c r="J4152" s="15"/>
    </row>
    <row r="4153" spans="6:10" ht="15">
      <c r="F4153" s="15"/>
      <c r="H4153" s="15"/>
      <c r="J4153" s="15"/>
    </row>
    <row r="4154" spans="6:10" ht="15">
      <c r="F4154" s="15"/>
      <c r="H4154" s="15"/>
      <c r="J4154" s="15"/>
    </row>
    <row r="4155" spans="6:10" ht="15">
      <c r="F4155" s="15"/>
      <c r="H4155" s="15"/>
      <c r="J4155" s="15"/>
    </row>
    <row r="4156" spans="6:10" ht="15">
      <c r="F4156" s="15"/>
      <c r="H4156" s="15"/>
      <c r="J4156" s="15"/>
    </row>
    <row r="4157" spans="6:10" ht="15">
      <c r="F4157" s="15"/>
      <c r="H4157" s="15"/>
      <c r="J4157" s="15"/>
    </row>
    <row r="4158" spans="6:10" ht="15">
      <c r="F4158" s="15"/>
      <c r="H4158" s="15"/>
      <c r="J4158" s="15"/>
    </row>
    <row r="4159" spans="6:10" ht="15">
      <c r="F4159" s="15"/>
      <c r="H4159" s="15"/>
      <c r="J4159" s="15"/>
    </row>
    <row r="4160" spans="6:10" ht="15">
      <c r="F4160" s="15"/>
      <c r="H4160" s="15"/>
      <c r="J4160" s="15"/>
    </row>
    <row r="4161" spans="6:10" ht="15">
      <c r="F4161" s="15"/>
      <c r="H4161" s="15"/>
      <c r="J4161" s="15"/>
    </row>
    <row r="4162" spans="6:10" ht="15">
      <c r="F4162" s="15"/>
      <c r="H4162" s="15"/>
      <c r="J4162" s="15"/>
    </row>
    <row r="4163" spans="6:10" ht="15">
      <c r="F4163" s="15"/>
      <c r="H4163" s="15"/>
      <c r="J4163" s="15"/>
    </row>
    <row r="4164" spans="6:10" ht="15">
      <c r="F4164" s="15"/>
      <c r="H4164" s="15"/>
      <c r="J4164" s="15"/>
    </row>
    <row r="4165" spans="6:10" ht="15">
      <c r="F4165" s="15"/>
      <c r="H4165" s="15"/>
      <c r="J4165" s="15"/>
    </row>
    <row r="4166" spans="6:10" ht="15">
      <c r="F4166" s="15"/>
      <c r="H4166" s="15"/>
      <c r="J4166" s="15"/>
    </row>
    <row r="4167" spans="6:10" ht="15">
      <c r="F4167" s="15"/>
      <c r="H4167" s="15"/>
      <c r="J4167" s="15"/>
    </row>
    <row r="4168" spans="6:10" ht="15">
      <c r="F4168" s="15"/>
      <c r="H4168" s="15"/>
      <c r="J4168" s="15"/>
    </row>
    <row r="4169" spans="6:10" ht="15">
      <c r="F4169" s="15"/>
      <c r="H4169" s="15"/>
      <c r="J4169" s="15"/>
    </row>
    <row r="4170" spans="6:10" ht="15">
      <c r="F4170" s="15"/>
      <c r="H4170" s="15"/>
      <c r="J4170" s="15"/>
    </row>
    <row r="4171" spans="6:10" ht="15">
      <c r="F4171" s="15"/>
      <c r="H4171" s="15"/>
      <c r="J4171" s="15"/>
    </row>
    <row r="4172" spans="6:10" ht="15">
      <c r="F4172" s="15"/>
      <c r="H4172" s="15"/>
      <c r="J4172" s="15"/>
    </row>
    <row r="4173" spans="6:10" ht="15">
      <c r="F4173" s="15"/>
      <c r="H4173" s="15"/>
      <c r="J4173" s="15"/>
    </row>
    <row r="4174" spans="6:10" ht="15">
      <c r="F4174" s="15"/>
      <c r="H4174" s="15"/>
      <c r="J4174" s="15"/>
    </row>
    <row r="4175" spans="6:10" ht="15">
      <c r="F4175" s="15"/>
      <c r="H4175" s="15"/>
      <c r="J4175" s="15"/>
    </row>
    <row r="4176" spans="6:10" ht="15">
      <c r="F4176" s="15"/>
      <c r="H4176" s="15"/>
      <c r="J4176" s="15"/>
    </row>
    <row r="4177" spans="6:10" ht="15">
      <c r="F4177" s="15"/>
      <c r="H4177" s="15"/>
      <c r="J4177" s="15"/>
    </row>
    <row r="4178" spans="6:10" ht="15">
      <c r="F4178" s="15"/>
      <c r="H4178" s="15"/>
      <c r="J4178" s="15"/>
    </row>
    <row r="4179" spans="6:10" ht="15">
      <c r="F4179" s="15"/>
      <c r="H4179" s="15"/>
      <c r="J4179" s="15"/>
    </row>
    <row r="4180" spans="6:10" ht="15">
      <c r="F4180" s="15"/>
      <c r="H4180" s="15"/>
      <c r="J4180" s="15"/>
    </row>
    <row r="4181" spans="6:10" ht="15">
      <c r="F4181" s="15"/>
      <c r="H4181" s="15"/>
      <c r="J4181" s="15"/>
    </row>
    <row r="4182" spans="6:10" ht="15">
      <c r="F4182" s="15"/>
      <c r="H4182" s="15"/>
      <c r="J4182" s="15"/>
    </row>
    <row r="4183" spans="6:10" ht="15">
      <c r="F4183" s="15"/>
      <c r="H4183" s="15"/>
      <c r="J4183" s="15"/>
    </row>
    <row r="4184" spans="6:10" ht="15">
      <c r="F4184" s="15"/>
      <c r="H4184" s="15"/>
      <c r="J4184" s="15"/>
    </row>
    <row r="4185" spans="6:10" ht="15">
      <c r="F4185" s="15"/>
      <c r="H4185" s="15"/>
      <c r="J4185" s="15"/>
    </row>
    <row r="4186" spans="6:10" ht="15">
      <c r="F4186" s="15"/>
      <c r="H4186" s="15"/>
      <c r="J4186" s="15"/>
    </row>
    <row r="4187" spans="6:10" ht="15">
      <c r="F4187" s="15"/>
      <c r="H4187" s="15"/>
      <c r="J4187" s="15"/>
    </row>
    <row r="4188" spans="6:10" ht="15">
      <c r="F4188" s="15"/>
      <c r="H4188" s="15"/>
      <c r="J4188" s="15"/>
    </row>
    <row r="4189" spans="6:10" ht="15">
      <c r="F4189" s="15"/>
      <c r="H4189" s="15"/>
      <c r="J4189" s="15"/>
    </row>
    <row r="4190" spans="6:10" ht="15">
      <c r="F4190" s="15"/>
      <c r="H4190" s="15"/>
      <c r="J4190" s="15"/>
    </row>
    <row r="4191" spans="6:10" ht="15">
      <c r="F4191" s="15"/>
      <c r="H4191" s="15"/>
      <c r="J4191" s="15"/>
    </row>
    <row r="4192" spans="6:10" ht="15">
      <c r="F4192" s="15"/>
      <c r="H4192" s="15"/>
      <c r="J4192" s="15"/>
    </row>
    <row r="4193" spans="6:10" ht="15">
      <c r="F4193" s="15"/>
      <c r="H4193" s="15"/>
      <c r="J4193" s="15"/>
    </row>
    <row r="4194" spans="6:10" ht="15">
      <c r="F4194" s="15"/>
      <c r="H4194" s="15"/>
      <c r="J4194" s="15"/>
    </row>
    <row r="4195" spans="6:10" ht="15">
      <c r="F4195" s="15"/>
      <c r="H4195" s="15"/>
      <c r="J4195" s="15"/>
    </row>
    <row r="4196" spans="6:10" ht="15">
      <c r="F4196" s="15"/>
      <c r="H4196" s="15"/>
      <c r="J4196" s="15"/>
    </row>
    <row r="4197" spans="6:10" ht="15">
      <c r="F4197" s="15"/>
      <c r="H4197" s="15"/>
      <c r="J4197" s="15"/>
    </row>
    <row r="4198" spans="6:10" ht="15">
      <c r="F4198" s="15"/>
      <c r="H4198" s="15"/>
      <c r="J4198" s="15"/>
    </row>
    <row r="4199" spans="6:10" ht="15">
      <c r="F4199" s="15"/>
      <c r="H4199" s="15"/>
      <c r="J4199" s="15"/>
    </row>
    <row r="4200" spans="6:10" ht="15">
      <c r="F4200" s="15"/>
      <c r="H4200" s="15"/>
      <c r="J4200" s="15"/>
    </row>
    <row r="4201" spans="6:10" ht="15">
      <c r="F4201" s="15"/>
      <c r="H4201" s="15"/>
      <c r="J4201" s="15"/>
    </row>
    <row r="4202" spans="6:10" ht="15">
      <c r="F4202" s="15"/>
      <c r="H4202" s="15"/>
      <c r="J4202" s="15"/>
    </row>
    <row r="4203" spans="6:10" ht="15">
      <c r="F4203" s="15"/>
      <c r="H4203" s="15"/>
      <c r="J4203" s="15"/>
    </row>
    <row r="4204" spans="6:10" ht="15">
      <c r="F4204" s="15"/>
      <c r="H4204" s="15"/>
      <c r="J4204" s="15"/>
    </row>
    <row r="4205" spans="6:10" ht="15">
      <c r="F4205" s="15"/>
      <c r="H4205" s="15"/>
      <c r="J4205" s="15"/>
    </row>
    <row r="4206" spans="6:10" ht="15">
      <c r="F4206" s="15"/>
      <c r="H4206" s="15"/>
      <c r="J4206" s="15"/>
    </row>
    <row r="4207" spans="6:10" ht="15">
      <c r="F4207" s="15"/>
      <c r="H4207" s="15"/>
      <c r="J4207" s="15"/>
    </row>
    <row r="4208" spans="6:10" ht="15">
      <c r="F4208" s="15"/>
      <c r="H4208" s="15"/>
      <c r="J4208" s="15"/>
    </row>
    <row r="4209" spans="6:10" ht="15">
      <c r="F4209" s="15"/>
      <c r="H4209" s="15"/>
      <c r="J4209" s="15"/>
    </row>
    <row r="4210" spans="6:10" ht="15">
      <c r="F4210" s="15"/>
      <c r="H4210" s="15"/>
      <c r="J4210" s="15"/>
    </row>
    <row r="4211" spans="6:10" ht="15">
      <c r="F4211" s="15"/>
      <c r="H4211" s="15"/>
      <c r="J4211" s="15"/>
    </row>
    <row r="4212" spans="6:10" ht="15">
      <c r="F4212" s="15"/>
      <c r="H4212" s="15"/>
      <c r="J4212" s="15"/>
    </row>
    <row r="4213" spans="6:10" ht="15">
      <c r="F4213" s="15"/>
      <c r="H4213" s="15"/>
      <c r="J4213" s="15"/>
    </row>
    <row r="4214" spans="6:10" ht="15">
      <c r="F4214" s="15"/>
      <c r="H4214" s="15"/>
      <c r="J4214" s="15"/>
    </row>
    <row r="4215" spans="6:10" ht="15">
      <c r="F4215" s="15"/>
      <c r="H4215" s="15"/>
      <c r="J4215" s="15"/>
    </row>
    <row r="4216" spans="6:10" ht="15">
      <c r="F4216" s="15"/>
      <c r="H4216" s="15"/>
      <c r="J4216" s="15"/>
    </row>
    <row r="4217" spans="6:10" ht="15">
      <c r="F4217" s="15"/>
      <c r="H4217" s="15"/>
      <c r="J4217" s="15"/>
    </row>
    <row r="4218" spans="6:10" ht="15">
      <c r="F4218" s="15"/>
      <c r="H4218" s="15"/>
      <c r="J4218" s="15"/>
    </row>
    <row r="4219" spans="6:10" ht="15">
      <c r="F4219" s="15"/>
      <c r="H4219" s="15"/>
      <c r="J4219" s="15"/>
    </row>
    <row r="4220" spans="6:10" ht="15">
      <c r="F4220" s="15"/>
      <c r="H4220" s="15"/>
      <c r="J4220" s="15"/>
    </row>
    <row r="4221" spans="6:10" ht="15">
      <c r="F4221" s="15"/>
      <c r="H4221" s="15"/>
      <c r="J4221" s="15"/>
    </row>
    <row r="4222" spans="6:10" ht="15">
      <c r="F4222" s="15"/>
      <c r="H4222" s="15"/>
      <c r="J4222" s="15"/>
    </row>
    <row r="4223" spans="6:10" ht="15">
      <c r="F4223" s="15"/>
      <c r="H4223" s="15"/>
      <c r="J4223" s="15"/>
    </row>
  </sheetData>
  <conditionalFormatting sqref="M2:M13">
    <cfRule type="duplicateValues" dxfId="6" priority="1"/>
  </conditionalFormatting>
  <pageMargins left="0.7" right="0.7" top="0.75" bottom="0.75" header="0.3" footer="0.3"/>
  <pageSetup paperSize="9" orientation="portrait" verticalDpi="20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AB27"/>
  <sheetViews>
    <sheetView topLeftCell="H19" workbookViewId="0">
      <selection activeCell="R29" sqref="R29"/>
    </sheetView>
  </sheetViews>
  <sheetFormatPr defaultColWidth="9" defaultRowHeight="15"/>
  <cols>
    <col min="3" max="3" width="12.85546875" style="56" customWidth="1"/>
    <col min="4" max="5" width="8.85546875" style="56"/>
    <col min="6" max="6" width="10.28515625" style="56" customWidth="1"/>
    <col min="7" max="7" width="11.28515625" style="56" customWidth="1"/>
    <col min="8" max="8" width="12.28515625" style="56" customWidth="1"/>
    <col min="9" max="10" width="14" style="56" customWidth="1"/>
    <col min="11" max="11" width="10.28515625" style="56" customWidth="1"/>
    <col min="12" max="12" width="7.7109375" style="56" customWidth="1"/>
    <col min="13" max="13" width="12.28515625" style="56" customWidth="1"/>
    <col min="14" max="14" width="11.85546875" style="56" customWidth="1"/>
    <col min="15" max="15" width="7.5703125" style="56" customWidth="1"/>
    <col min="16" max="16" width="10.5703125" style="56" customWidth="1"/>
    <col min="17" max="17" width="8.7109375" style="56" customWidth="1"/>
    <col min="18" max="18" width="12.28515625" style="56" customWidth="1"/>
    <col min="19" max="19" width="11.85546875" style="56" customWidth="1"/>
    <col min="20" max="20" width="10.7109375" style="56" customWidth="1"/>
    <col min="21" max="28" width="8.85546875" style="56"/>
  </cols>
  <sheetData>
    <row r="3" spans="2:20" ht="36.6" customHeight="1">
      <c r="B3" s="484" t="s">
        <v>1386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6"/>
    </row>
    <row r="4" spans="2:20" ht="29.45" customHeight="1">
      <c r="B4" s="487" t="s">
        <v>1387</v>
      </c>
      <c r="C4" s="494" t="s">
        <v>1388</v>
      </c>
      <c r="D4" s="494" t="s">
        <v>1389</v>
      </c>
      <c r="E4" s="496" t="s">
        <v>1390</v>
      </c>
      <c r="F4" s="487" t="s">
        <v>1391</v>
      </c>
      <c r="G4" s="488"/>
      <c r="H4" s="488"/>
      <c r="I4" s="488"/>
      <c r="J4" s="489"/>
      <c r="K4" s="490" t="s">
        <v>1392</v>
      </c>
      <c r="L4" s="491"/>
      <c r="M4" s="491"/>
      <c r="N4" s="491"/>
      <c r="O4" s="492"/>
      <c r="P4" s="490" t="s">
        <v>1393</v>
      </c>
      <c r="Q4" s="491"/>
      <c r="R4" s="491"/>
      <c r="S4" s="491"/>
      <c r="T4" s="492"/>
    </row>
    <row r="5" spans="2:20" ht="27.6" customHeight="1">
      <c r="B5" s="493"/>
      <c r="C5" s="495"/>
      <c r="D5" s="495"/>
      <c r="E5" s="497"/>
      <c r="F5" s="297" t="s">
        <v>1394</v>
      </c>
      <c r="G5" s="296" t="s">
        <v>1395</v>
      </c>
      <c r="H5" s="296" t="s">
        <v>1396</v>
      </c>
      <c r="I5" s="296" t="s">
        <v>1397</v>
      </c>
      <c r="J5" s="314" t="s">
        <v>1398</v>
      </c>
      <c r="K5" s="297" t="s">
        <v>1394</v>
      </c>
      <c r="L5" s="296" t="s">
        <v>1395</v>
      </c>
      <c r="M5" s="296" t="s">
        <v>1396</v>
      </c>
      <c r="N5" s="296" t="s">
        <v>1397</v>
      </c>
      <c r="O5" s="314" t="s">
        <v>1398</v>
      </c>
      <c r="P5" s="315" t="s">
        <v>1394</v>
      </c>
      <c r="Q5" s="296" t="s">
        <v>1395</v>
      </c>
      <c r="R5" s="296" t="s">
        <v>1396</v>
      </c>
      <c r="S5" s="296" t="s">
        <v>1397</v>
      </c>
      <c r="T5" s="314" t="s">
        <v>1398</v>
      </c>
    </row>
    <row r="6" spans="2:20" ht="60">
      <c r="B6" s="298">
        <v>1</v>
      </c>
      <c r="C6" s="299" t="s">
        <v>18</v>
      </c>
      <c r="D6" s="299">
        <v>6</v>
      </c>
      <c r="E6" s="300">
        <v>110</v>
      </c>
      <c r="F6" s="298" t="s">
        <v>1399</v>
      </c>
      <c r="G6" s="299" t="s">
        <v>1400</v>
      </c>
      <c r="H6" s="301" t="s">
        <v>1401</v>
      </c>
      <c r="I6" s="301" t="s">
        <v>1402</v>
      </c>
      <c r="J6" s="316" t="s">
        <v>1403</v>
      </c>
      <c r="K6" s="298" t="s">
        <v>1404</v>
      </c>
      <c r="L6" s="299" t="s">
        <v>1405</v>
      </c>
      <c r="M6" s="301" t="s">
        <v>1401</v>
      </c>
      <c r="N6" s="301" t="s">
        <v>1401</v>
      </c>
      <c r="O6" s="316" t="s">
        <v>1406</v>
      </c>
      <c r="P6" s="317" t="s">
        <v>1407</v>
      </c>
      <c r="Q6" s="334" t="s">
        <v>1407</v>
      </c>
      <c r="R6" s="334" t="s">
        <v>1407</v>
      </c>
      <c r="S6" s="334" t="s">
        <v>1407</v>
      </c>
      <c r="T6" s="335" t="s">
        <v>1407</v>
      </c>
    </row>
    <row r="7" spans="2:20" ht="60">
      <c r="B7" s="302">
        <v>2</v>
      </c>
      <c r="C7" s="303" t="s">
        <v>18</v>
      </c>
      <c r="D7" s="303">
        <v>8</v>
      </c>
      <c r="E7" s="304">
        <v>140</v>
      </c>
      <c r="F7" s="302" t="s">
        <v>1399</v>
      </c>
      <c r="G7" s="303" t="s">
        <v>1400</v>
      </c>
      <c r="H7" s="305" t="s">
        <v>1401</v>
      </c>
      <c r="I7" s="305" t="s">
        <v>1402</v>
      </c>
      <c r="J7" s="318" t="s">
        <v>1403</v>
      </c>
      <c r="K7" s="302" t="s">
        <v>1404</v>
      </c>
      <c r="L7" s="303" t="s">
        <v>1405</v>
      </c>
      <c r="M7" s="305" t="s">
        <v>1401</v>
      </c>
      <c r="N7" s="305" t="s">
        <v>1401</v>
      </c>
      <c r="O7" s="318" t="s">
        <v>1406</v>
      </c>
      <c r="P7" s="319" t="s">
        <v>1407</v>
      </c>
      <c r="Q7" s="325" t="s">
        <v>1407</v>
      </c>
      <c r="R7" s="325" t="s">
        <v>1407</v>
      </c>
      <c r="S7" s="325" t="s">
        <v>1407</v>
      </c>
      <c r="T7" s="336" t="s">
        <v>1407</v>
      </c>
    </row>
    <row r="8" spans="2:20" ht="60">
      <c r="B8" s="302">
        <v>3</v>
      </c>
      <c r="C8" s="303" t="s">
        <v>18</v>
      </c>
      <c r="D8" s="303">
        <v>10</v>
      </c>
      <c r="E8" s="304">
        <v>160</v>
      </c>
      <c r="F8" s="302" t="s">
        <v>1399</v>
      </c>
      <c r="G8" s="303" t="s">
        <v>1400</v>
      </c>
      <c r="H8" s="305" t="s">
        <v>1401</v>
      </c>
      <c r="I8" s="305" t="s">
        <v>1402</v>
      </c>
      <c r="J8" s="318" t="s">
        <v>1403</v>
      </c>
      <c r="K8" s="302" t="s">
        <v>1404</v>
      </c>
      <c r="L8" s="303" t="s">
        <v>1405</v>
      </c>
      <c r="M8" s="305" t="s">
        <v>1401</v>
      </c>
      <c r="N8" s="305" t="s">
        <v>1401</v>
      </c>
      <c r="O8" s="318" t="s">
        <v>1406</v>
      </c>
      <c r="P8" s="319" t="s">
        <v>1407</v>
      </c>
      <c r="Q8" s="325" t="s">
        <v>1407</v>
      </c>
      <c r="R8" s="325" t="s">
        <v>1407</v>
      </c>
      <c r="S8" s="325" t="s">
        <v>1407</v>
      </c>
      <c r="T8" s="336" t="s">
        <v>1407</v>
      </c>
    </row>
    <row r="9" spans="2:20" ht="60">
      <c r="B9" s="302">
        <v>4</v>
      </c>
      <c r="C9" s="303" t="s">
        <v>47</v>
      </c>
      <c r="D9" s="303">
        <v>6</v>
      </c>
      <c r="E9" s="304">
        <v>140</v>
      </c>
      <c r="F9" s="302" t="s">
        <v>1399</v>
      </c>
      <c r="G9" s="303" t="s">
        <v>1400</v>
      </c>
      <c r="H9" s="305" t="s">
        <v>1401</v>
      </c>
      <c r="I9" s="305" t="s">
        <v>1402</v>
      </c>
      <c r="J9" s="318" t="s">
        <v>1403</v>
      </c>
      <c r="K9" s="302" t="s">
        <v>1404</v>
      </c>
      <c r="L9" s="303" t="s">
        <v>1405</v>
      </c>
      <c r="M9" s="305" t="s">
        <v>1401</v>
      </c>
      <c r="N9" s="305" t="s">
        <v>1401</v>
      </c>
      <c r="O9" s="318" t="s">
        <v>1406</v>
      </c>
      <c r="P9" s="319" t="s">
        <v>1407</v>
      </c>
      <c r="Q9" s="325" t="s">
        <v>1407</v>
      </c>
      <c r="R9" s="325" t="s">
        <v>1407</v>
      </c>
      <c r="S9" s="325" t="s">
        <v>1407</v>
      </c>
      <c r="T9" s="336" t="s">
        <v>1407</v>
      </c>
    </row>
    <row r="10" spans="2:20" ht="60">
      <c r="B10" s="302">
        <v>5</v>
      </c>
      <c r="C10" s="303" t="s">
        <v>47</v>
      </c>
      <c r="D10" s="303">
        <v>8</v>
      </c>
      <c r="E10" s="304">
        <v>140</v>
      </c>
      <c r="F10" s="302" t="s">
        <v>1399</v>
      </c>
      <c r="G10" s="303" t="s">
        <v>1400</v>
      </c>
      <c r="H10" s="305" t="s">
        <v>1401</v>
      </c>
      <c r="I10" s="305" t="s">
        <v>1402</v>
      </c>
      <c r="J10" s="318" t="s">
        <v>1403</v>
      </c>
      <c r="K10" s="302" t="s">
        <v>1404</v>
      </c>
      <c r="L10" s="303" t="s">
        <v>1405</v>
      </c>
      <c r="M10" s="305" t="s">
        <v>1401</v>
      </c>
      <c r="N10" s="305" t="s">
        <v>1401</v>
      </c>
      <c r="O10" s="318" t="s">
        <v>1406</v>
      </c>
      <c r="P10" s="319" t="s">
        <v>1407</v>
      </c>
      <c r="Q10" s="325" t="s">
        <v>1407</v>
      </c>
      <c r="R10" s="325" t="s">
        <v>1407</v>
      </c>
      <c r="S10" s="325" t="s">
        <v>1407</v>
      </c>
      <c r="T10" s="336" t="s">
        <v>1407</v>
      </c>
    </row>
    <row r="11" spans="2:20" ht="60">
      <c r="B11" s="302">
        <v>6</v>
      </c>
      <c r="C11" s="303" t="s">
        <v>42</v>
      </c>
      <c r="D11" s="303">
        <v>10</v>
      </c>
      <c r="E11" s="304">
        <v>110</v>
      </c>
      <c r="F11" s="302" t="s">
        <v>1399</v>
      </c>
      <c r="G11" s="303" t="s">
        <v>1400</v>
      </c>
      <c r="H11" s="305" t="s">
        <v>1401</v>
      </c>
      <c r="I11" s="305" t="s">
        <v>1402</v>
      </c>
      <c r="J11" s="318" t="s">
        <v>1403</v>
      </c>
      <c r="K11" s="302" t="s">
        <v>1404</v>
      </c>
      <c r="L11" s="303" t="s">
        <v>1408</v>
      </c>
      <c r="M11" s="305" t="s">
        <v>1401</v>
      </c>
      <c r="N11" s="305" t="s">
        <v>1401</v>
      </c>
      <c r="O11" s="318" t="s">
        <v>1406</v>
      </c>
      <c r="P11" s="319" t="s">
        <v>1407</v>
      </c>
      <c r="Q11" s="325" t="s">
        <v>1407</v>
      </c>
      <c r="R11" s="325" t="s">
        <v>1407</v>
      </c>
      <c r="S11" s="325" t="s">
        <v>1407</v>
      </c>
      <c r="T11" s="336" t="s">
        <v>1407</v>
      </c>
    </row>
    <row r="12" spans="2:20" ht="60">
      <c r="B12" s="306">
        <v>7</v>
      </c>
      <c r="C12" s="307" t="s">
        <v>42</v>
      </c>
      <c r="D12" s="307">
        <v>12</v>
      </c>
      <c r="E12" s="308">
        <v>160</v>
      </c>
      <c r="F12" s="306" t="s">
        <v>1399</v>
      </c>
      <c r="G12" s="307" t="s">
        <v>1400</v>
      </c>
      <c r="H12" s="309" t="s">
        <v>1401</v>
      </c>
      <c r="I12" s="309" t="s">
        <v>1402</v>
      </c>
      <c r="J12" s="320" t="s">
        <v>1403</v>
      </c>
      <c r="K12" s="306" t="s">
        <v>1404</v>
      </c>
      <c r="L12" s="307" t="s">
        <v>1405</v>
      </c>
      <c r="M12" s="309" t="s">
        <v>1401</v>
      </c>
      <c r="N12" s="309" t="s">
        <v>1401</v>
      </c>
      <c r="O12" s="320" t="s">
        <v>1406</v>
      </c>
      <c r="P12" s="321" t="s">
        <v>1407</v>
      </c>
      <c r="Q12" s="330" t="s">
        <v>1407</v>
      </c>
      <c r="R12" s="330" t="s">
        <v>1407</v>
      </c>
      <c r="S12" s="330" t="s">
        <v>1407</v>
      </c>
      <c r="T12" s="337" t="s">
        <v>1407</v>
      </c>
    </row>
    <row r="13" spans="2:20" ht="60">
      <c r="B13" s="310">
        <v>8</v>
      </c>
      <c r="C13" s="311" t="s">
        <v>1409</v>
      </c>
      <c r="D13" s="311">
        <v>6</v>
      </c>
      <c r="E13" s="312">
        <v>110</v>
      </c>
      <c r="F13" s="310" t="s">
        <v>1399</v>
      </c>
      <c r="G13" s="311" t="s">
        <v>1410</v>
      </c>
      <c r="H13" s="313" t="s">
        <v>1401</v>
      </c>
      <c r="I13" s="313" t="s">
        <v>1411</v>
      </c>
      <c r="J13" s="322" t="s">
        <v>1403</v>
      </c>
      <c r="K13" s="310" t="s">
        <v>1412</v>
      </c>
      <c r="L13" s="311" t="s">
        <v>1413</v>
      </c>
      <c r="M13" s="313" t="s">
        <v>1401</v>
      </c>
      <c r="N13" s="313" t="s">
        <v>1401</v>
      </c>
      <c r="O13" s="322" t="s">
        <v>1406</v>
      </c>
      <c r="P13" s="323" t="s">
        <v>1407</v>
      </c>
      <c r="Q13" s="338" t="s">
        <v>1407</v>
      </c>
      <c r="R13" s="338" t="s">
        <v>1407</v>
      </c>
      <c r="S13" s="338" t="s">
        <v>1407</v>
      </c>
      <c r="T13" s="339" t="s">
        <v>1407</v>
      </c>
    </row>
    <row r="14" spans="2:20" ht="60">
      <c r="B14" s="302">
        <v>9</v>
      </c>
      <c r="C14" s="303" t="s">
        <v>1409</v>
      </c>
      <c r="D14" s="303">
        <v>8</v>
      </c>
      <c r="E14" s="304">
        <v>140</v>
      </c>
      <c r="F14" s="302" t="s">
        <v>1399</v>
      </c>
      <c r="G14" s="303" t="s">
        <v>1410</v>
      </c>
      <c r="H14" s="305" t="s">
        <v>1401</v>
      </c>
      <c r="I14" s="305" t="s">
        <v>1411</v>
      </c>
      <c r="J14" s="318" t="s">
        <v>1403</v>
      </c>
      <c r="K14" s="302" t="s">
        <v>1412</v>
      </c>
      <c r="L14" s="303" t="s">
        <v>1414</v>
      </c>
      <c r="M14" s="305" t="s">
        <v>1401</v>
      </c>
      <c r="N14" s="305" t="s">
        <v>1401</v>
      </c>
      <c r="O14" s="318" t="s">
        <v>1406</v>
      </c>
      <c r="P14" s="319" t="s">
        <v>1407</v>
      </c>
      <c r="Q14" s="325" t="s">
        <v>1407</v>
      </c>
      <c r="R14" s="325" t="s">
        <v>1407</v>
      </c>
      <c r="S14" s="325" t="s">
        <v>1407</v>
      </c>
      <c r="T14" s="336" t="s">
        <v>1407</v>
      </c>
    </row>
    <row r="15" spans="2:20" ht="60">
      <c r="B15" s="302">
        <v>10</v>
      </c>
      <c r="C15" s="303" t="s">
        <v>1409</v>
      </c>
      <c r="D15" s="303">
        <v>10</v>
      </c>
      <c r="E15" s="304">
        <v>160</v>
      </c>
      <c r="F15" s="302" t="s">
        <v>1399</v>
      </c>
      <c r="G15" s="303" t="s">
        <v>1410</v>
      </c>
      <c r="H15" s="305" t="s">
        <v>1401</v>
      </c>
      <c r="I15" s="305" t="s">
        <v>1411</v>
      </c>
      <c r="J15" s="318" t="s">
        <v>1403</v>
      </c>
      <c r="K15" s="302" t="s">
        <v>1412</v>
      </c>
      <c r="L15" s="303" t="s">
        <v>1415</v>
      </c>
      <c r="M15" s="305" t="s">
        <v>1401</v>
      </c>
      <c r="N15" s="305" t="s">
        <v>1401</v>
      </c>
      <c r="O15" s="318" t="s">
        <v>1406</v>
      </c>
      <c r="P15" s="319" t="s">
        <v>1407</v>
      </c>
      <c r="Q15" s="325" t="s">
        <v>1407</v>
      </c>
      <c r="R15" s="325" t="s">
        <v>1407</v>
      </c>
      <c r="S15" s="325" t="s">
        <v>1407</v>
      </c>
      <c r="T15" s="336" t="s">
        <v>1407</v>
      </c>
    </row>
    <row r="16" spans="2:20" ht="60">
      <c r="B16" s="302">
        <v>11</v>
      </c>
      <c r="C16" s="303" t="s">
        <v>28</v>
      </c>
      <c r="D16" s="303">
        <v>8</v>
      </c>
      <c r="E16" s="304">
        <v>160</v>
      </c>
      <c r="F16" s="302" t="s">
        <v>1399</v>
      </c>
      <c r="G16" s="303" t="s">
        <v>1410</v>
      </c>
      <c r="H16" s="305" t="s">
        <v>1401</v>
      </c>
      <c r="I16" s="305" t="s">
        <v>1411</v>
      </c>
      <c r="J16" s="318" t="s">
        <v>1403</v>
      </c>
      <c r="K16" s="302" t="s">
        <v>1404</v>
      </c>
      <c r="L16" s="303" t="s">
        <v>1416</v>
      </c>
      <c r="M16" s="305" t="s">
        <v>1401</v>
      </c>
      <c r="N16" s="305" t="s">
        <v>1401</v>
      </c>
      <c r="O16" s="318" t="s">
        <v>1406</v>
      </c>
      <c r="P16" s="319" t="s">
        <v>1407</v>
      </c>
      <c r="Q16" s="325" t="s">
        <v>1407</v>
      </c>
      <c r="R16" s="325" t="s">
        <v>1407</v>
      </c>
      <c r="S16" s="325" t="s">
        <v>1407</v>
      </c>
      <c r="T16" s="336" t="s">
        <v>1407</v>
      </c>
    </row>
    <row r="17" spans="2:20" ht="60" customHeight="1">
      <c r="B17" s="302">
        <v>14</v>
      </c>
      <c r="C17" s="305" t="s">
        <v>1417</v>
      </c>
      <c r="D17" s="303">
        <v>8</v>
      </c>
      <c r="E17" s="304">
        <v>110</v>
      </c>
      <c r="F17" s="302" t="s">
        <v>1399</v>
      </c>
      <c r="G17" s="303" t="s">
        <v>1410</v>
      </c>
      <c r="H17" s="305" t="s">
        <v>1401</v>
      </c>
      <c r="I17" s="305" t="s">
        <v>1411</v>
      </c>
      <c r="J17" s="318" t="s">
        <v>1403</v>
      </c>
      <c r="K17" s="302" t="s">
        <v>1418</v>
      </c>
      <c r="L17" s="303" t="s">
        <v>1408</v>
      </c>
      <c r="M17" s="305" t="s">
        <v>1401</v>
      </c>
      <c r="N17" s="305" t="s">
        <v>1401</v>
      </c>
      <c r="O17" s="318" t="s">
        <v>1406</v>
      </c>
      <c r="P17" s="319" t="s">
        <v>1407</v>
      </c>
      <c r="Q17" s="325" t="s">
        <v>1407</v>
      </c>
      <c r="R17" s="325" t="s">
        <v>1407</v>
      </c>
      <c r="S17" s="325" t="s">
        <v>1407</v>
      </c>
      <c r="T17" s="336" t="s">
        <v>1407</v>
      </c>
    </row>
    <row r="18" spans="2:20" ht="60" customHeight="1">
      <c r="B18" s="302">
        <v>15</v>
      </c>
      <c r="C18" s="305" t="s">
        <v>1417</v>
      </c>
      <c r="D18" s="303">
        <v>10</v>
      </c>
      <c r="E18" s="304">
        <v>140</v>
      </c>
      <c r="F18" s="302" t="s">
        <v>1399</v>
      </c>
      <c r="G18" s="303" t="s">
        <v>1410</v>
      </c>
      <c r="H18" s="305" t="s">
        <v>1401</v>
      </c>
      <c r="I18" s="305" t="s">
        <v>1411</v>
      </c>
      <c r="J18" s="318" t="s">
        <v>1403</v>
      </c>
      <c r="K18" s="302" t="s">
        <v>1418</v>
      </c>
      <c r="L18" s="303" t="s">
        <v>1408</v>
      </c>
      <c r="M18" s="305" t="s">
        <v>1401</v>
      </c>
      <c r="N18" s="305" t="s">
        <v>1401</v>
      </c>
      <c r="O18" s="318" t="s">
        <v>1406</v>
      </c>
      <c r="P18" s="319" t="s">
        <v>1407</v>
      </c>
      <c r="Q18" s="325" t="s">
        <v>1407</v>
      </c>
      <c r="R18" s="325" t="s">
        <v>1407</v>
      </c>
      <c r="S18" s="325" t="s">
        <v>1407</v>
      </c>
      <c r="T18" s="336" t="s">
        <v>1407</v>
      </c>
    </row>
    <row r="19" spans="2:20" ht="60" customHeight="1">
      <c r="B19" s="302">
        <v>16</v>
      </c>
      <c r="C19" s="305" t="s">
        <v>1417</v>
      </c>
      <c r="D19" s="303">
        <v>12</v>
      </c>
      <c r="E19" s="304">
        <v>180</v>
      </c>
      <c r="F19" s="302" t="s">
        <v>1399</v>
      </c>
      <c r="G19" s="303" t="s">
        <v>1410</v>
      </c>
      <c r="H19" s="305" t="s">
        <v>1401</v>
      </c>
      <c r="I19" s="305" t="s">
        <v>1411</v>
      </c>
      <c r="J19" s="318" t="s">
        <v>1403</v>
      </c>
      <c r="K19" s="302" t="s">
        <v>1418</v>
      </c>
      <c r="L19" s="303" t="s">
        <v>1408</v>
      </c>
      <c r="M19" s="305" t="s">
        <v>1401</v>
      </c>
      <c r="N19" s="305" t="s">
        <v>1401</v>
      </c>
      <c r="O19" s="318" t="s">
        <v>1419</v>
      </c>
      <c r="P19" s="319" t="s">
        <v>1407</v>
      </c>
      <c r="Q19" s="325" t="s">
        <v>1407</v>
      </c>
      <c r="R19" s="325" t="s">
        <v>1407</v>
      </c>
      <c r="S19" s="325" t="s">
        <v>1407</v>
      </c>
      <c r="T19" s="336" t="s">
        <v>1407</v>
      </c>
    </row>
    <row r="20" spans="2:20" ht="60" customHeight="1">
      <c r="B20" s="302">
        <v>17</v>
      </c>
      <c r="C20" s="305" t="s">
        <v>1420</v>
      </c>
      <c r="D20" s="303">
        <v>8</v>
      </c>
      <c r="E20" s="304">
        <v>140</v>
      </c>
      <c r="F20" s="302" t="s">
        <v>1399</v>
      </c>
      <c r="G20" s="303" t="s">
        <v>1410</v>
      </c>
      <c r="H20" s="305" t="s">
        <v>1401</v>
      </c>
      <c r="I20" s="305" t="s">
        <v>1411</v>
      </c>
      <c r="J20" s="318" t="s">
        <v>1403</v>
      </c>
      <c r="K20" s="302" t="s">
        <v>1418</v>
      </c>
      <c r="L20" s="303" t="s">
        <v>1408</v>
      </c>
      <c r="M20" s="305" t="s">
        <v>1401</v>
      </c>
      <c r="N20" s="305" t="s">
        <v>1401</v>
      </c>
      <c r="O20" s="318" t="s">
        <v>1406</v>
      </c>
      <c r="P20" s="319" t="s">
        <v>1407</v>
      </c>
      <c r="Q20" s="325" t="s">
        <v>1407</v>
      </c>
      <c r="R20" s="325" t="s">
        <v>1407</v>
      </c>
      <c r="S20" s="325" t="s">
        <v>1407</v>
      </c>
      <c r="T20" s="336" t="s">
        <v>1407</v>
      </c>
    </row>
    <row r="21" spans="2:20" ht="60" customHeight="1">
      <c r="B21" s="302">
        <v>18</v>
      </c>
      <c r="C21" s="305" t="s">
        <v>1420</v>
      </c>
      <c r="D21" s="303">
        <v>10</v>
      </c>
      <c r="E21" s="304">
        <v>160</v>
      </c>
      <c r="F21" s="302" t="s">
        <v>1399</v>
      </c>
      <c r="G21" s="303" t="s">
        <v>1410</v>
      </c>
      <c r="H21" s="305" t="s">
        <v>1401</v>
      </c>
      <c r="I21" s="305" t="s">
        <v>1411</v>
      </c>
      <c r="J21" s="318" t="s">
        <v>1403</v>
      </c>
      <c r="K21" s="302" t="s">
        <v>1418</v>
      </c>
      <c r="L21" s="303" t="s">
        <v>1408</v>
      </c>
      <c r="M21" s="305" t="s">
        <v>1401</v>
      </c>
      <c r="N21" s="305" t="s">
        <v>1401</v>
      </c>
      <c r="O21" s="318" t="s">
        <v>1406</v>
      </c>
      <c r="P21" s="319" t="s">
        <v>1407</v>
      </c>
      <c r="Q21" s="325" t="s">
        <v>1407</v>
      </c>
      <c r="R21" s="325" t="s">
        <v>1407</v>
      </c>
      <c r="S21" s="325" t="s">
        <v>1407</v>
      </c>
      <c r="T21" s="336" t="s">
        <v>1407</v>
      </c>
    </row>
    <row r="22" spans="2:20" ht="60" customHeight="1">
      <c r="B22" s="302">
        <v>19</v>
      </c>
      <c r="C22" s="305" t="s">
        <v>1421</v>
      </c>
      <c r="D22" s="303">
        <v>8</v>
      </c>
      <c r="E22" s="304">
        <v>140</v>
      </c>
      <c r="F22" s="302" t="s">
        <v>1399</v>
      </c>
      <c r="G22" s="303" t="s">
        <v>1410</v>
      </c>
      <c r="H22" s="305" t="s">
        <v>1401</v>
      </c>
      <c r="I22" s="305" t="s">
        <v>1411</v>
      </c>
      <c r="J22" s="318" t="s">
        <v>1403</v>
      </c>
      <c r="K22" s="302" t="s">
        <v>1418</v>
      </c>
      <c r="L22" s="303" t="s">
        <v>1408</v>
      </c>
      <c r="M22" s="305" t="s">
        <v>1401</v>
      </c>
      <c r="N22" s="305" t="s">
        <v>1401</v>
      </c>
      <c r="O22" s="318" t="s">
        <v>1406</v>
      </c>
      <c r="P22" s="319" t="s">
        <v>1407</v>
      </c>
      <c r="Q22" s="325" t="s">
        <v>1407</v>
      </c>
      <c r="R22" s="325" t="s">
        <v>1407</v>
      </c>
      <c r="S22" s="325" t="s">
        <v>1407</v>
      </c>
      <c r="T22" s="336" t="s">
        <v>1407</v>
      </c>
    </row>
    <row r="23" spans="2:20" ht="60" customHeight="1">
      <c r="B23" s="302">
        <v>20</v>
      </c>
      <c r="C23" s="305" t="s">
        <v>1421</v>
      </c>
      <c r="D23" s="303">
        <v>10</v>
      </c>
      <c r="E23" s="304">
        <v>160</v>
      </c>
      <c r="F23" s="302" t="s">
        <v>1399</v>
      </c>
      <c r="G23" s="303" t="s">
        <v>1410</v>
      </c>
      <c r="H23" s="305" t="s">
        <v>1401</v>
      </c>
      <c r="I23" s="305" t="s">
        <v>1411</v>
      </c>
      <c r="J23" s="318" t="s">
        <v>1403</v>
      </c>
      <c r="K23" s="302" t="s">
        <v>1418</v>
      </c>
      <c r="L23" s="303" t="s">
        <v>1408</v>
      </c>
      <c r="M23" s="305" t="s">
        <v>1401</v>
      </c>
      <c r="N23" s="305" t="s">
        <v>1401</v>
      </c>
      <c r="O23" s="318" t="s">
        <v>1406</v>
      </c>
      <c r="P23" s="319" t="s">
        <v>1407</v>
      </c>
      <c r="Q23" s="325" t="s">
        <v>1407</v>
      </c>
      <c r="R23" s="325" t="s">
        <v>1407</v>
      </c>
      <c r="S23" s="325" t="s">
        <v>1407</v>
      </c>
      <c r="T23" s="336" t="s">
        <v>1407</v>
      </c>
    </row>
    <row r="24" spans="2:20" ht="60">
      <c r="B24" s="302">
        <v>12</v>
      </c>
      <c r="C24" s="303" t="s">
        <v>1422</v>
      </c>
      <c r="D24" s="303">
        <v>6</v>
      </c>
      <c r="E24" s="304">
        <v>110</v>
      </c>
      <c r="F24" s="302" t="s">
        <v>1412</v>
      </c>
      <c r="G24" s="303" t="s">
        <v>1410</v>
      </c>
      <c r="H24" s="305" t="s">
        <v>1401</v>
      </c>
      <c r="I24" s="305" t="s">
        <v>1411</v>
      </c>
      <c r="J24" s="318" t="s">
        <v>1403</v>
      </c>
      <c r="K24" s="302" t="s">
        <v>1423</v>
      </c>
      <c r="L24" s="305" t="s">
        <v>1424</v>
      </c>
      <c r="M24" s="305" t="s">
        <v>1401</v>
      </c>
      <c r="N24" s="305" t="s">
        <v>1401</v>
      </c>
      <c r="O24" s="318" t="s">
        <v>1406</v>
      </c>
      <c r="P24" s="319" t="s">
        <v>1407</v>
      </c>
      <c r="Q24" s="325" t="s">
        <v>1407</v>
      </c>
      <c r="R24" s="325" t="s">
        <v>1407</v>
      </c>
      <c r="S24" s="325" t="s">
        <v>1407</v>
      </c>
      <c r="T24" s="336" t="s">
        <v>1407</v>
      </c>
    </row>
    <row r="25" spans="2:20" ht="60" customHeight="1">
      <c r="B25" s="302">
        <v>13</v>
      </c>
      <c r="C25" s="303" t="s">
        <v>1422</v>
      </c>
      <c r="D25" s="303">
        <v>8</v>
      </c>
      <c r="E25" s="304">
        <v>160</v>
      </c>
      <c r="F25" s="302" t="s">
        <v>1412</v>
      </c>
      <c r="G25" s="303" t="s">
        <v>1410</v>
      </c>
      <c r="H25" s="305" t="s">
        <v>1401</v>
      </c>
      <c r="I25" s="305" t="s">
        <v>1411</v>
      </c>
      <c r="J25" s="318" t="s">
        <v>1403</v>
      </c>
      <c r="K25" s="302" t="s">
        <v>1423</v>
      </c>
      <c r="L25" s="305" t="s">
        <v>1424</v>
      </c>
      <c r="M25" s="305" t="s">
        <v>1401</v>
      </c>
      <c r="N25" s="305" t="s">
        <v>1401</v>
      </c>
      <c r="O25" s="318" t="s">
        <v>1406</v>
      </c>
      <c r="P25" s="319" t="s">
        <v>1407</v>
      </c>
      <c r="Q25" s="325" t="s">
        <v>1407</v>
      </c>
      <c r="R25" s="325" t="s">
        <v>1407</v>
      </c>
      <c r="S25" s="325" t="s">
        <v>1407</v>
      </c>
      <c r="T25" s="336" t="s">
        <v>1407</v>
      </c>
    </row>
    <row r="26" spans="2:20" ht="60">
      <c r="B26" s="302">
        <v>14</v>
      </c>
      <c r="C26" s="303" t="s">
        <v>14</v>
      </c>
      <c r="D26" s="303">
        <v>8</v>
      </c>
      <c r="E26" s="304">
        <v>130</v>
      </c>
      <c r="F26" s="302" t="s">
        <v>1399</v>
      </c>
      <c r="G26" s="303" t="s">
        <v>1410</v>
      </c>
      <c r="H26" s="305" t="s">
        <v>1401</v>
      </c>
      <c r="I26" s="305" t="s">
        <v>1411</v>
      </c>
      <c r="J26" s="318" t="s">
        <v>1403</v>
      </c>
      <c r="K26" s="324" t="s">
        <v>1407</v>
      </c>
      <c r="L26" s="325" t="s">
        <v>1407</v>
      </c>
      <c r="M26" s="326" t="s">
        <v>1407</v>
      </c>
      <c r="N26" s="326" t="s">
        <v>1407</v>
      </c>
      <c r="O26" s="327" t="s">
        <v>1407</v>
      </c>
      <c r="P26" s="328" t="s">
        <v>1425</v>
      </c>
      <c r="Q26" s="305" t="s">
        <v>1426</v>
      </c>
      <c r="R26" s="305" t="s">
        <v>1401</v>
      </c>
      <c r="S26" s="305" t="s">
        <v>1401</v>
      </c>
      <c r="T26" s="318" t="s">
        <v>1427</v>
      </c>
    </row>
    <row r="27" spans="2:20" ht="60">
      <c r="B27" s="306">
        <v>15</v>
      </c>
      <c r="C27" s="307" t="s">
        <v>14</v>
      </c>
      <c r="D27" s="307">
        <v>10</v>
      </c>
      <c r="E27" s="308">
        <v>150</v>
      </c>
      <c r="F27" s="306" t="s">
        <v>1399</v>
      </c>
      <c r="G27" s="307" t="s">
        <v>1410</v>
      </c>
      <c r="H27" s="309" t="s">
        <v>1401</v>
      </c>
      <c r="I27" s="309" t="s">
        <v>1411</v>
      </c>
      <c r="J27" s="320" t="s">
        <v>1403</v>
      </c>
      <c r="K27" s="329" t="s">
        <v>1407</v>
      </c>
      <c r="L27" s="330" t="s">
        <v>1407</v>
      </c>
      <c r="M27" s="331" t="s">
        <v>1407</v>
      </c>
      <c r="N27" s="331" t="s">
        <v>1407</v>
      </c>
      <c r="O27" s="332" t="s">
        <v>1407</v>
      </c>
      <c r="P27" s="333" t="s">
        <v>1425</v>
      </c>
      <c r="Q27" s="309" t="s">
        <v>1428</v>
      </c>
      <c r="R27" s="309" t="s">
        <v>1401</v>
      </c>
      <c r="S27" s="309" t="s">
        <v>1401</v>
      </c>
      <c r="T27" s="320" t="s">
        <v>1429</v>
      </c>
    </row>
  </sheetData>
  <mergeCells count="8">
    <mergeCell ref="B3:T3"/>
    <mergeCell ref="F4:J4"/>
    <mergeCell ref="K4:O4"/>
    <mergeCell ref="P4:T4"/>
    <mergeCell ref="B4:B5"/>
    <mergeCell ref="C4:C5"/>
    <mergeCell ref="D4:D5"/>
    <mergeCell ref="E4:E5"/>
  </mergeCells>
  <pageMargins left="0.7" right="0.7" top="0.75" bottom="0.75" header="0.3" footer="0.3"/>
  <pageSetup paperSize="9" orientation="portrait" verticalDpi="20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2:D134"/>
  <sheetViews>
    <sheetView topLeftCell="A55" workbookViewId="0">
      <selection activeCell="I6" sqref="I6"/>
    </sheetView>
  </sheetViews>
  <sheetFormatPr defaultColWidth="9" defaultRowHeight="15"/>
  <cols>
    <col min="3" max="3" width="53.7109375" style="294" customWidth="1"/>
    <col min="4" max="4" width="12" style="294" customWidth="1"/>
  </cols>
  <sheetData>
    <row r="2" spans="3:4" ht="18">
      <c r="C2" s="295" t="s">
        <v>1430</v>
      </c>
      <c r="D2" s="295" t="s">
        <v>1</v>
      </c>
    </row>
    <row r="3" spans="3:4" ht="18">
      <c r="C3" s="76" t="s">
        <v>10</v>
      </c>
      <c r="D3" s="284">
        <v>0.33400000000000002</v>
      </c>
    </row>
    <row r="4" spans="3:4" ht="18">
      <c r="C4" s="76" t="s">
        <v>44</v>
      </c>
      <c r="D4" s="284">
        <v>0.34799999999999998</v>
      </c>
    </row>
    <row r="5" spans="3:4" ht="18">
      <c r="C5" s="76" t="s">
        <v>65</v>
      </c>
      <c r="D5" s="284">
        <v>0.36199999999999999</v>
      </c>
    </row>
    <row r="6" spans="3:4" ht="18">
      <c r="C6" s="76" t="s">
        <v>80</v>
      </c>
      <c r="D6" s="284">
        <v>0.372</v>
      </c>
    </row>
    <row r="7" spans="3:4" ht="18">
      <c r="C7" s="76" t="s">
        <v>95</v>
      </c>
      <c r="D7" s="284">
        <v>0.39</v>
      </c>
    </row>
    <row r="8" spans="3:4" ht="18">
      <c r="C8" s="76" t="s">
        <v>11</v>
      </c>
      <c r="D8" s="284">
        <v>0.124</v>
      </c>
    </row>
    <row r="9" spans="3:4" ht="18">
      <c r="C9" s="286" t="s">
        <v>15</v>
      </c>
      <c r="D9" s="284">
        <v>0.152</v>
      </c>
    </row>
    <row r="10" spans="3:4" ht="18">
      <c r="C10" s="286" t="s">
        <v>21</v>
      </c>
      <c r="D10" s="284">
        <v>0.18</v>
      </c>
    </row>
    <row r="11" spans="3:4" ht="18">
      <c r="C11" s="286" t="s">
        <v>25</v>
      </c>
      <c r="D11" s="284">
        <v>0.20799999999999999</v>
      </c>
    </row>
    <row r="12" spans="3:4" ht="18">
      <c r="C12" s="286" t="s">
        <v>30</v>
      </c>
      <c r="D12" s="284">
        <v>0.26400000000000001</v>
      </c>
    </row>
    <row r="13" spans="3:4" ht="18">
      <c r="C13" s="286" t="s">
        <v>34</v>
      </c>
      <c r="D13" s="284">
        <v>0.29199999999999998</v>
      </c>
    </row>
    <row r="14" spans="3:4" ht="18">
      <c r="C14" s="286" t="s">
        <v>39</v>
      </c>
      <c r="D14" s="284">
        <v>0.32</v>
      </c>
    </row>
    <row r="15" spans="3:4" ht="18">
      <c r="C15" s="76" t="s">
        <v>119</v>
      </c>
      <c r="D15" s="284">
        <v>0.42099999999999999</v>
      </c>
    </row>
    <row r="16" spans="3:4" ht="18">
      <c r="C16" s="76" t="s">
        <v>134</v>
      </c>
      <c r="D16" s="284">
        <v>0.439</v>
      </c>
    </row>
    <row r="17" spans="3:4" ht="18">
      <c r="C17" s="76" t="s">
        <v>142</v>
      </c>
      <c r="D17" s="284">
        <v>0.45700000000000002</v>
      </c>
    </row>
    <row r="18" spans="3:4" ht="18">
      <c r="C18" s="76" t="s">
        <v>150</v>
      </c>
      <c r="D18" s="284">
        <v>0.46800000000000003</v>
      </c>
    </row>
    <row r="19" spans="3:4" ht="18">
      <c r="C19" s="76" t="s">
        <v>158</v>
      </c>
      <c r="D19" s="284">
        <v>0.49199999999999999</v>
      </c>
    </row>
    <row r="20" spans="3:4" ht="18">
      <c r="C20" s="76" t="s">
        <v>120</v>
      </c>
      <c r="D20" s="284">
        <v>0.156</v>
      </c>
    </row>
    <row r="21" spans="3:4" ht="18">
      <c r="C21" s="286" t="s">
        <v>122</v>
      </c>
      <c r="D21" s="284">
        <v>0.192</v>
      </c>
    </row>
    <row r="22" spans="3:4" ht="18">
      <c r="C22" s="286" t="s">
        <v>124</v>
      </c>
      <c r="D22" s="284">
        <v>0.22700000000000001</v>
      </c>
    </row>
    <row r="23" spans="3:4" ht="18">
      <c r="C23" s="286" t="s">
        <v>126</v>
      </c>
      <c r="D23" s="284">
        <v>0.26200000000000001</v>
      </c>
    </row>
    <row r="24" spans="3:4" ht="18">
      <c r="C24" s="286" t="s">
        <v>128</v>
      </c>
      <c r="D24" s="284">
        <v>0.33300000000000002</v>
      </c>
    </row>
    <row r="25" spans="3:4" ht="18">
      <c r="C25" s="286" t="s">
        <v>130</v>
      </c>
      <c r="D25" s="284">
        <v>0.36799999999999999</v>
      </c>
    </row>
    <row r="26" spans="3:4" ht="18">
      <c r="C26" s="286" t="s">
        <v>132</v>
      </c>
      <c r="D26" s="284">
        <v>0.40400000000000003</v>
      </c>
    </row>
    <row r="27" spans="3:4" ht="18">
      <c r="C27" s="76" t="s">
        <v>173</v>
      </c>
      <c r="D27" s="284">
        <v>0.47899999999999998</v>
      </c>
    </row>
    <row r="28" spans="3:4" ht="18">
      <c r="C28" s="76" t="s">
        <v>188</v>
      </c>
      <c r="D28" s="284">
        <v>0.5</v>
      </c>
    </row>
    <row r="29" spans="3:4" ht="18">
      <c r="C29" s="76" t="s">
        <v>196</v>
      </c>
      <c r="D29" s="284">
        <v>0.52</v>
      </c>
    </row>
    <row r="30" spans="3:4" ht="18">
      <c r="C30" s="76" t="s">
        <v>204</v>
      </c>
      <c r="D30" s="284">
        <v>0.53300000000000003</v>
      </c>
    </row>
    <row r="31" spans="3:4" ht="18">
      <c r="C31" s="76" t="s">
        <v>212</v>
      </c>
      <c r="D31" s="284">
        <v>0.56000000000000005</v>
      </c>
    </row>
    <row r="32" spans="3:4" ht="18">
      <c r="C32" s="76" t="s">
        <v>174</v>
      </c>
      <c r="D32" s="284">
        <v>0.17799999999999999</v>
      </c>
    </row>
    <row r="33" spans="3:4" ht="18">
      <c r="C33" s="286" t="s">
        <v>176</v>
      </c>
      <c r="D33" s="284">
        <v>0.218</v>
      </c>
    </row>
    <row r="34" spans="3:4" ht="18">
      <c r="C34" s="286" t="s">
        <v>178</v>
      </c>
      <c r="D34" s="284">
        <v>0.25800000000000001</v>
      </c>
    </row>
    <row r="35" spans="3:4" ht="18">
      <c r="C35" s="286" t="s">
        <v>180</v>
      </c>
      <c r="D35" s="284">
        <v>0.29799999999999999</v>
      </c>
    </row>
    <row r="36" spans="3:4" ht="18">
      <c r="C36" s="286" t="s">
        <v>182</v>
      </c>
      <c r="D36" s="284">
        <v>0.379</v>
      </c>
    </row>
    <row r="37" spans="3:4" ht="18">
      <c r="C37" s="286" t="s">
        <v>184</v>
      </c>
      <c r="D37" s="284">
        <v>0.41899999999999998</v>
      </c>
    </row>
    <row r="38" spans="3:4" ht="18">
      <c r="C38" s="286" t="s">
        <v>186</v>
      </c>
      <c r="D38" s="284">
        <v>0.45900000000000002</v>
      </c>
    </row>
    <row r="39" spans="3:4" ht="18">
      <c r="C39" s="286" t="s">
        <v>1431</v>
      </c>
      <c r="D39" s="286">
        <v>0.627</v>
      </c>
    </row>
    <row r="40" spans="3:4" ht="18">
      <c r="C40" s="286" t="s">
        <v>1432</v>
      </c>
      <c r="D40" s="286">
        <v>0.65300000000000002</v>
      </c>
    </row>
    <row r="41" spans="3:4" ht="18">
      <c r="C41" s="286" t="s">
        <v>1433</v>
      </c>
      <c r="D41" s="286">
        <v>0.67900000000000005</v>
      </c>
    </row>
    <row r="42" spans="3:4" ht="18">
      <c r="C42" s="286" t="s">
        <v>1434</v>
      </c>
      <c r="D42" s="286">
        <v>0.69699999999999995</v>
      </c>
    </row>
    <row r="43" spans="3:4" ht="18">
      <c r="C43" s="286" t="s">
        <v>1435</v>
      </c>
      <c r="D43" s="286">
        <v>0.73199999999999998</v>
      </c>
    </row>
    <row r="44" spans="3:4" ht="18">
      <c r="C44" s="286" t="s">
        <v>655</v>
      </c>
      <c r="D44" s="286">
        <v>0.21</v>
      </c>
    </row>
    <row r="45" spans="3:4" ht="18">
      <c r="C45" s="286" t="s">
        <v>658</v>
      </c>
      <c r="D45" s="286">
        <v>0.26300000000000001</v>
      </c>
    </row>
    <row r="46" spans="3:4" ht="18">
      <c r="C46" s="286" t="s">
        <v>661</v>
      </c>
      <c r="D46" s="286">
        <v>0.315</v>
      </c>
    </row>
    <row r="47" spans="3:4" ht="18">
      <c r="C47" s="286" t="s">
        <v>664</v>
      </c>
      <c r="D47" s="286">
        <v>0.36799999999999999</v>
      </c>
    </row>
    <row r="48" spans="3:4" ht="18">
      <c r="C48" s="286" t="s">
        <v>667</v>
      </c>
      <c r="D48" s="286">
        <v>0.47299999999999998</v>
      </c>
    </row>
    <row r="49" spans="3:4" ht="18">
      <c r="C49" s="286" t="s">
        <v>670</v>
      </c>
      <c r="D49" s="286">
        <v>0.52600000000000002</v>
      </c>
    </row>
    <row r="50" spans="3:4" ht="18">
      <c r="C50" s="286" t="s">
        <v>673</v>
      </c>
      <c r="D50" s="286">
        <v>0.57799999999999996</v>
      </c>
    </row>
    <row r="51" spans="3:4" ht="18">
      <c r="C51" s="286" t="s">
        <v>1436</v>
      </c>
      <c r="D51" s="286">
        <v>0.79</v>
      </c>
    </row>
    <row r="52" spans="3:4" ht="18">
      <c r="C52" s="286" t="s">
        <v>1437</v>
      </c>
      <c r="D52" s="286">
        <v>0.82299999999999995</v>
      </c>
    </row>
    <row r="53" spans="3:4" ht="18">
      <c r="C53" s="286" t="s">
        <v>1438</v>
      </c>
      <c r="D53" s="286">
        <v>0.85599999999999998</v>
      </c>
    </row>
    <row r="54" spans="3:4" ht="18">
      <c r="C54" s="286" t="s">
        <v>1439</v>
      </c>
      <c r="D54" s="286">
        <v>0.878</v>
      </c>
    </row>
    <row r="55" spans="3:4" ht="18">
      <c r="C55" s="286" t="s">
        <v>1440</v>
      </c>
      <c r="D55" s="286">
        <v>0.92300000000000004</v>
      </c>
    </row>
    <row r="56" spans="3:4" ht="18">
      <c r="C56" s="286" t="s">
        <v>746</v>
      </c>
      <c r="D56" s="286">
        <v>0.26500000000000001</v>
      </c>
    </row>
    <row r="57" spans="3:4" ht="18">
      <c r="C57" s="286" t="s">
        <v>749</v>
      </c>
      <c r="D57" s="286">
        <v>0.33100000000000002</v>
      </c>
    </row>
    <row r="58" spans="3:4" ht="18">
      <c r="C58" s="286" t="s">
        <v>752</v>
      </c>
      <c r="D58" s="286">
        <v>0.39800000000000002</v>
      </c>
    </row>
    <row r="59" spans="3:4" ht="18">
      <c r="C59" s="286" t="s">
        <v>755</v>
      </c>
      <c r="D59" s="286">
        <v>0.46400000000000002</v>
      </c>
    </row>
    <row r="60" spans="3:4" ht="18">
      <c r="C60" s="286" t="s">
        <v>758</v>
      </c>
      <c r="D60" s="286">
        <v>0.59699999999999998</v>
      </c>
    </row>
    <row r="61" spans="3:4" ht="18">
      <c r="C61" s="286" t="s">
        <v>761</v>
      </c>
      <c r="D61" s="286">
        <v>0.66300000000000003</v>
      </c>
    </row>
    <row r="62" spans="3:4" ht="18">
      <c r="C62" s="286" t="s">
        <v>764</v>
      </c>
      <c r="D62" s="286">
        <v>0.72899999999999998</v>
      </c>
    </row>
    <row r="63" spans="3:4" ht="18">
      <c r="C63" s="286" t="s">
        <v>1441</v>
      </c>
      <c r="D63" s="286">
        <v>8.6999999999999994E-2</v>
      </c>
    </row>
    <row r="64" spans="3:4" ht="18">
      <c r="C64" s="286" t="s">
        <v>1442</v>
      </c>
      <c r="D64" s="286">
        <v>0.93700000000000006</v>
      </c>
    </row>
    <row r="65" spans="3:4" ht="18">
      <c r="C65" s="286" t="s">
        <v>1443</v>
      </c>
      <c r="D65" s="286">
        <v>0.97399999999999998</v>
      </c>
    </row>
    <row r="66" spans="3:4" ht="18">
      <c r="C66" s="286" t="s">
        <v>1444</v>
      </c>
      <c r="D66" s="286">
        <v>1</v>
      </c>
    </row>
    <row r="67" spans="3:4" ht="18">
      <c r="C67" s="286" t="s">
        <v>1445</v>
      </c>
      <c r="D67" s="286">
        <v>1.05</v>
      </c>
    </row>
    <row r="68" spans="3:4" ht="18">
      <c r="C68" s="286" t="s">
        <v>601</v>
      </c>
      <c r="D68" s="286">
        <v>0.30199999999999999</v>
      </c>
    </row>
    <row r="69" spans="3:4" ht="18">
      <c r="C69" s="286" t="s">
        <v>603</v>
      </c>
      <c r="D69" s="286">
        <v>0.377</v>
      </c>
    </row>
    <row r="70" spans="3:4" ht="18">
      <c r="C70" s="286" t="s">
        <v>605</v>
      </c>
      <c r="D70" s="286">
        <v>0.45300000000000001</v>
      </c>
    </row>
    <row r="71" spans="3:4" ht="18">
      <c r="C71" s="286" t="s">
        <v>607</v>
      </c>
      <c r="D71" s="286">
        <v>0.52800000000000002</v>
      </c>
    </row>
    <row r="72" spans="3:4" ht="18">
      <c r="C72" s="286" t="s">
        <v>609</v>
      </c>
      <c r="D72" s="286">
        <v>0.67900000000000005</v>
      </c>
    </row>
    <row r="73" spans="3:4" ht="18">
      <c r="C73" s="286" t="s">
        <v>611</v>
      </c>
      <c r="D73" s="286">
        <v>0.754</v>
      </c>
    </row>
    <row r="74" spans="3:4" ht="18">
      <c r="C74" s="286" t="s">
        <v>613</v>
      </c>
      <c r="D74" s="286">
        <v>0.83</v>
      </c>
    </row>
    <row r="75" spans="3:4" ht="18">
      <c r="C75" s="286" t="s">
        <v>1446</v>
      </c>
      <c r="D75" s="286">
        <v>0.73599999999999999</v>
      </c>
    </row>
    <row r="76" spans="3:4" ht="18">
      <c r="C76" s="286" t="s">
        <v>1447</v>
      </c>
      <c r="D76" s="286">
        <v>0.76600000000000001</v>
      </c>
    </row>
    <row r="77" spans="3:4" ht="18">
      <c r="C77" s="286" t="s">
        <v>1448</v>
      </c>
      <c r="D77" s="286">
        <v>0.79700000000000004</v>
      </c>
    </row>
    <row r="78" spans="3:4" ht="18">
      <c r="C78" s="286" t="s">
        <v>1449</v>
      </c>
      <c r="D78" s="286">
        <v>0.81799999999999995</v>
      </c>
    </row>
    <row r="79" spans="3:4" ht="18">
      <c r="C79" s="286" t="s">
        <v>1450</v>
      </c>
      <c r="D79" s="286">
        <v>0.85899999999999999</v>
      </c>
    </row>
    <row r="80" spans="3:4" ht="18">
      <c r="C80" s="286" t="s">
        <v>912</v>
      </c>
      <c r="D80" s="286">
        <v>0.247</v>
      </c>
    </row>
    <row r="81" spans="3:4" ht="18">
      <c r="C81" s="286" t="s">
        <v>916</v>
      </c>
      <c r="D81" s="286">
        <v>0.309</v>
      </c>
    </row>
    <row r="82" spans="3:4" ht="18">
      <c r="C82" s="286" t="s">
        <v>920</v>
      </c>
      <c r="D82" s="286">
        <v>0.37</v>
      </c>
    </row>
    <row r="83" spans="3:4" ht="18">
      <c r="C83" s="286" t="s">
        <v>924</v>
      </c>
      <c r="D83" s="286">
        <v>0.432</v>
      </c>
    </row>
    <row r="84" spans="3:4" ht="18">
      <c r="C84" s="286" t="s">
        <v>928</v>
      </c>
      <c r="D84" s="286">
        <v>0.55500000000000005</v>
      </c>
    </row>
    <row r="85" spans="3:4" ht="18">
      <c r="C85" s="286" t="s">
        <v>932</v>
      </c>
      <c r="D85" s="286">
        <v>0.61699999999999999</v>
      </c>
    </row>
    <row r="86" spans="3:4" ht="18">
      <c r="C86" s="286" t="s">
        <v>936</v>
      </c>
      <c r="D86" s="286">
        <v>0.67900000000000005</v>
      </c>
    </row>
    <row r="87" spans="3:4" ht="18">
      <c r="C87" s="286" t="s">
        <v>1451</v>
      </c>
      <c r="D87" s="286">
        <v>0.84399999999999997</v>
      </c>
    </row>
    <row r="88" spans="3:4" ht="18">
      <c r="C88" s="286" t="s">
        <v>1452</v>
      </c>
      <c r="D88" s="286">
        <v>0.88</v>
      </c>
    </row>
    <row r="89" spans="3:4" ht="18">
      <c r="C89" s="286" t="s">
        <v>1453</v>
      </c>
      <c r="D89" s="286">
        <v>0.91500000000000004</v>
      </c>
    </row>
    <row r="90" spans="3:4" ht="18">
      <c r="C90" s="286" t="s">
        <v>1454</v>
      </c>
      <c r="D90" s="286">
        <v>0.93899999999999995</v>
      </c>
    </row>
    <row r="91" spans="3:4" ht="18">
      <c r="C91" s="286" t="s">
        <v>1455</v>
      </c>
      <c r="D91" s="286">
        <v>0.98599999999999999</v>
      </c>
    </row>
    <row r="92" spans="3:4" ht="18">
      <c r="C92" s="286" t="s">
        <v>1040</v>
      </c>
      <c r="D92" s="286">
        <v>0.28299999999999997</v>
      </c>
    </row>
    <row r="93" spans="3:4" ht="18">
      <c r="C93" s="286" t="s">
        <v>1043</v>
      </c>
      <c r="D93" s="286">
        <v>0.35399999999999998</v>
      </c>
    </row>
    <row r="94" spans="3:4" ht="18">
      <c r="C94" s="286" t="s">
        <v>1046</v>
      </c>
      <c r="D94" s="286">
        <v>0.42499999999999999</v>
      </c>
    </row>
    <row r="95" spans="3:4" ht="18">
      <c r="C95" s="286" t="s">
        <v>1049</v>
      </c>
      <c r="D95" s="286">
        <v>0.496</v>
      </c>
    </row>
    <row r="96" spans="3:4" ht="18">
      <c r="C96" s="286" t="s">
        <v>1052</v>
      </c>
      <c r="D96" s="286">
        <v>0.63800000000000001</v>
      </c>
    </row>
    <row r="97" spans="3:4" ht="18">
      <c r="C97" s="286" t="s">
        <v>1055</v>
      </c>
      <c r="D97" s="286">
        <v>0.70899999999999996</v>
      </c>
    </row>
    <row r="98" spans="3:4" ht="18">
      <c r="C98" s="286" t="s">
        <v>1058</v>
      </c>
      <c r="D98" s="286">
        <v>0.78</v>
      </c>
    </row>
    <row r="99" spans="3:4" ht="18">
      <c r="C99" s="286" t="s">
        <v>1130</v>
      </c>
      <c r="D99" s="286">
        <v>0.501</v>
      </c>
    </row>
    <row r="100" spans="3:4" ht="18">
      <c r="C100" s="286" t="s">
        <v>1159</v>
      </c>
      <c r="D100" s="286">
        <v>0.52200000000000002</v>
      </c>
    </row>
    <row r="101" spans="3:4" ht="18">
      <c r="C101" s="286" t="s">
        <v>1181</v>
      </c>
      <c r="D101" s="286">
        <v>0.54300000000000004</v>
      </c>
    </row>
    <row r="102" spans="3:4" ht="18">
      <c r="C102" s="286" t="s">
        <v>1203</v>
      </c>
      <c r="D102" s="286">
        <v>0.55700000000000005</v>
      </c>
    </row>
    <row r="103" spans="3:4" ht="18">
      <c r="C103" s="286" t="s">
        <v>1225</v>
      </c>
      <c r="D103" s="286">
        <v>0.58499999999999996</v>
      </c>
    </row>
    <row r="104" spans="3:4" ht="18">
      <c r="C104" s="286" t="s">
        <v>1456</v>
      </c>
      <c r="D104" s="286">
        <v>0.16800000000000001</v>
      </c>
    </row>
    <row r="105" spans="3:4" ht="18">
      <c r="C105" s="286" t="s">
        <v>1457</v>
      </c>
      <c r="D105" s="286">
        <v>0.21</v>
      </c>
    </row>
    <row r="106" spans="3:4" ht="18">
      <c r="C106" s="286" t="s">
        <v>1458</v>
      </c>
      <c r="D106" s="286">
        <v>0.252</v>
      </c>
    </row>
    <row r="107" spans="3:4" ht="18">
      <c r="C107" s="286" t="s">
        <v>1459</v>
      </c>
      <c r="D107" s="286">
        <v>0.29399999999999998</v>
      </c>
    </row>
    <row r="108" spans="3:4" ht="18">
      <c r="C108" s="286" t="s">
        <v>1460</v>
      </c>
      <c r="D108" s="286">
        <v>0.379</v>
      </c>
    </row>
    <row r="109" spans="3:4" ht="18">
      <c r="C109" s="286" t="s">
        <v>1461</v>
      </c>
      <c r="D109" s="286">
        <v>0.42099999999999999</v>
      </c>
    </row>
    <row r="110" spans="3:4" ht="18">
      <c r="C110" s="286" t="s">
        <v>1462</v>
      </c>
      <c r="D110" s="286">
        <v>0.46300000000000002</v>
      </c>
    </row>
    <row r="111" spans="3:4" ht="18">
      <c r="C111" s="286" t="s">
        <v>1258</v>
      </c>
      <c r="D111" s="286">
        <v>0.71899999999999997</v>
      </c>
    </row>
    <row r="112" spans="3:4" ht="18">
      <c r="C112" s="286" t="s">
        <v>1273</v>
      </c>
      <c r="D112" s="286">
        <v>0.749</v>
      </c>
    </row>
    <row r="113" spans="3:4" ht="18">
      <c r="C113" s="286" t="s">
        <v>1281</v>
      </c>
      <c r="D113" s="286">
        <v>0.78</v>
      </c>
    </row>
    <row r="114" spans="3:4" ht="18">
      <c r="C114" s="286" t="s">
        <v>1289</v>
      </c>
      <c r="D114" s="286">
        <v>0.8</v>
      </c>
    </row>
    <row r="115" spans="3:4" ht="18">
      <c r="C115" s="286" t="s">
        <v>1297</v>
      </c>
      <c r="D115" s="286">
        <v>0.84</v>
      </c>
    </row>
    <row r="116" spans="3:4" ht="18">
      <c r="C116" s="286" t="s">
        <v>1463</v>
      </c>
      <c r="D116" s="286">
        <v>0.24099999999999999</v>
      </c>
    </row>
    <row r="117" spans="3:4" ht="18">
      <c r="C117" s="286" t="s">
        <v>1464</v>
      </c>
      <c r="D117" s="286">
        <v>0.30199999999999999</v>
      </c>
    </row>
    <row r="118" spans="3:4" ht="18">
      <c r="C118" s="286" t="s">
        <v>1465</v>
      </c>
      <c r="D118" s="286">
        <v>0.36199999999999999</v>
      </c>
    </row>
    <row r="119" spans="3:4" ht="18">
      <c r="C119" s="286" t="s">
        <v>1466</v>
      </c>
      <c r="D119" s="286">
        <v>0.42199999999999999</v>
      </c>
    </row>
    <row r="120" spans="3:4" ht="18">
      <c r="C120" s="286" t="s">
        <v>1467</v>
      </c>
      <c r="D120" s="286">
        <v>0.54300000000000004</v>
      </c>
    </row>
    <row r="121" spans="3:4" ht="18">
      <c r="C121" s="286" t="s">
        <v>1468</v>
      </c>
      <c r="D121" s="286">
        <v>0.60399999999999998</v>
      </c>
    </row>
    <row r="122" spans="3:4" ht="18">
      <c r="C122" s="286" t="s">
        <v>1469</v>
      </c>
      <c r="D122" s="286">
        <v>0.66400000000000003</v>
      </c>
    </row>
    <row r="123" spans="3:4" ht="18">
      <c r="C123" s="286" t="s">
        <v>1470</v>
      </c>
      <c r="D123" s="286">
        <v>7.3999999999999996E-2</v>
      </c>
    </row>
    <row r="124" spans="3:4" ht="18">
      <c r="C124" s="286" t="s">
        <v>170</v>
      </c>
      <c r="D124" s="286">
        <v>5.6000000000000001E-2</v>
      </c>
    </row>
    <row r="125" spans="3:4" ht="18">
      <c r="C125" s="286" t="s">
        <v>1471</v>
      </c>
      <c r="D125" s="286">
        <v>8.4000000000000005E-2</v>
      </c>
    </row>
    <row r="126" spans="3:4" ht="18">
      <c r="C126" s="286" t="s">
        <v>224</v>
      </c>
      <c r="D126" s="286">
        <v>6.4000000000000001E-2</v>
      </c>
    </row>
    <row r="127" spans="3:4" ht="18">
      <c r="C127" s="286" t="s">
        <v>1472</v>
      </c>
      <c r="D127" s="286">
        <v>0.129</v>
      </c>
    </row>
    <row r="128" spans="3:4" ht="18">
      <c r="C128" s="286" t="s">
        <v>1034</v>
      </c>
      <c r="D128" s="286">
        <v>7.1999999999999995E-2</v>
      </c>
    </row>
    <row r="129" spans="3:4" ht="18">
      <c r="C129" s="286" t="s">
        <v>1473</v>
      </c>
      <c r="D129" s="286">
        <v>0.157</v>
      </c>
    </row>
    <row r="130" spans="3:4" ht="18">
      <c r="C130" s="286" t="s">
        <v>651</v>
      </c>
      <c r="D130" s="286">
        <v>8.7999999999999995E-2</v>
      </c>
    </row>
    <row r="131" spans="3:4" ht="18">
      <c r="C131" s="286" t="s">
        <v>1474</v>
      </c>
      <c r="D131" s="286">
        <v>0.13800000000000001</v>
      </c>
    </row>
    <row r="132" spans="3:4" ht="18">
      <c r="C132" s="286" t="s">
        <v>832</v>
      </c>
      <c r="D132" s="286">
        <v>7.6999999999999999E-2</v>
      </c>
    </row>
    <row r="133" spans="3:4" ht="18">
      <c r="C133" s="286" t="s">
        <v>1475</v>
      </c>
      <c r="D133" s="286">
        <v>0.11</v>
      </c>
    </row>
    <row r="134" spans="3:4" ht="18">
      <c r="C134" s="286" t="s">
        <v>741</v>
      </c>
      <c r="D134" s="286">
        <v>6.0999999999999999E-2</v>
      </c>
    </row>
  </sheetData>
  <autoFilter ref="C2:D134"/>
  <pageMargins left="0.7" right="0.7" top="0.75" bottom="0.75" header="0.3" footer="0.3"/>
  <pageSetup paperSize="9" orientation="portrait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2:D258"/>
  <sheetViews>
    <sheetView workbookViewId="0">
      <selection activeCell="N124" sqref="N124"/>
    </sheetView>
  </sheetViews>
  <sheetFormatPr defaultColWidth="9" defaultRowHeight="18.75"/>
  <cols>
    <col min="3" max="3" width="51.42578125" style="293" customWidth="1"/>
    <col min="4" max="4" width="9" style="293" customWidth="1"/>
  </cols>
  <sheetData>
    <row r="2" spans="3:4" ht="18">
      <c r="C2" s="287" t="s">
        <v>12</v>
      </c>
      <c r="D2" s="288">
        <v>0.22</v>
      </c>
    </row>
    <row r="3" spans="3:4" ht="18">
      <c r="C3" s="289" t="s">
        <v>16</v>
      </c>
      <c r="D3" s="288">
        <v>0.26500000000000001</v>
      </c>
    </row>
    <row r="4" spans="3:4" ht="18">
      <c r="C4" s="289" t="s">
        <v>22</v>
      </c>
      <c r="D4" s="288">
        <v>0.31</v>
      </c>
    </row>
    <row r="5" spans="3:4" ht="18">
      <c r="C5" s="287" t="s">
        <v>26</v>
      </c>
      <c r="D5" s="288">
        <v>0.35499999999999998</v>
      </c>
    </row>
    <row r="6" spans="3:4" ht="18">
      <c r="C6" s="289" t="s">
        <v>31</v>
      </c>
      <c r="D6" s="288">
        <v>0.44500000000000001</v>
      </c>
    </row>
    <row r="7" spans="3:4" ht="18">
      <c r="C7" s="289" t="s">
        <v>35</v>
      </c>
      <c r="D7" s="288">
        <v>0.48899999999999999</v>
      </c>
    </row>
    <row r="8" spans="3:4" ht="18">
      <c r="C8" s="289" t="s">
        <v>40</v>
      </c>
      <c r="D8" s="288">
        <v>0.53400000000000003</v>
      </c>
    </row>
    <row r="9" spans="3:4" ht="18">
      <c r="C9" s="289" t="s">
        <v>45</v>
      </c>
      <c r="D9" s="288">
        <v>0.23</v>
      </c>
    </row>
    <row r="10" spans="3:4" ht="18">
      <c r="C10" s="289" t="s">
        <v>49</v>
      </c>
      <c r="D10" s="288">
        <v>0.27600000000000002</v>
      </c>
    </row>
    <row r="11" spans="3:4" ht="18">
      <c r="C11" s="289" t="s">
        <v>52</v>
      </c>
      <c r="D11" s="288">
        <v>0.32300000000000001</v>
      </c>
    </row>
    <row r="12" spans="3:4" ht="18">
      <c r="C12" s="289" t="s">
        <v>56</v>
      </c>
      <c r="D12" s="288">
        <v>0.37</v>
      </c>
    </row>
    <row r="13" spans="3:4" ht="18">
      <c r="C13" s="289" t="s">
        <v>59</v>
      </c>
      <c r="D13" s="288">
        <v>0.46300000000000002</v>
      </c>
    </row>
    <row r="14" spans="3:4" ht="18">
      <c r="C14" s="289" t="s">
        <v>61</v>
      </c>
      <c r="D14" s="288">
        <v>0.51</v>
      </c>
    </row>
    <row r="15" spans="3:4" ht="18">
      <c r="C15" s="289" t="s">
        <v>63</v>
      </c>
      <c r="D15" s="288">
        <v>0.55700000000000005</v>
      </c>
    </row>
    <row r="16" spans="3:4" ht="18">
      <c r="C16" s="289" t="s">
        <v>66</v>
      </c>
      <c r="D16" s="288">
        <v>0.23899999999999999</v>
      </c>
    </row>
    <row r="17" spans="3:4" ht="18">
      <c r="C17" s="289" t="s">
        <v>68</v>
      </c>
      <c r="D17" s="288">
        <v>0.28799999999999998</v>
      </c>
    </row>
    <row r="18" spans="3:4" ht="18">
      <c r="C18" s="289" t="s">
        <v>70</v>
      </c>
      <c r="D18" s="288">
        <v>0.33600000000000002</v>
      </c>
    </row>
    <row r="19" spans="3:4" ht="18">
      <c r="C19" s="289" t="s">
        <v>72</v>
      </c>
      <c r="D19" s="288">
        <v>0.38500000000000001</v>
      </c>
    </row>
    <row r="20" spans="3:4" ht="18">
      <c r="C20" s="289" t="s">
        <v>74</v>
      </c>
      <c r="D20" s="288">
        <v>0.48199999999999998</v>
      </c>
    </row>
    <row r="21" spans="3:4" ht="18">
      <c r="C21" s="289" t="s">
        <v>76</v>
      </c>
      <c r="D21" s="288">
        <v>0.53100000000000003</v>
      </c>
    </row>
    <row r="22" spans="3:4" ht="18">
      <c r="C22" s="289" t="s">
        <v>78</v>
      </c>
      <c r="D22" s="288">
        <v>0.57899999999999996</v>
      </c>
    </row>
    <row r="23" spans="3:4" ht="18">
      <c r="C23" s="289" t="s">
        <v>81</v>
      </c>
      <c r="D23" s="288">
        <v>0.245</v>
      </c>
    </row>
    <row r="24" spans="3:4" ht="18">
      <c r="C24" s="289" t="s">
        <v>83</v>
      </c>
      <c r="D24" s="288">
        <v>0.29499999999999998</v>
      </c>
    </row>
    <row r="25" spans="3:4" ht="18">
      <c r="C25" s="289" t="s">
        <v>85</v>
      </c>
      <c r="D25" s="288">
        <v>0.34499999999999997</v>
      </c>
    </row>
    <row r="26" spans="3:4" ht="18">
      <c r="C26" s="289" t="s">
        <v>87</v>
      </c>
      <c r="D26" s="288">
        <v>0.39500000000000002</v>
      </c>
    </row>
    <row r="27" spans="3:4" ht="18">
      <c r="C27" s="289" t="s">
        <v>89</v>
      </c>
      <c r="D27" s="288">
        <v>0.49399999999999999</v>
      </c>
    </row>
    <row r="28" spans="3:4" ht="18">
      <c r="C28" s="289" t="s">
        <v>91</v>
      </c>
      <c r="D28" s="288">
        <v>0.54400000000000004</v>
      </c>
    </row>
    <row r="29" spans="3:4" ht="18">
      <c r="C29" s="289" t="s">
        <v>93</v>
      </c>
      <c r="D29" s="288">
        <v>0.59399999999999997</v>
      </c>
    </row>
    <row r="30" spans="3:4" ht="18">
      <c r="C30" s="289" t="s">
        <v>96</v>
      </c>
      <c r="D30" s="288">
        <v>0.25700000000000001</v>
      </c>
    </row>
    <row r="31" spans="3:4" ht="18">
      <c r="C31" s="289" t="s">
        <v>98</v>
      </c>
      <c r="D31" s="288">
        <v>0.31</v>
      </c>
    </row>
    <row r="32" spans="3:4" ht="18">
      <c r="C32" s="289" t="s">
        <v>100</v>
      </c>
      <c r="D32" s="288">
        <v>0.36199999999999999</v>
      </c>
    </row>
    <row r="33" spans="3:4" ht="18">
      <c r="C33" s="289" t="s">
        <v>102</v>
      </c>
      <c r="D33" s="288">
        <v>0.41499999999999998</v>
      </c>
    </row>
    <row r="34" spans="3:4" ht="18">
      <c r="C34" s="289" t="s">
        <v>104</v>
      </c>
      <c r="D34" s="288">
        <v>0.51900000000000002</v>
      </c>
    </row>
    <row r="35" spans="3:4" ht="18">
      <c r="C35" s="289" t="s">
        <v>106</v>
      </c>
      <c r="D35" s="288">
        <v>0.57199999999999995</v>
      </c>
    </row>
    <row r="36" spans="3:4" ht="18">
      <c r="C36" s="289" t="s">
        <v>108</v>
      </c>
      <c r="D36" s="288">
        <v>0.624</v>
      </c>
    </row>
    <row r="37" spans="3:4" ht="18">
      <c r="C37" s="289" t="s">
        <v>116</v>
      </c>
      <c r="D37" s="288">
        <f>1.188/74.25</f>
        <v>1.6E-2</v>
      </c>
    </row>
    <row r="38" spans="3:4" ht="18">
      <c r="C38" s="289" t="s">
        <v>487</v>
      </c>
      <c r="D38" s="288">
        <v>0.36699999999999999</v>
      </c>
    </row>
    <row r="39" spans="3:4" ht="18">
      <c r="C39" s="289" t="s">
        <v>489</v>
      </c>
      <c r="D39" s="288">
        <v>0.442</v>
      </c>
    </row>
    <row r="40" spans="3:4" ht="18">
      <c r="C40" s="289" t="s">
        <v>491</v>
      </c>
      <c r="D40" s="288">
        <v>0.51700000000000002</v>
      </c>
    </row>
    <row r="41" spans="3:4" ht="18">
      <c r="C41" s="289" t="s">
        <v>493</v>
      </c>
      <c r="D41" s="288">
        <v>0.59199999999999997</v>
      </c>
    </row>
    <row r="42" spans="3:4" ht="18">
      <c r="C42" s="289" t="s">
        <v>495</v>
      </c>
      <c r="D42" s="288">
        <v>0.74099999999999999</v>
      </c>
    </row>
    <row r="43" spans="3:4" ht="18">
      <c r="C43" s="289" t="s">
        <v>497</v>
      </c>
      <c r="D43" s="288">
        <v>0.81599999999999995</v>
      </c>
    </row>
    <row r="44" spans="3:4" ht="18">
      <c r="C44" s="289" t="s">
        <v>499</v>
      </c>
      <c r="D44" s="288">
        <v>0.89100000000000001</v>
      </c>
    </row>
    <row r="45" spans="3:4" ht="18">
      <c r="C45" s="289" t="s">
        <v>501</v>
      </c>
      <c r="D45" s="288">
        <v>0.38300000000000001</v>
      </c>
    </row>
    <row r="46" spans="3:4" ht="18">
      <c r="C46" s="289" t="s">
        <v>503</v>
      </c>
      <c r="D46" s="288">
        <v>0.46100000000000002</v>
      </c>
    </row>
    <row r="47" spans="3:4" ht="18">
      <c r="C47" s="289" t="s">
        <v>505</v>
      </c>
      <c r="D47" s="288">
        <v>0.53900000000000003</v>
      </c>
    </row>
    <row r="48" spans="3:4" ht="18">
      <c r="C48" s="289" t="s">
        <v>507</v>
      </c>
      <c r="D48" s="288">
        <v>0.61599999999999999</v>
      </c>
    </row>
    <row r="49" spans="3:4" ht="18">
      <c r="C49" s="289" t="s">
        <v>509</v>
      </c>
      <c r="D49" s="288">
        <v>0.77200000000000002</v>
      </c>
    </row>
    <row r="50" spans="3:4" ht="18">
      <c r="C50" s="289" t="s">
        <v>511</v>
      </c>
      <c r="D50" s="288">
        <v>0.85</v>
      </c>
    </row>
    <row r="51" spans="3:4" ht="18">
      <c r="C51" s="289" t="s">
        <v>513</v>
      </c>
      <c r="D51" s="288">
        <v>0.92800000000000005</v>
      </c>
    </row>
    <row r="52" spans="3:4" ht="18">
      <c r="C52" s="289" t="s">
        <v>515</v>
      </c>
      <c r="D52" s="288">
        <v>0.39800000000000002</v>
      </c>
    </row>
    <row r="53" spans="3:4" ht="18">
      <c r="C53" s="289" t="s">
        <v>517</v>
      </c>
      <c r="D53" s="288">
        <v>0.47899999999999998</v>
      </c>
    </row>
    <row r="54" spans="3:4" ht="18">
      <c r="C54" s="289" t="s">
        <v>519</v>
      </c>
      <c r="D54" s="288">
        <v>0.56000000000000005</v>
      </c>
    </row>
    <row r="55" spans="3:4" ht="18">
      <c r="C55" s="289" t="s">
        <v>521</v>
      </c>
      <c r="D55" s="288">
        <v>0.64100000000000001</v>
      </c>
    </row>
    <row r="56" spans="3:4" ht="18">
      <c r="C56" s="289" t="s">
        <v>523</v>
      </c>
      <c r="D56" s="288">
        <v>0.80300000000000005</v>
      </c>
    </row>
    <row r="57" spans="3:4" ht="18">
      <c r="C57" s="289" t="s">
        <v>525</v>
      </c>
      <c r="D57" s="288">
        <v>0.88400000000000001</v>
      </c>
    </row>
    <row r="58" spans="3:4" ht="18">
      <c r="C58" s="289" t="s">
        <v>527</v>
      </c>
      <c r="D58" s="288">
        <v>0.96499999999999997</v>
      </c>
    </row>
    <row r="59" spans="3:4" ht="18">
      <c r="C59" s="289" t="s">
        <v>529</v>
      </c>
      <c r="D59" s="288">
        <v>0.40899999999999997</v>
      </c>
    </row>
    <row r="60" spans="3:4" ht="18">
      <c r="C60" s="289" t="s">
        <v>531</v>
      </c>
      <c r="D60" s="288">
        <v>0.49199999999999999</v>
      </c>
    </row>
    <row r="61" spans="3:4" ht="18">
      <c r="C61" s="289" t="s">
        <v>533</v>
      </c>
      <c r="D61" s="288">
        <v>0.57499999999999996</v>
      </c>
    </row>
    <row r="62" spans="3:4" ht="18">
      <c r="C62" s="289" t="s">
        <v>535</v>
      </c>
      <c r="D62" s="288">
        <v>0.65800000000000003</v>
      </c>
    </row>
    <row r="63" spans="3:4" ht="18">
      <c r="C63" s="289" t="s">
        <v>537</v>
      </c>
      <c r="D63" s="288">
        <v>0.82399999999999995</v>
      </c>
    </row>
    <row r="64" spans="3:4" ht="18">
      <c r="C64" s="289" t="s">
        <v>539</v>
      </c>
      <c r="D64" s="288">
        <v>0.90700000000000003</v>
      </c>
    </row>
    <row r="65" spans="3:4" ht="18">
      <c r="C65" s="289" t="s">
        <v>541</v>
      </c>
      <c r="D65" s="288">
        <v>0.99</v>
      </c>
    </row>
    <row r="66" spans="3:4" ht="18">
      <c r="C66" s="289" t="s">
        <v>543</v>
      </c>
      <c r="D66" s="288">
        <v>0.42899999999999999</v>
      </c>
    </row>
    <row r="67" spans="3:4" ht="18">
      <c r="C67" s="289" t="s">
        <v>545</v>
      </c>
      <c r="D67" s="288">
        <v>0.51600000000000001</v>
      </c>
    </row>
    <row r="68" spans="3:4" ht="18">
      <c r="C68" s="289" t="s">
        <v>547</v>
      </c>
      <c r="D68" s="288">
        <v>0.60399999999999998</v>
      </c>
    </row>
    <row r="69" spans="3:4" ht="18">
      <c r="C69" s="289" t="s">
        <v>549</v>
      </c>
      <c r="D69" s="288">
        <v>0.69099999999999995</v>
      </c>
    </row>
    <row r="70" spans="3:4" ht="18">
      <c r="C70" s="289" t="s">
        <v>551</v>
      </c>
      <c r="D70" s="288">
        <v>0.86499999999999999</v>
      </c>
    </row>
    <row r="71" spans="3:4" ht="18">
      <c r="C71" s="289" t="s">
        <v>553</v>
      </c>
      <c r="D71" s="288">
        <v>0.95299999999999996</v>
      </c>
    </row>
    <row r="72" spans="3:4" ht="18">
      <c r="C72" s="289" t="s">
        <v>555</v>
      </c>
      <c r="D72" s="288">
        <v>1.04</v>
      </c>
    </row>
    <row r="73" spans="3:4" ht="18">
      <c r="C73" s="289" t="s">
        <v>559</v>
      </c>
      <c r="D73" s="288">
        <v>2.7E-2</v>
      </c>
    </row>
    <row r="74" spans="3:4" ht="18">
      <c r="C74" s="289" t="s">
        <v>747</v>
      </c>
      <c r="D74" s="288">
        <v>0.871</v>
      </c>
    </row>
    <row r="75" spans="3:4" ht="18">
      <c r="C75" s="289" t="s">
        <v>750</v>
      </c>
      <c r="D75" s="288">
        <v>1.048</v>
      </c>
    </row>
    <row r="76" spans="3:4" ht="18">
      <c r="C76" s="289" t="s">
        <v>753</v>
      </c>
      <c r="D76" s="288">
        <v>1.2250000000000001</v>
      </c>
    </row>
    <row r="77" spans="3:4" ht="18">
      <c r="C77" s="289" t="s">
        <v>756</v>
      </c>
      <c r="D77" s="288">
        <v>1.4019999999999999</v>
      </c>
    </row>
    <row r="78" spans="3:4" ht="18">
      <c r="C78" s="289" t="s">
        <v>759</v>
      </c>
      <c r="D78" s="288">
        <v>1.7569999999999999</v>
      </c>
    </row>
    <row r="79" spans="3:4" ht="18">
      <c r="C79" s="289" t="s">
        <v>762</v>
      </c>
      <c r="D79" s="288">
        <v>1.9339999999999999</v>
      </c>
    </row>
    <row r="80" spans="3:4" ht="18">
      <c r="C80" s="289" t="s">
        <v>765</v>
      </c>
      <c r="D80" s="288">
        <v>2.1110000000000002</v>
      </c>
    </row>
    <row r="81" spans="3:4" ht="18">
      <c r="C81" s="289" t="s">
        <v>768</v>
      </c>
      <c r="D81" s="288">
        <v>0.90700000000000003</v>
      </c>
    </row>
    <row r="82" spans="3:4" ht="18">
      <c r="C82" s="289" t="s">
        <v>770</v>
      </c>
      <c r="D82" s="288">
        <v>1.0920000000000001</v>
      </c>
    </row>
    <row r="83" spans="3:4" ht="18">
      <c r="C83" s="289" t="s">
        <v>772</v>
      </c>
      <c r="D83" s="288">
        <v>1.2769999999999999</v>
      </c>
    </row>
    <row r="84" spans="3:4" ht="18">
      <c r="C84" s="289" t="s">
        <v>774</v>
      </c>
      <c r="D84" s="288">
        <v>1.4610000000000001</v>
      </c>
    </row>
    <row r="85" spans="3:4" ht="18">
      <c r="C85" s="289" t="s">
        <v>776</v>
      </c>
      <c r="D85" s="288">
        <v>1.83</v>
      </c>
    </row>
    <row r="86" spans="3:4" ht="18">
      <c r="C86" s="289" t="s">
        <v>778</v>
      </c>
      <c r="D86" s="288">
        <v>2.0150000000000001</v>
      </c>
    </row>
    <row r="87" spans="3:4" ht="18">
      <c r="C87" s="289" t="s">
        <v>780</v>
      </c>
      <c r="D87" s="288">
        <v>2.1989999999999998</v>
      </c>
    </row>
    <row r="88" spans="3:4" ht="18">
      <c r="C88" s="289" t="s">
        <v>783</v>
      </c>
      <c r="D88" s="288">
        <v>0.94399999999999995</v>
      </c>
    </row>
    <row r="89" spans="3:4" ht="18">
      <c r="C89" s="289" t="s">
        <v>785</v>
      </c>
      <c r="D89" s="288">
        <v>1.1359999999999999</v>
      </c>
    </row>
    <row r="90" spans="3:4" ht="18">
      <c r="C90" s="289" t="s">
        <v>787</v>
      </c>
      <c r="D90" s="288">
        <v>1.3280000000000001</v>
      </c>
    </row>
    <row r="91" spans="3:4" ht="18">
      <c r="C91" s="289" t="s">
        <v>789</v>
      </c>
      <c r="D91" s="288">
        <v>1.52</v>
      </c>
    </row>
    <row r="92" spans="3:4" ht="18">
      <c r="C92" s="289" t="s">
        <v>791</v>
      </c>
      <c r="D92" s="288">
        <v>1.9039999999999999</v>
      </c>
    </row>
    <row r="93" spans="3:4" ht="18">
      <c r="C93" s="289" t="s">
        <v>793</v>
      </c>
      <c r="D93" s="288">
        <v>2.0960000000000001</v>
      </c>
    </row>
    <row r="94" spans="3:4" ht="18">
      <c r="C94" s="289" t="s">
        <v>795</v>
      </c>
      <c r="D94" s="288">
        <v>2.2879999999999998</v>
      </c>
    </row>
    <row r="95" spans="3:4" ht="18">
      <c r="C95" s="289" t="s">
        <v>798</v>
      </c>
      <c r="D95" s="288">
        <v>0.96799999999999997</v>
      </c>
    </row>
    <row r="96" spans="3:4" ht="18">
      <c r="C96" s="289" t="s">
        <v>800</v>
      </c>
      <c r="D96" s="288">
        <v>1.165</v>
      </c>
    </row>
    <row r="97" spans="3:4" ht="18">
      <c r="C97" s="289" t="s">
        <v>802</v>
      </c>
      <c r="D97" s="288">
        <v>1.3620000000000001</v>
      </c>
    </row>
    <row r="98" spans="3:4" ht="18">
      <c r="C98" s="289" t="s">
        <v>804</v>
      </c>
      <c r="D98" s="288">
        <v>1.5589999999999999</v>
      </c>
    </row>
    <row r="99" spans="3:4" ht="18">
      <c r="C99" s="289" t="s">
        <v>806</v>
      </c>
      <c r="D99" s="288">
        <v>1.9530000000000001</v>
      </c>
    </row>
    <row r="100" spans="3:4" ht="18">
      <c r="C100" s="289" t="s">
        <v>808</v>
      </c>
      <c r="D100" s="288">
        <v>2.15</v>
      </c>
    </row>
    <row r="101" spans="3:4" ht="18">
      <c r="C101" s="289" t="s">
        <v>810</v>
      </c>
      <c r="D101" s="288">
        <v>2.347</v>
      </c>
    </row>
    <row r="102" spans="3:4" ht="18">
      <c r="C102" s="289" t="s">
        <v>813</v>
      </c>
      <c r="D102" s="288">
        <v>1.0169999999999999</v>
      </c>
    </row>
    <row r="103" spans="3:4" ht="18">
      <c r="C103" s="289" t="s">
        <v>815</v>
      </c>
      <c r="D103" s="288">
        <v>1.224</v>
      </c>
    </row>
    <row r="104" spans="3:4" ht="18">
      <c r="C104" s="289" t="s">
        <v>817</v>
      </c>
      <c r="D104" s="288">
        <v>1.431</v>
      </c>
    </row>
    <row r="105" spans="3:4" ht="18">
      <c r="C105" s="289" t="s">
        <v>819</v>
      </c>
      <c r="D105" s="288">
        <v>1.6379999999999999</v>
      </c>
    </row>
    <row r="106" spans="3:4" ht="18">
      <c r="C106" s="289" t="s">
        <v>821</v>
      </c>
      <c r="D106" s="288">
        <v>2.0510000000000002</v>
      </c>
    </row>
    <row r="107" spans="3:4" ht="18">
      <c r="C107" s="289" t="s">
        <v>823</v>
      </c>
      <c r="D107" s="288">
        <v>2.258</v>
      </c>
    </row>
    <row r="108" spans="3:4" ht="18">
      <c r="C108" s="289" t="s">
        <v>825</v>
      </c>
      <c r="D108" s="288">
        <v>2.4649999999999999</v>
      </c>
    </row>
    <row r="109" spans="3:4" ht="18">
      <c r="C109" s="289" t="s">
        <v>1476</v>
      </c>
      <c r="D109" s="288">
        <v>0.14099999999999999</v>
      </c>
    </row>
    <row r="110" spans="3:4" ht="18">
      <c r="C110" s="289" t="s">
        <v>1477</v>
      </c>
      <c r="D110" s="288">
        <v>6.5000000000000002E-2</v>
      </c>
    </row>
    <row r="111" spans="3:4" ht="18">
      <c r="C111" s="289" t="s">
        <v>656</v>
      </c>
      <c r="D111" s="288">
        <v>0.435</v>
      </c>
    </row>
    <row r="112" spans="3:4" ht="18">
      <c r="C112" s="289" t="s">
        <v>659</v>
      </c>
      <c r="D112" s="288">
        <v>0.52400000000000002</v>
      </c>
    </row>
    <row r="113" spans="3:4" ht="18">
      <c r="C113" s="289" t="s">
        <v>662</v>
      </c>
      <c r="D113" s="288">
        <v>0.61299999999999999</v>
      </c>
    </row>
    <row r="114" spans="3:4" ht="18">
      <c r="C114" s="289" t="s">
        <v>665</v>
      </c>
      <c r="D114" s="288">
        <v>0.70099999999999996</v>
      </c>
    </row>
    <row r="115" spans="3:4" ht="18">
      <c r="C115" s="289" t="s">
        <v>668</v>
      </c>
      <c r="D115" s="288">
        <v>0.878</v>
      </c>
    </row>
    <row r="116" spans="3:4" ht="18">
      <c r="C116" s="289" t="s">
        <v>671</v>
      </c>
      <c r="D116" s="288">
        <v>0.96699999999999997</v>
      </c>
    </row>
    <row r="117" spans="3:4" ht="18">
      <c r="C117" s="289" t="s">
        <v>674</v>
      </c>
      <c r="D117" s="288">
        <v>1.0549999999999999</v>
      </c>
    </row>
    <row r="118" spans="3:4" ht="18">
      <c r="C118" s="289" t="s">
        <v>677</v>
      </c>
      <c r="D118" s="288">
        <v>0.45400000000000001</v>
      </c>
    </row>
    <row r="119" spans="3:4" ht="18">
      <c r="C119" s="289" t="s">
        <v>679</v>
      </c>
      <c r="D119" s="288">
        <v>0.54600000000000004</v>
      </c>
    </row>
    <row r="120" spans="3:4" ht="18">
      <c r="C120" s="289" t="s">
        <v>681</v>
      </c>
      <c r="D120" s="288">
        <v>0.63800000000000001</v>
      </c>
    </row>
    <row r="121" spans="3:4" ht="18">
      <c r="C121" s="289" t="s">
        <v>683</v>
      </c>
      <c r="D121" s="288">
        <v>0.73099999999999998</v>
      </c>
    </row>
    <row r="122" spans="3:4" ht="18">
      <c r="C122" s="289" t="s">
        <v>685</v>
      </c>
      <c r="D122" s="288">
        <v>0.91500000000000004</v>
      </c>
    </row>
    <row r="123" spans="3:4" ht="18">
      <c r="C123" s="289" t="s">
        <v>687</v>
      </c>
      <c r="D123" s="288">
        <v>1.0069999999999999</v>
      </c>
    </row>
    <row r="124" spans="3:4" ht="18">
      <c r="C124" s="289" t="s">
        <v>689</v>
      </c>
      <c r="D124" s="288">
        <v>1.1000000000000001</v>
      </c>
    </row>
    <row r="125" spans="3:4" ht="18">
      <c r="C125" s="289" t="s">
        <v>692</v>
      </c>
      <c r="D125" s="288">
        <v>0.47199999999999998</v>
      </c>
    </row>
    <row r="126" spans="3:4" ht="18">
      <c r="C126" s="289" t="s">
        <v>694</v>
      </c>
      <c r="D126" s="288">
        <v>0.56799999999999995</v>
      </c>
    </row>
    <row r="127" spans="3:4" ht="18">
      <c r="C127" s="289" t="s">
        <v>696</v>
      </c>
      <c r="D127" s="288">
        <v>0.66400000000000003</v>
      </c>
    </row>
    <row r="128" spans="3:4" ht="18">
      <c r="C128" s="289" t="s">
        <v>698</v>
      </c>
      <c r="D128" s="288">
        <v>0.76</v>
      </c>
    </row>
    <row r="129" spans="3:4" ht="18">
      <c r="C129" s="289" t="s">
        <v>700</v>
      </c>
      <c r="D129" s="288">
        <v>0.95199999999999996</v>
      </c>
    </row>
    <row r="130" spans="3:4" ht="18">
      <c r="C130" s="289" t="s">
        <v>702</v>
      </c>
      <c r="D130" s="288">
        <v>1.048</v>
      </c>
    </row>
    <row r="131" spans="3:4" ht="18">
      <c r="C131" s="289" t="s">
        <v>704</v>
      </c>
      <c r="D131" s="288">
        <v>1.1439999999999999</v>
      </c>
    </row>
    <row r="132" spans="3:4" ht="18">
      <c r="C132" s="289" t="s">
        <v>707</v>
      </c>
      <c r="D132" s="288">
        <v>0.48399999999999999</v>
      </c>
    </row>
    <row r="133" spans="3:4" ht="18">
      <c r="C133" s="289" t="s">
        <v>709</v>
      </c>
      <c r="D133" s="288">
        <v>0.58299999999999996</v>
      </c>
    </row>
    <row r="134" spans="3:4" ht="18">
      <c r="C134" s="289" t="s">
        <v>711</v>
      </c>
      <c r="D134" s="288">
        <v>0.68100000000000005</v>
      </c>
    </row>
    <row r="135" spans="3:4" ht="18">
      <c r="C135" s="289" t="s">
        <v>713</v>
      </c>
      <c r="D135" s="288">
        <v>0.78</v>
      </c>
    </row>
    <row r="136" spans="3:4" ht="18">
      <c r="C136" s="289" t="s">
        <v>715</v>
      </c>
      <c r="D136" s="288">
        <v>0.97699999999999998</v>
      </c>
    </row>
    <row r="137" spans="3:4" ht="18">
      <c r="C137" s="289" t="s">
        <v>717</v>
      </c>
      <c r="D137" s="288">
        <v>1.075</v>
      </c>
    </row>
    <row r="138" spans="3:4" ht="18">
      <c r="C138" s="289" t="s">
        <v>719</v>
      </c>
      <c r="D138" s="288">
        <v>1.1739999999999999</v>
      </c>
    </row>
    <row r="139" spans="3:4" ht="18">
      <c r="C139" s="289" t="s">
        <v>722</v>
      </c>
      <c r="D139" s="288">
        <v>0.50900000000000001</v>
      </c>
    </row>
    <row r="140" spans="3:4" ht="18">
      <c r="C140" s="289" t="s">
        <v>724</v>
      </c>
      <c r="D140" s="288">
        <v>0.61199999999999999</v>
      </c>
    </row>
    <row r="141" spans="3:4" ht="18">
      <c r="C141" s="289" t="s">
        <v>726</v>
      </c>
      <c r="D141" s="288">
        <v>0.71499999999999997</v>
      </c>
    </row>
    <row r="142" spans="3:4" ht="18">
      <c r="C142" s="289" t="s">
        <v>728</v>
      </c>
      <c r="D142" s="288">
        <v>0.81899999999999995</v>
      </c>
    </row>
    <row r="143" spans="3:4" ht="18">
      <c r="C143" s="289" t="s">
        <v>730</v>
      </c>
      <c r="D143" s="288">
        <v>1.026</v>
      </c>
    </row>
    <row r="144" spans="3:4" ht="18">
      <c r="C144" s="289" t="s">
        <v>732</v>
      </c>
      <c r="D144" s="288">
        <v>1.129</v>
      </c>
    </row>
    <row r="145" spans="3:4" ht="18">
      <c r="C145" s="289" t="s">
        <v>734</v>
      </c>
      <c r="D145" s="288">
        <v>1.2330000000000001</v>
      </c>
    </row>
    <row r="146" spans="3:4" ht="18">
      <c r="C146" s="289" t="s">
        <v>738</v>
      </c>
      <c r="D146" s="288">
        <v>7.0000000000000007E-2</v>
      </c>
    </row>
    <row r="147" spans="3:4" ht="18">
      <c r="C147" s="289" t="s">
        <v>1478</v>
      </c>
      <c r="D147" s="288">
        <v>3.2000000000000001E-2</v>
      </c>
    </row>
    <row r="148" spans="3:4" ht="18">
      <c r="C148" s="289" t="s">
        <v>1132</v>
      </c>
      <c r="D148" s="288">
        <v>0.38800000000000001</v>
      </c>
    </row>
    <row r="149" spans="3:4" ht="18">
      <c r="C149" s="289" t="s">
        <v>1136</v>
      </c>
      <c r="D149" s="288">
        <v>0.45900000000000002</v>
      </c>
    </row>
    <row r="150" spans="3:4" ht="18">
      <c r="C150" s="289" t="s">
        <v>1140</v>
      </c>
      <c r="D150" s="288">
        <v>0.53600000000000003</v>
      </c>
    </row>
    <row r="151" spans="3:4" ht="18">
      <c r="C151" s="289" t="s">
        <v>1144</v>
      </c>
      <c r="D151" s="288">
        <v>0.61399999999999999</v>
      </c>
    </row>
    <row r="152" spans="3:4" ht="18">
      <c r="C152" s="289" t="s">
        <v>1148</v>
      </c>
      <c r="D152" s="288">
        <v>0.76900000000000002</v>
      </c>
    </row>
    <row r="153" spans="3:4" ht="18">
      <c r="C153" s="289" t="s">
        <v>1152</v>
      </c>
      <c r="D153" s="288">
        <v>0.84599999999999997</v>
      </c>
    </row>
    <row r="154" spans="3:4" ht="18">
      <c r="C154" s="289" t="s">
        <v>1156</v>
      </c>
      <c r="D154" s="288">
        <v>0.92400000000000004</v>
      </c>
    </row>
    <row r="155" spans="3:4" ht="18">
      <c r="C155" s="289" t="s">
        <v>1160</v>
      </c>
      <c r="D155" s="288">
        <v>0.39700000000000002</v>
      </c>
    </row>
    <row r="156" spans="3:4" ht="18">
      <c r="C156" s="289" t="s">
        <v>1163</v>
      </c>
      <c r="D156" s="288">
        <v>0.47799999999999998</v>
      </c>
    </row>
    <row r="157" spans="3:4" ht="18">
      <c r="C157" s="289" t="s">
        <v>1166</v>
      </c>
      <c r="D157" s="288">
        <v>0.55900000000000005</v>
      </c>
    </row>
    <row r="158" spans="3:4" ht="18">
      <c r="C158" s="289" t="s">
        <v>1169</v>
      </c>
      <c r="D158" s="288">
        <v>0.63900000000000001</v>
      </c>
    </row>
    <row r="159" spans="3:4" ht="18">
      <c r="C159" s="289" t="s">
        <v>1172</v>
      </c>
      <c r="D159" s="288">
        <v>0.80100000000000005</v>
      </c>
    </row>
    <row r="160" spans="3:4" ht="18">
      <c r="C160" s="289" t="s">
        <v>1175</v>
      </c>
      <c r="D160" s="288">
        <v>0.88200000000000001</v>
      </c>
    </row>
    <row r="161" spans="3:4" ht="18">
      <c r="C161" s="289" t="s">
        <v>1178</v>
      </c>
      <c r="D161" s="288">
        <v>0.96199999999999997</v>
      </c>
    </row>
    <row r="162" spans="3:4" ht="18">
      <c r="C162" s="289" t="s">
        <v>1182</v>
      </c>
      <c r="D162" s="288">
        <v>0.41299999999999998</v>
      </c>
    </row>
    <row r="163" spans="3:4" ht="18">
      <c r="C163" s="289" t="s">
        <v>1185</v>
      </c>
      <c r="D163" s="288">
        <v>0.497</v>
      </c>
    </row>
    <row r="164" spans="3:4" ht="18">
      <c r="C164" s="289" t="s">
        <v>1188</v>
      </c>
      <c r="D164" s="288">
        <v>0.58099999999999996</v>
      </c>
    </row>
    <row r="165" spans="3:4" ht="18">
      <c r="C165" s="289" t="s">
        <v>1191</v>
      </c>
      <c r="D165" s="288">
        <v>0.66500000000000004</v>
      </c>
    </row>
    <row r="166" spans="3:4" ht="18">
      <c r="C166" s="289" t="s">
        <v>1194</v>
      </c>
      <c r="D166" s="288">
        <v>0.83299999999999996</v>
      </c>
    </row>
    <row r="167" spans="3:4" ht="18">
      <c r="C167" s="289" t="s">
        <v>1197</v>
      </c>
      <c r="D167" s="288">
        <v>0.91700000000000004</v>
      </c>
    </row>
    <row r="168" spans="3:4" ht="18">
      <c r="C168" s="289" t="s">
        <v>1200</v>
      </c>
      <c r="D168" s="288">
        <v>1.0009999999999999</v>
      </c>
    </row>
    <row r="169" spans="3:4" ht="18">
      <c r="C169" s="289" t="s">
        <v>1204</v>
      </c>
      <c r="D169" s="288">
        <v>0.42399999999999999</v>
      </c>
    </row>
    <row r="170" spans="3:4" ht="18">
      <c r="C170" s="289" t="s">
        <v>1207</v>
      </c>
      <c r="D170" s="288">
        <v>0.51</v>
      </c>
    </row>
    <row r="171" spans="3:4" ht="18">
      <c r="C171" s="289" t="s">
        <v>1210</v>
      </c>
      <c r="D171" s="288">
        <v>0.59599999999999997</v>
      </c>
    </row>
    <row r="172" spans="3:4" ht="18">
      <c r="C172" s="289" t="s">
        <v>1213</v>
      </c>
      <c r="D172" s="288">
        <v>0.68200000000000005</v>
      </c>
    </row>
    <row r="173" spans="3:4" ht="18">
      <c r="C173" s="289" t="s">
        <v>1216</v>
      </c>
      <c r="D173" s="288">
        <v>0.85399999999999998</v>
      </c>
    </row>
    <row r="174" spans="3:4" ht="18">
      <c r="C174" s="289" t="s">
        <v>1219</v>
      </c>
      <c r="D174" s="288">
        <v>0.94099999999999995</v>
      </c>
    </row>
    <row r="175" spans="3:4" ht="18">
      <c r="C175" s="289" t="s">
        <v>1222</v>
      </c>
      <c r="D175" s="288">
        <v>1.0269999999999999</v>
      </c>
    </row>
    <row r="176" spans="3:4" ht="18">
      <c r="C176" s="289" t="s">
        <v>1226</v>
      </c>
      <c r="D176" s="288">
        <v>0.44500000000000001</v>
      </c>
    </row>
    <row r="177" spans="3:4" ht="18">
      <c r="C177" s="289" t="s">
        <v>1229</v>
      </c>
      <c r="D177" s="288">
        <v>0.53500000000000003</v>
      </c>
    </row>
    <row r="178" spans="3:4" ht="18">
      <c r="C178" s="289" t="s">
        <v>1232</v>
      </c>
      <c r="D178" s="288">
        <v>0.626</v>
      </c>
    </row>
    <row r="179" spans="3:4" ht="18">
      <c r="C179" s="289" t="s">
        <v>1235</v>
      </c>
      <c r="D179" s="288">
        <v>0.71599999999999997</v>
      </c>
    </row>
    <row r="180" spans="3:4" ht="18">
      <c r="C180" s="289" t="s">
        <v>1238</v>
      </c>
      <c r="D180" s="288">
        <v>0.89700000000000002</v>
      </c>
    </row>
    <row r="181" spans="3:4" ht="18">
      <c r="C181" s="289" t="s">
        <v>1241</v>
      </c>
      <c r="D181" s="288">
        <v>0.98799999999999999</v>
      </c>
    </row>
    <row r="182" spans="3:4" ht="18">
      <c r="C182" s="289" t="s">
        <v>1244</v>
      </c>
      <c r="D182" s="288">
        <v>1.0780000000000001</v>
      </c>
    </row>
    <row r="183" spans="3:4" ht="18">
      <c r="C183" s="289" t="s">
        <v>1249</v>
      </c>
      <c r="D183" s="288">
        <v>6.2E-2</v>
      </c>
    </row>
    <row r="184" spans="3:4" ht="18">
      <c r="C184" s="289" t="s">
        <v>1254</v>
      </c>
      <c r="D184" s="288">
        <v>2.8000000000000001E-2</v>
      </c>
    </row>
    <row r="185" spans="3:4" ht="18">
      <c r="C185" s="289" t="s">
        <v>1133</v>
      </c>
      <c r="D185" s="288">
        <v>0.57199999999999995</v>
      </c>
    </row>
    <row r="186" spans="3:4" ht="18">
      <c r="C186" s="289" t="s">
        <v>1137</v>
      </c>
      <c r="D186" s="288">
        <v>0.68799999999999994</v>
      </c>
    </row>
    <row r="187" spans="3:4" ht="18">
      <c r="C187" s="289" t="s">
        <v>1141</v>
      </c>
      <c r="D187" s="288">
        <v>0.80400000000000005</v>
      </c>
    </row>
    <row r="188" spans="3:4" ht="18">
      <c r="C188" s="289" t="s">
        <v>1145</v>
      </c>
      <c r="D188" s="288">
        <v>0.92</v>
      </c>
    </row>
    <row r="189" spans="3:4" ht="18">
      <c r="C189" s="289" t="s">
        <v>1149</v>
      </c>
      <c r="D189" s="288">
        <v>1.153</v>
      </c>
    </row>
    <row r="190" spans="3:4" ht="18">
      <c r="C190" s="289" t="s">
        <v>1153</v>
      </c>
      <c r="D190" s="288">
        <v>1.2689999999999999</v>
      </c>
    </row>
    <row r="191" spans="3:4" ht="18">
      <c r="C191" s="289" t="s">
        <v>1157</v>
      </c>
      <c r="D191" s="288">
        <v>1.385</v>
      </c>
    </row>
    <row r="192" spans="3:4" ht="18">
      <c r="C192" s="289" t="s">
        <v>1161</v>
      </c>
      <c r="D192" s="288">
        <v>0.59599999999999997</v>
      </c>
    </row>
    <row r="193" spans="3:4" ht="18">
      <c r="C193" s="289" t="s">
        <v>1164</v>
      </c>
      <c r="D193" s="288">
        <v>0.71699999999999997</v>
      </c>
    </row>
    <row r="194" spans="3:4" ht="18">
      <c r="C194" s="289" t="s">
        <v>1167</v>
      </c>
      <c r="D194" s="288">
        <v>0.83799999999999997</v>
      </c>
    </row>
    <row r="195" spans="3:4" ht="18">
      <c r="C195" s="289" t="s">
        <v>1170</v>
      </c>
      <c r="D195" s="288">
        <v>0.95899999999999996</v>
      </c>
    </row>
    <row r="196" spans="3:4" ht="18">
      <c r="C196" s="289" t="s">
        <v>1173</v>
      </c>
      <c r="D196" s="288">
        <v>1.2010000000000001</v>
      </c>
    </row>
    <row r="197" spans="3:4" ht="18">
      <c r="C197" s="289" t="s">
        <v>1176</v>
      </c>
      <c r="D197" s="288">
        <v>1.3220000000000001</v>
      </c>
    </row>
    <row r="198" spans="3:4" ht="18">
      <c r="C198" s="289" t="s">
        <v>1179</v>
      </c>
      <c r="D198" s="288">
        <v>1.4430000000000001</v>
      </c>
    </row>
    <row r="199" spans="3:4" ht="18">
      <c r="C199" s="289" t="s">
        <v>1183</v>
      </c>
      <c r="D199" s="288">
        <v>0.61899999999999999</v>
      </c>
    </row>
    <row r="200" spans="3:4" ht="18">
      <c r="C200" s="289" t="s">
        <v>1186</v>
      </c>
      <c r="D200" s="288">
        <v>0.745</v>
      </c>
    </row>
    <row r="201" spans="3:4" ht="18">
      <c r="C201" s="289" t="s">
        <v>1189</v>
      </c>
      <c r="D201" s="288">
        <v>0.871</v>
      </c>
    </row>
    <row r="202" spans="3:4" ht="18">
      <c r="C202" s="289" t="s">
        <v>1192</v>
      </c>
      <c r="D202" s="288">
        <v>0.997</v>
      </c>
    </row>
    <row r="203" spans="3:4" ht="18">
      <c r="C203" s="289" t="s">
        <v>1195</v>
      </c>
      <c r="D203" s="288">
        <v>1.2490000000000001</v>
      </c>
    </row>
    <row r="204" spans="3:4" ht="18">
      <c r="C204" s="289" t="s">
        <v>1198</v>
      </c>
      <c r="D204" s="288">
        <v>1.375</v>
      </c>
    </row>
    <row r="205" spans="3:4" ht="18">
      <c r="C205" s="289" t="s">
        <v>1201</v>
      </c>
      <c r="D205" s="288">
        <v>1.5009999999999999</v>
      </c>
    </row>
    <row r="206" spans="3:4" ht="18">
      <c r="C206" s="289" t="s">
        <v>1205</v>
      </c>
      <c r="D206" s="288">
        <v>0.63500000000000001</v>
      </c>
    </row>
    <row r="207" spans="3:4" ht="18">
      <c r="C207" s="289" t="s">
        <v>1208</v>
      </c>
      <c r="D207" s="288">
        <v>0.76500000000000001</v>
      </c>
    </row>
    <row r="208" spans="3:4" ht="18">
      <c r="C208" s="289" t="s">
        <v>1211</v>
      </c>
      <c r="D208" s="288">
        <v>0.89400000000000002</v>
      </c>
    </row>
    <row r="209" spans="3:4" ht="18">
      <c r="C209" s="289" t="s">
        <v>1214</v>
      </c>
      <c r="D209" s="288">
        <v>1.0229999999999999</v>
      </c>
    </row>
    <row r="210" spans="3:4" ht="18">
      <c r="C210" s="289" t="s">
        <v>1217</v>
      </c>
      <c r="D210" s="288">
        <v>1.282</v>
      </c>
    </row>
    <row r="211" spans="3:4" ht="18">
      <c r="C211" s="289" t="s">
        <v>1220</v>
      </c>
      <c r="D211" s="288">
        <v>1.411</v>
      </c>
    </row>
    <row r="212" spans="3:4" ht="18">
      <c r="C212" s="289" t="s">
        <v>1223</v>
      </c>
      <c r="D212" s="288">
        <v>1.54</v>
      </c>
    </row>
    <row r="213" spans="3:4" ht="18">
      <c r="C213" s="289" t="s">
        <v>1227</v>
      </c>
      <c r="D213" s="288">
        <v>0.66700000000000004</v>
      </c>
    </row>
    <row r="214" spans="3:4" ht="18">
      <c r="C214" s="289" t="s">
        <v>1230</v>
      </c>
      <c r="D214" s="288">
        <v>0.80300000000000005</v>
      </c>
    </row>
    <row r="215" spans="3:4" ht="18">
      <c r="C215" s="289" t="s">
        <v>1233</v>
      </c>
      <c r="D215" s="288">
        <v>0.93899999999999995</v>
      </c>
    </row>
    <row r="216" spans="3:4" ht="18">
      <c r="C216" s="289" t="s">
        <v>1236</v>
      </c>
      <c r="D216" s="288">
        <v>1.075</v>
      </c>
    </row>
    <row r="217" spans="3:4" ht="18">
      <c r="C217" s="289" t="s">
        <v>1239</v>
      </c>
      <c r="D217" s="288">
        <v>1.3460000000000001</v>
      </c>
    </row>
    <row r="218" spans="3:4" ht="18">
      <c r="C218" s="289" t="s">
        <v>1242</v>
      </c>
      <c r="D218" s="288">
        <v>1.482</v>
      </c>
    </row>
    <row r="219" spans="3:4" ht="18">
      <c r="C219" s="289" t="s">
        <v>1245</v>
      </c>
      <c r="D219" s="288">
        <v>1.6180000000000001</v>
      </c>
    </row>
    <row r="220" spans="3:4" ht="18">
      <c r="C220" s="289" t="s">
        <v>1250</v>
      </c>
      <c r="D220" s="288">
        <v>9.1999999999999998E-2</v>
      </c>
    </row>
    <row r="221" spans="3:4" ht="18">
      <c r="C221" s="289" t="s">
        <v>1255</v>
      </c>
      <c r="D221" s="288">
        <v>4.2000000000000003E-2</v>
      </c>
    </row>
    <row r="222" spans="3:4" ht="18">
      <c r="C222" s="289" t="s">
        <v>908</v>
      </c>
      <c r="D222" s="288">
        <v>9.7000000000000003E-2</v>
      </c>
    </row>
    <row r="223" spans="3:4" ht="18">
      <c r="C223" s="289" t="s">
        <v>1479</v>
      </c>
      <c r="D223" s="288">
        <v>0.23599999999999999</v>
      </c>
    </row>
    <row r="224" spans="3:4" ht="18">
      <c r="C224" s="289" t="s">
        <v>836</v>
      </c>
      <c r="D224" s="288">
        <v>1.306</v>
      </c>
    </row>
    <row r="225" spans="3:4" ht="18">
      <c r="C225" s="289" t="s">
        <v>838</v>
      </c>
      <c r="D225" s="288">
        <v>1.5720000000000001</v>
      </c>
    </row>
    <row r="226" spans="3:4" ht="18">
      <c r="C226" s="289" t="s">
        <v>840</v>
      </c>
      <c r="D226" s="288">
        <v>1.8380000000000001</v>
      </c>
    </row>
    <row r="227" spans="3:4" ht="18">
      <c r="C227" s="289" t="s">
        <v>842</v>
      </c>
      <c r="D227" s="288">
        <v>2.1030000000000002</v>
      </c>
    </row>
    <row r="228" spans="3:4" ht="18">
      <c r="C228" s="289" t="s">
        <v>844</v>
      </c>
      <c r="D228" s="288">
        <v>2.6349999999999998</v>
      </c>
    </row>
    <row r="229" spans="3:4" ht="18">
      <c r="C229" s="289" t="s">
        <v>846</v>
      </c>
      <c r="D229" s="288">
        <v>2.9009999999999998</v>
      </c>
    </row>
    <row r="230" spans="3:4" ht="18">
      <c r="C230" s="289" t="s">
        <v>848</v>
      </c>
      <c r="D230" s="288">
        <v>3.1659999999999999</v>
      </c>
    </row>
    <row r="231" spans="3:4" ht="18">
      <c r="C231" s="289" t="s">
        <v>850</v>
      </c>
      <c r="D231" s="288">
        <v>1.361</v>
      </c>
    </row>
    <row r="232" spans="3:4" ht="18">
      <c r="C232" s="289" t="s">
        <v>852</v>
      </c>
      <c r="D232" s="288">
        <v>1.6379999999999999</v>
      </c>
    </row>
    <row r="233" spans="3:4" ht="18">
      <c r="C233" s="289" t="s">
        <v>854</v>
      </c>
      <c r="D233" s="288">
        <v>1.915</v>
      </c>
    </row>
    <row r="234" spans="3:4" ht="18">
      <c r="C234" s="289" t="s">
        <v>856</v>
      </c>
      <c r="D234" s="288">
        <v>2.1920000000000002</v>
      </c>
    </row>
    <row r="235" spans="3:4" ht="18">
      <c r="C235" s="289" t="s">
        <v>858</v>
      </c>
      <c r="D235" s="288">
        <v>2.7450000000000001</v>
      </c>
    </row>
    <row r="236" spans="3:4" ht="18">
      <c r="C236" s="289" t="s">
        <v>860</v>
      </c>
      <c r="D236" s="288">
        <v>3.0219999999999998</v>
      </c>
    </row>
    <row r="237" spans="3:4" ht="18">
      <c r="C237" s="289" t="s">
        <v>862</v>
      </c>
      <c r="D237" s="288">
        <v>3.2989999999999999</v>
      </c>
    </row>
    <row r="238" spans="3:4" ht="18">
      <c r="C238" s="289" t="s">
        <v>864</v>
      </c>
      <c r="D238" s="288">
        <v>1.4159999999999999</v>
      </c>
    </row>
    <row r="239" spans="3:4" ht="18">
      <c r="C239" s="289" t="s">
        <v>866</v>
      </c>
      <c r="D239" s="288">
        <v>1.704</v>
      </c>
    </row>
    <row r="240" spans="3:4" ht="18">
      <c r="C240" s="289" t="s">
        <v>868</v>
      </c>
      <c r="D240" s="288">
        <v>1.992</v>
      </c>
    </row>
    <row r="241" spans="3:4" ht="18">
      <c r="C241" s="289" t="s">
        <v>870</v>
      </c>
      <c r="D241" s="288">
        <v>2.2799999999999998</v>
      </c>
    </row>
    <row r="242" spans="3:4" ht="18">
      <c r="C242" s="289" t="s">
        <v>872</v>
      </c>
      <c r="D242" s="288">
        <v>2.8559999999999999</v>
      </c>
    </row>
    <row r="243" spans="3:4" ht="18">
      <c r="C243" s="289" t="s">
        <v>874</v>
      </c>
      <c r="D243" s="288">
        <v>3.1440000000000001</v>
      </c>
    </row>
    <row r="244" spans="3:4" ht="18">
      <c r="C244" s="289" t="s">
        <v>876</v>
      </c>
      <c r="D244" s="288">
        <v>3.4319999999999999</v>
      </c>
    </row>
    <row r="245" spans="3:4" ht="18">
      <c r="C245" s="289" t="s">
        <v>878</v>
      </c>
      <c r="D245" s="288">
        <v>1.4530000000000001</v>
      </c>
    </row>
    <row r="246" spans="3:4" ht="18">
      <c r="C246" s="289" t="s">
        <v>880</v>
      </c>
      <c r="D246" s="288">
        <v>1.748</v>
      </c>
    </row>
    <row r="247" spans="3:4" ht="18">
      <c r="C247" s="289" t="s">
        <v>882</v>
      </c>
      <c r="D247" s="288">
        <v>2.0430000000000001</v>
      </c>
    </row>
    <row r="248" spans="3:4" ht="18">
      <c r="C248" s="289" t="s">
        <v>884</v>
      </c>
      <c r="D248" s="288">
        <v>2.339</v>
      </c>
    </row>
    <row r="249" spans="3:4" ht="18">
      <c r="C249" s="289" t="s">
        <v>886</v>
      </c>
      <c r="D249" s="288">
        <v>2.93</v>
      </c>
    </row>
    <row r="250" spans="3:4" ht="18">
      <c r="C250" s="289" t="s">
        <v>888</v>
      </c>
      <c r="D250" s="288">
        <v>3.2250000000000001</v>
      </c>
    </row>
    <row r="251" spans="3:4" ht="18">
      <c r="C251" s="289" t="s">
        <v>890</v>
      </c>
      <c r="D251" s="288">
        <v>3.5209999999999999</v>
      </c>
    </row>
    <row r="252" spans="3:4" ht="18">
      <c r="C252" s="289" t="s">
        <v>892</v>
      </c>
      <c r="D252" s="288">
        <v>1.526</v>
      </c>
    </row>
    <row r="253" spans="3:4" ht="18">
      <c r="C253" s="289" t="s">
        <v>894</v>
      </c>
      <c r="D253" s="288">
        <v>1.8360000000000001</v>
      </c>
    </row>
    <row r="254" spans="3:4" ht="18">
      <c r="C254" s="289" t="s">
        <v>896</v>
      </c>
      <c r="D254" s="288">
        <v>2.1459999999999999</v>
      </c>
    </row>
    <row r="255" spans="3:4" ht="18">
      <c r="C255" s="289" t="s">
        <v>898</v>
      </c>
      <c r="D255" s="288">
        <v>2.4569999999999999</v>
      </c>
    </row>
    <row r="256" spans="3:4" ht="18">
      <c r="C256" s="289" t="s">
        <v>900</v>
      </c>
      <c r="D256" s="288">
        <v>3.077</v>
      </c>
    </row>
    <row r="257" spans="3:4" ht="18">
      <c r="C257" s="289" t="s">
        <v>902</v>
      </c>
      <c r="D257" s="288">
        <v>3.387</v>
      </c>
    </row>
    <row r="258" spans="3:4" ht="18">
      <c r="C258" s="289" t="s">
        <v>904</v>
      </c>
      <c r="D258" s="288">
        <v>3.698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/>
  <dimension ref="C1:E145"/>
  <sheetViews>
    <sheetView workbookViewId="0">
      <selection activeCell="G79" sqref="G79"/>
    </sheetView>
  </sheetViews>
  <sheetFormatPr defaultColWidth="9" defaultRowHeight="18"/>
  <cols>
    <col min="3" max="3" width="53.28515625" style="291" customWidth="1"/>
    <col min="4" max="4" width="10.5703125" style="291" customWidth="1"/>
  </cols>
  <sheetData>
    <row r="1" spans="3:4">
      <c r="C1" s="291" t="s">
        <v>1430</v>
      </c>
      <c r="D1" s="291" t="s">
        <v>1398</v>
      </c>
    </row>
    <row r="2" spans="3:4" hidden="1">
      <c r="C2" s="286" t="s">
        <v>913</v>
      </c>
      <c r="D2" s="239">
        <v>2.722</v>
      </c>
    </row>
    <row r="3" spans="3:4" hidden="1">
      <c r="C3" s="286" t="s">
        <v>917</v>
      </c>
      <c r="D3" s="239">
        <v>3.2749999999999999</v>
      </c>
    </row>
    <row r="4" spans="3:4" hidden="1">
      <c r="C4" s="286" t="s">
        <v>921</v>
      </c>
      <c r="D4" s="239">
        <v>3.8290000000000002</v>
      </c>
    </row>
    <row r="5" spans="3:4" hidden="1">
      <c r="C5" s="286" t="s">
        <v>925</v>
      </c>
      <c r="D5" s="239">
        <v>4.3819999999999997</v>
      </c>
    </row>
    <row r="6" spans="3:4" hidden="1">
      <c r="C6" s="286" t="s">
        <v>929</v>
      </c>
      <c r="D6" s="239">
        <v>5.4889999999999999</v>
      </c>
    </row>
    <row r="7" spans="3:4" hidden="1">
      <c r="C7" s="286" t="s">
        <v>933</v>
      </c>
      <c r="D7" s="239">
        <v>6.0430000000000001</v>
      </c>
    </row>
    <row r="8" spans="3:4" hidden="1">
      <c r="C8" s="286" t="s">
        <v>937</v>
      </c>
      <c r="D8" s="239">
        <v>6.5960000000000001</v>
      </c>
    </row>
    <row r="9" spans="3:4" hidden="1">
      <c r="C9" s="286" t="s">
        <v>941</v>
      </c>
      <c r="D9" s="239">
        <v>2.8359999999999999</v>
      </c>
    </row>
    <row r="10" spans="3:4" hidden="1">
      <c r="C10" s="286" t="s">
        <v>944</v>
      </c>
      <c r="D10" s="239">
        <v>3.4129999999999998</v>
      </c>
    </row>
    <row r="11" spans="3:4" hidden="1">
      <c r="C11" s="286" t="s">
        <v>947</v>
      </c>
      <c r="D11" s="239">
        <v>3.9889999999999999</v>
      </c>
    </row>
    <row r="12" spans="3:4" hidden="1">
      <c r="C12" s="286" t="s">
        <v>950</v>
      </c>
      <c r="D12" s="239">
        <v>4.5659999999999998</v>
      </c>
    </row>
    <row r="13" spans="3:4" hidden="1">
      <c r="C13" s="286" t="s">
        <v>953</v>
      </c>
      <c r="D13" s="239">
        <v>5.72</v>
      </c>
    </row>
    <row r="14" spans="3:4" hidden="1">
      <c r="C14" s="286" t="s">
        <v>956</v>
      </c>
      <c r="D14" s="239">
        <v>6.2960000000000003</v>
      </c>
    </row>
    <row r="15" spans="3:4" hidden="1">
      <c r="C15" s="286" t="s">
        <v>959</v>
      </c>
      <c r="D15" s="239">
        <v>6.8730000000000002</v>
      </c>
    </row>
    <row r="16" spans="3:4" hidden="1">
      <c r="C16" s="286" t="s">
        <v>963</v>
      </c>
      <c r="D16" s="239">
        <v>2.95</v>
      </c>
    </row>
    <row r="17" spans="3:4" hidden="1">
      <c r="C17" s="286" t="s">
        <v>966</v>
      </c>
      <c r="D17" s="239">
        <v>3.55</v>
      </c>
    </row>
    <row r="18" spans="3:4" hidden="1">
      <c r="C18" s="286" t="s">
        <v>969</v>
      </c>
      <c r="D18" s="239">
        <v>4.1500000000000004</v>
      </c>
    </row>
    <row r="19" spans="3:4" hidden="1">
      <c r="C19" s="286" t="s">
        <v>972</v>
      </c>
      <c r="D19" s="239">
        <v>4.75</v>
      </c>
    </row>
    <row r="20" spans="3:4" hidden="1">
      <c r="C20" s="286" t="s">
        <v>975</v>
      </c>
      <c r="D20" s="239">
        <v>5.95</v>
      </c>
    </row>
    <row r="21" spans="3:4" hidden="1">
      <c r="C21" s="286" t="s">
        <v>978</v>
      </c>
      <c r="D21" s="239">
        <v>6.55</v>
      </c>
    </row>
    <row r="22" spans="3:4" hidden="1">
      <c r="C22" s="286" t="s">
        <v>981</v>
      </c>
      <c r="D22" s="239">
        <v>7.15</v>
      </c>
    </row>
    <row r="23" spans="3:4" hidden="1">
      <c r="C23" s="286" t="s">
        <v>985</v>
      </c>
      <c r="D23" s="239">
        <v>3.0259999999999998</v>
      </c>
    </row>
    <row r="24" spans="3:4" hidden="1">
      <c r="C24" s="286" t="s">
        <v>988</v>
      </c>
      <c r="D24" s="239">
        <v>3.6419999999999999</v>
      </c>
    </row>
    <row r="25" spans="3:4" hidden="1">
      <c r="C25" s="286" t="s">
        <v>991</v>
      </c>
      <c r="D25" s="239">
        <v>4.2569999999999997</v>
      </c>
    </row>
    <row r="26" spans="3:4" hidden="1">
      <c r="C26" s="286" t="s">
        <v>994</v>
      </c>
      <c r="D26" s="239">
        <v>4.8730000000000002</v>
      </c>
    </row>
    <row r="27" spans="3:4" hidden="1">
      <c r="C27" s="286" t="s">
        <v>997</v>
      </c>
      <c r="D27" s="239">
        <v>6.1040000000000001</v>
      </c>
    </row>
    <row r="28" spans="3:4" hidden="1">
      <c r="C28" s="286" t="s">
        <v>1000</v>
      </c>
      <c r="D28" s="239">
        <v>6.7190000000000003</v>
      </c>
    </row>
    <row r="29" spans="3:4" hidden="1">
      <c r="C29" s="286" t="s">
        <v>1003</v>
      </c>
      <c r="D29" s="239">
        <v>7.335</v>
      </c>
    </row>
    <row r="30" spans="3:4" hidden="1">
      <c r="C30" s="286" t="s">
        <v>1007</v>
      </c>
      <c r="D30" s="239">
        <v>3.1779999999999999</v>
      </c>
    </row>
    <row r="31" spans="3:4" hidden="1">
      <c r="C31" s="286" t="s">
        <v>1010</v>
      </c>
      <c r="D31" s="239">
        <v>3.8250000000000002</v>
      </c>
    </row>
    <row r="32" spans="3:4" hidden="1">
      <c r="C32" s="286" t="s">
        <v>1013</v>
      </c>
      <c r="D32" s="239">
        <v>4.4710000000000001</v>
      </c>
    </row>
    <row r="33" spans="3:4" hidden="1">
      <c r="C33" s="286" t="s">
        <v>1016</v>
      </c>
      <c r="D33" s="239">
        <v>5.1180000000000003</v>
      </c>
    </row>
    <row r="34" spans="3:4" hidden="1">
      <c r="C34" s="286" t="s">
        <v>1019</v>
      </c>
      <c r="D34" s="239">
        <v>6.4109999999999996</v>
      </c>
    </row>
    <row r="35" spans="3:4" hidden="1">
      <c r="C35" s="286" t="s">
        <v>1022</v>
      </c>
      <c r="D35" s="239">
        <v>7.0570000000000004</v>
      </c>
    </row>
    <row r="36" spans="3:4" hidden="1">
      <c r="C36" s="286" t="s">
        <v>1025</v>
      </c>
      <c r="D36" s="239">
        <v>7.7039999999999997</v>
      </c>
    </row>
    <row r="37" spans="3:4" hidden="1">
      <c r="C37" s="286" t="s">
        <v>1035</v>
      </c>
      <c r="D37" s="239">
        <v>0.20200000000000001</v>
      </c>
    </row>
    <row r="38" spans="3:4" hidden="1">
      <c r="C38" s="286" t="s">
        <v>914</v>
      </c>
      <c r="D38" s="239">
        <v>3.4020000000000001</v>
      </c>
    </row>
    <row r="39" spans="3:4" hidden="1">
      <c r="C39" s="286" t="s">
        <v>918</v>
      </c>
      <c r="D39" s="239">
        <v>4.0940000000000003</v>
      </c>
    </row>
    <row r="40" spans="3:4" hidden="1">
      <c r="C40" s="286" t="s">
        <v>922</v>
      </c>
      <c r="D40" s="239">
        <v>4.7859999999999996</v>
      </c>
    </row>
    <row r="41" spans="3:4" hidden="1">
      <c r="C41" s="286" t="s">
        <v>926</v>
      </c>
      <c r="D41" s="239">
        <v>5.4779999999999998</v>
      </c>
    </row>
    <row r="42" spans="3:4" hidden="1">
      <c r="C42" s="286" t="s">
        <v>930</v>
      </c>
      <c r="D42" s="239">
        <v>6.8620000000000001</v>
      </c>
    </row>
    <row r="43" spans="3:4" hidden="1">
      <c r="C43" s="286" t="s">
        <v>934</v>
      </c>
      <c r="D43" s="239">
        <v>7.5540000000000003</v>
      </c>
    </row>
    <row r="44" spans="3:4" hidden="1">
      <c r="C44" s="286" t="s">
        <v>938</v>
      </c>
      <c r="D44" s="239">
        <v>8.2460000000000004</v>
      </c>
    </row>
    <row r="45" spans="3:4" hidden="1">
      <c r="C45" s="286" t="s">
        <v>942</v>
      </c>
      <c r="D45" s="239">
        <v>3.5449999999999999</v>
      </c>
    </row>
    <row r="46" spans="3:4" hidden="1">
      <c r="C46" s="286" t="s">
        <v>945</v>
      </c>
      <c r="D46" s="239">
        <v>4.266</v>
      </c>
    </row>
    <row r="47" spans="3:4" hidden="1">
      <c r="C47" s="286" t="s">
        <v>948</v>
      </c>
      <c r="D47" s="239">
        <v>4.9870000000000001</v>
      </c>
    </row>
    <row r="48" spans="3:4" hidden="1">
      <c r="C48" s="286" t="s">
        <v>951</v>
      </c>
      <c r="D48" s="239">
        <v>5.7080000000000002</v>
      </c>
    </row>
    <row r="49" spans="3:5" hidden="1">
      <c r="C49" s="286" t="s">
        <v>954</v>
      </c>
      <c r="D49" s="239">
        <v>7.15</v>
      </c>
    </row>
    <row r="50" spans="3:5" hidden="1">
      <c r="C50" s="286" t="s">
        <v>957</v>
      </c>
      <c r="D50" s="239">
        <v>7.8710000000000004</v>
      </c>
    </row>
    <row r="51" spans="3:5" hidden="1">
      <c r="C51" s="286" t="s">
        <v>960</v>
      </c>
      <c r="D51" s="239">
        <v>8.5920000000000005</v>
      </c>
    </row>
    <row r="52" spans="3:5" hidden="1">
      <c r="C52" s="286" t="s">
        <v>964</v>
      </c>
      <c r="D52" s="239">
        <v>3.6869999999999998</v>
      </c>
    </row>
    <row r="53" spans="3:5" hidden="1">
      <c r="C53" s="286" t="s">
        <v>967</v>
      </c>
      <c r="D53" s="239">
        <v>4.4370000000000003</v>
      </c>
    </row>
    <row r="54" spans="3:5" hidden="1">
      <c r="C54" s="286" t="s">
        <v>970</v>
      </c>
      <c r="D54" s="239">
        <v>5.1870000000000003</v>
      </c>
    </row>
    <row r="55" spans="3:5" hidden="1">
      <c r="C55" s="286" t="s">
        <v>973</v>
      </c>
      <c r="D55" s="239">
        <v>5.9370000000000003</v>
      </c>
    </row>
    <row r="56" spans="3:5" hidden="1">
      <c r="C56" s="286" t="s">
        <v>976</v>
      </c>
      <c r="D56" s="239">
        <v>7.4370000000000003</v>
      </c>
    </row>
    <row r="57" spans="3:5" hidden="1">
      <c r="C57" s="286" t="s">
        <v>979</v>
      </c>
      <c r="D57" s="239">
        <v>8.1869999999999994</v>
      </c>
    </row>
    <row r="58" spans="3:5" hidden="1">
      <c r="C58" s="286" t="s">
        <v>982</v>
      </c>
      <c r="D58" s="239">
        <v>8.9369999999999994</v>
      </c>
      <c r="E58">
        <f>+D58*26</f>
        <v>232.36199999999999</v>
      </c>
    </row>
    <row r="59" spans="3:5" hidden="1">
      <c r="C59" s="286" t="s">
        <v>986</v>
      </c>
      <c r="D59" s="239">
        <v>3.7829999999999999</v>
      </c>
    </row>
    <row r="60" spans="3:5" hidden="1">
      <c r="C60" s="286" t="s">
        <v>989</v>
      </c>
      <c r="D60" s="239">
        <v>4.5519999999999996</v>
      </c>
    </row>
    <row r="61" spans="3:5" hidden="1">
      <c r="C61" s="286" t="s">
        <v>992</v>
      </c>
      <c r="D61" s="239">
        <v>5.3209999999999997</v>
      </c>
    </row>
    <row r="62" spans="3:5" hidden="1">
      <c r="C62" s="286" t="s">
        <v>995</v>
      </c>
      <c r="D62" s="239">
        <v>6.0910000000000002</v>
      </c>
    </row>
    <row r="63" spans="3:5" hidden="1">
      <c r="C63" s="286" t="s">
        <v>998</v>
      </c>
      <c r="D63" s="239">
        <v>7.6289999999999996</v>
      </c>
    </row>
    <row r="64" spans="3:5" hidden="1">
      <c r="C64" s="286" t="s">
        <v>1001</v>
      </c>
      <c r="D64" s="239">
        <v>8.3989999999999991</v>
      </c>
    </row>
    <row r="65" spans="3:4" hidden="1">
      <c r="C65" s="286" t="s">
        <v>1004</v>
      </c>
      <c r="D65" s="239">
        <v>9.1679999999999993</v>
      </c>
    </row>
    <row r="66" spans="3:4" hidden="1">
      <c r="C66" s="286" t="s">
        <v>1008</v>
      </c>
      <c r="D66" s="239">
        <v>3.9729999999999999</v>
      </c>
    </row>
    <row r="67" spans="3:4" hidden="1">
      <c r="C67" s="286" t="s">
        <v>1011</v>
      </c>
      <c r="D67" s="239">
        <v>4.7809999999999997</v>
      </c>
    </row>
    <row r="68" spans="3:4" hidden="1">
      <c r="C68" s="286" t="s">
        <v>1014</v>
      </c>
      <c r="D68" s="239">
        <v>5.5890000000000004</v>
      </c>
    </row>
    <row r="69" spans="3:4" hidden="1">
      <c r="C69" s="286" t="s">
        <v>1017</v>
      </c>
      <c r="D69" s="239">
        <v>6.3970000000000002</v>
      </c>
    </row>
    <row r="70" spans="3:4" hidden="1">
      <c r="C70" s="286" t="s">
        <v>1020</v>
      </c>
      <c r="D70" s="239">
        <v>8.0129999999999999</v>
      </c>
    </row>
    <row r="71" spans="3:4" hidden="1">
      <c r="C71" s="286" t="s">
        <v>1023</v>
      </c>
      <c r="D71" s="239">
        <v>8.8209999999999997</v>
      </c>
    </row>
    <row r="72" spans="3:4" hidden="1">
      <c r="C72" s="286" t="s">
        <v>1026</v>
      </c>
      <c r="D72" s="239">
        <v>9.6289999999999996</v>
      </c>
    </row>
    <row r="73" spans="3:4" hidden="1">
      <c r="C73" s="286" t="s">
        <v>1036</v>
      </c>
      <c r="D73" s="239">
        <v>0.252</v>
      </c>
    </row>
    <row r="74" spans="3:4">
      <c r="C74" s="286" t="s">
        <v>1041</v>
      </c>
      <c r="D74" s="239">
        <v>4.0819999999999999</v>
      </c>
    </row>
    <row r="75" spans="3:4">
      <c r="C75" s="286" t="s">
        <v>1044</v>
      </c>
      <c r="D75" s="239">
        <v>4.9130000000000003</v>
      </c>
    </row>
    <row r="76" spans="3:4">
      <c r="C76" s="286" t="s">
        <v>1047</v>
      </c>
      <c r="D76" s="239">
        <v>5.7430000000000003</v>
      </c>
    </row>
    <row r="77" spans="3:4">
      <c r="C77" s="286" t="s">
        <v>1050</v>
      </c>
      <c r="D77" s="239">
        <v>6.5730000000000004</v>
      </c>
    </row>
    <row r="78" spans="3:4">
      <c r="C78" s="286" t="s">
        <v>1053</v>
      </c>
      <c r="D78" s="239">
        <v>8.234</v>
      </c>
    </row>
    <row r="79" spans="3:4">
      <c r="C79" s="286" t="s">
        <v>1056</v>
      </c>
      <c r="D79" s="239">
        <v>9.0640000000000001</v>
      </c>
    </row>
    <row r="80" spans="3:4">
      <c r="C80" s="286" t="s">
        <v>1059</v>
      </c>
      <c r="D80" s="239">
        <v>9.8949999999999996</v>
      </c>
    </row>
    <row r="81" spans="3:4">
      <c r="C81" s="286" t="s">
        <v>1062</v>
      </c>
      <c r="D81" s="239">
        <v>4.2539999999999996</v>
      </c>
    </row>
    <row r="82" spans="3:4">
      <c r="C82" s="286" t="s">
        <v>1064</v>
      </c>
      <c r="D82" s="239">
        <v>5.1189999999999998</v>
      </c>
    </row>
    <row r="83" spans="3:4">
      <c r="C83" s="286" t="s">
        <v>1066</v>
      </c>
      <c r="D83" s="239">
        <v>5.984</v>
      </c>
    </row>
    <row r="84" spans="3:4">
      <c r="C84" s="286" t="s">
        <v>1068</v>
      </c>
      <c r="D84" s="239">
        <v>6.8490000000000002</v>
      </c>
    </row>
    <row r="85" spans="3:4">
      <c r="C85" s="286" t="s">
        <v>1070</v>
      </c>
      <c r="D85" s="239">
        <v>8.5790000000000006</v>
      </c>
    </row>
    <row r="86" spans="3:4">
      <c r="C86" s="286" t="s">
        <v>1072</v>
      </c>
      <c r="D86" s="239">
        <v>9.4450000000000003</v>
      </c>
    </row>
    <row r="87" spans="3:4">
      <c r="C87" s="286" t="s">
        <v>1074</v>
      </c>
      <c r="D87" s="239">
        <v>10.31</v>
      </c>
    </row>
    <row r="88" spans="3:4">
      <c r="C88" s="286" t="s">
        <v>1077</v>
      </c>
      <c r="D88" s="239">
        <v>4.4249999999999998</v>
      </c>
    </row>
    <row r="89" spans="3:4">
      <c r="C89" s="286" t="s">
        <v>1079</v>
      </c>
      <c r="D89" s="239">
        <v>5.3250000000000002</v>
      </c>
    </row>
    <row r="90" spans="3:4">
      <c r="C90" s="286" t="s">
        <v>1081</v>
      </c>
      <c r="D90" s="239">
        <v>6.2249999999999996</v>
      </c>
    </row>
    <row r="91" spans="3:4">
      <c r="C91" s="286" t="s">
        <v>1083</v>
      </c>
      <c r="D91" s="239">
        <v>7.125</v>
      </c>
    </row>
    <row r="92" spans="3:4">
      <c r="C92" s="286" t="s">
        <v>1085</v>
      </c>
      <c r="D92" s="239">
        <v>8.9250000000000007</v>
      </c>
    </row>
    <row r="93" spans="3:4">
      <c r="C93" s="286" t="s">
        <v>1087</v>
      </c>
      <c r="D93" s="239">
        <v>9.8249999999999993</v>
      </c>
    </row>
    <row r="94" spans="3:4">
      <c r="C94" s="286" t="s">
        <v>1089</v>
      </c>
      <c r="D94" s="239">
        <v>10.725</v>
      </c>
    </row>
    <row r="95" spans="3:4">
      <c r="C95" s="286" t="s">
        <v>1091</v>
      </c>
      <c r="D95" s="239">
        <v>4.5389999999999997</v>
      </c>
    </row>
    <row r="96" spans="3:4">
      <c r="C96" s="286" t="s">
        <v>1094</v>
      </c>
      <c r="D96" s="239">
        <v>5.4619999999999997</v>
      </c>
    </row>
    <row r="97" spans="3:4">
      <c r="C97" s="286" t="s">
        <v>1096</v>
      </c>
      <c r="D97" s="239">
        <v>6.3860000000000001</v>
      </c>
    </row>
    <row r="98" spans="3:4">
      <c r="C98" s="286" t="s">
        <v>1098</v>
      </c>
      <c r="D98" s="239">
        <v>7.3090000000000002</v>
      </c>
    </row>
    <row r="99" spans="3:4">
      <c r="C99" s="286" t="s">
        <v>1100</v>
      </c>
      <c r="D99" s="239">
        <v>9.1549999999999994</v>
      </c>
    </row>
    <row r="100" spans="3:4">
      <c r="C100" s="286" t="s">
        <v>1102</v>
      </c>
      <c r="D100" s="239">
        <v>10.079000000000001</v>
      </c>
    </row>
    <row r="101" spans="3:4">
      <c r="C101" s="286" t="s">
        <v>1104</v>
      </c>
      <c r="D101" s="239">
        <v>11.002000000000001</v>
      </c>
    </row>
    <row r="102" spans="3:4">
      <c r="C102" s="286" t="s">
        <v>1107</v>
      </c>
      <c r="D102" s="239">
        <v>4.7679999999999998</v>
      </c>
    </row>
    <row r="103" spans="3:4">
      <c r="C103" s="286" t="s">
        <v>1109</v>
      </c>
      <c r="D103" s="239">
        <v>5.7370000000000001</v>
      </c>
    </row>
    <row r="104" spans="3:4">
      <c r="C104" s="286" t="s">
        <v>1111</v>
      </c>
      <c r="D104" s="239">
        <v>6.7069999999999999</v>
      </c>
    </row>
    <row r="105" spans="3:4">
      <c r="C105" s="286" t="s">
        <v>1113</v>
      </c>
      <c r="D105" s="239">
        <v>7.6769999999999996</v>
      </c>
    </row>
    <row r="106" spans="3:4">
      <c r="C106" s="286" t="s">
        <v>1115</v>
      </c>
      <c r="D106" s="239">
        <v>9.6159999999999997</v>
      </c>
    </row>
    <row r="107" spans="3:4">
      <c r="C107" s="286" t="s">
        <v>1117</v>
      </c>
      <c r="D107" s="239">
        <v>10.586</v>
      </c>
    </row>
    <row r="108" spans="3:4">
      <c r="C108" s="286" t="s">
        <v>1119</v>
      </c>
      <c r="D108" s="239">
        <v>11.555</v>
      </c>
    </row>
    <row r="109" spans="3:4">
      <c r="C109" s="286" t="s">
        <v>1127</v>
      </c>
      <c r="D109" s="239">
        <v>0.30199999999999999</v>
      </c>
    </row>
    <row r="110" spans="3:4" hidden="1">
      <c r="C110" s="239" t="s">
        <v>1480</v>
      </c>
      <c r="D110" s="239">
        <v>5.4429999999999996</v>
      </c>
    </row>
    <row r="111" spans="3:4" hidden="1">
      <c r="C111" s="239" t="s">
        <v>1481</v>
      </c>
      <c r="D111" s="239">
        <v>6.55</v>
      </c>
    </row>
    <row r="112" spans="3:4" hidden="1">
      <c r="C112" s="239" t="s">
        <v>1482</v>
      </c>
      <c r="D112" s="239">
        <v>7.657</v>
      </c>
    </row>
    <row r="113" spans="3:4" hidden="1">
      <c r="C113" s="239" t="s">
        <v>1483</v>
      </c>
      <c r="D113" s="239">
        <v>8.7639999999999993</v>
      </c>
    </row>
    <row r="114" spans="3:4" hidden="1">
      <c r="C114" s="239" t="s">
        <v>1484</v>
      </c>
      <c r="D114" s="239">
        <v>10.978999999999999</v>
      </c>
    </row>
    <row r="115" spans="3:4" hidden="1">
      <c r="C115" s="239" t="s">
        <v>1485</v>
      </c>
      <c r="D115" s="239">
        <v>12.086</v>
      </c>
    </row>
    <row r="116" spans="3:4" hidden="1">
      <c r="C116" s="239" t="s">
        <v>1486</v>
      </c>
      <c r="D116" s="239">
        <v>13.193</v>
      </c>
    </row>
    <row r="117" spans="3:4" hidden="1">
      <c r="C117" s="239" t="s">
        <v>1487</v>
      </c>
      <c r="D117" s="239">
        <v>5.6719999999999997</v>
      </c>
    </row>
    <row r="118" spans="3:4" hidden="1">
      <c r="C118" s="239" t="s">
        <v>1488</v>
      </c>
      <c r="D118" s="239">
        <v>6.8250000000000002</v>
      </c>
    </row>
    <row r="119" spans="3:4" hidden="1">
      <c r="C119" s="239" t="s">
        <v>1489</v>
      </c>
      <c r="D119" s="239">
        <v>7.9790000000000001</v>
      </c>
    </row>
    <row r="120" spans="3:4" hidden="1">
      <c r="C120" s="239" t="s">
        <v>1490</v>
      </c>
      <c r="D120" s="239">
        <v>9.1319999999999997</v>
      </c>
    </row>
    <row r="121" spans="3:4" hidden="1">
      <c r="C121" s="239" t="s">
        <v>1491</v>
      </c>
      <c r="D121" s="239">
        <v>11.439</v>
      </c>
    </row>
    <row r="122" spans="3:4" hidden="1">
      <c r="C122" s="239" t="s">
        <v>1492</v>
      </c>
      <c r="D122" s="239">
        <v>12.593</v>
      </c>
    </row>
    <row r="123" spans="3:4" hidden="1">
      <c r="C123" s="239" t="s">
        <v>1493</v>
      </c>
      <c r="D123" s="239">
        <v>13.746</v>
      </c>
    </row>
    <row r="124" spans="3:4" hidden="1">
      <c r="C124" s="239" t="s">
        <v>1494</v>
      </c>
      <c r="D124" s="239">
        <v>5.9</v>
      </c>
    </row>
    <row r="125" spans="3:4" hidden="1">
      <c r="C125" s="239" t="s">
        <v>1495</v>
      </c>
      <c r="D125" s="292">
        <v>7.1</v>
      </c>
    </row>
    <row r="126" spans="3:4" hidden="1">
      <c r="C126" s="239" t="s">
        <v>1496</v>
      </c>
      <c r="D126" s="292">
        <v>8.3000000000000007</v>
      </c>
    </row>
    <row r="127" spans="3:4" hidden="1">
      <c r="C127" s="239" t="s">
        <v>1497</v>
      </c>
      <c r="D127" s="292">
        <v>9.5</v>
      </c>
    </row>
    <row r="128" spans="3:4" hidden="1">
      <c r="C128" s="239" t="s">
        <v>1498</v>
      </c>
      <c r="D128" s="292">
        <v>11.9</v>
      </c>
    </row>
    <row r="129" spans="3:4" hidden="1">
      <c r="C129" s="239" t="s">
        <v>1499</v>
      </c>
      <c r="D129" s="292">
        <v>13.1</v>
      </c>
    </row>
    <row r="130" spans="3:4" hidden="1">
      <c r="C130" s="239" t="s">
        <v>1500</v>
      </c>
      <c r="D130" s="292">
        <v>14.3</v>
      </c>
    </row>
    <row r="131" spans="3:4" hidden="1">
      <c r="C131" s="239" t="s">
        <v>1501</v>
      </c>
      <c r="D131" s="292">
        <v>6.0519999999999996</v>
      </c>
    </row>
    <row r="132" spans="3:4" hidden="1">
      <c r="C132" s="239" t="s">
        <v>1502</v>
      </c>
      <c r="D132" s="292">
        <v>7.2830000000000004</v>
      </c>
    </row>
    <row r="133" spans="3:4" hidden="1">
      <c r="C133" s="239" t="s">
        <v>1503</v>
      </c>
      <c r="D133" s="292">
        <v>8.5139999999999993</v>
      </c>
    </row>
    <row r="134" spans="3:4" hidden="1">
      <c r="C134" s="239" t="s">
        <v>1504</v>
      </c>
      <c r="D134" s="292">
        <v>9.7449999999999992</v>
      </c>
    </row>
    <row r="135" spans="3:4" hidden="1">
      <c r="C135" s="239" t="s">
        <v>1505</v>
      </c>
      <c r="D135" s="292">
        <v>12.207000000000001</v>
      </c>
    </row>
    <row r="136" spans="3:4" hidden="1">
      <c r="C136" s="239" t="s">
        <v>1506</v>
      </c>
      <c r="D136" s="292">
        <v>13.438000000000001</v>
      </c>
    </row>
    <row r="137" spans="3:4" hidden="1">
      <c r="C137" s="239" t="s">
        <v>1507</v>
      </c>
      <c r="D137" s="292">
        <v>14.669</v>
      </c>
    </row>
    <row r="138" spans="3:4" hidden="1">
      <c r="C138" s="239" t="s">
        <v>1508</v>
      </c>
      <c r="D138" s="292">
        <v>6.3570000000000002</v>
      </c>
    </row>
    <row r="139" spans="3:4" hidden="1">
      <c r="C139" s="239" t="s">
        <v>1509</v>
      </c>
      <c r="D139" s="292">
        <v>7.65</v>
      </c>
    </row>
    <row r="140" spans="3:4" hidden="1">
      <c r="C140" s="239" t="s">
        <v>1510</v>
      </c>
      <c r="D140" s="292">
        <v>8.9429999999999996</v>
      </c>
    </row>
    <row r="141" spans="3:4" hidden="1">
      <c r="C141" s="239" t="s">
        <v>1511</v>
      </c>
      <c r="D141" s="292">
        <v>10.234999999999999</v>
      </c>
    </row>
    <row r="142" spans="3:4" hidden="1">
      <c r="C142" s="239" t="s">
        <v>1512</v>
      </c>
      <c r="D142" s="292">
        <v>12.821</v>
      </c>
    </row>
    <row r="143" spans="3:4" hidden="1">
      <c r="C143" s="239" t="s">
        <v>1513</v>
      </c>
      <c r="D143" s="292">
        <v>14.114000000000001</v>
      </c>
    </row>
    <row r="144" spans="3:4" hidden="1">
      <c r="C144" s="239" t="s">
        <v>1514</v>
      </c>
      <c r="D144" s="292">
        <v>15.407</v>
      </c>
    </row>
    <row r="145" spans="3:4" hidden="1">
      <c r="C145" s="239" t="s">
        <v>1515</v>
      </c>
      <c r="D145" s="292">
        <v>0.40300000000000002</v>
      </c>
    </row>
  </sheetData>
  <autoFilter ref="C1:D145">
    <filterColumn colId="0">
      <filters>
        <filter val="100D-RB-FOAM-12.50X12.50X30MM"/>
        <filter val="100D-RB-FOAM-71.50X29.50X30MM"/>
        <filter val="100D-RB-FOAM-71.50X35.50X30MM"/>
        <filter val="100D-RB-FOAM-71.50X41.50X30MM"/>
        <filter val="100D-RB-FOAM-71.50X47.50X30MM"/>
        <filter val="100D-RB-FOAM-71.50X59.50X30MM"/>
        <filter val="100D-RB-FOAM-71.50X65.50X30MM"/>
        <filter val="100D-RB-FOAM-71.50X71.50X30MM"/>
        <filter val="100D-RB-FOAM-74.50X29.50X30MM"/>
        <filter val="100D-RB-FOAM-74.50X35.50X30MM"/>
        <filter val="100D-RB-FOAM-74.50X41.50X30MM"/>
        <filter val="100D-RB-FOAM-74.50X47.50X30MM"/>
        <filter val="100D-RB-FOAM-74.50X59.50X30MM"/>
        <filter val="100D-RB-FOAM-74.50X65.50X30MM"/>
        <filter val="100D-RB-FOAM-74.50X71.50X30MM"/>
        <filter val="100D-RB-FOAM-77.50X29.50X30MM"/>
        <filter val="100D-RB-FOAM-77.50X35.50X30MM"/>
        <filter val="100D-RB-FOAM-77.50X41.50X30MM"/>
        <filter val="100D-RB-FOAM-77.50X47.50X30MM"/>
        <filter val="100D-RB-FOAM-77.50X59.50X30MM"/>
        <filter val="100D-RB-FOAM-77.50X65.50X30MM"/>
        <filter val="100D-RB-FOAM-77.50X71.50X30MM"/>
        <filter val="100D-RB-FOAM-79.50X29.50X30MM"/>
        <filter val="100D-RB-FOAM-79.50X35.50X30MM"/>
        <filter val="100D-RB-FOAM-79.50X41.50X30MM"/>
        <filter val="100D-RB-FOAM-79.50X47.50X30MM"/>
        <filter val="100D-RB-FOAM-79.50X59.50X30MM"/>
        <filter val="100D-RB-FOAM-79.50X65.50X30MM"/>
        <filter val="100D-RB-FOAM-79.50X71.50X30MM"/>
        <filter val="100D-RB-FOAM-83.50X29.50X30MM"/>
        <filter val="100D-RB-FOAM-83.50X35.50X30MM"/>
        <filter val="100D-RB-FOAM-83.50X41.50X30MM"/>
        <filter val="100D-RB-FOAM-83.50X47.50X30MM"/>
        <filter val="100D-RB-FOAM-83.50X59.50X30MM"/>
        <filter val="100D-RB-FOAM-83.50X65.50X30MM"/>
        <filter val="100D-RB-FOAM-83.50X71.50X30MM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C842"/>
  <sheetViews>
    <sheetView topLeftCell="A612" workbookViewId="0">
      <selection activeCell="A570" sqref="A570:B604"/>
    </sheetView>
  </sheetViews>
  <sheetFormatPr defaultColWidth="9" defaultRowHeight="15"/>
  <cols>
    <col min="1" max="1" width="52.42578125" customWidth="1"/>
    <col min="2" max="2" width="11.140625" customWidth="1"/>
    <col min="3" max="3" width="22" customWidth="1"/>
  </cols>
  <sheetData>
    <row r="1" spans="1:3" ht="15.75">
      <c r="A1" s="283" t="s">
        <v>1430</v>
      </c>
      <c r="B1" s="283" t="s">
        <v>1</v>
      </c>
      <c r="C1" s="283" t="s">
        <v>8</v>
      </c>
    </row>
    <row r="2" spans="1:3" ht="18" hidden="1">
      <c r="A2" s="76" t="s">
        <v>10</v>
      </c>
      <c r="B2" s="284">
        <v>0.33400000000000002</v>
      </c>
      <c r="C2" s="285" t="s">
        <v>19</v>
      </c>
    </row>
    <row r="3" spans="1:3" ht="18" hidden="1">
      <c r="A3" s="76" t="s">
        <v>44</v>
      </c>
      <c r="B3" s="284">
        <v>0.34799999999999998</v>
      </c>
      <c r="C3" s="285" t="s">
        <v>19</v>
      </c>
    </row>
    <row r="4" spans="1:3" ht="18" hidden="1">
      <c r="A4" s="76" t="s">
        <v>65</v>
      </c>
      <c r="B4" s="284">
        <v>0.36199999999999999</v>
      </c>
      <c r="C4" s="285" t="s">
        <v>19</v>
      </c>
    </row>
    <row r="5" spans="1:3" ht="18" hidden="1">
      <c r="A5" s="76" t="s">
        <v>80</v>
      </c>
      <c r="B5" s="284">
        <v>0.372</v>
      </c>
      <c r="C5" s="285" t="s">
        <v>19</v>
      </c>
    </row>
    <row r="6" spans="1:3" ht="18" hidden="1">
      <c r="A6" s="76" t="s">
        <v>95</v>
      </c>
      <c r="B6" s="284">
        <v>0.39</v>
      </c>
      <c r="C6" s="285" t="s">
        <v>19</v>
      </c>
    </row>
    <row r="7" spans="1:3" ht="18" hidden="1">
      <c r="A7" s="76" t="s">
        <v>11</v>
      </c>
      <c r="B7" s="284">
        <v>0.124</v>
      </c>
      <c r="C7" s="285" t="s">
        <v>19</v>
      </c>
    </row>
    <row r="8" spans="1:3" ht="18" hidden="1">
      <c r="A8" s="286" t="s">
        <v>15</v>
      </c>
      <c r="B8" s="284">
        <v>0.152</v>
      </c>
      <c r="C8" s="285" t="s">
        <v>19</v>
      </c>
    </row>
    <row r="9" spans="1:3" ht="18" hidden="1">
      <c r="A9" s="286" t="s">
        <v>21</v>
      </c>
      <c r="B9" s="284">
        <v>0.18</v>
      </c>
      <c r="C9" s="285" t="s">
        <v>19</v>
      </c>
    </row>
    <row r="10" spans="1:3" ht="18" hidden="1">
      <c r="A10" s="286" t="s">
        <v>25</v>
      </c>
      <c r="B10" s="284">
        <v>0.20799999999999999</v>
      </c>
      <c r="C10" s="285" t="s">
        <v>19</v>
      </c>
    </row>
    <row r="11" spans="1:3" ht="18" hidden="1">
      <c r="A11" s="286" t="s">
        <v>30</v>
      </c>
      <c r="B11" s="284">
        <v>0.26400000000000001</v>
      </c>
      <c r="C11" s="285" t="s">
        <v>19</v>
      </c>
    </row>
    <row r="12" spans="1:3" ht="18" hidden="1">
      <c r="A12" s="286" t="s">
        <v>34</v>
      </c>
      <c r="B12" s="284">
        <v>0.29199999999999998</v>
      </c>
      <c r="C12" s="285" t="s">
        <v>19</v>
      </c>
    </row>
    <row r="13" spans="1:3" ht="18" hidden="1">
      <c r="A13" s="286" t="s">
        <v>39</v>
      </c>
      <c r="B13" s="284">
        <v>0.32</v>
      </c>
      <c r="C13" s="285" t="s">
        <v>19</v>
      </c>
    </row>
    <row r="14" spans="1:3" ht="18" hidden="1">
      <c r="A14" s="76" t="s">
        <v>119</v>
      </c>
      <c r="B14" s="284">
        <v>0.42099999999999999</v>
      </c>
      <c r="C14" s="285" t="s">
        <v>117</v>
      </c>
    </row>
    <row r="15" spans="1:3" ht="18" hidden="1">
      <c r="A15" s="76" t="s">
        <v>134</v>
      </c>
      <c r="B15" s="284">
        <v>0.439</v>
      </c>
      <c r="C15" s="285" t="s">
        <v>117</v>
      </c>
    </row>
    <row r="16" spans="1:3" ht="18" hidden="1">
      <c r="A16" s="76" t="s">
        <v>142</v>
      </c>
      <c r="B16" s="284">
        <v>0.45700000000000002</v>
      </c>
      <c r="C16" s="285" t="s">
        <v>117</v>
      </c>
    </row>
    <row r="17" spans="1:3" ht="18" hidden="1">
      <c r="A17" s="76" t="s">
        <v>150</v>
      </c>
      <c r="B17" s="284">
        <v>0.46800000000000003</v>
      </c>
      <c r="C17" s="285" t="s">
        <v>117</v>
      </c>
    </row>
    <row r="18" spans="1:3" ht="18" hidden="1">
      <c r="A18" s="76" t="s">
        <v>158</v>
      </c>
      <c r="B18" s="284">
        <v>0.49199999999999999</v>
      </c>
      <c r="C18" s="285" t="s">
        <v>117</v>
      </c>
    </row>
    <row r="19" spans="1:3" ht="18" hidden="1">
      <c r="A19" s="76" t="s">
        <v>120</v>
      </c>
      <c r="B19" s="284">
        <v>0.156</v>
      </c>
      <c r="C19" s="285" t="s">
        <v>117</v>
      </c>
    </row>
    <row r="20" spans="1:3" ht="18" hidden="1">
      <c r="A20" s="286" t="s">
        <v>122</v>
      </c>
      <c r="B20" s="284">
        <v>0.192</v>
      </c>
      <c r="C20" s="285" t="s">
        <v>117</v>
      </c>
    </row>
    <row r="21" spans="1:3" ht="18" hidden="1">
      <c r="A21" s="286" t="s">
        <v>124</v>
      </c>
      <c r="B21" s="284">
        <v>0.22700000000000001</v>
      </c>
      <c r="C21" s="285" t="s">
        <v>117</v>
      </c>
    </row>
    <row r="22" spans="1:3" ht="18" hidden="1">
      <c r="A22" s="286" t="s">
        <v>126</v>
      </c>
      <c r="B22" s="284">
        <v>0.26200000000000001</v>
      </c>
      <c r="C22" s="285" t="s">
        <v>117</v>
      </c>
    </row>
    <row r="23" spans="1:3" ht="18" hidden="1">
      <c r="A23" s="286" t="s">
        <v>128</v>
      </c>
      <c r="B23" s="284">
        <v>0.33300000000000002</v>
      </c>
      <c r="C23" s="285" t="s">
        <v>117</v>
      </c>
    </row>
    <row r="24" spans="1:3" ht="18" hidden="1">
      <c r="A24" s="286" t="s">
        <v>130</v>
      </c>
      <c r="B24" s="284">
        <v>0.36799999999999999</v>
      </c>
      <c r="C24" s="285" t="s">
        <v>117</v>
      </c>
    </row>
    <row r="25" spans="1:3" ht="18" hidden="1">
      <c r="A25" s="286" t="s">
        <v>132</v>
      </c>
      <c r="B25" s="284">
        <v>0.40400000000000003</v>
      </c>
      <c r="C25" s="285" t="s">
        <v>117</v>
      </c>
    </row>
    <row r="26" spans="1:3" ht="18" hidden="1">
      <c r="A26" s="76" t="s">
        <v>173</v>
      </c>
      <c r="B26" s="284">
        <v>0.47899999999999998</v>
      </c>
      <c r="C26" s="285" t="s">
        <v>171</v>
      </c>
    </row>
    <row r="27" spans="1:3" ht="18" hidden="1">
      <c r="A27" s="76" t="s">
        <v>188</v>
      </c>
      <c r="B27" s="284">
        <v>0.5</v>
      </c>
      <c r="C27" s="285" t="s">
        <v>171</v>
      </c>
    </row>
    <row r="28" spans="1:3" ht="18" hidden="1">
      <c r="A28" s="76" t="s">
        <v>196</v>
      </c>
      <c r="B28" s="284">
        <v>0.52</v>
      </c>
      <c r="C28" s="285" t="s">
        <v>171</v>
      </c>
    </row>
    <row r="29" spans="1:3" ht="18" hidden="1">
      <c r="A29" s="76" t="s">
        <v>204</v>
      </c>
      <c r="B29" s="284">
        <v>0.53300000000000003</v>
      </c>
      <c r="C29" s="285" t="s">
        <v>171</v>
      </c>
    </row>
    <row r="30" spans="1:3" ht="18" hidden="1">
      <c r="A30" s="76" t="s">
        <v>212</v>
      </c>
      <c r="B30" s="284">
        <v>0.56000000000000005</v>
      </c>
      <c r="C30" s="285" t="s">
        <v>171</v>
      </c>
    </row>
    <row r="31" spans="1:3" ht="18" hidden="1">
      <c r="A31" s="76" t="s">
        <v>174</v>
      </c>
      <c r="B31" s="284">
        <v>0.17799999999999999</v>
      </c>
      <c r="C31" s="285" t="s">
        <v>171</v>
      </c>
    </row>
    <row r="32" spans="1:3" ht="18" hidden="1">
      <c r="A32" s="286" t="s">
        <v>176</v>
      </c>
      <c r="B32" s="284">
        <v>0.218</v>
      </c>
      <c r="C32" s="285" t="s">
        <v>171</v>
      </c>
    </row>
    <row r="33" spans="1:3" ht="18" hidden="1">
      <c r="A33" s="286" t="s">
        <v>178</v>
      </c>
      <c r="B33" s="284">
        <v>0.25800000000000001</v>
      </c>
      <c r="C33" s="285" t="s">
        <v>171</v>
      </c>
    </row>
    <row r="34" spans="1:3" ht="18" hidden="1">
      <c r="A34" s="286" t="s">
        <v>180</v>
      </c>
      <c r="B34" s="284">
        <v>0.29799999999999999</v>
      </c>
      <c r="C34" s="285" t="s">
        <v>171</v>
      </c>
    </row>
    <row r="35" spans="1:3" ht="18" hidden="1">
      <c r="A35" s="286" t="s">
        <v>182</v>
      </c>
      <c r="B35" s="284">
        <v>0.379</v>
      </c>
      <c r="C35" s="285" t="s">
        <v>171</v>
      </c>
    </row>
    <row r="36" spans="1:3" ht="18" hidden="1">
      <c r="A36" s="286" t="s">
        <v>184</v>
      </c>
      <c r="B36" s="284">
        <v>0.41899999999999998</v>
      </c>
      <c r="C36" s="285" t="s">
        <v>171</v>
      </c>
    </row>
    <row r="37" spans="1:3" ht="18" hidden="1">
      <c r="A37" s="286" t="s">
        <v>186</v>
      </c>
      <c r="B37" s="284">
        <v>0.45900000000000002</v>
      </c>
      <c r="C37" s="285" t="s">
        <v>171</v>
      </c>
    </row>
    <row r="38" spans="1:3" ht="18" hidden="1">
      <c r="A38" s="76" t="s">
        <v>10</v>
      </c>
      <c r="B38" s="284">
        <v>0.33400000000000002</v>
      </c>
      <c r="C38" s="285" t="s">
        <v>485</v>
      </c>
    </row>
    <row r="39" spans="1:3" ht="18" hidden="1">
      <c r="A39" s="76" t="s">
        <v>44</v>
      </c>
      <c r="B39" s="284">
        <v>0.34799999999999998</v>
      </c>
      <c r="C39" s="285" t="s">
        <v>485</v>
      </c>
    </row>
    <row r="40" spans="1:3" ht="18" hidden="1">
      <c r="A40" s="76" t="s">
        <v>65</v>
      </c>
      <c r="B40" s="284">
        <v>0.36199999999999999</v>
      </c>
      <c r="C40" s="285" t="s">
        <v>485</v>
      </c>
    </row>
    <row r="41" spans="1:3" ht="18" hidden="1">
      <c r="A41" s="76" t="s">
        <v>80</v>
      </c>
      <c r="B41" s="284">
        <v>0.372</v>
      </c>
      <c r="C41" s="285" t="s">
        <v>485</v>
      </c>
    </row>
    <row r="42" spans="1:3" ht="18" hidden="1">
      <c r="A42" s="76" t="s">
        <v>95</v>
      </c>
      <c r="B42" s="284">
        <v>0.39</v>
      </c>
      <c r="C42" s="285" t="s">
        <v>485</v>
      </c>
    </row>
    <row r="43" spans="1:3" ht="18" hidden="1">
      <c r="A43" s="76" t="s">
        <v>11</v>
      </c>
      <c r="B43" s="284">
        <v>0.124</v>
      </c>
      <c r="C43" s="285" t="s">
        <v>485</v>
      </c>
    </row>
    <row r="44" spans="1:3" ht="18" hidden="1">
      <c r="A44" s="286" t="s">
        <v>15</v>
      </c>
      <c r="B44" s="284">
        <v>0.152</v>
      </c>
      <c r="C44" s="285" t="s">
        <v>485</v>
      </c>
    </row>
    <row r="45" spans="1:3" ht="18" hidden="1">
      <c r="A45" s="286" t="s">
        <v>21</v>
      </c>
      <c r="B45" s="284">
        <v>0.18</v>
      </c>
      <c r="C45" s="285" t="s">
        <v>485</v>
      </c>
    </row>
    <row r="46" spans="1:3" ht="18" hidden="1">
      <c r="A46" s="286" t="s">
        <v>25</v>
      </c>
      <c r="B46" s="284">
        <v>0.20799999999999999</v>
      </c>
      <c r="C46" s="285" t="s">
        <v>485</v>
      </c>
    </row>
    <row r="47" spans="1:3" ht="18" hidden="1">
      <c r="A47" s="286" t="s">
        <v>30</v>
      </c>
      <c r="B47" s="284">
        <v>0.26400000000000001</v>
      </c>
      <c r="C47" s="285" t="s">
        <v>485</v>
      </c>
    </row>
    <row r="48" spans="1:3" ht="18" hidden="1">
      <c r="A48" s="286" t="s">
        <v>34</v>
      </c>
      <c r="B48" s="284">
        <v>0.29199999999999998</v>
      </c>
      <c r="C48" s="285" t="s">
        <v>485</v>
      </c>
    </row>
    <row r="49" spans="1:3" ht="18" hidden="1">
      <c r="A49" s="286" t="s">
        <v>39</v>
      </c>
      <c r="B49" s="284">
        <v>0.32</v>
      </c>
      <c r="C49" s="285" t="s">
        <v>485</v>
      </c>
    </row>
    <row r="50" spans="1:3" ht="18" hidden="1">
      <c r="A50" s="286" t="s">
        <v>132</v>
      </c>
      <c r="B50" s="284">
        <v>0.40400000000000003</v>
      </c>
      <c r="C50" s="285" t="s">
        <v>560</v>
      </c>
    </row>
    <row r="51" spans="1:3" ht="18" hidden="1">
      <c r="A51" s="76" t="s">
        <v>173</v>
      </c>
      <c r="B51" s="284">
        <v>0.47899999999999998</v>
      </c>
      <c r="C51" s="285" t="s">
        <v>560</v>
      </c>
    </row>
    <row r="52" spans="1:3" ht="18" hidden="1">
      <c r="A52" s="76" t="s">
        <v>188</v>
      </c>
      <c r="B52" s="284">
        <v>0.5</v>
      </c>
      <c r="C52" s="285" t="s">
        <v>560</v>
      </c>
    </row>
    <row r="53" spans="1:3" ht="18" hidden="1">
      <c r="A53" s="76" t="s">
        <v>196</v>
      </c>
      <c r="B53" s="284">
        <v>0.52</v>
      </c>
      <c r="C53" s="285" t="s">
        <v>560</v>
      </c>
    </row>
    <row r="54" spans="1:3" ht="18" hidden="1">
      <c r="A54" s="76" t="s">
        <v>204</v>
      </c>
      <c r="B54" s="284">
        <v>0.53300000000000003</v>
      </c>
      <c r="C54" s="285" t="s">
        <v>560</v>
      </c>
    </row>
    <row r="55" spans="1:3" ht="18" hidden="1">
      <c r="A55" s="76" t="s">
        <v>212</v>
      </c>
      <c r="B55" s="284">
        <v>0.56000000000000005</v>
      </c>
      <c r="C55" s="285" t="s">
        <v>560</v>
      </c>
    </row>
    <row r="56" spans="1:3" ht="18" hidden="1">
      <c r="A56" s="76" t="s">
        <v>174</v>
      </c>
      <c r="B56" s="284">
        <v>0.17799999999999999</v>
      </c>
      <c r="C56" s="285" t="s">
        <v>560</v>
      </c>
    </row>
    <row r="57" spans="1:3" ht="18" hidden="1">
      <c r="A57" s="286" t="s">
        <v>176</v>
      </c>
      <c r="B57" s="284">
        <v>0.218</v>
      </c>
      <c r="C57" s="285" t="s">
        <v>560</v>
      </c>
    </row>
    <row r="58" spans="1:3" ht="18" hidden="1">
      <c r="A58" s="286" t="s">
        <v>178</v>
      </c>
      <c r="B58" s="284">
        <v>0.25800000000000001</v>
      </c>
      <c r="C58" s="285" t="s">
        <v>560</v>
      </c>
    </row>
    <row r="59" spans="1:3" ht="18" hidden="1">
      <c r="A59" s="286" t="s">
        <v>180</v>
      </c>
      <c r="B59" s="284">
        <v>0.29799999999999999</v>
      </c>
      <c r="C59" s="285" t="s">
        <v>560</v>
      </c>
    </row>
    <row r="60" spans="1:3" ht="18" hidden="1">
      <c r="A60" s="286" t="s">
        <v>182</v>
      </c>
      <c r="B60" s="284">
        <v>0.379</v>
      </c>
      <c r="C60" s="285" t="s">
        <v>560</v>
      </c>
    </row>
    <row r="61" spans="1:3" ht="18" hidden="1">
      <c r="A61" s="286" t="s">
        <v>184</v>
      </c>
      <c r="B61" s="284">
        <v>0.41899999999999998</v>
      </c>
      <c r="C61" s="285" t="s">
        <v>560</v>
      </c>
    </row>
    <row r="62" spans="1:3" ht="18" hidden="1">
      <c r="A62" s="286" t="s">
        <v>186</v>
      </c>
      <c r="B62" s="284">
        <v>0.45900000000000002</v>
      </c>
      <c r="C62" s="285" t="s">
        <v>560</v>
      </c>
    </row>
    <row r="63" spans="1:3" ht="18" hidden="1">
      <c r="A63" s="286" t="s">
        <v>1431</v>
      </c>
      <c r="B63" s="286">
        <v>0.627</v>
      </c>
      <c r="C63" s="285" t="s">
        <v>652</v>
      </c>
    </row>
    <row r="64" spans="1:3" ht="18" hidden="1">
      <c r="A64" s="286" t="s">
        <v>1432</v>
      </c>
      <c r="B64" s="286">
        <v>0.65300000000000002</v>
      </c>
      <c r="C64" s="285" t="s">
        <v>652</v>
      </c>
    </row>
    <row r="65" spans="1:3" ht="18" hidden="1">
      <c r="A65" s="286" t="s">
        <v>1433</v>
      </c>
      <c r="B65" s="286">
        <v>0.67900000000000005</v>
      </c>
      <c r="C65" s="285" t="s">
        <v>652</v>
      </c>
    </row>
    <row r="66" spans="1:3" ht="18" hidden="1">
      <c r="A66" s="286" t="s">
        <v>1434</v>
      </c>
      <c r="B66" s="286">
        <v>0.69699999999999995</v>
      </c>
      <c r="C66" s="285" t="s">
        <v>652</v>
      </c>
    </row>
    <row r="67" spans="1:3" ht="18" hidden="1">
      <c r="A67" s="286" t="s">
        <v>1435</v>
      </c>
      <c r="B67" s="286">
        <v>0.73199999999999998</v>
      </c>
      <c r="C67" s="285" t="s">
        <v>652</v>
      </c>
    </row>
    <row r="68" spans="1:3" ht="18" hidden="1">
      <c r="A68" s="286" t="s">
        <v>655</v>
      </c>
      <c r="B68" s="286">
        <v>0.21</v>
      </c>
      <c r="C68" s="285" t="s">
        <v>652</v>
      </c>
    </row>
    <row r="69" spans="1:3" ht="18" hidden="1">
      <c r="A69" s="286" t="s">
        <v>658</v>
      </c>
      <c r="B69" s="286">
        <v>0.26300000000000001</v>
      </c>
      <c r="C69" s="285" t="s">
        <v>652</v>
      </c>
    </row>
    <row r="70" spans="1:3" ht="18" hidden="1">
      <c r="A70" s="286" t="s">
        <v>661</v>
      </c>
      <c r="B70" s="286">
        <v>0.315</v>
      </c>
      <c r="C70" s="285" t="s">
        <v>652</v>
      </c>
    </row>
    <row r="71" spans="1:3" ht="18" hidden="1">
      <c r="A71" s="286" t="s">
        <v>664</v>
      </c>
      <c r="B71" s="286">
        <v>0.36799999999999999</v>
      </c>
      <c r="C71" s="285" t="s">
        <v>652</v>
      </c>
    </row>
    <row r="72" spans="1:3" ht="18" hidden="1">
      <c r="A72" s="286" t="s">
        <v>667</v>
      </c>
      <c r="B72" s="286">
        <v>0.47299999999999998</v>
      </c>
      <c r="C72" s="285" t="s">
        <v>652</v>
      </c>
    </row>
    <row r="73" spans="1:3" ht="18" hidden="1">
      <c r="A73" s="286" t="s">
        <v>670</v>
      </c>
      <c r="B73" s="286">
        <v>0.52600000000000002</v>
      </c>
      <c r="C73" s="285" t="s">
        <v>652</v>
      </c>
    </row>
    <row r="74" spans="1:3" ht="18" hidden="1">
      <c r="A74" s="286" t="s">
        <v>673</v>
      </c>
      <c r="B74" s="286">
        <v>0.57799999999999996</v>
      </c>
      <c r="C74" s="285" t="s">
        <v>652</v>
      </c>
    </row>
    <row r="75" spans="1:3" ht="18" hidden="1">
      <c r="A75" s="286" t="s">
        <v>1436</v>
      </c>
      <c r="B75" s="286">
        <v>0.79</v>
      </c>
      <c r="C75" s="285" t="s">
        <v>743</v>
      </c>
    </row>
    <row r="76" spans="1:3" ht="18" hidden="1">
      <c r="A76" s="286" t="s">
        <v>1437</v>
      </c>
      <c r="B76" s="286">
        <v>0.82299999999999995</v>
      </c>
      <c r="C76" s="285" t="s">
        <v>743</v>
      </c>
    </row>
    <row r="77" spans="1:3" ht="18" hidden="1">
      <c r="A77" s="286" t="s">
        <v>1438</v>
      </c>
      <c r="B77" s="286">
        <v>0.85599999999999998</v>
      </c>
      <c r="C77" s="285" t="s">
        <v>743</v>
      </c>
    </row>
    <row r="78" spans="1:3" ht="18" hidden="1">
      <c r="A78" s="286" t="s">
        <v>1439</v>
      </c>
      <c r="B78" s="286">
        <v>0.878</v>
      </c>
      <c r="C78" s="285" t="s">
        <v>743</v>
      </c>
    </row>
    <row r="79" spans="1:3" ht="18" hidden="1">
      <c r="A79" s="286" t="s">
        <v>1440</v>
      </c>
      <c r="B79" s="286">
        <v>0.92300000000000004</v>
      </c>
      <c r="C79" s="285" t="s">
        <v>743</v>
      </c>
    </row>
    <row r="80" spans="1:3" ht="18" hidden="1">
      <c r="A80" s="286" t="s">
        <v>746</v>
      </c>
      <c r="B80" s="286">
        <v>0.26500000000000001</v>
      </c>
      <c r="C80" s="285" t="s">
        <v>743</v>
      </c>
    </row>
    <row r="81" spans="1:3" ht="18" hidden="1">
      <c r="A81" s="286" t="s">
        <v>749</v>
      </c>
      <c r="B81" s="286">
        <v>0.33100000000000002</v>
      </c>
      <c r="C81" s="285" t="s">
        <v>743</v>
      </c>
    </row>
    <row r="82" spans="1:3" ht="18" hidden="1">
      <c r="A82" s="286" t="s">
        <v>752</v>
      </c>
      <c r="B82" s="286">
        <v>0.39800000000000002</v>
      </c>
      <c r="C82" s="285" t="s">
        <v>743</v>
      </c>
    </row>
    <row r="83" spans="1:3" ht="18" hidden="1">
      <c r="A83" s="286" t="s">
        <v>755</v>
      </c>
      <c r="B83" s="286">
        <v>0.46400000000000002</v>
      </c>
      <c r="C83" s="285" t="s">
        <v>743</v>
      </c>
    </row>
    <row r="84" spans="1:3" ht="18" hidden="1">
      <c r="A84" s="286" t="s">
        <v>758</v>
      </c>
      <c r="B84" s="286">
        <v>0.59699999999999998</v>
      </c>
      <c r="C84" s="285" t="s">
        <v>743</v>
      </c>
    </row>
    <row r="85" spans="1:3" ht="18" hidden="1">
      <c r="A85" s="286" t="s">
        <v>761</v>
      </c>
      <c r="B85" s="286">
        <v>0.66300000000000003</v>
      </c>
      <c r="C85" s="285" t="s">
        <v>743</v>
      </c>
    </row>
    <row r="86" spans="1:3" ht="18" hidden="1">
      <c r="A86" s="286" t="s">
        <v>764</v>
      </c>
      <c r="B86" s="286">
        <v>0.72899999999999998</v>
      </c>
      <c r="C86" s="285" t="s">
        <v>743</v>
      </c>
    </row>
    <row r="87" spans="1:3" ht="18" hidden="1">
      <c r="A87" s="286" t="s">
        <v>1441</v>
      </c>
      <c r="B87" s="286">
        <v>8.6999999999999994E-2</v>
      </c>
      <c r="C87" s="285" t="s">
        <v>834</v>
      </c>
    </row>
    <row r="88" spans="1:3" ht="18" hidden="1">
      <c r="A88" s="286" t="s">
        <v>1442</v>
      </c>
      <c r="B88" s="286">
        <v>0.93700000000000006</v>
      </c>
      <c r="C88" s="285" t="s">
        <v>834</v>
      </c>
    </row>
    <row r="89" spans="1:3" ht="18" hidden="1">
      <c r="A89" s="286" t="s">
        <v>1443</v>
      </c>
      <c r="B89" s="286">
        <v>0.97399999999999998</v>
      </c>
      <c r="C89" s="285" t="s">
        <v>834</v>
      </c>
    </row>
    <row r="90" spans="1:3" ht="18" hidden="1">
      <c r="A90" s="286" t="s">
        <v>1444</v>
      </c>
      <c r="B90" s="286">
        <v>1</v>
      </c>
      <c r="C90" s="285" t="s">
        <v>834</v>
      </c>
    </row>
    <row r="91" spans="1:3" ht="18" hidden="1">
      <c r="A91" s="286" t="s">
        <v>1445</v>
      </c>
      <c r="B91" s="286">
        <v>1.05</v>
      </c>
      <c r="C91" s="285" t="s">
        <v>834</v>
      </c>
    </row>
    <row r="92" spans="1:3" ht="18" hidden="1">
      <c r="A92" s="286" t="s">
        <v>601</v>
      </c>
      <c r="B92" s="286">
        <v>0.30199999999999999</v>
      </c>
      <c r="C92" s="285" t="s">
        <v>834</v>
      </c>
    </row>
    <row r="93" spans="1:3" ht="18" hidden="1">
      <c r="A93" s="286" t="s">
        <v>603</v>
      </c>
      <c r="B93" s="286">
        <v>0.377</v>
      </c>
      <c r="C93" s="285" t="s">
        <v>834</v>
      </c>
    </row>
    <row r="94" spans="1:3" ht="18" hidden="1">
      <c r="A94" s="286" t="s">
        <v>605</v>
      </c>
      <c r="B94" s="286">
        <v>0.45300000000000001</v>
      </c>
      <c r="C94" s="285" t="s">
        <v>834</v>
      </c>
    </row>
    <row r="95" spans="1:3" ht="18" hidden="1">
      <c r="A95" s="286" t="s">
        <v>607</v>
      </c>
      <c r="B95" s="286">
        <v>0.52800000000000002</v>
      </c>
      <c r="C95" s="285" t="s">
        <v>834</v>
      </c>
    </row>
    <row r="96" spans="1:3" ht="18" hidden="1">
      <c r="A96" s="286" t="s">
        <v>609</v>
      </c>
      <c r="B96" s="286">
        <v>0.67900000000000005</v>
      </c>
      <c r="C96" s="285" t="s">
        <v>834</v>
      </c>
    </row>
    <row r="97" spans="1:3" ht="18" hidden="1">
      <c r="A97" s="286" t="s">
        <v>611</v>
      </c>
      <c r="B97" s="286">
        <v>0.754</v>
      </c>
      <c r="C97" s="285" t="s">
        <v>834</v>
      </c>
    </row>
    <row r="98" spans="1:3" ht="18" hidden="1">
      <c r="A98" s="286" t="s">
        <v>613</v>
      </c>
      <c r="B98" s="286">
        <v>0.83</v>
      </c>
      <c r="C98" s="285" t="s">
        <v>834</v>
      </c>
    </row>
    <row r="99" spans="1:3" ht="18" hidden="1">
      <c r="A99" s="286" t="s">
        <v>1441</v>
      </c>
      <c r="B99" s="286">
        <v>8.6999999999999994E-2</v>
      </c>
      <c r="C99" s="285" t="s">
        <v>598</v>
      </c>
    </row>
    <row r="100" spans="1:3" ht="18" hidden="1">
      <c r="A100" s="286" t="s">
        <v>1442</v>
      </c>
      <c r="B100" s="286">
        <v>0.93700000000000006</v>
      </c>
      <c r="C100" s="285" t="s">
        <v>598</v>
      </c>
    </row>
    <row r="101" spans="1:3" ht="18" hidden="1">
      <c r="A101" s="286" t="s">
        <v>1443</v>
      </c>
      <c r="B101" s="286">
        <v>0.97399999999999998</v>
      </c>
      <c r="C101" s="285" t="s">
        <v>598</v>
      </c>
    </row>
    <row r="102" spans="1:3" ht="18" hidden="1">
      <c r="A102" s="286" t="s">
        <v>1444</v>
      </c>
      <c r="B102" s="286">
        <v>1</v>
      </c>
      <c r="C102" s="285" t="s">
        <v>598</v>
      </c>
    </row>
    <row r="103" spans="1:3" ht="18" hidden="1">
      <c r="A103" s="286" t="s">
        <v>1445</v>
      </c>
      <c r="B103" s="286">
        <v>1.05</v>
      </c>
      <c r="C103" s="285" t="s">
        <v>598</v>
      </c>
    </row>
    <row r="104" spans="1:3" ht="18" hidden="1">
      <c r="A104" s="286" t="s">
        <v>601</v>
      </c>
      <c r="B104" s="286">
        <v>0.30199999999999999</v>
      </c>
      <c r="C104" s="285" t="s">
        <v>598</v>
      </c>
    </row>
    <row r="105" spans="1:3" ht="18" hidden="1">
      <c r="A105" s="286" t="s">
        <v>603</v>
      </c>
      <c r="B105" s="286">
        <v>0.377</v>
      </c>
      <c r="C105" s="285" t="s">
        <v>598</v>
      </c>
    </row>
    <row r="106" spans="1:3" ht="18" hidden="1">
      <c r="A106" s="286" t="s">
        <v>605</v>
      </c>
      <c r="B106" s="286">
        <v>0.45300000000000001</v>
      </c>
      <c r="C106" s="285" t="s">
        <v>598</v>
      </c>
    </row>
    <row r="107" spans="1:3" ht="18" hidden="1">
      <c r="A107" s="286" t="s">
        <v>607</v>
      </c>
      <c r="B107" s="286">
        <v>0.52800000000000002</v>
      </c>
      <c r="C107" s="285" t="s">
        <v>598</v>
      </c>
    </row>
    <row r="108" spans="1:3" ht="18" hidden="1">
      <c r="A108" s="286" t="s">
        <v>609</v>
      </c>
      <c r="B108" s="286">
        <v>0.67900000000000005</v>
      </c>
      <c r="C108" s="285" t="s">
        <v>598</v>
      </c>
    </row>
    <row r="109" spans="1:3" ht="18" hidden="1">
      <c r="A109" s="286" t="s">
        <v>611</v>
      </c>
      <c r="B109" s="286">
        <v>0.754</v>
      </c>
      <c r="C109" s="285" t="s">
        <v>598</v>
      </c>
    </row>
    <row r="110" spans="1:3" ht="18" hidden="1">
      <c r="A110" s="286" t="s">
        <v>613</v>
      </c>
      <c r="B110" s="286">
        <v>0.83</v>
      </c>
      <c r="C110" s="285" t="s">
        <v>598</v>
      </c>
    </row>
    <row r="111" spans="1:3" ht="18" hidden="1">
      <c r="A111" s="286" t="s">
        <v>1446</v>
      </c>
      <c r="B111" s="286">
        <v>0.73599999999999999</v>
      </c>
      <c r="C111" s="285" t="s">
        <v>909</v>
      </c>
    </row>
    <row r="112" spans="1:3" ht="18" hidden="1">
      <c r="A112" s="286" t="s">
        <v>1447</v>
      </c>
      <c r="B112" s="286">
        <v>0.76600000000000001</v>
      </c>
      <c r="C112" s="285" t="s">
        <v>909</v>
      </c>
    </row>
    <row r="113" spans="1:3" ht="18" hidden="1">
      <c r="A113" s="286" t="s">
        <v>1448</v>
      </c>
      <c r="B113" s="286">
        <v>0.79700000000000004</v>
      </c>
      <c r="C113" s="285" t="s">
        <v>909</v>
      </c>
    </row>
    <row r="114" spans="1:3" ht="18" hidden="1">
      <c r="A114" s="286" t="s">
        <v>1449</v>
      </c>
      <c r="B114" s="286">
        <v>0.81799999999999995</v>
      </c>
      <c r="C114" s="285" t="s">
        <v>909</v>
      </c>
    </row>
    <row r="115" spans="1:3" ht="18" hidden="1">
      <c r="A115" s="286" t="s">
        <v>1450</v>
      </c>
      <c r="B115" s="286">
        <v>0.85899999999999999</v>
      </c>
      <c r="C115" s="285" t="s">
        <v>909</v>
      </c>
    </row>
    <row r="116" spans="1:3" ht="18" hidden="1">
      <c r="A116" s="286" t="s">
        <v>912</v>
      </c>
      <c r="B116" s="286">
        <v>0.247</v>
      </c>
      <c r="C116" s="285" t="s">
        <v>909</v>
      </c>
    </row>
    <row r="117" spans="1:3" ht="18" hidden="1">
      <c r="A117" s="286" t="s">
        <v>916</v>
      </c>
      <c r="B117" s="286">
        <v>0.309</v>
      </c>
      <c r="C117" s="285" t="s">
        <v>909</v>
      </c>
    </row>
    <row r="118" spans="1:3" ht="18" hidden="1">
      <c r="A118" s="286" t="s">
        <v>920</v>
      </c>
      <c r="B118" s="286">
        <v>0.37</v>
      </c>
      <c r="C118" s="285" t="s">
        <v>909</v>
      </c>
    </row>
    <row r="119" spans="1:3" ht="18" hidden="1">
      <c r="A119" s="286" t="s">
        <v>924</v>
      </c>
      <c r="B119" s="286">
        <v>0.432</v>
      </c>
      <c r="C119" s="285" t="s">
        <v>909</v>
      </c>
    </row>
    <row r="120" spans="1:3" ht="18" hidden="1">
      <c r="A120" s="286" t="s">
        <v>928</v>
      </c>
      <c r="B120" s="286">
        <v>0.55500000000000005</v>
      </c>
      <c r="C120" s="285" t="s">
        <v>909</v>
      </c>
    </row>
    <row r="121" spans="1:3" ht="18" hidden="1">
      <c r="A121" s="286" t="s">
        <v>932</v>
      </c>
      <c r="B121" s="286">
        <v>0.61699999999999999</v>
      </c>
      <c r="C121" s="285" t="s">
        <v>909</v>
      </c>
    </row>
    <row r="122" spans="1:3" ht="18" hidden="1">
      <c r="A122" s="286" t="s">
        <v>936</v>
      </c>
      <c r="B122" s="286">
        <v>0.67900000000000005</v>
      </c>
      <c r="C122" s="285" t="s">
        <v>909</v>
      </c>
    </row>
    <row r="123" spans="1:3" ht="18" hidden="1">
      <c r="A123" s="286" t="s">
        <v>1451</v>
      </c>
      <c r="B123" s="286">
        <v>0.84399999999999997</v>
      </c>
      <c r="C123" s="285" t="s">
        <v>1037</v>
      </c>
    </row>
    <row r="124" spans="1:3" ht="18" hidden="1">
      <c r="A124" s="286" t="s">
        <v>1452</v>
      </c>
      <c r="B124" s="286">
        <v>0.88</v>
      </c>
      <c r="C124" s="285" t="s">
        <v>1037</v>
      </c>
    </row>
    <row r="125" spans="1:3" ht="18" hidden="1">
      <c r="A125" s="286" t="s">
        <v>1453</v>
      </c>
      <c r="B125" s="286">
        <v>0.91500000000000004</v>
      </c>
      <c r="C125" s="285" t="s">
        <v>1037</v>
      </c>
    </row>
    <row r="126" spans="1:3" ht="18" hidden="1">
      <c r="A126" s="286" t="s">
        <v>1454</v>
      </c>
      <c r="B126" s="286">
        <v>0.93899999999999995</v>
      </c>
      <c r="C126" s="285" t="s">
        <v>1037</v>
      </c>
    </row>
    <row r="127" spans="1:3" ht="18" hidden="1">
      <c r="A127" s="286" t="s">
        <v>1455</v>
      </c>
      <c r="B127" s="286">
        <v>0.98599999999999999</v>
      </c>
      <c r="C127" s="285" t="s">
        <v>1037</v>
      </c>
    </row>
    <row r="128" spans="1:3" ht="18" hidden="1">
      <c r="A128" s="286" t="s">
        <v>1040</v>
      </c>
      <c r="B128" s="286">
        <v>0.28299999999999997</v>
      </c>
      <c r="C128" s="285" t="s">
        <v>1037</v>
      </c>
    </row>
    <row r="129" spans="1:3" ht="18" hidden="1">
      <c r="A129" s="286" t="s">
        <v>1043</v>
      </c>
      <c r="B129" s="286">
        <v>0.35399999999999998</v>
      </c>
      <c r="C129" s="285" t="s">
        <v>1037</v>
      </c>
    </row>
    <row r="130" spans="1:3" ht="18" hidden="1">
      <c r="A130" s="286" t="s">
        <v>1046</v>
      </c>
      <c r="B130" s="286">
        <v>0.42499999999999999</v>
      </c>
      <c r="C130" s="285" t="s">
        <v>1037</v>
      </c>
    </row>
    <row r="131" spans="1:3" ht="18" hidden="1">
      <c r="A131" s="286" t="s">
        <v>1049</v>
      </c>
      <c r="B131" s="286">
        <v>0.496</v>
      </c>
      <c r="C131" s="285" t="s">
        <v>1037</v>
      </c>
    </row>
    <row r="132" spans="1:3" ht="18" hidden="1">
      <c r="A132" s="286" t="s">
        <v>1052</v>
      </c>
      <c r="B132" s="286">
        <v>0.63800000000000001</v>
      </c>
      <c r="C132" s="285" t="s">
        <v>1037</v>
      </c>
    </row>
    <row r="133" spans="1:3" ht="18" hidden="1">
      <c r="A133" s="286" t="s">
        <v>1055</v>
      </c>
      <c r="B133" s="286">
        <v>0.70899999999999996</v>
      </c>
      <c r="C133" s="285" t="s">
        <v>1037</v>
      </c>
    </row>
    <row r="134" spans="1:3" ht="18" hidden="1">
      <c r="A134" s="286" t="s">
        <v>1058</v>
      </c>
      <c r="B134" s="286">
        <v>0.78</v>
      </c>
      <c r="C134" s="285" t="s">
        <v>1037</v>
      </c>
    </row>
    <row r="135" spans="1:3" ht="18" hidden="1">
      <c r="A135" s="286" t="s">
        <v>1130</v>
      </c>
      <c r="B135" s="286">
        <v>0.501</v>
      </c>
      <c r="C135" s="285" t="s">
        <v>1128</v>
      </c>
    </row>
    <row r="136" spans="1:3" ht="18" hidden="1">
      <c r="A136" s="286" t="s">
        <v>1159</v>
      </c>
      <c r="B136" s="286">
        <v>0.52200000000000002</v>
      </c>
      <c r="C136" s="285" t="s">
        <v>1128</v>
      </c>
    </row>
    <row r="137" spans="1:3" ht="18" hidden="1">
      <c r="A137" s="286" t="s">
        <v>1181</v>
      </c>
      <c r="B137" s="286">
        <v>0.54300000000000004</v>
      </c>
      <c r="C137" s="285" t="s">
        <v>1128</v>
      </c>
    </row>
    <row r="138" spans="1:3" ht="18" hidden="1">
      <c r="A138" s="286" t="s">
        <v>1203</v>
      </c>
      <c r="B138" s="286">
        <v>0.55700000000000005</v>
      </c>
      <c r="C138" s="285" t="s">
        <v>1128</v>
      </c>
    </row>
    <row r="139" spans="1:3" ht="18" hidden="1">
      <c r="A139" s="286" t="s">
        <v>1225</v>
      </c>
      <c r="B139" s="286">
        <v>0.58499999999999996</v>
      </c>
      <c r="C139" s="285" t="s">
        <v>1128</v>
      </c>
    </row>
    <row r="140" spans="1:3" ht="18" hidden="1">
      <c r="A140" s="286" t="s">
        <v>1456</v>
      </c>
      <c r="B140" s="286">
        <v>0.16800000000000001</v>
      </c>
      <c r="C140" s="285" t="s">
        <v>1128</v>
      </c>
    </row>
    <row r="141" spans="1:3" ht="18" hidden="1">
      <c r="A141" s="286" t="s">
        <v>1457</v>
      </c>
      <c r="B141" s="286">
        <v>0.21</v>
      </c>
      <c r="C141" s="285" t="s">
        <v>1128</v>
      </c>
    </row>
    <row r="142" spans="1:3" ht="18" hidden="1">
      <c r="A142" s="286" t="s">
        <v>1458</v>
      </c>
      <c r="B142" s="286">
        <v>0.252</v>
      </c>
      <c r="C142" s="285" t="s">
        <v>1128</v>
      </c>
    </row>
    <row r="143" spans="1:3" ht="18" hidden="1">
      <c r="A143" s="286" t="s">
        <v>1459</v>
      </c>
      <c r="B143" s="286">
        <v>0.29399999999999998</v>
      </c>
      <c r="C143" s="285" t="s">
        <v>1128</v>
      </c>
    </row>
    <row r="144" spans="1:3" ht="18" hidden="1">
      <c r="A144" s="286" t="s">
        <v>1460</v>
      </c>
      <c r="B144" s="286">
        <v>0.379</v>
      </c>
      <c r="C144" s="285" t="s">
        <v>1128</v>
      </c>
    </row>
    <row r="145" spans="1:3" ht="18" hidden="1">
      <c r="A145" s="286" t="s">
        <v>1461</v>
      </c>
      <c r="B145" s="286">
        <v>0.42099999999999999</v>
      </c>
      <c r="C145" s="285" t="s">
        <v>1128</v>
      </c>
    </row>
    <row r="146" spans="1:3" ht="18" hidden="1">
      <c r="A146" s="286" t="s">
        <v>1462</v>
      </c>
      <c r="B146" s="286">
        <v>0.46300000000000002</v>
      </c>
      <c r="C146" s="285" t="s">
        <v>1128</v>
      </c>
    </row>
    <row r="147" spans="1:3" ht="18">
      <c r="A147" s="286" t="s">
        <v>1258</v>
      </c>
      <c r="B147" s="286">
        <v>0.71899999999999997</v>
      </c>
      <c r="C147" s="285" t="s">
        <v>1256</v>
      </c>
    </row>
    <row r="148" spans="1:3" ht="18">
      <c r="A148" s="286" t="s">
        <v>1273</v>
      </c>
      <c r="B148" s="286">
        <v>0.749</v>
      </c>
      <c r="C148" s="285" t="s">
        <v>1256</v>
      </c>
    </row>
    <row r="149" spans="1:3" ht="18">
      <c r="A149" s="286" t="s">
        <v>1281</v>
      </c>
      <c r="B149" s="286">
        <v>0.78</v>
      </c>
      <c r="C149" s="285" t="s">
        <v>1256</v>
      </c>
    </row>
    <row r="150" spans="1:3" ht="18">
      <c r="A150" s="286" t="s">
        <v>1289</v>
      </c>
      <c r="B150" s="286">
        <v>0.8</v>
      </c>
      <c r="C150" s="285" t="s">
        <v>1256</v>
      </c>
    </row>
    <row r="151" spans="1:3" ht="18">
      <c r="A151" s="286" t="s">
        <v>1297</v>
      </c>
      <c r="B151" s="286">
        <v>0.84</v>
      </c>
      <c r="C151" s="285" t="s">
        <v>1256</v>
      </c>
    </row>
    <row r="152" spans="1:3" ht="18">
      <c r="A152" s="286" t="s">
        <v>1463</v>
      </c>
      <c r="B152" s="286">
        <v>0.24099999999999999</v>
      </c>
      <c r="C152" s="285" t="s">
        <v>1256</v>
      </c>
    </row>
    <row r="153" spans="1:3" ht="18">
      <c r="A153" s="286" t="s">
        <v>1464</v>
      </c>
      <c r="B153" s="286">
        <v>0.30199999999999999</v>
      </c>
      <c r="C153" s="285" t="s">
        <v>1256</v>
      </c>
    </row>
    <row r="154" spans="1:3" ht="18">
      <c r="A154" s="286" t="s">
        <v>1465</v>
      </c>
      <c r="B154" s="286">
        <v>0.36199999999999999</v>
      </c>
      <c r="C154" s="285" t="s">
        <v>1256</v>
      </c>
    </row>
    <row r="155" spans="1:3" ht="18">
      <c r="A155" s="286" t="s">
        <v>1466</v>
      </c>
      <c r="B155" s="286">
        <v>0.42199999999999999</v>
      </c>
      <c r="C155" s="285" t="s">
        <v>1256</v>
      </c>
    </row>
    <row r="156" spans="1:3" ht="18">
      <c r="A156" s="286" t="s">
        <v>1467</v>
      </c>
      <c r="B156" s="286">
        <v>0.54300000000000004</v>
      </c>
      <c r="C156" s="285" t="s">
        <v>1256</v>
      </c>
    </row>
    <row r="157" spans="1:3" ht="18">
      <c r="A157" s="286" t="s">
        <v>1468</v>
      </c>
      <c r="B157" s="286">
        <v>0.60399999999999998</v>
      </c>
      <c r="C157" s="285" t="s">
        <v>1256</v>
      </c>
    </row>
    <row r="158" spans="1:3" ht="18">
      <c r="A158" s="286" t="s">
        <v>1469</v>
      </c>
      <c r="B158" s="286">
        <v>0.66400000000000003</v>
      </c>
      <c r="C158" s="285" t="s">
        <v>1256</v>
      </c>
    </row>
    <row r="159" spans="1:3" ht="18" hidden="1">
      <c r="A159" s="286" t="s">
        <v>1470</v>
      </c>
      <c r="B159" s="286">
        <v>7.3999999999999996E-2</v>
      </c>
      <c r="C159" s="285" t="s">
        <v>1516</v>
      </c>
    </row>
    <row r="160" spans="1:3" ht="18" hidden="1">
      <c r="A160" s="286" t="s">
        <v>170</v>
      </c>
      <c r="B160" s="286">
        <v>5.6000000000000001E-2</v>
      </c>
      <c r="C160" s="285" t="s">
        <v>1516</v>
      </c>
    </row>
    <row r="161" spans="1:3" ht="18" hidden="1">
      <c r="A161" s="286" t="s">
        <v>1471</v>
      </c>
      <c r="B161" s="286">
        <v>8.4000000000000005E-2</v>
      </c>
      <c r="C161" s="285" t="s">
        <v>1517</v>
      </c>
    </row>
    <row r="162" spans="1:3" ht="18" hidden="1">
      <c r="A162" s="286" t="s">
        <v>224</v>
      </c>
      <c r="B162" s="286">
        <v>6.4000000000000001E-2</v>
      </c>
      <c r="C162" s="285" t="s">
        <v>1517</v>
      </c>
    </row>
    <row r="163" spans="1:3" ht="18" hidden="1">
      <c r="A163" s="286" t="s">
        <v>1472</v>
      </c>
      <c r="B163" s="286">
        <v>0.129</v>
      </c>
      <c r="C163" s="285" t="s">
        <v>1518</v>
      </c>
    </row>
    <row r="164" spans="1:3" ht="18" hidden="1">
      <c r="A164" s="286" t="s">
        <v>1034</v>
      </c>
      <c r="B164" s="286">
        <v>7.1999999999999995E-2</v>
      </c>
      <c r="C164" s="285" t="s">
        <v>1518</v>
      </c>
    </row>
    <row r="165" spans="1:3" ht="18" hidden="1">
      <c r="A165" s="286" t="s">
        <v>1473</v>
      </c>
      <c r="B165" s="286">
        <v>0.157</v>
      </c>
      <c r="C165" s="285" t="s">
        <v>1519</v>
      </c>
    </row>
    <row r="166" spans="1:3" ht="18" hidden="1">
      <c r="A166" s="286" t="s">
        <v>651</v>
      </c>
      <c r="B166" s="286">
        <v>8.7999999999999995E-2</v>
      </c>
      <c r="C166" s="285" t="s">
        <v>1519</v>
      </c>
    </row>
    <row r="167" spans="1:3" ht="18" hidden="1">
      <c r="A167" s="286" t="s">
        <v>1474</v>
      </c>
      <c r="B167" s="286">
        <v>0.13800000000000001</v>
      </c>
      <c r="C167" s="285" t="s">
        <v>1520</v>
      </c>
    </row>
    <row r="168" spans="1:3" ht="18" hidden="1">
      <c r="A168" s="286" t="s">
        <v>832</v>
      </c>
      <c r="B168" s="286">
        <v>7.6999999999999999E-2</v>
      </c>
      <c r="C168" s="285" t="s">
        <v>1520</v>
      </c>
    </row>
    <row r="169" spans="1:3" ht="18" hidden="1">
      <c r="A169" s="286" t="s">
        <v>1475</v>
      </c>
      <c r="B169" s="286">
        <v>0.11</v>
      </c>
      <c r="C169" s="285" t="s">
        <v>1521</v>
      </c>
    </row>
    <row r="170" spans="1:3" ht="18" hidden="1">
      <c r="A170" s="286" t="s">
        <v>741</v>
      </c>
      <c r="B170" s="286">
        <v>6.0999999999999999E-2</v>
      </c>
      <c r="C170" s="285" t="s">
        <v>1521</v>
      </c>
    </row>
    <row r="171" spans="1:3" ht="18" hidden="1">
      <c r="A171" s="287" t="s">
        <v>12</v>
      </c>
      <c r="B171" s="288">
        <v>0.22</v>
      </c>
      <c r="C171" s="285" t="s">
        <v>19</v>
      </c>
    </row>
    <row r="172" spans="1:3" ht="18" hidden="1">
      <c r="A172" s="289" t="s">
        <v>16</v>
      </c>
      <c r="B172" s="288">
        <v>0.26500000000000001</v>
      </c>
      <c r="C172" s="285" t="s">
        <v>19</v>
      </c>
    </row>
    <row r="173" spans="1:3" ht="18" hidden="1">
      <c r="A173" s="289" t="s">
        <v>22</v>
      </c>
      <c r="B173" s="288">
        <v>0.31</v>
      </c>
      <c r="C173" s="285" t="s">
        <v>19</v>
      </c>
    </row>
    <row r="174" spans="1:3" ht="18" hidden="1">
      <c r="A174" s="287" t="s">
        <v>26</v>
      </c>
      <c r="B174" s="288">
        <v>0.35499999999999998</v>
      </c>
      <c r="C174" s="285" t="s">
        <v>19</v>
      </c>
    </row>
    <row r="175" spans="1:3" ht="18" hidden="1">
      <c r="A175" s="289" t="s">
        <v>31</v>
      </c>
      <c r="B175" s="288">
        <v>0.44500000000000001</v>
      </c>
      <c r="C175" s="285" t="s">
        <v>19</v>
      </c>
    </row>
    <row r="176" spans="1:3" ht="18" hidden="1">
      <c r="A176" s="289" t="s">
        <v>35</v>
      </c>
      <c r="B176" s="288">
        <v>0.48899999999999999</v>
      </c>
      <c r="C176" s="285" t="s">
        <v>19</v>
      </c>
    </row>
    <row r="177" spans="1:3" ht="18" hidden="1">
      <c r="A177" s="289" t="s">
        <v>40</v>
      </c>
      <c r="B177" s="288">
        <v>0.53400000000000003</v>
      </c>
      <c r="C177" s="285" t="s">
        <v>19</v>
      </c>
    </row>
    <row r="178" spans="1:3" ht="18" hidden="1">
      <c r="A178" s="289" t="s">
        <v>45</v>
      </c>
      <c r="B178" s="288">
        <v>0.23</v>
      </c>
      <c r="C178" s="285" t="s">
        <v>19</v>
      </c>
    </row>
    <row r="179" spans="1:3" ht="18" hidden="1">
      <c r="A179" s="289" t="s">
        <v>49</v>
      </c>
      <c r="B179" s="288">
        <v>0.27600000000000002</v>
      </c>
      <c r="C179" s="285" t="s">
        <v>19</v>
      </c>
    </row>
    <row r="180" spans="1:3" ht="18" hidden="1">
      <c r="A180" s="289" t="s">
        <v>52</v>
      </c>
      <c r="B180" s="288">
        <v>0.32300000000000001</v>
      </c>
      <c r="C180" s="285" t="s">
        <v>19</v>
      </c>
    </row>
    <row r="181" spans="1:3" ht="18" hidden="1">
      <c r="A181" s="289" t="s">
        <v>56</v>
      </c>
      <c r="B181" s="288">
        <v>0.37</v>
      </c>
      <c r="C181" s="285" t="s">
        <v>19</v>
      </c>
    </row>
    <row r="182" spans="1:3" ht="18" hidden="1">
      <c r="A182" s="289" t="s">
        <v>59</v>
      </c>
      <c r="B182" s="288">
        <v>0.46300000000000002</v>
      </c>
      <c r="C182" s="285" t="s">
        <v>19</v>
      </c>
    </row>
    <row r="183" spans="1:3" ht="18" hidden="1">
      <c r="A183" s="289" t="s">
        <v>61</v>
      </c>
      <c r="B183" s="288">
        <v>0.51</v>
      </c>
      <c r="C183" s="285" t="s">
        <v>19</v>
      </c>
    </row>
    <row r="184" spans="1:3" ht="18" hidden="1">
      <c r="A184" s="289" t="s">
        <v>63</v>
      </c>
      <c r="B184" s="288">
        <v>0.55700000000000005</v>
      </c>
      <c r="C184" s="285" t="s">
        <v>19</v>
      </c>
    </row>
    <row r="185" spans="1:3" ht="18" hidden="1">
      <c r="A185" s="289" t="s">
        <v>66</v>
      </c>
      <c r="B185" s="288">
        <v>0.23899999999999999</v>
      </c>
      <c r="C185" s="285" t="s">
        <v>19</v>
      </c>
    </row>
    <row r="186" spans="1:3" ht="18" hidden="1">
      <c r="A186" s="289" t="s">
        <v>68</v>
      </c>
      <c r="B186" s="288">
        <v>0.28799999999999998</v>
      </c>
      <c r="C186" s="285" t="s">
        <v>19</v>
      </c>
    </row>
    <row r="187" spans="1:3" ht="18" hidden="1">
      <c r="A187" s="289" t="s">
        <v>70</v>
      </c>
      <c r="B187" s="288">
        <v>0.33600000000000002</v>
      </c>
      <c r="C187" s="285" t="s">
        <v>19</v>
      </c>
    </row>
    <row r="188" spans="1:3" ht="18" hidden="1">
      <c r="A188" s="289" t="s">
        <v>72</v>
      </c>
      <c r="B188" s="288">
        <v>0.38500000000000001</v>
      </c>
      <c r="C188" s="285" t="s">
        <v>19</v>
      </c>
    </row>
    <row r="189" spans="1:3" ht="18" hidden="1">
      <c r="A189" s="289" t="s">
        <v>74</v>
      </c>
      <c r="B189" s="288">
        <v>0.48199999999999998</v>
      </c>
      <c r="C189" s="285" t="s">
        <v>19</v>
      </c>
    </row>
    <row r="190" spans="1:3" ht="18" hidden="1">
      <c r="A190" s="289" t="s">
        <v>76</v>
      </c>
      <c r="B190" s="288">
        <v>0.53100000000000003</v>
      </c>
      <c r="C190" s="285" t="s">
        <v>19</v>
      </c>
    </row>
    <row r="191" spans="1:3" ht="18" hidden="1">
      <c r="A191" s="289" t="s">
        <v>78</v>
      </c>
      <c r="B191" s="288">
        <v>0.57899999999999996</v>
      </c>
      <c r="C191" s="285" t="s">
        <v>19</v>
      </c>
    </row>
    <row r="192" spans="1:3" ht="18" hidden="1">
      <c r="A192" s="289" t="s">
        <v>81</v>
      </c>
      <c r="B192" s="288">
        <v>0.245</v>
      </c>
      <c r="C192" s="285" t="s">
        <v>19</v>
      </c>
    </row>
    <row r="193" spans="1:3" ht="18" hidden="1">
      <c r="A193" s="289" t="s">
        <v>83</v>
      </c>
      <c r="B193" s="288">
        <v>0.29499999999999998</v>
      </c>
      <c r="C193" s="285" t="s">
        <v>19</v>
      </c>
    </row>
    <row r="194" spans="1:3" ht="18" hidden="1">
      <c r="A194" s="289" t="s">
        <v>85</v>
      </c>
      <c r="B194" s="288">
        <v>0.34499999999999997</v>
      </c>
      <c r="C194" s="285" t="s">
        <v>19</v>
      </c>
    </row>
    <row r="195" spans="1:3" ht="18" hidden="1">
      <c r="A195" s="289" t="s">
        <v>87</v>
      </c>
      <c r="B195" s="288">
        <v>0.39500000000000002</v>
      </c>
      <c r="C195" s="285" t="s">
        <v>19</v>
      </c>
    </row>
    <row r="196" spans="1:3" ht="18" hidden="1">
      <c r="A196" s="289" t="s">
        <v>89</v>
      </c>
      <c r="B196" s="288">
        <v>0.49399999999999999</v>
      </c>
      <c r="C196" s="285" t="s">
        <v>19</v>
      </c>
    </row>
    <row r="197" spans="1:3" ht="18" hidden="1">
      <c r="A197" s="289" t="s">
        <v>91</v>
      </c>
      <c r="B197" s="288">
        <v>0.54400000000000004</v>
      </c>
      <c r="C197" s="285" t="s">
        <v>19</v>
      </c>
    </row>
    <row r="198" spans="1:3" ht="18" hidden="1">
      <c r="A198" s="289" t="s">
        <v>93</v>
      </c>
      <c r="B198" s="288">
        <v>0.59399999999999997</v>
      </c>
      <c r="C198" s="285" t="s">
        <v>19</v>
      </c>
    </row>
    <row r="199" spans="1:3" ht="18" hidden="1">
      <c r="A199" s="289" t="s">
        <v>96</v>
      </c>
      <c r="B199" s="288">
        <v>0.25700000000000001</v>
      </c>
      <c r="C199" s="285" t="s">
        <v>19</v>
      </c>
    </row>
    <row r="200" spans="1:3" ht="18" hidden="1">
      <c r="A200" s="289" t="s">
        <v>98</v>
      </c>
      <c r="B200" s="288">
        <v>0.31</v>
      </c>
      <c r="C200" s="285" t="s">
        <v>19</v>
      </c>
    </row>
    <row r="201" spans="1:3" ht="18" hidden="1">
      <c r="A201" s="289" t="s">
        <v>100</v>
      </c>
      <c r="B201" s="288">
        <v>0.36199999999999999</v>
      </c>
      <c r="C201" s="285" t="s">
        <v>19</v>
      </c>
    </row>
    <row r="202" spans="1:3" ht="18" hidden="1">
      <c r="A202" s="289" t="s">
        <v>102</v>
      </c>
      <c r="B202" s="288">
        <v>0.41499999999999998</v>
      </c>
      <c r="C202" s="285" t="s">
        <v>19</v>
      </c>
    </row>
    <row r="203" spans="1:3" ht="18" hidden="1">
      <c r="A203" s="289" t="s">
        <v>104</v>
      </c>
      <c r="B203" s="288">
        <v>0.51900000000000002</v>
      </c>
      <c r="C203" s="285" t="s">
        <v>19</v>
      </c>
    </row>
    <row r="204" spans="1:3" ht="18" hidden="1">
      <c r="A204" s="289" t="s">
        <v>106</v>
      </c>
      <c r="B204" s="288">
        <v>0.57199999999999995</v>
      </c>
      <c r="C204" s="285" t="s">
        <v>19</v>
      </c>
    </row>
    <row r="205" spans="1:3" ht="18" hidden="1">
      <c r="A205" s="289" t="s">
        <v>108</v>
      </c>
      <c r="B205" s="288">
        <v>0.624</v>
      </c>
      <c r="C205" s="285" t="s">
        <v>19</v>
      </c>
    </row>
    <row r="206" spans="1:3" ht="18" hidden="1">
      <c r="A206" s="289" t="s">
        <v>116</v>
      </c>
      <c r="B206" s="288">
        <f>1.188/74.25</f>
        <v>1.6E-2</v>
      </c>
      <c r="C206" s="285" t="s">
        <v>1522</v>
      </c>
    </row>
    <row r="207" spans="1:3" ht="18" hidden="1">
      <c r="A207" s="287" t="s">
        <v>12</v>
      </c>
      <c r="B207" s="288">
        <v>0.22</v>
      </c>
      <c r="C207" s="285" t="s">
        <v>117</v>
      </c>
    </row>
    <row r="208" spans="1:3" ht="18" hidden="1">
      <c r="A208" s="289" t="s">
        <v>16</v>
      </c>
      <c r="B208" s="288">
        <v>0.26500000000000001</v>
      </c>
      <c r="C208" s="285" t="s">
        <v>117</v>
      </c>
    </row>
    <row r="209" spans="1:3" ht="18" hidden="1">
      <c r="A209" s="289" t="s">
        <v>22</v>
      </c>
      <c r="B209" s="288">
        <v>0.31</v>
      </c>
      <c r="C209" s="285" t="s">
        <v>117</v>
      </c>
    </row>
    <row r="210" spans="1:3" ht="18" hidden="1">
      <c r="A210" s="287" t="s">
        <v>26</v>
      </c>
      <c r="B210" s="288">
        <v>0.35499999999999998</v>
      </c>
      <c r="C210" s="285" t="s">
        <v>117</v>
      </c>
    </row>
    <row r="211" spans="1:3" ht="18" hidden="1">
      <c r="A211" s="289" t="s">
        <v>31</v>
      </c>
      <c r="B211" s="288">
        <v>0.44500000000000001</v>
      </c>
      <c r="C211" s="285" t="s">
        <v>117</v>
      </c>
    </row>
    <row r="212" spans="1:3" ht="18" hidden="1">
      <c r="A212" s="289" t="s">
        <v>35</v>
      </c>
      <c r="B212" s="288">
        <v>0.48899999999999999</v>
      </c>
      <c r="C212" s="285" t="s">
        <v>117</v>
      </c>
    </row>
    <row r="213" spans="1:3" ht="18" hidden="1">
      <c r="A213" s="289" t="s">
        <v>40</v>
      </c>
      <c r="B213" s="288">
        <v>0.53400000000000003</v>
      </c>
      <c r="C213" s="285" t="s">
        <v>117</v>
      </c>
    </row>
    <row r="214" spans="1:3" ht="18" hidden="1">
      <c r="A214" s="289" t="s">
        <v>45</v>
      </c>
      <c r="B214" s="288">
        <v>0.23</v>
      </c>
      <c r="C214" s="285" t="s">
        <v>117</v>
      </c>
    </row>
    <row r="215" spans="1:3" ht="18" hidden="1">
      <c r="A215" s="289" t="s">
        <v>49</v>
      </c>
      <c r="B215" s="288">
        <v>0.27600000000000002</v>
      </c>
      <c r="C215" s="285" t="s">
        <v>117</v>
      </c>
    </row>
    <row r="216" spans="1:3" ht="18" hidden="1">
      <c r="A216" s="289" t="s">
        <v>52</v>
      </c>
      <c r="B216" s="288">
        <v>0.32300000000000001</v>
      </c>
      <c r="C216" s="285" t="s">
        <v>117</v>
      </c>
    </row>
    <row r="217" spans="1:3" ht="18" hidden="1">
      <c r="A217" s="289" t="s">
        <v>56</v>
      </c>
      <c r="B217" s="288">
        <v>0.37</v>
      </c>
      <c r="C217" s="285" t="s">
        <v>117</v>
      </c>
    </row>
    <row r="218" spans="1:3" ht="18" hidden="1">
      <c r="A218" s="289" t="s">
        <v>59</v>
      </c>
      <c r="B218" s="288">
        <v>0.46300000000000002</v>
      </c>
      <c r="C218" s="285" t="s">
        <v>117</v>
      </c>
    </row>
    <row r="219" spans="1:3" ht="18" hidden="1">
      <c r="A219" s="289" t="s">
        <v>61</v>
      </c>
      <c r="B219" s="288">
        <v>0.51</v>
      </c>
      <c r="C219" s="285" t="s">
        <v>117</v>
      </c>
    </row>
    <row r="220" spans="1:3" ht="18" hidden="1">
      <c r="A220" s="289" t="s">
        <v>63</v>
      </c>
      <c r="B220" s="288">
        <v>0.55700000000000005</v>
      </c>
      <c r="C220" s="285" t="s">
        <v>117</v>
      </c>
    </row>
    <row r="221" spans="1:3" ht="18" hidden="1">
      <c r="A221" s="289" t="s">
        <v>66</v>
      </c>
      <c r="B221" s="288">
        <v>0.23899999999999999</v>
      </c>
      <c r="C221" s="285" t="s">
        <v>117</v>
      </c>
    </row>
    <row r="222" spans="1:3" ht="18" hidden="1">
      <c r="A222" s="289" t="s">
        <v>68</v>
      </c>
      <c r="B222" s="288">
        <v>0.28799999999999998</v>
      </c>
      <c r="C222" s="285" t="s">
        <v>117</v>
      </c>
    </row>
    <row r="223" spans="1:3" ht="18" hidden="1">
      <c r="A223" s="289" t="s">
        <v>70</v>
      </c>
      <c r="B223" s="288">
        <v>0.33600000000000002</v>
      </c>
      <c r="C223" s="285" t="s">
        <v>117</v>
      </c>
    </row>
    <row r="224" spans="1:3" ht="18" hidden="1">
      <c r="A224" s="289" t="s">
        <v>72</v>
      </c>
      <c r="B224" s="288">
        <v>0.38500000000000001</v>
      </c>
      <c r="C224" s="285" t="s">
        <v>117</v>
      </c>
    </row>
    <row r="225" spans="1:3" ht="18" hidden="1">
      <c r="A225" s="289" t="s">
        <v>74</v>
      </c>
      <c r="B225" s="288">
        <v>0.48199999999999998</v>
      </c>
      <c r="C225" s="285" t="s">
        <v>117</v>
      </c>
    </row>
    <row r="226" spans="1:3" ht="18" hidden="1">
      <c r="A226" s="289" t="s">
        <v>76</v>
      </c>
      <c r="B226" s="288">
        <v>0.53100000000000003</v>
      </c>
      <c r="C226" s="285" t="s">
        <v>117</v>
      </c>
    </row>
    <row r="227" spans="1:3" ht="18" hidden="1">
      <c r="A227" s="289" t="s">
        <v>78</v>
      </c>
      <c r="B227" s="288">
        <v>0.57899999999999996</v>
      </c>
      <c r="C227" s="285" t="s">
        <v>117</v>
      </c>
    </row>
    <row r="228" spans="1:3" ht="18" hidden="1">
      <c r="A228" s="289" t="s">
        <v>81</v>
      </c>
      <c r="B228" s="288">
        <v>0.245</v>
      </c>
      <c r="C228" s="285" t="s">
        <v>117</v>
      </c>
    </row>
    <row r="229" spans="1:3" ht="18" hidden="1">
      <c r="A229" s="289" t="s">
        <v>83</v>
      </c>
      <c r="B229" s="288">
        <v>0.29499999999999998</v>
      </c>
      <c r="C229" s="285" t="s">
        <v>117</v>
      </c>
    </row>
    <row r="230" spans="1:3" ht="18" hidden="1">
      <c r="A230" s="289" t="s">
        <v>85</v>
      </c>
      <c r="B230" s="288">
        <v>0.34499999999999997</v>
      </c>
      <c r="C230" s="285" t="s">
        <v>117</v>
      </c>
    </row>
    <row r="231" spans="1:3" ht="18" hidden="1">
      <c r="A231" s="289" t="s">
        <v>87</v>
      </c>
      <c r="B231" s="288">
        <v>0.39500000000000002</v>
      </c>
      <c r="C231" s="285" t="s">
        <v>117</v>
      </c>
    </row>
    <row r="232" spans="1:3" ht="18" hidden="1">
      <c r="A232" s="289" t="s">
        <v>89</v>
      </c>
      <c r="B232" s="288">
        <v>0.49399999999999999</v>
      </c>
      <c r="C232" s="285" t="s">
        <v>117</v>
      </c>
    </row>
    <row r="233" spans="1:3" ht="18" hidden="1">
      <c r="A233" s="289" t="s">
        <v>91</v>
      </c>
      <c r="B233" s="288">
        <v>0.54400000000000004</v>
      </c>
      <c r="C233" s="285" t="s">
        <v>117</v>
      </c>
    </row>
    <row r="234" spans="1:3" ht="18" hidden="1">
      <c r="A234" s="289" t="s">
        <v>93</v>
      </c>
      <c r="B234" s="288">
        <v>0.59399999999999997</v>
      </c>
      <c r="C234" s="285" t="s">
        <v>117</v>
      </c>
    </row>
    <row r="235" spans="1:3" ht="18" hidden="1">
      <c r="A235" s="289" t="s">
        <v>96</v>
      </c>
      <c r="B235" s="288">
        <v>0.25700000000000001</v>
      </c>
      <c r="C235" s="285" t="s">
        <v>117</v>
      </c>
    </row>
    <row r="236" spans="1:3" ht="18" hidden="1">
      <c r="A236" s="289" t="s">
        <v>98</v>
      </c>
      <c r="B236" s="288">
        <v>0.31</v>
      </c>
      <c r="C236" s="285" t="s">
        <v>117</v>
      </c>
    </row>
    <row r="237" spans="1:3" ht="18" hidden="1">
      <c r="A237" s="289" t="s">
        <v>100</v>
      </c>
      <c r="B237" s="288">
        <v>0.36199999999999999</v>
      </c>
      <c r="C237" s="285" t="s">
        <v>117</v>
      </c>
    </row>
    <row r="238" spans="1:3" ht="18" hidden="1">
      <c r="A238" s="289" t="s">
        <v>102</v>
      </c>
      <c r="B238" s="288">
        <v>0.41499999999999998</v>
      </c>
      <c r="C238" s="285" t="s">
        <v>117</v>
      </c>
    </row>
    <row r="239" spans="1:3" ht="18" hidden="1">
      <c r="A239" s="289" t="s">
        <v>104</v>
      </c>
      <c r="B239" s="288">
        <v>0.51900000000000002</v>
      </c>
      <c r="C239" s="285" t="s">
        <v>117</v>
      </c>
    </row>
    <row r="240" spans="1:3" ht="18" hidden="1">
      <c r="A240" s="289" t="s">
        <v>106</v>
      </c>
      <c r="B240" s="288">
        <v>0.57199999999999995</v>
      </c>
      <c r="C240" s="285" t="s">
        <v>117</v>
      </c>
    </row>
    <row r="241" spans="1:3" ht="18" hidden="1">
      <c r="A241" s="289" t="s">
        <v>108</v>
      </c>
      <c r="B241" s="288">
        <v>0.624</v>
      </c>
      <c r="C241" s="285" t="s">
        <v>117</v>
      </c>
    </row>
    <row r="242" spans="1:3" ht="18" hidden="1">
      <c r="A242" s="289" t="s">
        <v>116</v>
      </c>
      <c r="B242" s="288">
        <f>1.188/74.25</f>
        <v>1.6E-2</v>
      </c>
      <c r="C242" s="285" t="s">
        <v>1516</v>
      </c>
    </row>
    <row r="243" spans="1:3" ht="18" hidden="1">
      <c r="A243" s="287" t="s">
        <v>12</v>
      </c>
      <c r="B243" s="288">
        <v>0.22</v>
      </c>
      <c r="C243" s="285" t="s">
        <v>171</v>
      </c>
    </row>
    <row r="244" spans="1:3" ht="18" hidden="1">
      <c r="A244" s="289" t="s">
        <v>16</v>
      </c>
      <c r="B244" s="288">
        <v>0.26500000000000001</v>
      </c>
      <c r="C244" s="285" t="s">
        <v>171</v>
      </c>
    </row>
    <row r="245" spans="1:3" ht="18" hidden="1">
      <c r="A245" s="289" t="s">
        <v>22</v>
      </c>
      <c r="B245" s="288">
        <v>0.31</v>
      </c>
      <c r="C245" s="285" t="s">
        <v>171</v>
      </c>
    </row>
    <row r="246" spans="1:3" ht="18" hidden="1">
      <c r="A246" s="287" t="s">
        <v>26</v>
      </c>
      <c r="B246" s="288">
        <v>0.35499999999999998</v>
      </c>
      <c r="C246" s="285" t="s">
        <v>171</v>
      </c>
    </row>
    <row r="247" spans="1:3" ht="18" hidden="1">
      <c r="A247" s="289" t="s">
        <v>31</v>
      </c>
      <c r="B247" s="288">
        <v>0.44500000000000001</v>
      </c>
      <c r="C247" s="285" t="s">
        <v>171</v>
      </c>
    </row>
    <row r="248" spans="1:3" ht="18" hidden="1">
      <c r="A248" s="289" t="s">
        <v>35</v>
      </c>
      <c r="B248" s="288">
        <v>0.48899999999999999</v>
      </c>
      <c r="C248" s="285" t="s">
        <v>171</v>
      </c>
    </row>
    <row r="249" spans="1:3" ht="18" hidden="1">
      <c r="A249" s="289" t="s">
        <v>40</v>
      </c>
      <c r="B249" s="288">
        <v>0.53400000000000003</v>
      </c>
      <c r="C249" s="285" t="s">
        <v>171</v>
      </c>
    </row>
    <row r="250" spans="1:3" ht="18" hidden="1">
      <c r="A250" s="289" t="s">
        <v>45</v>
      </c>
      <c r="B250" s="288">
        <v>0.23</v>
      </c>
      <c r="C250" s="285" t="s">
        <v>171</v>
      </c>
    </row>
    <row r="251" spans="1:3" ht="18" hidden="1">
      <c r="A251" s="289" t="s">
        <v>49</v>
      </c>
      <c r="B251" s="288">
        <v>0.27600000000000002</v>
      </c>
      <c r="C251" s="285" t="s">
        <v>171</v>
      </c>
    </row>
    <row r="252" spans="1:3" ht="18" hidden="1">
      <c r="A252" s="289" t="s">
        <v>52</v>
      </c>
      <c r="B252" s="288">
        <v>0.32300000000000001</v>
      </c>
      <c r="C252" s="285" t="s">
        <v>171</v>
      </c>
    </row>
    <row r="253" spans="1:3" ht="18" hidden="1">
      <c r="A253" s="289" t="s">
        <v>56</v>
      </c>
      <c r="B253" s="288">
        <v>0.37</v>
      </c>
      <c r="C253" s="285" t="s">
        <v>171</v>
      </c>
    </row>
    <row r="254" spans="1:3" ht="18" hidden="1">
      <c r="A254" s="289" t="s">
        <v>59</v>
      </c>
      <c r="B254" s="288">
        <v>0.46300000000000002</v>
      </c>
      <c r="C254" s="285" t="s">
        <v>171</v>
      </c>
    </row>
    <row r="255" spans="1:3" ht="18" hidden="1">
      <c r="A255" s="289" t="s">
        <v>61</v>
      </c>
      <c r="B255" s="288">
        <v>0.51</v>
      </c>
      <c r="C255" s="285" t="s">
        <v>171</v>
      </c>
    </row>
    <row r="256" spans="1:3" ht="18" hidden="1">
      <c r="A256" s="289" t="s">
        <v>63</v>
      </c>
      <c r="B256" s="288">
        <v>0.55700000000000005</v>
      </c>
      <c r="C256" s="285" t="s">
        <v>171</v>
      </c>
    </row>
    <row r="257" spans="1:3" ht="18" hidden="1">
      <c r="A257" s="289" t="s">
        <v>66</v>
      </c>
      <c r="B257" s="288">
        <v>0.23899999999999999</v>
      </c>
      <c r="C257" s="285" t="s">
        <v>171</v>
      </c>
    </row>
    <row r="258" spans="1:3" ht="18" hidden="1">
      <c r="A258" s="289" t="s">
        <v>68</v>
      </c>
      <c r="B258" s="288">
        <v>0.28799999999999998</v>
      </c>
      <c r="C258" s="285" t="s">
        <v>171</v>
      </c>
    </row>
    <row r="259" spans="1:3" ht="18" hidden="1">
      <c r="A259" s="289" t="s">
        <v>70</v>
      </c>
      <c r="B259" s="288">
        <v>0.33600000000000002</v>
      </c>
      <c r="C259" s="285" t="s">
        <v>171</v>
      </c>
    </row>
    <row r="260" spans="1:3" ht="18" hidden="1">
      <c r="A260" s="289" t="s">
        <v>72</v>
      </c>
      <c r="B260" s="288">
        <v>0.38500000000000001</v>
      </c>
      <c r="C260" s="285" t="s">
        <v>171</v>
      </c>
    </row>
    <row r="261" spans="1:3" ht="18" hidden="1">
      <c r="A261" s="289" t="s">
        <v>74</v>
      </c>
      <c r="B261" s="288">
        <v>0.48199999999999998</v>
      </c>
      <c r="C261" s="285" t="s">
        <v>171</v>
      </c>
    </row>
    <row r="262" spans="1:3" ht="18" hidden="1">
      <c r="A262" s="289" t="s">
        <v>76</v>
      </c>
      <c r="B262" s="288">
        <v>0.53100000000000003</v>
      </c>
      <c r="C262" s="285" t="s">
        <v>171</v>
      </c>
    </row>
    <row r="263" spans="1:3" ht="18" hidden="1">
      <c r="A263" s="289" t="s">
        <v>78</v>
      </c>
      <c r="B263" s="288">
        <v>0.57899999999999996</v>
      </c>
      <c r="C263" s="285" t="s">
        <v>171</v>
      </c>
    </row>
    <row r="264" spans="1:3" ht="18" hidden="1">
      <c r="A264" s="289" t="s">
        <v>81</v>
      </c>
      <c r="B264" s="288">
        <v>0.245</v>
      </c>
      <c r="C264" s="285" t="s">
        <v>171</v>
      </c>
    </row>
    <row r="265" spans="1:3" ht="18" hidden="1">
      <c r="A265" s="289" t="s">
        <v>83</v>
      </c>
      <c r="B265" s="288">
        <v>0.29499999999999998</v>
      </c>
      <c r="C265" s="285" t="s">
        <v>171</v>
      </c>
    </row>
    <row r="266" spans="1:3" ht="18" hidden="1">
      <c r="A266" s="289" t="s">
        <v>85</v>
      </c>
      <c r="B266" s="288">
        <v>0.34499999999999997</v>
      </c>
      <c r="C266" s="285" t="s">
        <v>171</v>
      </c>
    </row>
    <row r="267" spans="1:3" ht="18" hidden="1">
      <c r="A267" s="289" t="s">
        <v>87</v>
      </c>
      <c r="B267" s="288">
        <v>0.39500000000000002</v>
      </c>
      <c r="C267" s="285" t="s">
        <v>171</v>
      </c>
    </row>
    <row r="268" spans="1:3" ht="18" hidden="1">
      <c r="A268" s="289" t="s">
        <v>89</v>
      </c>
      <c r="B268" s="288">
        <v>0.49399999999999999</v>
      </c>
      <c r="C268" s="285" t="s">
        <v>171</v>
      </c>
    </row>
    <row r="269" spans="1:3" ht="18" hidden="1">
      <c r="A269" s="289" t="s">
        <v>91</v>
      </c>
      <c r="B269" s="288">
        <v>0.54400000000000004</v>
      </c>
      <c r="C269" s="285" t="s">
        <v>171</v>
      </c>
    </row>
    <row r="270" spans="1:3" ht="18" hidden="1">
      <c r="A270" s="289" t="s">
        <v>93</v>
      </c>
      <c r="B270" s="288">
        <v>0.59399999999999997</v>
      </c>
      <c r="C270" s="285" t="s">
        <v>171</v>
      </c>
    </row>
    <row r="271" spans="1:3" ht="18" hidden="1">
      <c r="A271" s="289" t="s">
        <v>96</v>
      </c>
      <c r="B271" s="288">
        <v>0.25700000000000001</v>
      </c>
      <c r="C271" s="285" t="s">
        <v>171</v>
      </c>
    </row>
    <row r="272" spans="1:3" ht="18" hidden="1">
      <c r="A272" s="289" t="s">
        <v>98</v>
      </c>
      <c r="B272" s="288">
        <v>0.31</v>
      </c>
      <c r="C272" s="285" t="s">
        <v>171</v>
      </c>
    </row>
    <row r="273" spans="1:3" ht="18" hidden="1">
      <c r="A273" s="289" t="s">
        <v>100</v>
      </c>
      <c r="B273" s="288">
        <v>0.36199999999999999</v>
      </c>
      <c r="C273" s="285" t="s">
        <v>171</v>
      </c>
    </row>
    <row r="274" spans="1:3" ht="18" hidden="1">
      <c r="A274" s="289" t="s">
        <v>102</v>
      </c>
      <c r="B274" s="288">
        <v>0.41499999999999998</v>
      </c>
      <c r="C274" s="285" t="s">
        <v>171</v>
      </c>
    </row>
    <row r="275" spans="1:3" ht="18" hidden="1">
      <c r="A275" s="289" t="s">
        <v>104</v>
      </c>
      <c r="B275" s="288">
        <v>0.51900000000000002</v>
      </c>
      <c r="C275" s="285" t="s">
        <v>171</v>
      </c>
    </row>
    <row r="276" spans="1:3" ht="18" hidden="1">
      <c r="A276" s="289" t="s">
        <v>106</v>
      </c>
      <c r="B276" s="288">
        <v>0.57199999999999995</v>
      </c>
      <c r="C276" s="285" t="s">
        <v>171</v>
      </c>
    </row>
    <row r="277" spans="1:3" ht="18" hidden="1">
      <c r="A277" s="289" t="s">
        <v>108</v>
      </c>
      <c r="B277" s="288">
        <v>0.624</v>
      </c>
      <c r="C277" s="285" t="s">
        <v>171</v>
      </c>
    </row>
    <row r="278" spans="1:3" ht="18" hidden="1">
      <c r="A278" s="289" t="s">
        <v>116</v>
      </c>
      <c r="B278" s="288">
        <f>1.188/74.25</f>
        <v>1.6E-2</v>
      </c>
      <c r="C278" s="285" t="s">
        <v>1517</v>
      </c>
    </row>
    <row r="279" spans="1:3" ht="18" hidden="1">
      <c r="A279" s="287" t="s">
        <v>12</v>
      </c>
      <c r="B279" s="288">
        <v>0.22</v>
      </c>
      <c r="C279" s="285" t="s">
        <v>598</v>
      </c>
    </row>
    <row r="280" spans="1:3" ht="18" hidden="1">
      <c r="A280" s="289" t="s">
        <v>16</v>
      </c>
      <c r="B280" s="288">
        <v>0.26500000000000001</v>
      </c>
      <c r="C280" s="285" t="s">
        <v>598</v>
      </c>
    </row>
    <row r="281" spans="1:3" ht="18" hidden="1">
      <c r="A281" s="289" t="s">
        <v>22</v>
      </c>
      <c r="B281" s="288">
        <v>0.31</v>
      </c>
      <c r="C281" s="285" t="s">
        <v>598</v>
      </c>
    </row>
    <row r="282" spans="1:3" ht="18" hidden="1">
      <c r="A282" s="287" t="s">
        <v>26</v>
      </c>
      <c r="B282" s="288">
        <v>0.35499999999999998</v>
      </c>
      <c r="C282" s="285" t="s">
        <v>598</v>
      </c>
    </row>
    <row r="283" spans="1:3" ht="18" hidden="1">
      <c r="A283" s="289" t="s">
        <v>31</v>
      </c>
      <c r="B283" s="288">
        <v>0.44500000000000001</v>
      </c>
      <c r="C283" s="285" t="s">
        <v>598</v>
      </c>
    </row>
    <row r="284" spans="1:3" ht="18" hidden="1">
      <c r="A284" s="289" t="s">
        <v>35</v>
      </c>
      <c r="B284" s="288">
        <v>0.48899999999999999</v>
      </c>
      <c r="C284" s="285" t="s">
        <v>598</v>
      </c>
    </row>
    <row r="285" spans="1:3" ht="18" hidden="1">
      <c r="A285" s="289" t="s">
        <v>40</v>
      </c>
      <c r="B285" s="288">
        <v>0.53400000000000003</v>
      </c>
      <c r="C285" s="285" t="s">
        <v>598</v>
      </c>
    </row>
    <row r="286" spans="1:3" ht="18" hidden="1">
      <c r="A286" s="289" t="s">
        <v>45</v>
      </c>
      <c r="B286" s="288">
        <v>0.23</v>
      </c>
      <c r="C286" s="285" t="s">
        <v>598</v>
      </c>
    </row>
    <row r="287" spans="1:3" ht="18" hidden="1">
      <c r="A287" s="289" t="s">
        <v>49</v>
      </c>
      <c r="B287" s="288">
        <v>0.27600000000000002</v>
      </c>
      <c r="C287" s="285" t="s">
        <v>598</v>
      </c>
    </row>
    <row r="288" spans="1:3" ht="18" hidden="1">
      <c r="A288" s="289" t="s">
        <v>52</v>
      </c>
      <c r="B288" s="288">
        <v>0.32300000000000001</v>
      </c>
      <c r="C288" s="285" t="s">
        <v>598</v>
      </c>
    </row>
    <row r="289" spans="1:3" ht="18" hidden="1">
      <c r="A289" s="289" t="s">
        <v>56</v>
      </c>
      <c r="B289" s="288">
        <v>0.37</v>
      </c>
      <c r="C289" s="285" t="s">
        <v>598</v>
      </c>
    </row>
    <row r="290" spans="1:3" ht="18" hidden="1">
      <c r="A290" s="289" t="s">
        <v>59</v>
      </c>
      <c r="B290" s="288">
        <v>0.46300000000000002</v>
      </c>
      <c r="C290" s="285" t="s">
        <v>598</v>
      </c>
    </row>
    <row r="291" spans="1:3" ht="18" hidden="1">
      <c r="A291" s="289" t="s">
        <v>61</v>
      </c>
      <c r="B291" s="288">
        <v>0.51</v>
      </c>
      <c r="C291" s="285" t="s">
        <v>598</v>
      </c>
    </row>
    <row r="292" spans="1:3" ht="18" hidden="1">
      <c r="A292" s="289" t="s">
        <v>63</v>
      </c>
      <c r="B292" s="288">
        <v>0.55700000000000005</v>
      </c>
      <c r="C292" s="285" t="s">
        <v>598</v>
      </c>
    </row>
    <row r="293" spans="1:3" ht="18" hidden="1">
      <c r="A293" s="289" t="s">
        <v>66</v>
      </c>
      <c r="B293" s="288">
        <v>0.23899999999999999</v>
      </c>
      <c r="C293" s="285" t="s">
        <v>598</v>
      </c>
    </row>
    <row r="294" spans="1:3" ht="18" hidden="1">
      <c r="A294" s="289" t="s">
        <v>68</v>
      </c>
      <c r="B294" s="288">
        <v>0.28799999999999998</v>
      </c>
      <c r="C294" s="285" t="s">
        <v>598</v>
      </c>
    </row>
    <row r="295" spans="1:3" ht="18" hidden="1">
      <c r="A295" s="289" t="s">
        <v>70</v>
      </c>
      <c r="B295" s="288">
        <v>0.33600000000000002</v>
      </c>
      <c r="C295" s="285" t="s">
        <v>598</v>
      </c>
    </row>
    <row r="296" spans="1:3" ht="18" hidden="1">
      <c r="A296" s="289" t="s">
        <v>72</v>
      </c>
      <c r="B296" s="288">
        <v>0.38500000000000001</v>
      </c>
      <c r="C296" s="285" t="s">
        <v>598</v>
      </c>
    </row>
    <row r="297" spans="1:3" ht="18" hidden="1">
      <c r="A297" s="289" t="s">
        <v>74</v>
      </c>
      <c r="B297" s="288">
        <v>0.48199999999999998</v>
      </c>
      <c r="C297" s="285" t="s">
        <v>598</v>
      </c>
    </row>
    <row r="298" spans="1:3" ht="18" hidden="1">
      <c r="A298" s="289" t="s">
        <v>76</v>
      </c>
      <c r="B298" s="288">
        <v>0.53100000000000003</v>
      </c>
      <c r="C298" s="285" t="s">
        <v>598</v>
      </c>
    </row>
    <row r="299" spans="1:3" ht="18" hidden="1">
      <c r="A299" s="289" t="s">
        <v>78</v>
      </c>
      <c r="B299" s="288">
        <v>0.57899999999999996</v>
      </c>
      <c r="C299" s="285" t="s">
        <v>598</v>
      </c>
    </row>
    <row r="300" spans="1:3" ht="18" hidden="1">
      <c r="A300" s="289" t="s">
        <v>81</v>
      </c>
      <c r="B300" s="288">
        <v>0.245</v>
      </c>
      <c r="C300" s="285" t="s">
        <v>598</v>
      </c>
    </row>
    <row r="301" spans="1:3" ht="18" hidden="1">
      <c r="A301" s="289" t="s">
        <v>83</v>
      </c>
      <c r="B301" s="288">
        <v>0.29499999999999998</v>
      </c>
      <c r="C301" s="285" t="s">
        <v>598</v>
      </c>
    </row>
    <row r="302" spans="1:3" ht="18" hidden="1">
      <c r="A302" s="289" t="s">
        <v>85</v>
      </c>
      <c r="B302" s="288">
        <v>0.34499999999999997</v>
      </c>
      <c r="C302" s="285" t="s">
        <v>598</v>
      </c>
    </row>
    <row r="303" spans="1:3" ht="18" hidden="1">
      <c r="A303" s="289" t="s">
        <v>87</v>
      </c>
      <c r="B303" s="288">
        <v>0.39500000000000002</v>
      </c>
      <c r="C303" s="285" t="s">
        <v>598</v>
      </c>
    </row>
    <row r="304" spans="1:3" ht="18" hidden="1">
      <c r="A304" s="289" t="s">
        <v>89</v>
      </c>
      <c r="B304" s="288">
        <v>0.49399999999999999</v>
      </c>
      <c r="C304" s="285" t="s">
        <v>598</v>
      </c>
    </row>
    <row r="305" spans="1:3" ht="18" hidden="1">
      <c r="A305" s="289" t="s">
        <v>91</v>
      </c>
      <c r="B305" s="288">
        <v>0.54400000000000004</v>
      </c>
      <c r="C305" s="285" t="s">
        <v>598</v>
      </c>
    </row>
    <row r="306" spans="1:3" ht="18" hidden="1">
      <c r="A306" s="289" t="s">
        <v>93</v>
      </c>
      <c r="B306" s="288">
        <v>0.59399999999999997</v>
      </c>
      <c r="C306" s="285" t="s">
        <v>598</v>
      </c>
    </row>
    <row r="307" spans="1:3" ht="18" hidden="1">
      <c r="A307" s="289" t="s">
        <v>96</v>
      </c>
      <c r="B307" s="288">
        <v>0.25700000000000001</v>
      </c>
      <c r="C307" s="285" t="s">
        <v>598</v>
      </c>
    </row>
    <row r="308" spans="1:3" ht="18" hidden="1">
      <c r="A308" s="289" t="s">
        <v>98</v>
      </c>
      <c r="B308" s="288">
        <v>0.31</v>
      </c>
      <c r="C308" s="285" t="s">
        <v>598</v>
      </c>
    </row>
    <row r="309" spans="1:3" ht="18" hidden="1">
      <c r="A309" s="289" t="s">
        <v>100</v>
      </c>
      <c r="B309" s="288">
        <v>0.36199999999999999</v>
      </c>
      <c r="C309" s="285" t="s">
        <v>598</v>
      </c>
    </row>
    <row r="310" spans="1:3" ht="18" hidden="1">
      <c r="A310" s="289" t="s">
        <v>102</v>
      </c>
      <c r="B310" s="288">
        <v>0.41499999999999998</v>
      </c>
      <c r="C310" s="285" t="s">
        <v>598</v>
      </c>
    </row>
    <row r="311" spans="1:3" ht="18" hidden="1">
      <c r="A311" s="289" t="s">
        <v>104</v>
      </c>
      <c r="B311" s="288">
        <v>0.51900000000000002</v>
      </c>
      <c r="C311" s="285" t="s">
        <v>598</v>
      </c>
    </row>
    <row r="312" spans="1:3" ht="18" hidden="1">
      <c r="A312" s="289" t="s">
        <v>106</v>
      </c>
      <c r="B312" s="288">
        <v>0.57199999999999995</v>
      </c>
      <c r="C312" s="285" t="s">
        <v>598</v>
      </c>
    </row>
    <row r="313" spans="1:3" ht="18" hidden="1">
      <c r="A313" s="289" t="s">
        <v>108</v>
      </c>
      <c r="B313" s="288">
        <v>0.624</v>
      </c>
      <c r="C313" s="285" t="s">
        <v>598</v>
      </c>
    </row>
    <row r="314" spans="1:3" ht="18" hidden="1">
      <c r="A314" s="289" t="s">
        <v>116</v>
      </c>
      <c r="B314" s="288">
        <f>1.188/74.25</f>
        <v>1.6E-2</v>
      </c>
      <c r="C314" s="285" t="s">
        <v>1519</v>
      </c>
    </row>
    <row r="315" spans="1:3" ht="18" hidden="1">
      <c r="A315" s="287" t="s">
        <v>12</v>
      </c>
      <c r="B315" s="288">
        <v>0.22</v>
      </c>
      <c r="C315" s="285" t="s">
        <v>560</v>
      </c>
    </row>
    <row r="316" spans="1:3" ht="18" hidden="1">
      <c r="A316" s="289" t="s">
        <v>16</v>
      </c>
      <c r="B316" s="288">
        <v>0.26500000000000001</v>
      </c>
      <c r="C316" s="285" t="s">
        <v>560</v>
      </c>
    </row>
    <row r="317" spans="1:3" ht="18" hidden="1">
      <c r="A317" s="289" t="s">
        <v>22</v>
      </c>
      <c r="B317" s="288">
        <v>0.31</v>
      </c>
      <c r="C317" s="285" t="s">
        <v>560</v>
      </c>
    </row>
    <row r="318" spans="1:3" ht="18" hidden="1">
      <c r="A318" s="287" t="s">
        <v>26</v>
      </c>
      <c r="B318" s="288">
        <v>0.35499999999999998</v>
      </c>
      <c r="C318" s="285" t="s">
        <v>560</v>
      </c>
    </row>
    <row r="319" spans="1:3" ht="18" hidden="1">
      <c r="A319" s="289" t="s">
        <v>31</v>
      </c>
      <c r="B319" s="288">
        <v>0.44500000000000001</v>
      </c>
      <c r="C319" s="285" t="s">
        <v>560</v>
      </c>
    </row>
    <row r="320" spans="1:3" ht="18" hidden="1">
      <c r="A320" s="289" t="s">
        <v>35</v>
      </c>
      <c r="B320" s="288">
        <v>0.48899999999999999</v>
      </c>
      <c r="C320" s="285" t="s">
        <v>560</v>
      </c>
    </row>
    <row r="321" spans="1:3" ht="18" hidden="1">
      <c r="A321" s="289" t="s">
        <v>40</v>
      </c>
      <c r="B321" s="288">
        <v>0.53400000000000003</v>
      </c>
      <c r="C321" s="285" t="s">
        <v>560</v>
      </c>
    </row>
    <row r="322" spans="1:3" ht="18" hidden="1">
      <c r="A322" s="289" t="s">
        <v>45</v>
      </c>
      <c r="B322" s="288">
        <v>0.23</v>
      </c>
      <c r="C322" s="285" t="s">
        <v>560</v>
      </c>
    </row>
    <row r="323" spans="1:3" ht="18" hidden="1">
      <c r="A323" s="289" t="s">
        <v>49</v>
      </c>
      <c r="B323" s="288">
        <v>0.27600000000000002</v>
      </c>
      <c r="C323" s="285" t="s">
        <v>560</v>
      </c>
    </row>
    <row r="324" spans="1:3" ht="18" hidden="1">
      <c r="A324" s="289" t="s">
        <v>52</v>
      </c>
      <c r="B324" s="288">
        <v>0.32300000000000001</v>
      </c>
      <c r="C324" s="285" t="s">
        <v>560</v>
      </c>
    </row>
    <row r="325" spans="1:3" ht="18" hidden="1">
      <c r="A325" s="289" t="s">
        <v>56</v>
      </c>
      <c r="B325" s="288">
        <v>0.37</v>
      </c>
      <c r="C325" s="285" t="s">
        <v>560</v>
      </c>
    </row>
    <row r="326" spans="1:3" ht="18" hidden="1">
      <c r="A326" s="289" t="s">
        <v>59</v>
      </c>
      <c r="B326" s="288">
        <v>0.46300000000000002</v>
      </c>
      <c r="C326" s="285" t="s">
        <v>560</v>
      </c>
    </row>
    <row r="327" spans="1:3" ht="18" hidden="1">
      <c r="A327" s="289" t="s">
        <v>61</v>
      </c>
      <c r="B327" s="288">
        <v>0.51</v>
      </c>
      <c r="C327" s="285" t="s">
        <v>560</v>
      </c>
    </row>
    <row r="328" spans="1:3" ht="18" hidden="1">
      <c r="A328" s="289" t="s">
        <v>63</v>
      </c>
      <c r="B328" s="288">
        <v>0.55700000000000005</v>
      </c>
      <c r="C328" s="285" t="s">
        <v>560</v>
      </c>
    </row>
    <row r="329" spans="1:3" ht="18" hidden="1">
      <c r="A329" s="289" t="s">
        <v>66</v>
      </c>
      <c r="B329" s="288">
        <v>0.23899999999999999</v>
      </c>
      <c r="C329" s="285" t="s">
        <v>560</v>
      </c>
    </row>
    <row r="330" spans="1:3" ht="18" hidden="1">
      <c r="A330" s="289" t="s">
        <v>68</v>
      </c>
      <c r="B330" s="288">
        <v>0.28799999999999998</v>
      </c>
      <c r="C330" s="285" t="s">
        <v>560</v>
      </c>
    </row>
    <row r="331" spans="1:3" ht="18" hidden="1">
      <c r="A331" s="289" t="s">
        <v>70</v>
      </c>
      <c r="B331" s="288">
        <v>0.33600000000000002</v>
      </c>
      <c r="C331" s="285" t="s">
        <v>560</v>
      </c>
    </row>
    <row r="332" spans="1:3" ht="18" hidden="1">
      <c r="A332" s="289" t="s">
        <v>72</v>
      </c>
      <c r="B332" s="288">
        <v>0.38500000000000001</v>
      </c>
      <c r="C332" s="285" t="s">
        <v>560</v>
      </c>
    </row>
    <row r="333" spans="1:3" ht="18" hidden="1">
      <c r="A333" s="289" t="s">
        <v>74</v>
      </c>
      <c r="B333" s="288">
        <v>0.48199999999999998</v>
      </c>
      <c r="C333" s="285" t="s">
        <v>560</v>
      </c>
    </row>
    <row r="334" spans="1:3" ht="18" hidden="1">
      <c r="A334" s="289" t="s">
        <v>76</v>
      </c>
      <c r="B334" s="288">
        <v>0.53100000000000003</v>
      </c>
      <c r="C334" s="285" t="s">
        <v>560</v>
      </c>
    </row>
    <row r="335" spans="1:3" ht="18" hidden="1">
      <c r="A335" s="289" t="s">
        <v>78</v>
      </c>
      <c r="B335" s="288">
        <v>0.57899999999999996</v>
      </c>
      <c r="C335" s="285" t="s">
        <v>560</v>
      </c>
    </row>
    <row r="336" spans="1:3" ht="18" hidden="1">
      <c r="A336" s="289" t="s">
        <v>81</v>
      </c>
      <c r="B336" s="288">
        <v>0.245</v>
      </c>
      <c r="C336" s="285" t="s">
        <v>560</v>
      </c>
    </row>
    <row r="337" spans="1:3" ht="18" hidden="1">
      <c r="A337" s="289" t="s">
        <v>83</v>
      </c>
      <c r="B337" s="288">
        <v>0.29499999999999998</v>
      </c>
      <c r="C337" s="285" t="s">
        <v>560</v>
      </c>
    </row>
    <row r="338" spans="1:3" ht="18" hidden="1">
      <c r="A338" s="289" t="s">
        <v>85</v>
      </c>
      <c r="B338" s="288">
        <v>0.34499999999999997</v>
      </c>
      <c r="C338" s="285" t="s">
        <v>560</v>
      </c>
    </row>
    <row r="339" spans="1:3" ht="18" hidden="1">
      <c r="A339" s="289" t="s">
        <v>87</v>
      </c>
      <c r="B339" s="288">
        <v>0.39500000000000002</v>
      </c>
      <c r="C339" s="285" t="s">
        <v>560</v>
      </c>
    </row>
    <row r="340" spans="1:3" ht="18" hidden="1">
      <c r="A340" s="289" t="s">
        <v>89</v>
      </c>
      <c r="B340" s="288">
        <v>0.49399999999999999</v>
      </c>
      <c r="C340" s="285" t="s">
        <v>560</v>
      </c>
    </row>
    <row r="341" spans="1:3" ht="18" hidden="1">
      <c r="A341" s="289" t="s">
        <v>91</v>
      </c>
      <c r="B341" s="288">
        <v>0.54400000000000004</v>
      </c>
      <c r="C341" s="285" t="s">
        <v>560</v>
      </c>
    </row>
    <row r="342" spans="1:3" ht="18" hidden="1">
      <c r="A342" s="289" t="s">
        <v>93</v>
      </c>
      <c r="B342" s="288">
        <v>0.59399999999999997</v>
      </c>
      <c r="C342" s="285" t="s">
        <v>560</v>
      </c>
    </row>
    <row r="343" spans="1:3" ht="18" hidden="1">
      <c r="A343" s="289" t="s">
        <v>96</v>
      </c>
      <c r="B343" s="288">
        <v>0.25700000000000001</v>
      </c>
      <c r="C343" s="285" t="s">
        <v>560</v>
      </c>
    </row>
    <row r="344" spans="1:3" ht="18" hidden="1">
      <c r="A344" s="289" t="s">
        <v>98</v>
      </c>
      <c r="B344" s="288">
        <v>0.31</v>
      </c>
      <c r="C344" s="285" t="s">
        <v>560</v>
      </c>
    </row>
    <row r="345" spans="1:3" ht="18" hidden="1">
      <c r="A345" s="289" t="s">
        <v>100</v>
      </c>
      <c r="B345" s="288">
        <v>0.36199999999999999</v>
      </c>
      <c r="C345" s="285" t="s">
        <v>560</v>
      </c>
    </row>
    <row r="346" spans="1:3" ht="18" hidden="1">
      <c r="A346" s="289" t="s">
        <v>102</v>
      </c>
      <c r="B346" s="288">
        <v>0.41499999999999998</v>
      </c>
      <c r="C346" s="285" t="s">
        <v>560</v>
      </c>
    </row>
    <row r="347" spans="1:3" ht="18" hidden="1">
      <c r="A347" s="289" t="s">
        <v>104</v>
      </c>
      <c r="B347" s="288">
        <v>0.51900000000000002</v>
      </c>
      <c r="C347" s="285" t="s">
        <v>560</v>
      </c>
    </row>
    <row r="348" spans="1:3" ht="18" hidden="1">
      <c r="A348" s="289" t="s">
        <v>106</v>
      </c>
      <c r="B348" s="288">
        <v>0.57199999999999995</v>
      </c>
      <c r="C348" s="285" t="s">
        <v>560</v>
      </c>
    </row>
    <row r="349" spans="1:3" ht="18" hidden="1">
      <c r="A349" s="289" t="s">
        <v>108</v>
      </c>
      <c r="B349" s="288">
        <v>0.624</v>
      </c>
      <c r="C349" s="285" t="s">
        <v>560</v>
      </c>
    </row>
    <row r="350" spans="1:3" ht="18" hidden="1">
      <c r="A350" s="289" t="s">
        <v>116</v>
      </c>
      <c r="B350" s="288">
        <f>1.188/74.25</f>
        <v>1.6E-2</v>
      </c>
      <c r="C350" s="285" t="s">
        <v>1523</v>
      </c>
    </row>
    <row r="351" spans="1:3" ht="18" hidden="1">
      <c r="A351" s="289" t="s">
        <v>487</v>
      </c>
      <c r="B351" s="288">
        <v>0.36699999999999999</v>
      </c>
      <c r="C351" s="285" t="s">
        <v>485</v>
      </c>
    </row>
    <row r="352" spans="1:3" ht="18" hidden="1">
      <c r="A352" s="289" t="s">
        <v>489</v>
      </c>
      <c r="B352" s="288">
        <v>0.442</v>
      </c>
      <c r="C352" s="285" t="s">
        <v>485</v>
      </c>
    </row>
    <row r="353" spans="1:3" ht="18" hidden="1">
      <c r="A353" s="289" t="s">
        <v>491</v>
      </c>
      <c r="B353" s="288">
        <v>0.51700000000000002</v>
      </c>
      <c r="C353" s="285" t="s">
        <v>485</v>
      </c>
    </row>
    <row r="354" spans="1:3" ht="18" hidden="1">
      <c r="A354" s="289" t="s">
        <v>493</v>
      </c>
      <c r="B354" s="288">
        <v>0.59199999999999997</v>
      </c>
      <c r="C354" s="285" t="s">
        <v>485</v>
      </c>
    </row>
    <row r="355" spans="1:3" ht="18" hidden="1">
      <c r="A355" s="289" t="s">
        <v>495</v>
      </c>
      <c r="B355" s="288">
        <v>0.74099999999999999</v>
      </c>
      <c r="C355" s="285" t="s">
        <v>485</v>
      </c>
    </row>
    <row r="356" spans="1:3" ht="18" hidden="1">
      <c r="A356" s="289" t="s">
        <v>497</v>
      </c>
      <c r="B356" s="288">
        <v>0.81599999999999995</v>
      </c>
      <c r="C356" s="285" t="s">
        <v>485</v>
      </c>
    </row>
    <row r="357" spans="1:3" ht="18" hidden="1">
      <c r="A357" s="289" t="s">
        <v>499</v>
      </c>
      <c r="B357" s="288">
        <v>0.89100000000000001</v>
      </c>
      <c r="C357" s="285" t="s">
        <v>485</v>
      </c>
    </row>
    <row r="358" spans="1:3" ht="18" hidden="1">
      <c r="A358" s="289" t="s">
        <v>501</v>
      </c>
      <c r="B358" s="288">
        <v>0.38300000000000001</v>
      </c>
      <c r="C358" s="285" t="s">
        <v>485</v>
      </c>
    </row>
    <row r="359" spans="1:3" ht="18" hidden="1">
      <c r="A359" s="289" t="s">
        <v>503</v>
      </c>
      <c r="B359" s="288">
        <v>0.46100000000000002</v>
      </c>
      <c r="C359" s="285" t="s">
        <v>485</v>
      </c>
    </row>
    <row r="360" spans="1:3" ht="18" hidden="1">
      <c r="A360" s="289" t="s">
        <v>505</v>
      </c>
      <c r="B360" s="288">
        <v>0.53900000000000003</v>
      </c>
      <c r="C360" s="285" t="s">
        <v>485</v>
      </c>
    </row>
    <row r="361" spans="1:3" ht="18" hidden="1">
      <c r="A361" s="289" t="s">
        <v>507</v>
      </c>
      <c r="B361" s="288">
        <v>0.61599999999999999</v>
      </c>
      <c r="C361" s="285" t="s">
        <v>485</v>
      </c>
    </row>
    <row r="362" spans="1:3" ht="18" hidden="1">
      <c r="A362" s="289" t="s">
        <v>509</v>
      </c>
      <c r="B362" s="288">
        <v>0.77200000000000002</v>
      </c>
      <c r="C362" s="285" t="s">
        <v>485</v>
      </c>
    </row>
    <row r="363" spans="1:3" ht="18" hidden="1">
      <c r="A363" s="289" t="s">
        <v>511</v>
      </c>
      <c r="B363" s="288">
        <v>0.85</v>
      </c>
      <c r="C363" s="285" t="s">
        <v>485</v>
      </c>
    </row>
    <row r="364" spans="1:3" ht="18" hidden="1">
      <c r="A364" s="289" t="s">
        <v>513</v>
      </c>
      <c r="B364" s="288">
        <v>0.92800000000000005</v>
      </c>
      <c r="C364" s="285" t="s">
        <v>485</v>
      </c>
    </row>
    <row r="365" spans="1:3" ht="18" hidden="1">
      <c r="A365" s="289" t="s">
        <v>515</v>
      </c>
      <c r="B365" s="288">
        <v>0.39800000000000002</v>
      </c>
      <c r="C365" s="285" t="s">
        <v>485</v>
      </c>
    </row>
    <row r="366" spans="1:3" ht="18" hidden="1">
      <c r="A366" s="289" t="s">
        <v>517</v>
      </c>
      <c r="B366" s="288">
        <v>0.47899999999999998</v>
      </c>
      <c r="C366" s="285" t="s">
        <v>485</v>
      </c>
    </row>
    <row r="367" spans="1:3" ht="18" hidden="1">
      <c r="A367" s="289" t="s">
        <v>519</v>
      </c>
      <c r="B367" s="288">
        <v>0.56000000000000005</v>
      </c>
      <c r="C367" s="285" t="s">
        <v>485</v>
      </c>
    </row>
    <row r="368" spans="1:3" ht="18" hidden="1">
      <c r="A368" s="289" t="s">
        <v>521</v>
      </c>
      <c r="B368" s="288">
        <v>0.64100000000000001</v>
      </c>
      <c r="C368" s="285" t="s">
        <v>485</v>
      </c>
    </row>
    <row r="369" spans="1:3" ht="18" hidden="1">
      <c r="A369" s="289" t="s">
        <v>523</v>
      </c>
      <c r="B369" s="288">
        <v>0.80300000000000005</v>
      </c>
      <c r="C369" s="285" t="s">
        <v>485</v>
      </c>
    </row>
    <row r="370" spans="1:3" ht="18" hidden="1">
      <c r="A370" s="289" t="s">
        <v>525</v>
      </c>
      <c r="B370" s="288">
        <v>0.88400000000000001</v>
      </c>
      <c r="C370" s="285" t="s">
        <v>485</v>
      </c>
    </row>
    <row r="371" spans="1:3" ht="18" hidden="1">
      <c r="A371" s="289" t="s">
        <v>527</v>
      </c>
      <c r="B371" s="288">
        <v>0.96499999999999997</v>
      </c>
      <c r="C371" s="285" t="s">
        <v>485</v>
      </c>
    </row>
    <row r="372" spans="1:3" ht="18" hidden="1">
      <c r="A372" s="289" t="s">
        <v>529</v>
      </c>
      <c r="B372" s="288">
        <v>0.40899999999999997</v>
      </c>
      <c r="C372" s="285" t="s">
        <v>485</v>
      </c>
    </row>
    <row r="373" spans="1:3" ht="18" hidden="1">
      <c r="A373" s="289" t="s">
        <v>531</v>
      </c>
      <c r="B373" s="288">
        <v>0.49199999999999999</v>
      </c>
      <c r="C373" s="285" t="s">
        <v>485</v>
      </c>
    </row>
    <row r="374" spans="1:3" ht="18" hidden="1">
      <c r="A374" s="289" t="s">
        <v>533</v>
      </c>
      <c r="B374" s="288">
        <v>0.57499999999999996</v>
      </c>
      <c r="C374" s="285" t="s">
        <v>485</v>
      </c>
    </row>
    <row r="375" spans="1:3" ht="18" hidden="1">
      <c r="A375" s="289" t="s">
        <v>535</v>
      </c>
      <c r="B375" s="288">
        <v>0.65800000000000003</v>
      </c>
      <c r="C375" s="285" t="s">
        <v>485</v>
      </c>
    </row>
    <row r="376" spans="1:3" ht="18" hidden="1">
      <c r="A376" s="289" t="s">
        <v>537</v>
      </c>
      <c r="B376" s="288">
        <v>0.82399999999999995</v>
      </c>
      <c r="C376" s="285" t="s">
        <v>485</v>
      </c>
    </row>
    <row r="377" spans="1:3" ht="18" hidden="1">
      <c r="A377" s="289" t="s">
        <v>539</v>
      </c>
      <c r="B377" s="288">
        <v>0.90700000000000003</v>
      </c>
      <c r="C377" s="285" t="s">
        <v>485</v>
      </c>
    </row>
    <row r="378" spans="1:3" ht="18" hidden="1">
      <c r="A378" s="289" t="s">
        <v>541</v>
      </c>
      <c r="B378" s="288">
        <v>0.99</v>
      </c>
      <c r="C378" s="285" t="s">
        <v>485</v>
      </c>
    </row>
    <row r="379" spans="1:3" ht="18" hidden="1">
      <c r="A379" s="289" t="s">
        <v>543</v>
      </c>
      <c r="B379" s="288">
        <v>0.42899999999999999</v>
      </c>
      <c r="C379" s="285" t="s">
        <v>485</v>
      </c>
    </row>
    <row r="380" spans="1:3" ht="18" hidden="1">
      <c r="A380" s="289" t="s">
        <v>545</v>
      </c>
      <c r="B380" s="288">
        <v>0.51600000000000001</v>
      </c>
      <c r="C380" s="285" t="s">
        <v>485</v>
      </c>
    </row>
    <row r="381" spans="1:3" ht="18" hidden="1">
      <c r="A381" s="289" t="s">
        <v>547</v>
      </c>
      <c r="B381" s="288">
        <v>0.60399999999999998</v>
      </c>
      <c r="C381" s="285" t="s">
        <v>485</v>
      </c>
    </row>
    <row r="382" spans="1:3" ht="18" hidden="1">
      <c r="A382" s="289" t="s">
        <v>549</v>
      </c>
      <c r="B382" s="288">
        <v>0.69099999999999995</v>
      </c>
      <c r="C382" s="285" t="s">
        <v>485</v>
      </c>
    </row>
    <row r="383" spans="1:3" ht="18" hidden="1">
      <c r="A383" s="289" t="s">
        <v>551</v>
      </c>
      <c r="B383" s="288">
        <v>0.86499999999999999</v>
      </c>
      <c r="C383" s="285" t="s">
        <v>485</v>
      </c>
    </row>
    <row r="384" spans="1:3" ht="18" hidden="1">
      <c r="A384" s="289" t="s">
        <v>553</v>
      </c>
      <c r="B384" s="288">
        <v>0.95299999999999996</v>
      </c>
      <c r="C384" s="285" t="s">
        <v>485</v>
      </c>
    </row>
    <row r="385" spans="1:3" ht="18" hidden="1">
      <c r="A385" s="289" t="s">
        <v>555</v>
      </c>
      <c r="B385" s="288">
        <v>1.04</v>
      </c>
      <c r="C385" s="285" t="s">
        <v>485</v>
      </c>
    </row>
    <row r="386" spans="1:3" ht="18" hidden="1">
      <c r="A386" s="289" t="s">
        <v>559</v>
      </c>
      <c r="B386" s="288">
        <v>2.7E-2</v>
      </c>
      <c r="C386" s="285" t="s">
        <v>1524</v>
      </c>
    </row>
    <row r="387" spans="1:3" ht="18" hidden="1">
      <c r="A387" s="289" t="s">
        <v>747</v>
      </c>
      <c r="B387" s="288">
        <v>0.871</v>
      </c>
      <c r="C387" s="285" t="s">
        <v>743</v>
      </c>
    </row>
    <row r="388" spans="1:3" ht="18" hidden="1">
      <c r="A388" s="289" t="s">
        <v>750</v>
      </c>
      <c r="B388" s="288">
        <v>1.048</v>
      </c>
      <c r="C388" s="285" t="s">
        <v>743</v>
      </c>
    </row>
    <row r="389" spans="1:3" ht="18" hidden="1">
      <c r="A389" s="289" t="s">
        <v>753</v>
      </c>
      <c r="B389" s="288">
        <v>1.2250000000000001</v>
      </c>
      <c r="C389" s="285" t="s">
        <v>743</v>
      </c>
    </row>
    <row r="390" spans="1:3" ht="18" hidden="1">
      <c r="A390" s="289" t="s">
        <v>756</v>
      </c>
      <c r="B390" s="288">
        <v>1.4019999999999999</v>
      </c>
      <c r="C390" s="285" t="s">
        <v>743</v>
      </c>
    </row>
    <row r="391" spans="1:3" ht="18" hidden="1">
      <c r="A391" s="289" t="s">
        <v>759</v>
      </c>
      <c r="B391" s="288">
        <v>1.7569999999999999</v>
      </c>
      <c r="C391" s="285" t="s">
        <v>743</v>
      </c>
    </row>
    <row r="392" spans="1:3" ht="18" hidden="1">
      <c r="A392" s="289" t="s">
        <v>762</v>
      </c>
      <c r="B392" s="288">
        <v>1.9339999999999999</v>
      </c>
      <c r="C392" s="285" t="s">
        <v>743</v>
      </c>
    </row>
    <row r="393" spans="1:3" ht="18" hidden="1">
      <c r="A393" s="289" t="s">
        <v>765</v>
      </c>
      <c r="B393" s="288">
        <v>2.1110000000000002</v>
      </c>
      <c r="C393" s="285" t="s">
        <v>743</v>
      </c>
    </row>
    <row r="394" spans="1:3" ht="18" hidden="1">
      <c r="A394" s="289" t="s">
        <v>768</v>
      </c>
      <c r="B394" s="288">
        <v>0.90700000000000003</v>
      </c>
      <c r="C394" s="285" t="s">
        <v>743</v>
      </c>
    </row>
    <row r="395" spans="1:3" ht="18" hidden="1">
      <c r="A395" s="289" t="s">
        <v>770</v>
      </c>
      <c r="B395" s="288">
        <v>1.0920000000000001</v>
      </c>
      <c r="C395" s="285" t="s">
        <v>743</v>
      </c>
    </row>
    <row r="396" spans="1:3" ht="18" hidden="1">
      <c r="A396" s="289" t="s">
        <v>772</v>
      </c>
      <c r="B396" s="288">
        <v>1.2769999999999999</v>
      </c>
      <c r="C396" s="285" t="s">
        <v>743</v>
      </c>
    </row>
    <row r="397" spans="1:3" ht="18" hidden="1">
      <c r="A397" s="289" t="s">
        <v>774</v>
      </c>
      <c r="B397" s="288">
        <v>1.4610000000000001</v>
      </c>
      <c r="C397" s="285" t="s">
        <v>743</v>
      </c>
    </row>
    <row r="398" spans="1:3" ht="18" hidden="1">
      <c r="A398" s="289" t="s">
        <v>776</v>
      </c>
      <c r="B398" s="288">
        <v>1.83</v>
      </c>
      <c r="C398" s="285" t="s">
        <v>743</v>
      </c>
    </row>
    <row r="399" spans="1:3" ht="18" hidden="1">
      <c r="A399" s="289" t="s">
        <v>778</v>
      </c>
      <c r="B399" s="288">
        <v>2.0150000000000001</v>
      </c>
      <c r="C399" s="285" t="s">
        <v>743</v>
      </c>
    </row>
    <row r="400" spans="1:3" ht="18" hidden="1">
      <c r="A400" s="289" t="s">
        <v>780</v>
      </c>
      <c r="B400" s="288">
        <v>2.1989999999999998</v>
      </c>
      <c r="C400" s="285" t="s">
        <v>743</v>
      </c>
    </row>
    <row r="401" spans="1:3" ht="18" hidden="1">
      <c r="A401" s="289" t="s">
        <v>783</v>
      </c>
      <c r="B401" s="288">
        <v>0.94399999999999995</v>
      </c>
      <c r="C401" s="285" t="s">
        <v>743</v>
      </c>
    </row>
    <row r="402" spans="1:3" ht="18" hidden="1">
      <c r="A402" s="289" t="s">
        <v>785</v>
      </c>
      <c r="B402" s="288">
        <v>1.1359999999999999</v>
      </c>
      <c r="C402" s="285" t="s">
        <v>743</v>
      </c>
    </row>
    <row r="403" spans="1:3" ht="18" hidden="1">
      <c r="A403" s="289" t="s">
        <v>787</v>
      </c>
      <c r="B403" s="288">
        <v>1.3280000000000001</v>
      </c>
      <c r="C403" s="285" t="s">
        <v>743</v>
      </c>
    </row>
    <row r="404" spans="1:3" ht="18" hidden="1">
      <c r="A404" s="289" t="s">
        <v>789</v>
      </c>
      <c r="B404" s="288">
        <v>1.52</v>
      </c>
      <c r="C404" s="285" t="s">
        <v>743</v>
      </c>
    </row>
    <row r="405" spans="1:3" ht="18" hidden="1">
      <c r="A405" s="289" t="s">
        <v>791</v>
      </c>
      <c r="B405" s="288">
        <v>1.9039999999999999</v>
      </c>
      <c r="C405" s="285" t="s">
        <v>743</v>
      </c>
    </row>
    <row r="406" spans="1:3" ht="18" hidden="1">
      <c r="A406" s="289" t="s">
        <v>793</v>
      </c>
      <c r="B406" s="288">
        <v>2.0960000000000001</v>
      </c>
      <c r="C406" s="285" t="s">
        <v>743</v>
      </c>
    </row>
    <row r="407" spans="1:3" ht="18" hidden="1">
      <c r="A407" s="289" t="s">
        <v>795</v>
      </c>
      <c r="B407" s="288">
        <v>2.2879999999999998</v>
      </c>
      <c r="C407" s="285" t="s">
        <v>743</v>
      </c>
    </row>
    <row r="408" spans="1:3" ht="18" hidden="1">
      <c r="A408" s="289" t="s">
        <v>798</v>
      </c>
      <c r="B408" s="288">
        <v>0.96799999999999997</v>
      </c>
      <c r="C408" s="285" t="s">
        <v>743</v>
      </c>
    </row>
    <row r="409" spans="1:3" ht="18" hidden="1">
      <c r="A409" s="289" t="s">
        <v>800</v>
      </c>
      <c r="B409" s="288">
        <v>1.165</v>
      </c>
      <c r="C409" s="285" t="s">
        <v>743</v>
      </c>
    </row>
    <row r="410" spans="1:3" ht="18" hidden="1">
      <c r="A410" s="289" t="s">
        <v>802</v>
      </c>
      <c r="B410" s="288">
        <v>1.3620000000000001</v>
      </c>
      <c r="C410" s="285" t="s">
        <v>743</v>
      </c>
    </row>
    <row r="411" spans="1:3" ht="18" hidden="1">
      <c r="A411" s="289" t="s">
        <v>804</v>
      </c>
      <c r="B411" s="288">
        <v>1.5589999999999999</v>
      </c>
      <c r="C411" s="285" t="s">
        <v>743</v>
      </c>
    </row>
    <row r="412" spans="1:3" ht="18" hidden="1">
      <c r="A412" s="289" t="s">
        <v>806</v>
      </c>
      <c r="B412" s="288">
        <v>1.9530000000000001</v>
      </c>
      <c r="C412" s="285" t="s">
        <v>743</v>
      </c>
    </row>
    <row r="413" spans="1:3" ht="18" hidden="1">
      <c r="A413" s="289" t="s">
        <v>808</v>
      </c>
      <c r="B413" s="288">
        <v>2.15</v>
      </c>
      <c r="C413" s="285" t="s">
        <v>743</v>
      </c>
    </row>
    <row r="414" spans="1:3" ht="18" hidden="1">
      <c r="A414" s="289" t="s">
        <v>810</v>
      </c>
      <c r="B414" s="288">
        <v>2.347</v>
      </c>
      <c r="C414" s="285" t="s">
        <v>743</v>
      </c>
    </row>
    <row r="415" spans="1:3" ht="18" hidden="1">
      <c r="A415" s="289" t="s">
        <v>813</v>
      </c>
      <c r="B415" s="288">
        <v>1.0169999999999999</v>
      </c>
      <c r="C415" s="285" t="s">
        <v>743</v>
      </c>
    </row>
    <row r="416" spans="1:3" ht="18" hidden="1">
      <c r="A416" s="289" t="s">
        <v>815</v>
      </c>
      <c r="B416" s="288">
        <v>1.224</v>
      </c>
      <c r="C416" s="285" t="s">
        <v>743</v>
      </c>
    </row>
    <row r="417" spans="1:3" ht="18" hidden="1">
      <c r="A417" s="289" t="s">
        <v>817</v>
      </c>
      <c r="B417" s="288">
        <v>1.431</v>
      </c>
      <c r="C417" s="285" t="s">
        <v>743</v>
      </c>
    </row>
    <row r="418" spans="1:3" ht="18" hidden="1">
      <c r="A418" s="289" t="s">
        <v>819</v>
      </c>
      <c r="B418" s="288">
        <v>1.6379999999999999</v>
      </c>
      <c r="C418" s="285" t="s">
        <v>743</v>
      </c>
    </row>
    <row r="419" spans="1:3" ht="18" hidden="1">
      <c r="A419" s="289" t="s">
        <v>821</v>
      </c>
      <c r="B419" s="288">
        <v>2.0510000000000002</v>
      </c>
      <c r="C419" s="285" t="s">
        <v>743</v>
      </c>
    </row>
    <row r="420" spans="1:3" ht="18" hidden="1">
      <c r="A420" s="289" t="s">
        <v>823</v>
      </c>
      <c r="B420" s="288">
        <v>2.258</v>
      </c>
      <c r="C420" s="285" t="s">
        <v>743</v>
      </c>
    </row>
    <row r="421" spans="1:3" ht="18" hidden="1">
      <c r="A421" s="289" t="s">
        <v>825</v>
      </c>
      <c r="B421" s="288">
        <v>2.4649999999999999</v>
      </c>
      <c r="C421" s="285" t="s">
        <v>743</v>
      </c>
    </row>
    <row r="422" spans="1:3" ht="18" hidden="1">
      <c r="A422" s="289" t="s">
        <v>1477</v>
      </c>
      <c r="B422" s="288">
        <v>6.5000000000000002E-2</v>
      </c>
      <c r="C422" s="285" t="s">
        <v>743</v>
      </c>
    </row>
    <row r="423" spans="1:3" ht="18" hidden="1">
      <c r="A423" s="289" t="s">
        <v>1477</v>
      </c>
      <c r="B423" s="288">
        <v>6.5000000000000002E-2</v>
      </c>
      <c r="C423" s="285" t="s">
        <v>1520</v>
      </c>
    </row>
    <row r="424" spans="1:3" ht="18" hidden="1">
      <c r="A424" s="289" t="s">
        <v>656</v>
      </c>
      <c r="B424" s="288">
        <v>0.435</v>
      </c>
      <c r="C424" s="285" t="s">
        <v>652</v>
      </c>
    </row>
    <row r="425" spans="1:3" ht="18" hidden="1">
      <c r="A425" s="289" t="s">
        <v>659</v>
      </c>
      <c r="B425" s="288">
        <v>0.52400000000000002</v>
      </c>
      <c r="C425" s="285" t="s">
        <v>652</v>
      </c>
    </row>
    <row r="426" spans="1:3" ht="18" hidden="1">
      <c r="A426" s="289" t="s">
        <v>662</v>
      </c>
      <c r="B426" s="288">
        <v>0.61299999999999999</v>
      </c>
      <c r="C426" s="285" t="s">
        <v>652</v>
      </c>
    </row>
    <row r="427" spans="1:3" ht="18" hidden="1">
      <c r="A427" s="289" t="s">
        <v>665</v>
      </c>
      <c r="B427" s="288">
        <v>0.70099999999999996</v>
      </c>
      <c r="C427" s="285" t="s">
        <v>652</v>
      </c>
    </row>
    <row r="428" spans="1:3" ht="18" hidden="1">
      <c r="A428" s="289" t="s">
        <v>668</v>
      </c>
      <c r="B428" s="288">
        <v>0.878</v>
      </c>
      <c r="C428" s="285" t="s">
        <v>652</v>
      </c>
    </row>
    <row r="429" spans="1:3" ht="18" hidden="1">
      <c r="A429" s="289" t="s">
        <v>671</v>
      </c>
      <c r="B429" s="288">
        <v>0.96699999999999997</v>
      </c>
      <c r="C429" s="285" t="s">
        <v>652</v>
      </c>
    </row>
    <row r="430" spans="1:3" ht="18" hidden="1">
      <c r="A430" s="289" t="s">
        <v>674</v>
      </c>
      <c r="B430" s="288">
        <v>1.0549999999999999</v>
      </c>
      <c r="C430" s="285" t="s">
        <v>652</v>
      </c>
    </row>
    <row r="431" spans="1:3" ht="18" hidden="1">
      <c r="A431" s="289" t="s">
        <v>677</v>
      </c>
      <c r="B431" s="288">
        <v>0.45400000000000001</v>
      </c>
      <c r="C431" s="285" t="s">
        <v>652</v>
      </c>
    </row>
    <row r="432" spans="1:3" ht="18" hidden="1">
      <c r="A432" s="289" t="s">
        <v>679</v>
      </c>
      <c r="B432" s="288">
        <v>0.54600000000000004</v>
      </c>
      <c r="C432" s="285" t="s">
        <v>652</v>
      </c>
    </row>
    <row r="433" spans="1:3" ht="18" hidden="1">
      <c r="A433" s="289" t="s">
        <v>681</v>
      </c>
      <c r="B433" s="288">
        <v>0.63800000000000001</v>
      </c>
      <c r="C433" s="285" t="s">
        <v>652</v>
      </c>
    </row>
    <row r="434" spans="1:3" ht="18" hidden="1">
      <c r="A434" s="289" t="s">
        <v>683</v>
      </c>
      <c r="B434" s="288">
        <v>0.73099999999999998</v>
      </c>
      <c r="C434" s="285" t="s">
        <v>652</v>
      </c>
    </row>
    <row r="435" spans="1:3" ht="18" hidden="1">
      <c r="A435" s="289" t="s">
        <v>685</v>
      </c>
      <c r="B435" s="288">
        <v>0.91500000000000004</v>
      </c>
      <c r="C435" s="285" t="s">
        <v>652</v>
      </c>
    </row>
    <row r="436" spans="1:3" ht="18" hidden="1">
      <c r="A436" s="289" t="s">
        <v>687</v>
      </c>
      <c r="B436" s="288">
        <v>1.0069999999999999</v>
      </c>
      <c r="C436" s="285" t="s">
        <v>652</v>
      </c>
    </row>
    <row r="437" spans="1:3" ht="18" hidden="1">
      <c r="A437" s="289" t="s">
        <v>689</v>
      </c>
      <c r="B437" s="288">
        <v>1.1000000000000001</v>
      </c>
      <c r="C437" s="285" t="s">
        <v>652</v>
      </c>
    </row>
    <row r="438" spans="1:3" ht="18" hidden="1">
      <c r="A438" s="289" t="s">
        <v>692</v>
      </c>
      <c r="B438" s="288">
        <v>0.47199999999999998</v>
      </c>
      <c r="C438" s="285" t="s">
        <v>652</v>
      </c>
    </row>
    <row r="439" spans="1:3" ht="18" hidden="1">
      <c r="A439" s="289" t="s">
        <v>694</v>
      </c>
      <c r="B439" s="288">
        <v>0.56799999999999995</v>
      </c>
      <c r="C439" s="285" t="s">
        <v>652</v>
      </c>
    </row>
    <row r="440" spans="1:3" ht="18" hidden="1">
      <c r="A440" s="289" t="s">
        <v>696</v>
      </c>
      <c r="B440" s="288">
        <v>0.66400000000000003</v>
      </c>
      <c r="C440" s="285" t="s">
        <v>652</v>
      </c>
    </row>
    <row r="441" spans="1:3" ht="18" hidden="1">
      <c r="A441" s="289" t="s">
        <v>698</v>
      </c>
      <c r="B441" s="288">
        <v>0.76</v>
      </c>
      <c r="C441" s="285" t="s">
        <v>652</v>
      </c>
    </row>
    <row r="442" spans="1:3" ht="18" hidden="1">
      <c r="A442" s="289" t="s">
        <v>700</v>
      </c>
      <c r="B442" s="288">
        <v>0.95199999999999996</v>
      </c>
      <c r="C442" s="285" t="s">
        <v>652</v>
      </c>
    </row>
    <row r="443" spans="1:3" ht="18" hidden="1">
      <c r="A443" s="289" t="s">
        <v>702</v>
      </c>
      <c r="B443" s="288">
        <v>1.048</v>
      </c>
      <c r="C443" s="285" t="s">
        <v>652</v>
      </c>
    </row>
    <row r="444" spans="1:3" ht="18" hidden="1">
      <c r="A444" s="289" t="s">
        <v>704</v>
      </c>
      <c r="B444" s="288">
        <v>1.1439999999999999</v>
      </c>
      <c r="C444" s="285" t="s">
        <v>652</v>
      </c>
    </row>
    <row r="445" spans="1:3" ht="18" hidden="1">
      <c r="A445" s="289" t="s">
        <v>707</v>
      </c>
      <c r="B445" s="288">
        <v>0.48399999999999999</v>
      </c>
      <c r="C445" s="285" t="s">
        <v>652</v>
      </c>
    </row>
    <row r="446" spans="1:3" ht="18" hidden="1">
      <c r="A446" s="289" t="s">
        <v>709</v>
      </c>
      <c r="B446" s="288">
        <v>0.58299999999999996</v>
      </c>
      <c r="C446" s="285" t="s">
        <v>652</v>
      </c>
    </row>
    <row r="447" spans="1:3" ht="18" hidden="1">
      <c r="A447" s="289" t="s">
        <v>711</v>
      </c>
      <c r="B447" s="288">
        <v>0.68100000000000005</v>
      </c>
      <c r="C447" s="285" t="s">
        <v>652</v>
      </c>
    </row>
    <row r="448" spans="1:3" ht="18" hidden="1">
      <c r="A448" s="289" t="s">
        <v>713</v>
      </c>
      <c r="B448" s="288">
        <v>0.78</v>
      </c>
      <c r="C448" s="285" t="s">
        <v>652</v>
      </c>
    </row>
    <row r="449" spans="1:3" ht="18" hidden="1">
      <c r="A449" s="289" t="s">
        <v>715</v>
      </c>
      <c r="B449" s="288">
        <v>0.97699999999999998</v>
      </c>
      <c r="C449" s="285" t="s">
        <v>652</v>
      </c>
    </row>
    <row r="450" spans="1:3" ht="18" hidden="1">
      <c r="A450" s="289" t="s">
        <v>717</v>
      </c>
      <c r="B450" s="288">
        <v>1.075</v>
      </c>
      <c r="C450" s="285" t="s">
        <v>652</v>
      </c>
    </row>
    <row r="451" spans="1:3" ht="18" hidden="1">
      <c r="A451" s="289" t="s">
        <v>719</v>
      </c>
      <c r="B451" s="288">
        <v>1.1739999999999999</v>
      </c>
      <c r="C451" s="285" t="s">
        <v>652</v>
      </c>
    </row>
    <row r="452" spans="1:3" ht="18" hidden="1">
      <c r="A452" s="289" t="s">
        <v>722</v>
      </c>
      <c r="B452" s="288">
        <v>0.50900000000000001</v>
      </c>
      <c r="C452" s="285" t="s">
        <v>652</v>
      </c>
    </row>
    <row r="453" spans="1:3" ht="18" hidden="1">
      <c r="A453" s="289" t="s">
        <v>724</v>
      </c>
      <c r="B453" s="288">
        <v>0.61199999999999999</v>
      </c>
      <c r="C453" s="285" t="s">
        <v>652</v>
      </c>
    </row>
    <row r="454" spans="1:3" ht="18" hidden="1">
      <c r="A454" s="289" t="s">
        <v>726</v>
      </c>
      <c r="B454" s="288">
        <v>0.71499999999999997</v>
      </c>
      <c r="C454" s="285" t="s">
        <v>652</v>
      </c>
    </row>
    <row r="455" spans="1:3" ht="18" hidden="1">
      <c r="A455" s="289" t="s">
        <v>728</v>
      </c>
      <c r="B455" s="288">
        <v>0.81899999999999995</v>
      </c>
      <c r="C455" s="285" t="s">
        <v>652</v>
      </c>
    </row>
    <row r="456" spans="1:3" ht="18" hidden="1">
      <c r="A456" s="289" t="s">
        <v>730</v>
      </c>
      <c r="B456" s="288">
        <v>1.026</v>
      </c>
      <c r="C456" s="285" t="s">
        <v>652</v>
      </c>
    </row>
    <row r="457" spans="1:3" ht="18" hidden="1">
      <c r="A457" s="289" t="s">
        <v>732</v>
      </c>
      <c r="B457" s="288">
        <v>1.129</v>
      </c>
      <c r="C457" s="285" t="s">
        <v>652</v>
      </c>
    </row>
    <row r="458" spans="1:3" ht="18" hidden="1">
      <c r="A458" s="289" t="s">
        <v>734</v>
      </c>
      <c r="B458" s="288">
        <v>1.2330000000000001</v>
      </c>
      <c r="C458" s="285" t="s">
        <v>652</v>
      </c>
    </row>
    <row r="459" spans="1:3" ht="18" hidden="1">
      <c r="A459" s="289" t="s">
        <v>1478</v>
      </c>
      <c r="B459" s="288">
        <v>3.2000000000000001E-2</v>
      </c>
      <c r="C459" s="285" t="s">
        <v>1521</v>
      </c>
    </row>
    <row r="460" spans="1:3" ht="18" hidden="1">
      <c r="A460" s="289" t="s">
        <v>656</v>
      </c>
      <c r="B460" s="288">
        <v>0.435</v>
      </c>
      <c r="C460" s="285" t="s">
        <v>834</v>
      </c>
    </row>
    <row r="461" spans="1:3" ht="18" hidden="1">
      <c r="A461" s="289" t="s">
        <v>659</v>
      </c>
      <c r="B461" s="288">
        <v>0.52400000000000002</v>
      </c>
      <c r="C461" s="285" t="s">
        <v>834</v>
      </c>
    </row>
    <row r="462" spans="1:3" ht="18" hidden="1">
      <c r="A462" s="289" t="s">
        <v>662</v>
      </c>
      <c r="B462" s="288">
        <v>0.61299999999999999</v>
      </c>
      <c r="C462" s="285" t="s">
        <v>834</v>
      </c>
    </row>
    <row r="463" spans="1:3" ht="18" hidden="1">
      <c r="A463" s="289" t="s">
        <v>665</v>
      </c>
      <c r="B463" s="288">
        <v>0.70099999999999996</v>
      </c>
      <c r="C463" s="285" t="s">
        <v>834</v>
      </c>
    </row>
    <row r="464" spans="1:3" ht="18" hidden="1">
      <c r="A464" s="289" t="s">
        <v>668</v>
      </c>
      <c r="B464" s="288">
        <v>0.878</v>
      </c>
      <c r="C464" s="285" t="s">
        <v>834</v>
      </c>
    </row>
    <row r="465" spans="1:3" ht="18" hidden="1">
      <c r="A465" s="289" t="s">
        <v>671</v>
      </c>
      <c r="B465" s="288">
        <v>0.96699999999999997</v>
      </c>
      <c r="C465" s="285" t="s">
        <v>834</v>
      </c>
    </row>
    <row r="466" spans="1:3" ht="18" hidden="1">
      <c r="A466" s="289" t="s">
        <v>674</v>
      </c>
      <c r="B466" s="288">
        <v>1.0549999999999999</v>
      </c>
      <c r="C466" s="285" t="s">
        <v>834</v>
      </c>
    </row>
    <row r="467" spans="1:3" ht="18" hidden="1">
      <c r="A467" s="289" t="s">
        <v>677</v>
      </c>
      <c r="B467" s="288">
        <v>0.45400000000000001</v>
      </c>
      <c r="C467" s="285" t="s">
        <v>834</v>
      </c>
    </row>
    <row r="468" spans="1:3" ht="18" hidden="1">
      <c r="A468" s="289" t="s">
        <v>679</v>
      </c>
      <c r="B468" s="288">
        <v>0.54600000000000004</v>
      </c>
      <c r="C468" s="285" t="s">
        <v>834</v>
      </c>
    </row>
    <row r="469" spans="1:3" ht="18" hidden="1">
      <c r="A469" s="289" t="s">
        <v>681</v>
      </c>
      <c r="B469" s="288">
        <v>0.63800000000000001</v>
      </c>
      <c r="C469" s="285" t="s">
        <v>834</v>
      </c>
    </row>
    <row r="470" spans="1:3" ht="18" hidden="1">
      <c r="A470" s="289" t="s">
        <v>683</v>
      </c>
      <c r="B470" s="288">
        <v>0.73099999999999998</v>
      </c>
      <c r="C470" s="285" t="s">
        <v>834</v>
      </c>
    </row>
    <row r="471" spans="1:3" ht="18" hidden="1">
      <c r="A471" s="289" t="s">
        <v>685</v>
      </c>
      <c r="B471" s="288">
        <v>0.91500000000000004</v>
      </c>
      <c r="C471" s="285" t="s">
        <v>834</v>
      </c>
    </row>
    <row r="472" spans="1:3" ht="18" hidden="1">
      <c r="A472" s="289" t="s">
        <v>687</v>
      </c>
      <c r="B472" s="288">
        <v>1.0069999999999999</v>
      </c>
      <c r="C472" s="285" t="s">
        <v>834</v>
      </c>
    </row>
    <row r="473" spans="1:3" ht="18" hidden="1">
      <c r="A473" s="289" t="s">
        <v>689</v>
      </c>
      <c r="B473" s="288">
        <v>1.1000000000000001</v>
      </c>
      <c r="C473" s="285" t="s">
        <v>834</v>
      </c>
    </row>
    <row r="474" spans="1:3" ht="18" hidden="1">
      <c r="A474" s="289" t="s">
        <v>692</v>
      </c>
      <c r="B474" s="288">
        <v>0.47199999999999998</v>
      </c>
      <c r="C474" s="285" t="s">
        <v>834</v>
      </c>
    </row>
    <row r="475" spans="1:3" ht="18" hidden="1">
      <c r="A475" s="289" t="s">
        <v>694</v>
      </c>
      <c r="B475" s="288">
        <v>0.56799999999999995</v>
      </c>
      <c r="C475" s="285" t="s">
        <v>834</v>
      </c>
    </row>
    <row r="476" spans="1:3" ht="18" hidden="1">
      <c r="A476" s="289" t="s">
        <v>696</v>
      </c>
      <c r="B476" s="288">
        <v>0.66400000000000003</v>
      </c>
      <c r="C476" s="285" t="s">
        <v>834</v>
      </c>
    </row>
    <row r="477" spans="1:3" ht="18" hidden="1">
      <c r="A477" s="289" t="s">
        <v>698</v>
      </c>
      <c r="B477" s="288">
        <v>0.76</v>
      </c>
      <c r="C477" s="285" t="s">
        <v>834</v>
      </c>
    </row>
    <row r="478" spans="1:3" ht="18" hidden="1">
      <c r="A478" s="289" t="s">
        <v>700</v>
      </c>
      <c r="B478" s="288">
        <v>0.95199999999999996</v>
      </c>
      <c r="C478" s="285" t="s">
        <v>834</v>
      </c>
    </row>
    <row r="479" spans="1:3" ht="18" hidden="1">
      <c r="A479" s="289" t="s">
        <v>702</v>
      </c>
      <c r="B479" s="288">
        <v>1.048</v>
      </c>
      <c r="C479" s="285" t="s">
        <v>834</v>
      </c>
    </row>
    <row r="480" spans="1:3" ht="18" hidden="1">
      <c r="A480" s="289" t="s">
        <v>704</v>
      </c>
      <c r="B480" s="288">
        <v>1.1439999999999999</v>
      </c>
      <c r="C480" s="285" t="s">
        <v>834</v>
      </c>
    </row>
    <row r="481" spans="1:3" ht="18" hidden="1">
      <c r="A481" s="289" t="s">
        <v>707</v>
      </c>
      <c r="B481" s="288">
        <v>0.48399999999999999</v>
      </c>
      <c r="C481" s="285" t="s">
        <v>834</v>
      </c>
    </row>
    <row r="482" spans="1:3" ht="18" hidden="1">
      <c r="A482" s="289" t="s">
        <v>709</v>
      </c>
      <c r="B482" s="288">
        <v>0.58299999999999996</v>
      </c>
      <c r="C482" s="285" t="s">
        <v>834</v>
      </c>
    </row>
    <row r="483" spans="1:3" ht="18" hidden="1">
      <c r="A483" s="289" t="s">
        <v>711</v>
      </c>
      <c r="B483" s="288">
        <v>0.68100000000000005</v>
      </c>
      <c r="C483" s="285" t="s">
        <v>834</v>
      </c>
    </row>
    <row r="484" spans="1:3" ht="18" hidden="1">
      <c r="A484" s="289" t="s">
        <v>713</v>
      </c>
      <c r="B484" s="288">
        <v>0.78</v>
      </c>
      <c r="C484" s="285" t="s">
        <v>834</v>
      </c>
    </row>
    <row r="485" spans="1:3" ht="18" hidden="1">
      <c r="A485" s="289" t="s">
        <v>715</v>
      </c>
      <c r="B485" s="288">
        <v>0.97699999999999998</v>
      </c>
      <c r="C485" s="285" t="s">
        <v>834</v>
      </c>
    </row>
    <row r="486" spans="1:3" ht="18" hidden="1">
      <c r="A486" s="289" t="s">
        <v>717</v>
      </c>
      <c r="B486" s="288">
        <v>1.075</v>
      </c>
      <c r="C486" s="285" t="s">
        <v>834</v>
      </c>
    </row>
    <row r="487" spans="1:3" ht="18" hidden="1">
      <c r="A487" s="289" t="s">
        <v>719</v>
      </c>
      <c r="B487" s="288">
        <v>1.1739999999999999</v>
      </c>
      <c r="C487" s="285" t="s">
        <v>834</v>
      </c>
    </row>
    <row r="488" spans="1:3" ht="18" hidden="1">
      <c r="A488" s="289" t="s">
        <v>722</v>
      </c>
      <c r="B488" s="288">
        <v>0.50900000000000001</v>
      </c>
      <c r="C488" s="285" t="s">
        <v>834</v>
      </c>
    </row>
    <row r="489" spans="1:3" ht="18" hidden="1">
      <c r="A489" s="289" t="s">
        <v>724</v>
      </c>
      <c r="B489" s="288">
        <v>0.61199999999999999</v>
      </c>
      <c r="C489" s="285" t="s">
        <v>834</v>
      </c>
    </row>
    <row r="490" spans="1:3" ht="18" hidden="1">
      <c r="A490" s="289" t="s">
        <v>726</v>
      </c>
      <c r="B490" s="288">
        <v>0.71499999999999997</v>
      </c>
      <c r="C490" s="285" t="s">
        <v>834</v>
      </c>
    </row>
    <row r="491" spans="1:3" ht="18" hidden="1">
      <c r="A491" s="289" t="s">
        <v>728</v>
      </c>
      <c r="B491" s="288">
        <v>0.81899999999999995</v>
      </c>
      <c r="C491" s="285" t="s">
        <v>834</v>
      </c>
    </row>
    <row r="492" spans="1:3" ht="18" hidden="1">
      <c r="A492" s="289" t="s">
        <v>730</v>
      </c>
      <c r="B492" s="288">
        <v>1.026</v>
      </c>
      <c r="C492" s="285" t="s">
        <v>834</v>
      </c>
    </row>
    <row r="493" spans="1:3" ht="18" hidden="1">
      <c r="A493" s="289" t="s">
        <v>732</v>
      </c>
      <c r="B493" s="288">
        <v>1.129</v>
      </c>
      <c r="C493" s="285" t="s">
        <v>834</v>
      </c>
    </row>
    <row r="494" spans="1:3" ht="18" hidden="1">
      <c r="A494" s="289" t="s">
        <v>734</v>
      </c>
      <c r="B494" s="288">
        <v>1.2330000000000001</v>
      </c>
      <c r="C494" s="285" t="s">
        <v>834</v>
      </c>
    </row>
    <row r="495" spans="1:3" ht="18" hidden="1">
      <c r="A495" s="289" t="s">
        <v>1478</v>
      </c>
      <c r="B495" s="288">
        <v>3.2000000000000001E-2</v>
      </c>
      <c r="C495" s="285" t="s">
        <v>1525</v>
      </c>
    </row>
    <row r="496" spans="1:3" ht="18" hidden="1">
      <c r="A496" s="289" t="s">
        <v>1132</v>
      </c>
      <c r="B496" s="288">
        <v>0.38800000000000001</v>
      </c>
      <c r="C496" s="285" t="s">
        <v>1128</v>
      </c>
    </row>
    <row r="497" spans="1:3" ht="18" hidden="1">
      <c r="A497" s="289" t="s">
        <v>1136</v>
      </c>
      <c r="B497" s="288">
        <v>0.45900000000000002</v>
      </c>
      <c r="C497" s="285" t="s">
        <v>1128</v>
      </c>
    </row>
    <row r="498" spans="1:3" ht="18" hidden="1">
      <c r="A498" s="289" t="s">
        <v>1140</v>
      </c>
      <c r="B498" s="288">
        <v>0.53600000000000003</v>
      </c>
      <c r="C498" s="285" t="s">
        <v>1128</v>
      </c>
    </row>
    <row r="499" spans="1:3" ht="18" hidden="1">
      <c r="A499" s="289" t="s">
        <v>1144</v>
      </c>
      <c r="B499" s="288">
        <v>0.61399999999999999</v>
      </c>
      <c r="C499" s="285" t="s">
        <v>1128</v>
      </c>
    </row>
    <row r="500" spans="1:3" ht="18" hidden="1">
      <c r="A500" s="289" t="s">
        <v>1148</v>
      </c>
      <c r="B500" s="288">
        <v>0.76900000000000002</v>
      </c>
      <c r="C500" s="285" t="s">
        <v>1128</v>
      </c>
    </row>
    <row r="501" spans="1:3" ht="18" hidden="1">
      <c r="A501" s="289" t="s">
        <v>1152</v>
      </c>
      <c r="B501" s="288">
        <v>0.84599999999999997</v>
      </c>
      <c r="C501" s="285" t="s">
        <v>1128</v>
      </c>
    </row>
    <row r="502" spans="1:3" ht="18" hidden="1">
      <c r="A502" s="289" t="s">
        <v>1156</v>
      </c>
      <c r="B502" s="288">
        <v>0.92400000000000004</v>
      </c>
      <c r="C502" s="285" t="s">
        <v>1128</v>
      </c>
    </row>
    <row r="503" spans="1:3" ht="18" hidden="1">
      <c r="A503" s="289" t="s">
        <v>1160</v>
      </c>
      <c r="B503" s="288">
        <v>0.39700000000000002</v>
      </c>
      <c r="C503" s="285" t="s">
        <v>1128</v>
      </c>
    </row>
    <row r="504" spans="1:3" ht="18" hidden="1">
      <c r="A504" s="289" t="s">
        <v>1163</v>
      </c>
      <c r="B504" s="288">
        <v>0.47799999999999998</v>
      </c>
      <c r="C504" s="285" t="s">
        <v>1128</v>
      </c>
    </row>
    <row r="505" spans="1:3" ht="18" hidden="1">
      <c r="A505" s="289" t="s">
        <v>1166</v>
      </c>
      <c r="B505" s="288">
        <v>0.55900000000000005</v>
      </c>
      <c r="C505" s="285" t="s">
        <v>1128</v>
      </c>
    </row>
    <row r="506" spans="1:3" ht="18" hidden="1">
      <c r="A506" s="289" t="s">
        <v>1169</v>
      </c>
      <c r="B506" s="288">
        <v>0.63900000000000001</v>
      </c>
      <c r="C506" s="285" t="s">
        <v>1128</v>
      </c>
    </row>
    <row r="507" spans="1:3" ht="18" hidden="1">
      <c r="A507" s="289" t="s">
        <v>1172</v>
      </c>
      <c r="B507" s="288">
        <v>0.80100000000000005</v>
      </c>
      <c r="C507" s="285" t="s">
        <v>1128</v>
      </c>
    </row>
    <row r="508" spans="1:3" ht="18" hidden="1">
      <c r="A508" s="289" t="s">
        <v>1175</v>
      </c>
      <c r="B508" s="288">
        <v>0.88200000000000001</v>
      </c>
      <c r="C508" s="285" t="s">
        <v>1128</v>
      </c>
    </row>
    <row r="509" spans="1:3" ht="18" hidden="1">
      <c r="A509" s="289" t="s">
        <v>1178</v>
      </c>
      <c r="B509" s="288">
        <v>0.96199999999999997</v>
      </c>
      <c r="C509" s="285" t="s">
        <v>1128</v>
      </c>
    </row>
    <row r="510" spans="1:3" ht="18" hidden="1">
      <c r="A510" s="289" t="s">
        <v>1182</v>
      </c>
      <c r="B510" s="288">
        <v>0.41299999999999998</v>
      </c>
      <c r="C510" s="285" t="s">
        <v>1128</v>
      </c>
    </row>
    <row r="511" spans="1:3" ht="18" hidden="1">
      <c r="A511" s="289" t="s">
        <v>1185</v>
      </c>
      <c r="B511" s="288">
        <v>0.497</v>
      </c>
      <c r="C511" s="285" t="s">
        <v>1128</v>
      </c>
    </row>
    <row r="512" spans="1:3" ht="18" hidden="1">
      <c r="A512" s="289" t="s">
        <v>1188</v>
      </c>
      <c r="B512" s="288">
        <v>0.58099999999999996</v>
      </c>
      <c r="C512" s="285" t="s">
        <v>1128</v>
      </c>
    </row>
    <row r="513" spans="1:3" ht="18" hidden="1">
      <c r="A513" s="289" t="s">
        <v>1191</v>
      </c>
      <c r="B513" s="288">
        <v>0.66500000000000004</v>
      </c>
      <c r="C513" s="285" t="s">
        <v>1128</v>
      </c>
    </row>
    <row r="514" spans="1:3" ht="18" hidden="1">
      <c r="A514" s="289" t="s">
        <v>1194</v>
      </c>
      <c r="B514" s="288">
        <v>0.83299999999999996</v>
      </c>
      <c r="C514" s="285" t="s">
        <v>1128</v>
      </c>
    </row>
    <row r="515" spans="1:3" ht="18" hidden="1">
      <c r="A515" s="289" t="s">
        <v>1197</v>
      </c>
      <c r="B515" s="288">
        <v>0.91700000000000004</v>
      </c>
      <c r="C515" s="285" t="s">
        <v>1128</v>
      </c>
    </row>
    <row r="516" spans="1:3" ht="18" hidden="1">
      <c r="A516" s="289" t="s">
        <v>1200</v>
      </c>
      <c r="B516" s="288">
        <v>1.0009999999999999</v>
      </c>
      <c r="C516" s="285" t="s">
        <v>1128</v>
      </c>
    </row>
    <row r="517" spans="1:3" ht="18" hidden="1">
      <c r="A517" s="289" t="s">
        <v>1204</v>
      </c>
      <c r="B517" s="288">
        <v>0.42399999999999999</v>
      </c>
      <c r="C517" s="285" t="s">
        <v>1128</v>
      </c>
    </row>
    <row r="518" spans="1:3" ht="18" hidden="1">
      <c r="A518" s="289" t="s">
        <v>1207</v>
      </c>
      <c r="B518" s="288">
        <v>0.51</v>
      </c>
      <c r="C518" s="285" t="s">
        <v>1128</v>
      </c>
    </row>
    <row r="519" spans="1:3" ht="18" hidden="1">
      <c r="A519" s="289" t="s">
        <v>1210</v>
      </c>
      <c r="B519" s="288">
        <v>0.59599999999999997</v>
      </c>
      <c r="C519" s="285" t="s">
        <v>1128</v>
      </c>
    </row>
    <row r="520" spans="1:3" ht="18" hidden="1">
      <c r="A520" s="289" t="s">
        <v>1213</v>
      </c>
      <c r="B520" s="288">
        <v>0.68200000000000005</v>
      </c>
      <c r="C520" s="285" t="s">
        <v>1128</v>
      </c>
    </row>
    <row r="521" spans="1:3" ht="18" hidden="1">
      <c r="A521" s="289" t="s">
        <v>1216</v>
      </c>
      <c r="B521" s="288">
        <v>0.85399999999999998</v>
      </c>
      <c r="C521" s="285" t="s">
        <v>1128</v>
      </c>
    </row>
    <row r="522" spans="1:3" ht="18" hidden="1">
      <c r="A522" s="289" t="s">
        <v>1219</v>
      </c>
      <c r="B522" s="288">
        <v>0.94099999999999995</v>
      </c>
      <c r="C522" s="285" t="s">
        <v>1128</v>
      </c>
    </row>
    <row r="523" spans="1:3" ht="18" hidden="1">
      <c r="A523" s="289" t="s">
        <v>1222</v>
      </c>
      <c r="B523" s="288">
        <v>1.0269999999999999</v>
      </c>
      <c r="C523" s="285" t="s">
        <v>1128</v>
      </c>
    </row>
    <row r="524" spans="1:3" ht="18" hidden="1">
      <c r="A524" s="289" t="s">
        <v>1226</v>
      </c>
      <c r="B524" s="288">
        <v>0.44500000000000001</v>
      </c>
      <c r="C524" s="285" t="s">
        <v>1128</v>
      </c>
    </row>
    <row r="525" spans="1:3" ht="18" hidden="1">
      <c r="A525" s="289" t="s">
        <v>1229</v>
      </c>
      <c r="B525" s="288">
        <v>0.53500000000000003</v>
      </c>
      <c r="C525" s="285" t="s">
        <v>1128</v>
      </c>
    </row>
    <row r="526" spans="1:3" ht="18" hidden="1">
      <c r="A526" s="289" t="s">
        <v>1232</v>
      </c>
      <c r="B526" s="288">
        <v>0.626</v>
      </c>
      <c r="C526" s="285" t="s">
        <v>1128</v>
      </c>
    </row>
    <row r="527" spans="1:3" ht="18" hidden="1">
      <c r="A527" s="289" t="s">
        <v>1235</v>
      </c>
      <c r="B527" s="288">
        <v>0.71599999999999997</v>
      </c>
      <c r="C527" s="285" t="s">
        <v>1128</v>
      </c>
    </row>
    <row r="528" spans="1:3" ht="18" hidden="1">
      <c r="A528" s="289" t="s">
        <v>1238</v>
      </c>
      <c r="B528" s="288">
        <v>0.89700000000000002</v>
      </c>
      <c r="C528" s="285" t="s">
        <v>1128</v>
      </c>
    </row>
    <row r="529" spans="1:3" ht="18" hidden="1">
      <c r="A529" s="289" t="s">
        <v>1241</v>
      </c>
      <c r="B529" s="288">
        <v>0.98799999999999999</v>
      </c>
      <c r="C529" s="285" t="s">
        <v>1128</v>
      </c>
    </row>
    <row r="530" spans="1:3" ht="18" hidden="1">
      <c r="A530" s="289" t="s">
        <v>1244</v>
      </c>
      <c r="B530" s="288">
        <v>1.0780000000000001</v>
      </c>
      <c r="C530" s="285" t="s">
        <v>1128</v>
      </c>
    </row>
    <row r="531" spans="1:3" ht="18" hidden="1">
      <c r="A531" s="289" t="s">
        <v>1249</v>
      </c>
      <c r="B531" s="288">
        <v>6.2E-2</v>
      </c>
      <c r="C531" s="285" t="s">
        <v>1128</v>
      </c>
    </row>
    <row r="532" spans="1:3" ht="18" hidden="1">
      <c r="A532" s="289" t="s">
        <v>1254</v>
      </c>
      <c r="B532" s="288">
        <v>2.8000000000000001E-2</v>
      </c>
      <c r="C532" s="285" t="s">
        <v>1128</v>
      </c>
    </row>
    <row r="533" spans="1:3" ht="18" hidden="1">
      <c r="A533" s="289" t="s">
        <v>1133</v>
      </c>
      <c r="B533" s="288">
        <v>0.57199999999999995</v>
      </c>
      <c r="C533" s="285" t="s">
        <v>1128</v>
      </c>
    </row>
    <row r="534" spans="1:3" ht="18" hidden="1">
      <c r="A534" s="289" t="s">
        <v>1137</v>
      </c>
      <c r="B534" s="288">
        <v>0.68799999999999994</v>
      </c>
      <c r="C534" s="285" t="s">
        <v>1128</v>
      </c>
    </row>
    <row r="535" spans="1:3" ht="18" hidden="1">
      <c r="A535" s="289" t="s">
        <v>1141</v>
      </c>
      <c r="B535" s="288">
        <v>0.80400000000000005</v>
      </c>
      <c r="C535" s="285" t="s">
        <v>1128</v>
      </c>
    </row>
    <row r="536" spans="1:3" ht="18" hidden="1">
      <c r="A536" s="289" t="s">
        <v>1145</v>
      </c>
      <c r="B536" s="288">
        <v>0.92</v>
      </c>
      <c r="C536" s="285" t="s">
        <v>1128</v>
      </c>
    </row>
    <row r="537" spans="1:3" ht="18" hidden="1">
      <c r="A537" s="289" t="s">
        <v>1149</v>
      </c>
      <c r="B537" s="288">
        <v>1.153</v>
      </c>
      <c r="C537" s="285" t="s">
        <v>1128</v>
      </c>
    </row>
    <row r="538" spans="1:3" ht="18" hidden="1">
      <c r="A538" s="289" t="s">
        <v>1153</v>
      </c>
      <c r="B538" s="288">
        <v>1.2689999999999999</v>
      </c>
      <c r="C538" s="285" t="s">
        <v>1128</v>
      </c>
    </row>
    <row r="539" spans="1:3" ht="18" hidden="1">
      <c r="A539" s="289" t="s">
        <v>1157</v>
      </c>
      <c r="B539" s="288">
        <v>1.385</v>
      </c>
      <c r="C539" s="285" t="s">
        <v>1128</v>
      </c>
    </row>
    <row r="540" spans="1:3" ht="18" hidden="1">
      <c r="A540" s="289" t="s">
        <v>1161</v>
      </c>
      <c r="B540" s="288">
        <v>0.59599999999999997</v>
      </c>
      <c r="C540" s="285" t="s">
        <v>1128</v>
      </c>
    </row>
    <row r="541" spans="1:3" ht="18" hidden="1">
      <c r="A541" s="289" t="s">
        <v>1164</v>
      </c>
      <c r="B541" s="288">
        <v>0.71699999999999997</v>
      </c>
      <c r="C541" s="285" t="s">
        <v>1128</v>
      </c>
    </row>
    <row r="542" spans="1:3" ht="18" hidden="1">
      <c r="A542" s="289" t="s">
        <v>1167</v>
      </c>
      <c r="B542" s="288">
        <v>0.83799999999999997</v>
      </c>
      <c r="C542" s="285" t="s">
        <v>1128</v>
      </c>
    </row>
    <row r="543" spans="1:3" ht="18" hidden="1">
      <c r="A543" s="289" t="s">
        <v>1170</v>
      </c>
      <c r="B543" s="288">
        <v>0.95899999999999996</v>
      </c>
      <c r="C543" s="285" t="s">
        <v>1128</v>
      </c>
    </row>
    <row r="544" spans="1:3" ht="18" hidden="1">
      <c r="A544" s="289" t="s">
        <v>1173</v>
      </c>
      <c r="B544" s="288">
        <v>1.2010000000000001</v>
      </c>
      <c r="C544" s="285" t="s">
        <v>1128</v>
      </c>
    </row>
    <row r="545" spans="1:3" ht="18" hidden="1">
      <c r="A545" s="289" t="s">
        <v>1176</v>
      </c>
      <c r="B545" s="288">
        <v>1.3220000000000001</v>
      </c>
      <c r="C545" s="285" t="s">
        <v>1128</v>
      </c>
    </row>
    <row r="546" spans="1:3" ht="18" hidden="1">
      <c r="A546" s="289" t="s">
        <v>1179</v>
      </c>
      <c r="B546" s="288">
        <v>1.4430000000000001</v>
      </c>
      <c r="C546" s="285" t="s">
        <v>1128</v>
      </c>
    </row>
    <row r="547" spans="1:3" ht="18" hidden="1">
      <c r="A547" s="289" t="s">
        <v>1183</v>
      </c>
      <c r="B547" s="288">
        <v>0.61899999999999999</v>
      </c>
      <c r="C547" s="285" t="s">
        <v>1128</v>
      </c>
    </row>
    <row r="548" spans="1:3" ht="18" hidden="1">
      <c r="A548" s="289" t="s">
        <v>1186</v>
      </c>
      <c r="B548" s="288">
        <v>0.745</v>
      </c>
      <c r="C548" s="285" t="s">
        <v>1128</v>
      </c>
    </row>
    <row r="549" spans="1:3" ht="18" hidden="1">
      <c r="A549" s="289" t="s">
        <v>1189</v>
      </c>
      <c r="B549" s="288">
        <v>0.871</v>
      </c>
      <c r="C549" s="285" t="s">
        <v>1128</v>
      </c>
    </row>
    <row r="550" spans="1:3" ht="18" hidden="1">
      <c r="A550" s="289" t="s">
        <v>1192</v>
      </c>
      <c r="B550" s="288">
        <v>0.997</v>
      </c>
      <c r="C550" s="285" t="s">
        <v>1128</v>
      </c>
    </row>
    <row r="551" spans="1:3" ht="18" hidden="1">
      <c r="A551" s="289" t="s">
        <v>1195</v>
      </c>
      <c r="B551" s="288">
        <v>1.2490000000000001</v>
      </c>
      <c r="C551" s="285" t="s">
        <v>1128</v>
      </c>
    </row>
    <row r="552" spans="1:3" ht="18" hidden="1">
      <c r="A552" s="289" t="s">
        <v>1198</v>
      </c>
      <c r="B552" s="288">
        <v>1.375</v>
      </c>
      <c r="C552" s="285" t="s">
        <v>1128</v>
      </c>
    </row>
    <row r="553" spans="1:3" ht="18" hidden="1">
      <c r="A553" s="289" t="s">
        <v>1201</v>
      </c>
      <c r="B553" s="288">
        <v>1.5009999999999999</v>
      </c>
      <c r="C553" s="285" t="s">
        <v>1128</v>
      </c>
    </row>
    <row r="554" spans="1:3" ht="18" hidden="1">
      <c r="A554" s="289" t="s">
        <v>1205</v>
      </c>
      <c r="B554" s="288">
        <v>0.63500000000000001</v>
      </c>
      <c r="C554" s="285" t="s">
        <v>1128</v>
      </c>
    </row>
    <row r="555" spans="1:3" ht="18" hidden="1">
      <c r="A555" s="289" t="s">
        <v>1208</v>
      </c>
      <c r="B555" s="288">
        <v>0.76500000000000001</v>
      </c>
      <c r="C555" s="285" t="s">
        <v>1128</v>
      </c>
    </row>
    <row r="556" spans="1:3" ht="18" hidden="1">
      <c r="A556" s="289" t="s">
        <v>1211</v>
      </c>
      <c r="B556" s="288">
        <v>0.89400000000000002</v>
      </c>
      <c r="C556" s="285" t="s">
        <v>1128</v>
      </c>
    </row>
    <row r="557" spans="1:3" ht="18" hidden="1">
      <c r="A557" s="289" t="s">
        <v>1214</v>
      </c>
      <c r="B557" s="288">
        <v>1.0229999999999999</v>
      </c>
      <c r="C557" s="285" t="s">
        <v>1128</v>
      </c>
    </row>
    <row r="558" spans="1:3" ht="18" hidden="1">
      <c r="A558" s="289" t="s">
        <v>1217</v>
      </c>
      <c r="B558" s="288">
        <v>1.282</v>
      </c>
      <c r="C558" s="285" t="s">
        <v>1128</v>
      </c>
    </row>
    <row r="559" spans="1:3" ht="18" hidden="1">
      <c r="A559" s="289" t="s">
        <v>1220</v>
      </c>
      <c r="B559" s="288">
        <v>1.411</v>
      </c>
      <c r="C559" s="285" t="s">
        <v>1128</v>
      </c>
    </row>
    <row r="560" spans="1:3" ht="18" hidden="1">
      <c r="A560" s="289" t="s">
        <v>1223</v>
      </c>
      <c r="B560" s="288">
        <v>1.54</v>
      </c>
      <c r="C560" s="285" t="s">
        <v>1128</v>
      </c>
    </row>
    <row r="561" spans="1:3" ht="18" hidden="1">
      <c r="A561" s="289" t="s">
        <v>1227</v>
      </c>
      <c r="B561" s="288">
        <v>0.66700000000000004</v>
      </c>
      <c r="C561" s="285" t="s">
        <v>1128</v>
      </c>
    </row>
    <row r="562" spans="1:3" ht="18" hidden="1">
      <c r="A562" s="289" t="s">
        <v>1230</v>
      </c>
      <c r="B562" s="288">
        <v>0.80300000000000005</v>
      </c>
      <c r="C562" s="285" t="s">
        <v>1128</v>
      </c>
    </row>
    <row r="563" spans="1:3" ht="18" hidden="1">
      <c r="A563" s="289" t="s">
        <v>1233</v>
      </c>
      <c r="B563" s="288">
        <v>0.93899999999999995</v>
      </c>
      <c r="C563" s="285" t="s">
        <v>1128</v>
      </c>
    </row>
    <row r="564" spans="1:3" ht="18" hidden="1">
      <c r="A564" s="289" t="s">
        <v>1236</v>
      </c>
      <c r="B564" s="288">
        <v>1.075</v>
      </c>
      <c r="C564" s="285" t="s">
        <v>1128</v>
      </c>
    </row>
    <row r="565" spans="1:3" ht="18" hidden="1">
      <c r="A565" s="289" t="s">
        <v>1239</v>
      </c>
      <c r="B565" s="288">
        <v>1.3460000000000001</v>
      </c>
      <c r="C565" s="285" t="s">
        <v>1128</v>
      </c>
    </row>
    <row r="566" spans="1:3" ht="18" hidden="1">
      <c r="A566" s="289" t="s">
        <v>1242</v>
      </c>
      <c r="B566" s="288">
        <v>1.482</v>
      </c>
      <c r="C566" s="285" t="s">
        <v>1128</v>
      </c>
    </row>
    <row r="567" spans="1:3" ht="18" hidden="1">
      <c r="A567" s="289" t="s">
        <v>1245</v>
      </c>
      <c r="B567" s="288">
        <v>1.6180000000000001</v>
      </c>
      <c r="C567" s="285" t="s">
        <v>1128</v>
      </c>
    </row>
    <row r="568" spans="1:3" ht="18" hidden="1">
      <c r="A568" s="289" t="s">
        <v>1250</v>
      </c>
      <c r="B568" s="288">
        <v>9.1999999999999998E-2</v>
      </c>
      <c r="C568" s="285" t="s">
        <v>1128</v>
      </c>
    </row>
    <row r="569" spans="1:3" ht="18" hidden="1">
      <c r="A569" s="289" t="s">
        <v>1255</v>
      </c>
      <c r="B569" s="288">
        <v>4.2000000000000003E-2</v>
      </c>
      <c r="C569" s="285" t="s">
        <v>1128</v>
      </c>
    </row>
    <row r="570" spans="1:3" ht="18">
      <c r="A570" s="289" t="s">
        <v>1132</v>
      </c>
      <c r="B570" s="288">
        <v>0.38800000000000001</v>
      </c>
      <c r="C570" s="285" t="s">
        <v>1256</v>
      </c>
    </row>
    <row r="571" spans="1:3" ht="18">
      <c r="A571" s="289" t="s">
        <v>1136</v>
      </c>
      <c r="B571" s="288">
        <v>0.45900000000000002</v>
      </c>
      <c r="C571" s="285" t="s">
        <v>1256</v>
      </c>
    </row>
    <row r="572" spans="1:3" ht="18">
      <c r="A572" s="289" t="s">
        <v>1140</v>
      </c>
      <c r="B572" s="288">
        <v>0.53600000000000003</v>
      </c>
      <c r="C572" s="285" t="s">
        <v>1256</v>
      </c>
    </row>
    <row r="573" spans="1:3" ht="18">
      <c r="A573" s="289" t="s">
        <v>1144</v>
      </c>
      <c r="B573" s="288">
        <v>0.61399999999999999</v>
      </c>
      <c r="C573" s="285" t="s">
        <v>1256</v>
      </c>
    </row>
    <row r="574" spans="1:3" ht="18">
      <c r="A574" s="289" t="s">
        <v>1148</v>
      </c>
      <c r="B574" s="288">
        <v>0.76900000000000002</v>
      </c>
      <c r="C574" s="285" t="s">
        <v>1256</v>
      </c>
    </row>
    <row r="575" spans="1:3" ht="18">
      <c r="A575" s="289" t="s">
        <v>1152</v>
      </c>
      <c r="B575" s="288">
        <v>0.84599999999999997</v>
      </c>
      <c r="C575" s="285" t="s">
        <v>1256</v>
      </c>
    </row>
    <row r="576" spans="1:3" ht="18">
      <c r="A576" s="289" t="s">
        <v>1156</v>
      </c>
      <c r="B576" s="288">
        <v>0.92400000000000004</v>
      </c>
      <c r="C576" s="285" t="s">
        <v>1256</v>
      </c>
    </row>
    <row r="577" spans="1:3" ht="18">
      <c r="A577" s="289" t="s">
        <v>1160</v>
      </c>
      <c r="B577" s="288">
        <v>0.39700000000000002</v>
      </c>
      <c r="C577" s="285" t="s">
        <v>1256</v>
      </c>
    </row>
    <row r="578" spans="1:3" ht="18">
      <c r="A578" s="289" t="s">
        <v>1163</v>
      </c>
      <c r="B578" s="288">
        <v>0.47799999999999998</v>
      </c>
      <c r="C578" s="285" t="s">
        <v>1256</v>
      </c>
    </row>
    <row r="579" spans="1:3" ht="18">
      <c r="A579" s="289" t="s">
        <v>1166</v>
      </c>
      <c r="B579" s="288">
        <v>0.55900000000000005</v>
      </c>
      <c r="C579" s="285" t="s">
        <v>1256</v>
      </c>
    </row>
    <row r="580" spans="1:3" ht="18">
      <c r="A580" s="289" t="s">
        <v>1169</v>
      </c>
      <c r="B580" s="288">
        <v>0.63900000000000001</v>
      </c>
      <c r="C580" s="285" t="s">
        <v>1256</v>
      </c>
    </row>
    <row r="581" spans="1:3" ht="18">
      <c r="A581" s="289" t="s">
        <v>1172</v>
      </c>
      <c r="B581" s="288">
        <v>0.80100000000000005</v>
      </c>
      <c r="C581" s="285" t="s">
        <v>1256</v>
      </c>
    </row>
    <row r="582" spans="1:3" ht="18">
      <c r="A582" s="289" t="s">
        <v>1175</v>
      </c>
      <c r="B582" s="288">
        <v>0.88200000000000001</v>
      </c>
      <c r="C582" s="285" t="s">
        <v>1256</v>
      </c>
    </row>
    <row r="583" spans="1:3" ht="18">
      <c r="A583" s="289" t="s">
        <v>1178</v>
      </c>
      <c r="B583" s="288">
        <v>0.96199999999999997</v>
      </c>
      <c r="C583" s="285" t="s">
        <v>1256</v>
      </c>
    </row>
    <row r="584" spans="1:3" ht="18">
      <c r="A584" s="289" t="s">
        <v>1182</v>
      </c>
      <c r="B584" s="288">
        <v>0.41299999999999998</v>
      </c>
      <c r="C584" s="285" t="s">
        <v>1256</v>
      </c>
    </row>
    <row r="585" spans="1:3" ht="18">
      <c r="A585" s="289" t="s">
        <v>1185</v>
      </c>
      <c r="B585" s="288">
        <v>0.497</v>
      </c>
      <c r="C585" s="285" t="s">
        <v>1256</v>
      </c>
    </row>
    <row r="586" spans="1:3" ht="18">
      <c r="A586" s="289" t="s">
        <v>1188</v>
      </c>
      <c r="B586" s="288">
        <v>0.58099999999999996</v>
      </c>
      <c r="C586" s="285" t="s">
        <v>1256</v>
      </c>
    </row>
    <row r="587" spans="1:3" ht="18">
      <c r="A587" s="289" t="s">
        <v>1191</v>
      </c>
      <c r="B587" s="288">
        <v>0.66500000000000004</v>
      </c>
      <c r="C587" s="285" t="s">
        <v>1256</v>
      </c>
    </row>
    <row r="588" spans="1:3" ht="18">
      <c r="A588" s="289" t="s">
        <v>1194</v>
      </c>
      <c r="B588" s="288">
        <v>0.83299999999999996</v>
      </c>
      <c r="C588" s="285" t="s">
        <v>1256</v>
      </c>
    </row>
    <row r="589" spans="1:3" ht="18">
      <c r="A589" s="289" t="s">
        <v>1197</v>
      </c>
      <c r="B589" s="288">
        <v>0.91700000000000004</v>
      </c>
      <c r="C589" s="285" t="s">
        <v>1256</v>
      </c>
    </row>
    <row r="590" spans="1:3" ht="18">
      <c r="A590" s="289" t="s">
        <v>1200</v>
      </c>
      <c r="B590" s="288">
        <v>1.0009999999999999</v>
      </c>
      <c r="C590" s="285" t="s">
        <v>1256</v>
      </c>
    </row>
    <row r="591" spans="1:3" ht="18">
      <c r="A591" s="289" t="s">
        <v>1204</v>
      </c>
      <c r="B591" s="288">
        <v>0.42399999999999999</v>
      </c>
      <c r="C591" s="285" t="s">
        <v>1256</v>
      </c>
    </row>
    <row r="592" spans="1:3" ht="18">
      <c r="A592" s="289" t="s">
        <v>1207</v>
      </c>
      <c r="B592" s="288">
        <v>0.51</v>
      </c>
      <c r="C592" s="285" t="s">
        <v>1256</v>
      </c>
    </row>
    <row r="593" spans="1:3" ht="18">
      <c r="A593" s="289" t="s">
        <v>1210</v>
      </c>
      <c r="B593" s="288">
        <v>0.59599999999999997</v>
      </c>
      <c r="C593" s="285" t="s">
        <v>1256</v>
      </c>
    </row>
    <row r="594" spans="1:3" ht="18">
      <c r="A594" s="289" t="s">
        <v>1213</v>
      </c>
      <c r="B594" s="288">
        <v>0.68200000000000005</v>
      </c>
      <c r="C594" s="285" t="s">
        <v>1256</v>
      </c>
    </row>
    <row r="595" spans="1:3" ht="18">
      <c r="A595" s="289" t="s">
        <v>1216</v>
      </c>
      <c r="B595" s="288">
        <v>0.85399999999999998</v>
      </c>
      <c r="C595" s="285" t="s">
        <v>1256</v>
      </c>
    </row>
    <row r="596" spans="1:3" ht="18">
      <c r="A596" s="289" t="s">
        <v>1219</v>
      </c>
      <c r="B596" s="288">
        <v>0.94099999999999995</v>
      </c>
      <c r="C596" s="285" t="s">
        <v>1256</v>
      </c>
    </row>
    <row r="597" spans="1:3" ht="18">
      <c r="A597" s="289" t="s">
        <v>1222</v>
      </c>
      <c r="B597" s="288">
        <v>1.0269999999999999</v>
      </c>
      <c r="C597" s="285" t="s">
        <v>1256</v>
      </c>
    </row>
    <row r="598" spans="1:3" ht="18">
      <c r="A598" s="289" t="s">
        <v>1226</v>
      </c>
      <c r="B598" s="288">
        <v>0.44500000000000001</v>
      </c>
      <c r="C598" s="285" t="s">
        <v>1256</v>
      </c>
    </row>
    <row r="599" spans="1:3" ht="18">
      <c r="A599" s="289" t="s">
        <v>1229</v>
      </c>
      <c r="B599" s="288">
        <v>0.53500000000000003</v>
      </c>
      <c r="C599" s="285" t="s">
        <v>1256</v>
      </c>
    </row>
    <row r="600" spans="1:3" ht="18">
      <c r="A600" s="289" t="s">
        <v>1232</v>
      </c>
      <c r="B600" s="288">
        <v>0.626</v>
      </c>
      <c r="C600" s="285" t="s">
        <v>1256</v>
      </c>
    </row>
    <row r="601" spans="1:3" ht="18">
      <c r="A601" s="289" t="s">
        <v>1235</v>
      </c>
      <c r="B601" s="288">
        <v>0.71599999999999997</v>
      </c>
      <c r="C601" s="285" t="s">
        <v>1256</v>
      </c>
    </row>
    <row r="602" spans="1:3" ht="18">
      <c r="A602" s="289" t="s">
        <v>1238</v>
      </c>
      <c r="B602" s="288">
        <v>0.89700000000000002</v>
      </c>
      <c r="C602" s="285" t="s">
        <v>1256</v>
      </c>
    </row>
    <row r="603" spans="1:3" ht="18">
      <c r="A603" s="289" t="s">
        <v>1241</v>
      </c>
      <c r="B603" s="288">
        <v>0.98799999999999999</v>
      </c>
      <c r="C603" s="285" t="s">
        <v>1256</v>
      </c>
    </row>
    <row r="604" spans="1:3" ht="18">
      <c r="A604" s="289" t="s">
        <v>1244</v>
      </c>
      <c r="B604" s="288">
        <v>1.0780000000000001</v>
      </c>
      <c r="C604" s="285" t="s">
        <v>1256</v>
      </c>
    </row>
    <row r="605" spans="1:3" ht="18">
      <c r="A605" s="289" t="s">
        <v>1249</v>
      </c>
      <c r="B605" s="288">
        <v>6.2E-2</v>
      </c>
      <c r="C605" s="285" t="s">
        <v>1256</v>
      </c>
    </row>
    <row r="606" spans="1:3" ht="18">
      <c r="A606" s="289" t="s">
        <v>1254</v>
      </c>
      <c r="B606" s="288">
        <v>2.8000000000000001E-2</v>
      </c>
      <c r="C606" s="285" t="s">
        <v>1256</v>
      </c>
    </row>
    <row r="607" spans="1:3" ht="18">
      <c r="A607" s="289" t="s">
        <v>1133</v>
      </c>
      <c r="B607" s="288">
        <v>0.57199999999999995</v>
      </c>
      <c r="C607" s="285" t="s">
        <v>1256</v>
      </c>
    </row>
    <row r="608" spans="1:3" ht="18">
      <c r="A608" s="289" t="s">
        <v>1137</v>
      </c>
      <c r="B608" s="288">
        <v>0.68799999999999994</v>
      </c>
      <c r="C608" s="285" t="s">
        <v>1256</v>
      </c>
    </row>
    <row r="609" spans="1:3" ht="18">
      <c r="A609" s="289" t="s">
        <v>1141</v>
      </c>
      <c r="B609" s="288">
        <v>0.80400000000000005</v>
      </c>
      <c r="C609" s="285" t="s">
        <v>1256</v>
      </c>
    </row>
    <row r="610" spans="1:3" ht="18">
      <c r="A610" s="289" t="s">
        <v>1145</v>
      </c>
      <c r="B610" s="288">
        <v>0.92</v>
      </c>
      <c r="C610" s="285" t="s">
        <v>1256</v>
      </c>
    </row>
    <row r="611" spans="1:3" ht="18">
      <c r="A611" s="289" t="s">
        <v>1149</v>
      </c>
      <c r="B611" s="288">
        <v>1.153</v>
      </c>
      <c r="C611" s="285" t="s">
        <v>1256</v>
      </c>
    </row>
    <row r="612" spans="1:3" ht="18">
      <c r="A612" s="289" t="s">
        <v>1153</v>
      </c>
      <c r="B612" s="288">
        <v>1.2689999999999999</v>
      </c>
      <c r="C612" s="285" t="s">
        <v>1256</v>
      </c>
    </row>
    <row r="613" spans="1:3" ht="18">
      <c r="A613" s="289" t="s">
        <v>1157</v>
      </c>
      <c r="B613" s="288">
        <v>1.385</v>
      </c>
      <c r="C613" s="285" t="s">
        <v>1256</v>
      </c>
    </row>
    <row r="614" spans="1:3" ht="18">
      <c r="A614" s="289" t="s">
        <v>1161</v>
      </c>
      <c r="B614" s="288">
        <v>0.59599999999999997</v>
      </c>
      <c r="C614" s="285" t="s">
        <v>1256</v>
      </c>
    </row>
    <row r="615" spans="1:3" ht="18">
      <c r="A615" s="289" t="s">
        <v>1164</v>
      </c>
      <c r="B615" s="288">
        <v>0.71699999999999997</v>
      </c>
      <c r="C615" s="285" t="s">
        <v>1256</v>
      </c>
    </row>
    <row r="616" spans="1:3" ht="18">
      <c r="A616" s="289" t="s">
        <v>1167</v>
      </c>
      <c r="B616" s="288">
        <v>0.83799999999999997</v>
      </c>
      <c r="C616" s="285" t="s">
        <v>1256</v>
      </c>
    </row>
    <row r="617" spans="1:3" ht="18">
      <c r="A617" s="289" t="s">
        <v>1170</v>
      </c>
      <c r="B617" s="288">
        <v>0.95899999999999996</v>
      </c>
      <c r="C617" s="285" t="s">
        <v>1256</v>
      </c>
    </row>
    <row r="618" spans="1:3" ht="18">
      <c r="A618" s="289" t="s">
        <v>1173</v>
      </c>
      <c r="B618" s="288">
        <v>1.2010000000000001</v>
      </c>
      <c r="C618" s="285" t="s">
        <v>1256</v>
      </c>
    </row>
    <row r="619" spans="1:3" ht="18">
      <c r="A619" s="289" t="s">
        <v>1176</v>
      </c>
      <c r="B619" s="288">
        <v>1.3220000000000001</v>
      </c>
      <c r="C619" s="285" t="s">
        <v>1256</v>
      </c>
    </row>
    <row r="620" spans="1:3" ht="18">
      <c r="A620" s="289" t="s">
        <v>1179</v>
      </c>
      <c r="B620" s="288">
        <v>1.4430000000000001</v>
      </c>
      <c r="C620" s="285" t="s">
        <v>1256</v>
      </c>
    </row>
    <row r="621" spans="1:3" ht="18">
      <c r="A621" s="289" t="s">
        <v>1183</v>
      </c>
      <c r="B621" s="288">
        <v>0.61899999999999999</v>
      </c>
      <c r="C621" s="285" t="s">
        <v>1256</v>
      </c>
    </row>
    <row r="622" spans="1:3" ht="18">
      <c r="A622" s="289" t="s">
        <v>1186</v>
      </c>
      <c r="B622" s="288">
        <v>0.745</v>
      </c>
      <c r="C622" s="285" t="s">
        <v>1256</v>
      </c>
    </row>
    <row r="623" spans="1:3" ht="18">
      <c r="A623" s="289" t="s">
        <v>1189</v>
      </c>
      <c r="B623" s="288">
        <v>0.871</v>
      </c>
      <c r="C623" s="285" t="s">
        <v>1256</v>
      </c>
    </row>
    <row r="624" spans="1:3" ht="18">
      <c r="A624" s="289" t="s">
        <v>1192</v>
      </c>
      <c r="B624" s="288">
        <v>0.997</v>
      </c>
      <c r="C624" s="285" t="s">
        <v>1256</v>
      </c>
    </row>
    <row r="625" spans="1:3" ht="18">
      <c r="A625" s="289" t="s">
        <v>1195</v>
      </c>
      <c r="B625" s="288">
        <v>1.2490000000000001</v>
      </c>
      <c r="C625" s="285" t="s">
        <v>1256</v>
      </c>
    </row>
    <row r="626" spans="1:3" ht="18">
      <c r="A626" s="289" t="s">
        <v>1198</v>
      </c>
      <c r="B626" s="288">
        <v>1.375</v>
      </c>
      <c r="C626" s="285" t="s">
        <v>1256</v>
      </c>
    </row>
    <row r="627" spans="1:3" ht="18">
      <c r="A627" s="289" t="s">
        <v>1201</v>
      </c>
      <c r="B627" s="288">
        <v>1.5009999999999999</v>
      </c>
      <c r="C627" s="285" t="s">
        <v>1256</v>
      </c>
    </row>
    <row r="628" spans="1:3" ht="18">
      <c r="A628" s="289" t="s">
        <v>1205</v>
      </c>
      <c r="B628" s="288">
        <v>0.63500000000000001</v>
      </c>
      <c r="C628" s="285" t="s">
        <v>1256</v>
      </c>
    </row>
    <row r="629" spans="1:3" ht="18">
      <c r="A629" s="289" t="s">
        <v>1208</v>
      </c>
      <c r="B629" s="288">
        <v>0.76500000000000001</v>
      </c>
      <c r="C629" s="285" t="s">
        <v>1256</v>
      </c>
    </row>
    <row r="630" spans="1:3" ht="18">
      <c r="A630" s="289" t="s">
        <v>1211</v>
      </c>
      <c r="B630" s="288">
        <v>0.89400000000000002</v>
      </c>
      <c r="C630" s="285" t="s">
        <v>1256</v>
      </c>
    </row>
    <row r="631" spans="1:3" ht="18">
      <c r="A631" s="289" t="s">
        <v>1214</v>
      </c>
      <c r="B631" s="288">
        <v>1.0229999999999999</v>
      </c>
      <c r="C631" s="285" t="s">
        <v>1256</v>
      </c>
    </row>
    <row r="632" spans="1:3" ht="18">
      <c r="A632" s="289" t="s">
        <v>1217</v>
      </c>
      <c r="B632" s="288">
        <v>1.282</v>
      </c>
      <c r="C632" s="285" t="s">
        <v>1256</v>
      </c>
    </row>
    <row r="633" spans="1:3" ht="18">
      <c r="A633" s="289" t="s">
        <v>1220</v>
      </c>
      <c r="B633" s="288">
        <v>1.411</v>
      </c>
      <c r="C633" s="285" t="s">
        <v>1256</v>
      </c>
    </row>
    <row r="634" spans="1:3" ht="18">
      <c r="A634" s="289" t="s">
        <v>1223</v>
      </c>
      <c r="B634" s="288">
        <v>1.54</v>
      </c>
      <c r="C634" s="285" t="s">
        <v>1256</v>
      </c>
    </row>
    <row r="635" spans="1:3" ht="18">
      <c r="A635" s="289" t="s">
        <v>1227</v>
      </c>
      <c r="B635" s="288">
        <v>0.66700000000000004</v>
      </c>
      <c r="C635" s="285" t="s">
        <v>1256</v>
      </c>
    </row>
    <row r="636" spans="1:3" ht="18">
      <c r="A636" s="289" t="s">
        <v>1230</v>
      </c>
      <c r="B636" s="288">
        <v>0.80300000000000005</v>
      </c>
      <c r="C636" s="285" t="s">
        <v>1256</v>
      </c>
    </row>
    <row r="637" spans="1:3" ht="18">
      <c r="A637" s="289" t="s">
        <v>1233</v>
      </c>
      <c r="B637" s="288">
        <v>0.93899999999999995</v>
      </c>
      <c r="C637" s="285" t="s">
        <v>1256</v>
      </c>
    </row>
    <row r="638" spans="1:3" ht="18">
      <c r="A638" s="289" t="s">
        <v>1236</v>
      </c>
      <c r="B638" s="288">
        <v>1.075</v>
      </c>
      <c r="C638" s="285" t="s">
        <v>1256</v>
      </c>
    </row>
    <row r="639" spans="1:3" ht="18">
      <c r="A639" s="289" t="s">
        <v>1239</v>
      </c>
      <c r="B639" s="288">
        <v>1.3460000000000001</v>
      </c>
      <c r="C639" s="285" t="s">
        <v>1256</v>
      </c>
    </row>
    <row r="640" spans="1:3" ht="18">
      <c r="A640" s="289" t="s">
        <v>1242</v>
      </c>
      <c r="B640" s="288">
        <v>1.482</v>
      </c>
      <c r="C640" s="285" t="s">
        <v>1256</v>
      </c>
    </row>
    <row r="641" spans="1:3" ht="18">
      <c r="A641" s="289" t="s">
        <v>1245</v>
      </c>
      <c r="B641" s="288">
        <v>1.6180000000000001</v>
      </c>
      <c r="C641" s="285" t="s">
        <v>1256</v>
      </c>
    </row>
    <row r="642" spans="1:3" ht="18">
      <c r="A642" s="289" t="s">
        <v>1250</v>
      </c>
      <c r="B642" s="288">
        <v>9.1999999999999998E-2</v>
      </c>
      <c r="C642" s="285" t="s">
        <v>1256</v>
      </c>
    </row>
    <row r="643" spans="1:3" ht="18">
      <c r="A643" s="289" t="s">
        <v>1255</v>
      </c>
      <c r="B643" s="288">
        <v>4.2000000000000003E-2</v>
      </c>
      <c r="C643" s="285" t="s">
        <v>1256</v>
      </c>
    </row>
    <row r="644" spans="1:3" ht="18" hidden="1">
      <c r="A644" s="286" t="s">
        <v>913</v>
      </c>
      <c r="B644" s="239">
        <v>2.722</v>
      </c>
      <c r="C644" s="285" t="s">
        <v>909</v>
      </c>
    </row>
    <row r="645" spans="1:3" ht="18" hidden="1">
      <c r="A645" s="286" t="s">
        <v>917</v>
      </c>
      <c r="B645" s="239">
        <v>3.2749999999999999</v>
      </c>
      <c r="C645" s="285" t="s">
        <v>909</v>
      </c>
    </row>
    <row r="646" spans="1:3" ht="18" hidden="1">
      <c r="A646" s="286" t="s">
        <v>921</v>
      </c>
      <c r="B646" s="239">
        <v>3.8290000000000002</v>
      </c>
      <c r="C646" s="285" t="s">
        <v>909</v>
      </c>
    </row>
    <row r="647" spans="1:3" ht="18" hidden="1">
      <c r="A647" s="286" t="s">
        <v>925</v>
      </c>
      <c r="B647" s="239">
        <v>4.3819999999999997</v>
      </c>
      <c r="C647" s="285" t="s">
        <v>909</v>
      </c>
    </row>
    <row r="648" spans="1:3" ht="18" hidden="1">
      <c r="A648" s="286" t="s">
        <v>929</v>
      </c>
      <c r="B648" s="239">
        <v>5.4889999999999999</v>
      </c>
      <c r="C648" s="285" t="s">
        <v>909</v>
      </c>
    </row>
    <row r="649" spans="1:3" ht="18" hidden="1">
      <c r="A649" s="286" t="s">
        <v>933</v>
      </c>
      <c r="B649" s="239">
        <v>6.0430000000000001</v>
      </c>
      <c r="C649" s="285" t="s">
        <v>909</v>
      </c>
    </row>
    <row r="650" spans="1:3" ht="18" hidden="1">
      <c r="A650" s="286" t="s">
        <v>937</v>
      </c>
      <c r="B650" s="239">
        <v>6.5960000000000001</v>
      </c>
      <c r="C650" s="285" t="s">
        <v>909</v>
      </c>
    </row>
    <row r="651" spans="1:3" ht="18" hidden="1">
      <c r="A651" s="286" t="s">
        <v>941</v>
      </c>
      <c r="B651" s="239">
        <v>2.8359999999999999</v>
      </c>
      <c r="C651" s="285" t="s">
        <v>909</v>
      </c>
    </row>
    <row r="652" spans="1:3" ht="18" hidden="1">
      <c r="A652" s="286" t="s">
        <v>944</v>
      </c>
      <c r="B652" s="239">
        <v>3.4129999999999998</v>
      </c>
      <c r="C652" s="285" t="s">
        <v>909</v>
      </c>
    </row>
    <row r="653" spans="1:3" ht="18" hidden="1">
      <c r="A653" s="286" t="s">
        <v>947</v>
      </c>
      <c r="B653" s="239">
        <v>3.9889999999999999</v>
      </c>
      <c r="C653" s="285" t="s">
        <v>909</v>
      </c>
    </row>
    <row r="654" spans="1:3" ht="18" hidden="1">
      <c r="A654" s="286" t="s">
        <v>950</v>
      </c>
      <c r="B654" s="239">
        <v>4.5659999999999998</v>
      </c>
      <c r="C654" s="285" t="s">
        <v>909</v>
      </c>
    </row>
    <row r="655" spans="1:3" ht="18" hidden="1">
      <c r="A655" s="286" t="s">
        <v>953</v>
      </c>
      <c r="B655" s="239">
        <v>5.72</v>
      </c>
      <c r="C655" s="285" t="s">
        <v>909</v>
      </c>
    </row>
    <row r="656" spans="1:3" ht="18" hidden="1">
      <c r="A656" s="286" t="s">
        <v>956</v>
      </c>
      <c r="B656" s="239">
        <v>6.2960000000000003</v>
      </c>
      <c r="C656" s="285" t="s">
        <v>909</v>
      </c>
    </row>
    <row r="657" spans="1:3" ht="18" hidden="1">
      <c r="A657" s="286" t="s">
        <v>959</v>
      </c>
      <c r="B657" s="239">
        <v>6.8730000000000002</v>
      </c>
      <c r="C657" s="285" t="s">
        <v>909</v>
      </c>
    </row>
    <row r="658" spans="1:3" ht="18" hidden="1">
      <c r="A658" s="286" t="s">
        <v>963</v>
      </c>
      <c r="B658" s="239">
        <v>2.95</v>
      </c>
      <c r="C658" s="285" t="s">
        <v>909</v>
      </c>
    </row>
    <row r="659" spans="1:3" ht="18" hidden="1">
      <c r="A659" s="286" t="s">
        <v>966</v>
      </c>
      <c r="B659" s="239">
        <v>3.55</v>
      </c>
      <c r="C659" s="285" t="s">
        <v>909</v>
      </c>
    </row>
    <row r="660" spans="1:3" ht="18" hidden="1">
      <c r="A660" s="286" t="s">
        <v>969</v>
      </c>
      <c r="B660" s="239">
        <v>4.1500000000000004</v>
      </c>
      <c r="C660" s="285" t="s">
        <v>909</v>
      </c>
    </row>
    <row r="661" spans="1:3" ht="18" hidden="1">
      <c r="A661" s="286" t="s">
        <v>972</v>
      </c>
      <c r="B661" s="239">
        <v>4.75</v>
      </c>
      <c r="C661" s="285" t="s">
        <v>909</v>
      </c>
    </row>
    <row r="662" spans="1:3" ht="18" hidden="1">
      <c r="A662" s="286" t="s">
        <v>975</v>
      </c>
      <c r="B662" s="239">
        <v>5.95</v>
      </c>
      <c r="C662" s="285" t="s">
        <v>909</v>
      </c>
    </row>
    <row r="663" spans="1:3" ht="18" hidden="1">
      <c r="A663" s="286" t="s">
        <v>978</v>
      </c>
      <c r="B663" s="239">
        <v>6.55</v>
      </c>
      <c r="C663" s="285" t="s">
        <v>909</v>
      </c>
    </row>
    <row r="664" spans="1:3" ht="18" hidden="1">
      <c r="A664" s="286" t="s">
        <v>981</v>
      </c>
      <c r="B664" s="239">
        <v>7.15</v>
      </c>
      <c r="C664" s="285" t="s">
        <v>909</v>
      </c>
    </row>
    <row r="665" spans="1:3" ht="18" hidden="1">
      <c r="A665" s="286" t="s">
        <v>985</v>
      </c>
      <c r="B665" s="239">
        <v>3.0259999999999998</v>
      </c>
      <c r="C665" s="285" t="s">
        <v>909</v>
      </c>
    </row>
    <row r="666" spans="1:3" ht="18" hidden="1">
      <c r="A666" s="286" t="s">
        <v>988</v>
      </c>
      <c r="B666" s="239">
        <v>3.6419999999999999</v>
      </c>
      <c r="C666" s="285" t="s">
        <v>909</v>
      </c>
    </row>
    <row r="667" spans="1:3" ht="18" hidden="1">
      <c r="A667" s="286" t="s">
        <v>991</v>
      </c>
      <c r="B667" s="239">
        <v>4.2569999999999997</v>
      </c>
      <c r="C667" s="285" t="s">
        <v>909</v>
      </c>
    </row>
    <row r="668" spans="1:3" ht="18" hidden="1">
      <c r="A668" s="286" t="s">
        <v>994</v>
      </c>
      <c r="B668" s="239">
        <v>4.8730000000000002</v>
      </c>
      <c r="C668" s="285" t="s">
        <v>909</v>
      </c>
    </row>
    <row r="669" spans="1:3" ht="18" hidden="1">
      <c r="A669" s="286" t="s">
        <v>997</v>
      </c>
      <c r="B669" s="239">
        <v>6.1040000000000001</v>
      </c>
      <c r="C669" s="285" t="s">
        <v>909</v>
      </c>
    </row>
    <row r="670" spans="1:3" ht="18" hidden="1">
      <c r="A670" s="286" t="s">
        <v>1000</v>
      </c>
      <c r="B670" s="239">
        <v>6.7190000000000003</v>
      </c>
      <c r="C670" s="285" t="s">
        <v>909</v>
      </c>
    </row>
    <row r="671" spans="1:3" ht="18" hidden="1">
      <c r="A671" s="286" t="s">
        <v>1003</v>
      </c>
      <c r="B671" s="239">
        <v>7.335</v>
      </c>
      <c r="C671" s="285" t="s">
        <v>909</v>
      </c>
    </row>
    <row r="672" spans="1:3" ht="18" hidden="1">
      <c r="A672" s="286" t="s">
        <v>1007</v>
      </c>
      <c r="B672" s="239">
        <v>3.1779999999999999</v>
      </c>
      <c r="C672" s="285" t="s">
        <v>909</v>
      </c>
    </row>
    <row r="673" spans="1:3" ht="18" hidden="1">
      <c r="A673" s="286" t="s">
        <v>1010</v>
      </c>
      <c r="B673" s="239">
        <v>3.8250000000000002</v>
      </c>
      <c r="C673" s="285" t="s">
        <v>909</v>
      </c>
    </row>
    <row r="674" spans="1:3" ht="18" hidden="1">
      <c r="A674" s="286" t="s">
        <v>1013</v>
      </c>
      <c r="B674" s="239">
        <v>4.4710000000000001</v>
      </c>
      <c r="C674" s="285" t="s">
        <v>909</v>
      </c>
    </row>
    <row r="675" spans="1:3" ht="18" hidden="1">
      <c r="A675" s="286" t="s">
        <v>1016</v>
      </c>
      <c r="B675" s="239">
        <v>5.1180000000000003</v>
      </c>
      <c r="C675" s="285" t="s">
        <v>909</v>
      </c>
    </row>
    <row r="676" spans="1:3" ht="18" hidden="1">
      <c r="A676" s="286" t="s">
        <v>1019</v>
      </c>
      <c r="B676" s="239">
        <v>6.4109999999999996</v>
      </c>
      <c r="C676" s="285" t="s">
        <v>909</v>
      </c>
    </row>
    <row r="677" spans="1:3" ht="18" hidden="1">
      <c r="A677" s="286" t="s">
        <v>1022</v>
      </c>
      <c r="B677" s="239">
        <v>7.0570000000000004</v>
      </c>
      <c r="C677" s="285" t="s">
        <v>909</v>
      </c>
    </row>
    <row r="678" spans="1:3" ht="18" hidden="1">
      <c r="A678" s="286" t="s">
        <v>1025</v>
      </c>
      <c r="B678" s="239">
        <v>7.7039999999999997</v>
      </c>
      <c r="C678" s="285" t="s">
        <v>909</v>
      </c>
    </row>
    <row r="679" spans="1:3" ht="18" hidden="1">
      <c r="A679" s="286" t="s">
        <v>1035</v>
      </c>
      <c r="B679" s="239">
        <v>0.20200000000000001</v>
      </c>
      <c r="C679" s="285" t="s">
        <v>1518</v>
      </c>
    </row>
    <row r="680" spans="1:3" ht="18" hidden="1">
      <c r="A680" s="286" t="s">
        <v>914</v>
      </c>
      <c r="B680" s="239">
        <v>3.4020000000000001</v>
      </c>
      <c r="C680" s="285" t="s">
        <v>909</v>
      </c>
    </row>
    <row r="681" spans="1:3" ht="18" hidden="1">
      <c r="A681" s="286" t="s">
        <v>918</v>
      </c>
      <c r="B681" s="239">
        <v>4.0940000000000003</v>
      </c>
      <c r="C681" s="285" t="s">
        <v>909</v>
      </c>
    </row>
    <row r="682" spans="1:3" ht="18" hidden="1">
      <c r="A682" s="286" t="s">
        <v>922</v>
      </c>
      <c r="B682" s="239">
        <v>4.7859999999999996</v>
      </c>
      <c r="C682" s="285" t="s">
        <v>909</v>
      </c>
    </row>
    <row r="683" spans="1:3" ht="18" hidden="1">
      <c r="A683" s="286" t="s">
        <v>926</v>
      </c>
      <c r="B683" s="239">
        <v>5.4779999999999998</v>
      </c>
      <c r="C683" s="285" t="s">
        <v>909</v>
      </c>
    </row>
    <row r="684" spans="1:3" ht="18" hidden="1">
      <c r="A684" s="286" t="s">
        <v>930</v>
      </c>
      <c r="B684" s="239">
        <v>6.8620000000000001</v>
      </c>
      <c r="C684" s="285" t="s">
        <v>909</v>
      </c>
    </row>
    <row r="685" spans="1:3" ht="18" hidden="1">
      <c r="A685" s="286" t="s">
        <v>934</v>
      </c>
      <c r="B685" s="239">
        <v>7.5540000000000003</v>
      </c>
      <c r="C685" s="285" t="s">
        <v>909</v>
      </c>
    </row>
    <row r="686" spans="1:3" ht="18" hidden="1">
      <c r="A686" s="286" t="s">
        <v>938</v>
      </c>
      <c r="B686" s="239">
        <v>8.2460000000000004</v>
      </c>
      <c r="C686" s="285" t="s">
        <v>909</v>
      </c>
    </row>
    <row r="687" spans="1:3" ht="18" hidden="1">
      <c r="A687" s="286" t="s">
        <v>942</v>
      </c>
      <c r="B687" s="239">
        <v>3.5449999999999999</v>
      </c>
      <c r="C687" s="285" t="s">
        <v>909</v>
      </c>
    </row>
    <row r="688" spans="1:3" ht="18" hidden="1">
      <c r="A688" s="286" t="s">
        <v>945</v>
      </c>
      <c r="B688" s="239">
        <v>4.266</v>
      </c>
      <c r="C688" s="285" t="s">
        <v>909</v>
      </c>
    </row>
    <row r="689" spans="1:3" ht="18" hidden="1">
      <c r="A689" s="286" t="s">
        <v>948</v>
      </c>
      <c r="B689" s="239">
        <v>4.9870000000000001</v>
      </c>
      <c r="C689" s="285" t="s">
        <v>909</v>
      </c>
    </row>
    <row r="690" spans="1:3" ht="18" hidden="1">
      <c r="A690" s="286" t="s">
        <v>951</v>
      </c>
      <c r="B690" s="239">
        <v>5.7080000000000002</v>
      </c>
      <c r="C690" s="285" t="s">
        <v>909</v>
      </c>
    </row>
    <row r="691" spans="1:3" ht="18" hidden="1">
      <c r="A691" s="286" t="s">
        <v>954</v>
      </c>
      <c r="B691" s="239">
        <v>7.15</v>
      </c>
      <c r="C691" s="285" t="s">
        <v>909</v>
      </c>
    </row>
    <row r="692" spans="1:3" ht="18" hidden="1">
      <c r="A692" s="286" t="s">
        <v>957</v>
      </c>
      <c r="B692" s="239">
        <v>7.8710000000000004</v>
      </c>
      <c r="C692" s="285" t="s">
        <v>909</v>
      </c>
    </row>
    <row r="693" spans="1:3" ht="18" hidden="1">
      <c r="A693" s="286" t="s">
        <v>960</v>
      </c>
      <c r="B693" s="239">
        <v>8.5920000000000005</v>
      </c>
      <c r="C693" s="285" t="s">
        <v>909</v>
      </c>
    </row>
    <row r="694" spans="1:3" ht="18" hidden="1">
      <c r="A694" s="286" t="s">
        <v>964</v>
      </c>
      <c r="B694" s="239">
        <v>3.6869999999999998</v>
      </c>
      <c r="C694" s="285" t="s">
        <v>909</v>
      </c>
    </row>
    <row r="695" spans="1:3" ht="18" hidden="1">
      <c r="A695" s="286" t="s">
        <v>967</v>
      </c>
      <c r="B695" s="239">
        <v>4.4370000000000003</v>
      </c>
      <c r="C695" s="285" t="s">
        <v>909</v>
      </c>
    </row>
    <row r="696" spans="1:3" ht="18" hidden="1">
      <c r="A696" s="286" t="s">
        <v>970</v>
      </c>
      <c r="B696" s="239">
        <v>5.1870000000000003</v>
      </c>
      <c r="C696" s="285" t="s">
        <v>909</v>
      </c>
    </row>
    <row r="697" spans="1:3" ht="18" hidden="1">
      <c r="A697" s="286" t="s">
        <v>973</v>
      </c>
      <c r="B697" s="239">
        <v>5.9370000000000003</v>
      </c>
      <c r="C697" s="285" t="s">
        <v>909</v>
      </c>
    </row>
    <row r="698" spans="1:3" ht="18" hidden="1">
      <c r="A698" s="286" t="s">
        <v>976</v>
      </c>
      <c r="B698" s="239">
        <v>7.4370000000000003</v>
      </c>
      <c r="C698" s="285" t="s">
        <v>909</v>
      </c>
    </row>
    <row r="699" spans="1:3" ht="18" hidden="1">
      <c r="A699" s="286" t="s">
        <v>979</v>
      </c>
      <c r="B699" s="239">
        <v>8.1869999999999994</v>
      </c>
      <c r="C699" s="285" t="s">
        <v>909</v>
      </c>
    </row>
    <row r="700" spans="1:3" ht="18" hidden="1">
      <c r="A700" s="286" t="s">
        <v>982</v>
      </c>
      <c r="B700" s="239">
        <v>8.9369999999999994</v>
      </c>
      <c r="C700" s="285" t="s">
        <v>909</v>
      </c>
    </row>
    <row r="701" spans="1:3" ht="18" hidden="1">
      <c r="A701" s="286" t="s">
        <v>986</v>
      </c>
      <c r="B701" s="239">
        <v>3.7829999999999999</v>
      </c>
      <c r="C701" s="285" t="s">
        <v>909</v>
      </c>
    </row>
    <row r="702" spans="1:3" ht="18" hidden="1">
      <c r="A702" s="286" t="s">
        <v>989</v>
      </c>
      <c r="B702" s="239">
        <v>4.5519999999999996</v>
      </c>
      <c r="C702" s="285" t="s">
        <v>909</v>
      </c>
    </row>
    <row r="703" spans="1:3" ht="18" hidden="1">
      <c r="A703" s="286" t="s">
        <v>992</v>
      </c>
      <c r="B703" s="239">
        <v>5.3209999999999997</v>
      </c>
      <c r="C703" s="285" t="s">
        <v>909</v>
      </c>
    </row>
    <row r="704" spans="1:3" ht="18" hidden="1">
      <c r="A704" s="286" t="s">
        <v>995</v>
      </c>
      <c r="B704" s="239">
        <v>6.0910000000000002</v>
      </c>
      <c r="C704" s="285" t="s">
        <v>909</v>
      </c>
    </row>
    <row r="705" spans="1:3" ht="18" hidden="1">
      <c r="A705" s="286" t="s">
        <v>998</v>
      </c>
      <c r="B705" s="239">
        <v>7.6289999999999996</v>
      </c>
      <c r="C705" s="285" t="s">
        <v>909</v>
      </c>
    </row>
    <row r="706" spans="1:3" ht="18" hidden="1">
      <c r="A706" s="286" t="s">
        <v>1001</v>
      </c>
      <c r="B706" s="239">
        <v>8.3989999999999991</v>
      </c>
      <c r="C706" s="285" t="s">
        <v>909</v>
      </c>
    </row>
    <row r="707" spans="1:3" ht="18" hidden="1">
      <c r="A707" s="286" t="s">
        <v>1004</v>
      </c>
      <c r="B707" s="239">
        <v>9.1679999999999993</v>
      </c>
      <c r="C707" s="285" t="s">
        <v>909</v>
      </c>
    </row>
    <row r="708" spans="1:3" ht="18" hidden="1">
      <c r="A708" s="286" t="s">
        <v>1008</v>
      </c>
      <c r="B708" s="239">
        <v>3.9729999999999999</v>
      </c>
      <c r="C708" s="285" t="s">
        <v>909</v>
      </c>
    </row>
    <row r="709" spans="1:3" ht="18" hidden="1">
      <c r="A709" s="286" t="s">
        <v>1011</v>
      </c>
      <c r="B709" s="239">
        <v>4.7809999999999997</v>
      </c>
      <c r="C709" s="285" t="s">
        <v>909</v>
      </c>
    </row>
    <row r="710" spans="1:3" ht="18" hidden="1">
      <c r="A710" s="286" t="s">
        <v>1014</v>
      </c>
      <c r="B710" s="239">
        <v>5.5890000000000004</v>
      </c>
      <c r="C710" s="285" t="s">
        <v>909</v>
      </c>
    </row>
    <row r="711" spans="1:3" ht="18" hidden="1">
      <c r="A711" s="286" t="s">
        <v>1017</v>
      </c>
      <c r="B711" s="239">
        <v>6.3970000000000002</v>
      </c>
      <c r="C711" s="285" t="s">
        <v>909</v>
      </c>
    </row>
    <row r="712" spans="1:3" ht="18" hidden="1">
      <c r="A712" s="286" t="s">
        <v>1020</v>
      </c>
      <c r="B712" s="239">
        <v>8.0129999999999999</v>
      </c>
      <c r="C712" s="285" t="s">
        <v>909</v>
      </c>
    </row>
    <row r="713" spans="1:3" ht="18" hidden="1">
      <c r="A713" s="286" t="s">
        <v>1023</v>
      </c>
      <c r="B713" s="239">
        <v>8.8209999999999997</v>
      </c>
      <c r="C713" s="285" t="s">
        <v>909</v>
      </c>
    </row>
    <row r="714" spans="1:3" ht="18" hidden="1">
      <c r="A714" s="286" t="s">
        <v>1026</v>
      </c>
      <c r="B714" s="239">
        <v>9.6289999999999996</v>
      </c>
      <c r="C714" s="285" t="s">
        <v>909</v>
      </c>
    </row>
    <row r="715" spans="1:3" ht="18" hidden="1">
      <c r="A715" s="286" t="s">
        <v>1036</v>
      </c>
      <c r="B715" s="239">
        <v>0.252</v>
      </c>
      <c r="C715" s="285" t="s">
        <v>1518</v>
      </c>
    </row>
    <row r="716" spans="1:3" ht="18" hidden="1">
      <c r="A716" s="286" t="s">
        <v>1041</v>
      </c>
      <c r="B716" s="239">
        <v>4.0819999999999999</v>
      </c>
      <c r="C716" s="285" t="s">
        <v>1037</v>
      </c>
    </row>
    <row r="717" spans="1:3" ht="18" hidden="1">
      <c r="A717" s="286" t="s">
        <v>1044</v>
      </c>
      <c r="B717" s="239">
        <v>4.9130000000000003</v>
      </c>
      <c r="C717" s="285" t="s">
        <v>1037</v>
      </c>
    </row>
    <row r="718" spans="1:3" ht="18" hidden="1">
      <c r="A718" s="286" t="s">
        <v>1047</v>
      </c>
      <c r="B718" s="239">
        <v>5.7430000000000003</v>
      </c>
      <c r="C718" s="285" t="s">
        <v>1037</v>
      </c>
    </row>
    <row r="719" spans="1:3" ht="18" hidden="1">
      <c r="A719" s="286" t="s">
        <v>1050</v>
      </c>
      <c r="B719" s="239">
        <v>6.5730000000000004</v>
      </c>
      <c r="C719" s="285" t="s">
        <v>1037</v>
      </c>
    </row>
    <row r="720" spans="1:3" ht="18" hidden="1">
      <c r="A720" s="286" t="s">
        <v>1053</v>
      </c>
      <c r="B720" s="239">
        <v>8.234</v>
      </c>
      <c r="C720" s="285" t="s">
        <v>1037</v>
      </c>
    </row>
    <row r="721" spans="1:3" ht="18" hidden="1">
      <c r="A721" s="286" t="s">
        <v>1056</v>
      </c>
      <c r="B721" s="239">
        <v>9.0640000000000001</v>
      </c>
      <c r="C721" s="285" t="s">
        <v>1037</v>
      </c>
    </row>
    <row r="722" spans="1:3" ht="18" hidden="1">
      <c r="A722" s="286" t="s">
        <v>1059</v>
      </c>
      <c r="B722" s="239">
        <v>9.8949999999999996</v>
      </c>
      <c r="C722" s="285" t="s">
        <v>1037</v>
      </c>
    </row>
    <row r="723" spans="1:3" ht="18" hidden="1">
      <c r="A723" s="286" t="s">
        <v>1062</v>
      </c>
      <c r="B723" s="239">
        <v>4.2539999999999996</v>
      </c>
      <c r="C723" s="285" t="s">
        <v>1037</v>
      </c>
    </row>
    <row r="724" spans="1:3" ht="18" hidden="1">
      <c r="A724" s="286" t="s">
        <v>1064</v>
      </c>
      <c r="B724" s="239">
        <v>5.1189999999999998</v>
      </c>
      <c r="C724" s="285" t="s">
        <v>1037</v>
      </c>
    </row>
    <row r="725" spans="1:3" ht="18" hidden="1">
      <c r="A725" s="286" t="s">
        <v>1066</v>
      </c>
      <c r="B725" s="239">
        <v>5.984</v>
      </c>
      <c r="C725" s="285" t="s">
        <v>1037</v>
      </c>
    </row>
    <row r="726" spans="1:3" ht="18" hidden="1">
      <c r="A726" s="286" t="s">
        <v>1068</v>
      </c>
      <c r="B726" s="239">
        <v>6.8490000000000002</v>
      </c>
      <c r="C726" s="285" t="s">
        <v>1037</v>
      </c>
    </row>
    <row r="727" spans="1:3" ht="18" hidden="1">
      <c r="A727" s="286" t="s">
        <v>1070</v>
      </c>
      <c r="B727" s="239">
        <v>8.5790000000000006</v>
      </c>
      <c r="C727" s="285" t="s">
        <v>1037</v>
      </c>
    </row>
    <row r="728" spans="1:3" ht="18" hidden="1">
      <c r="A728" s="286" t="s">
        <v>1072</v>
      </c>
      <c r="B728" s="239">
        <v>9.4450000000000003</v>
      </c>
      <c r="C728" s="285" t="s">
        <v>1037</v>
      </c>
    </row>
    <row r="729" spans="1:3" ht="18" hidden="1">
      <c r="A729" s="286" t="s">
        <v>1074</v>
      </c>
      <c r="B729" s="239">
        <v>10.31</v>
      </c>
      <c r="C729" s="285" t="s">
        <v>1037</v>
      </c>
    </row>
    <row r="730" spans="1:3" ht="18" hidden="1">
      <c r="A730" s="286" t="s">
        <v>1077</v>
      </c>
      <c r="B730" s="239">
        <v>4.4249999999999998</v>
      </c>
      <c r="C730" s="285" t="s">
        <v>1037</v>
      </c>
    </row>
    <row r="731" spans="1:3" ht="18" hidden="1">
      <c r="A731" s="286" t="s">
        <v>1079</v>
      </c>
      <c r="B731" s="239">
        <v>5.3250000000000002</v>
      </c>
      <c r="C731" s="285" t="s">
        <v>1037</v>
      </c>
    </row>
    <row r="732" spans="1:3" ht="18" hidden="1">
      <c r="A732" s="286" t="s">
        <v>1081</v>
      </c>
      <c r="B732" s="239">
        <v>6.2249999999999996</v>
      </c>
      <c r="C732" s="285" t="s">
        <v>1037</v>
      </c>
    </row>
    <row r="733" spans="1:3" ht="18" hidden="1">
      <c r="A733" s="286" t="s">
        <v>1083</v>
      </c>
      <c r="B733" s="239">
        <v>7.125</v>
      </c>
      <c r="C733" s="285" t="s">
        <v>1037</v>
      </c>
    </row>
    <row r="734" spans="1:3" ht="18" hidden="1">
      <c r="A734" s="286" t="s">
        <v>1085</v>
      </c>
      <c r="B734" s="239">
        <v>8.9250000000000007</v>
      </c>
      <c r="C734" s="285" t="s">
        <v>1037</v>
      </c>
    </row>
    <row r="735" spans="1:3" ht="18" hidden="1">
      <c r="A735" s="286" t="s">
        <v>1087</v>
      </c>
      <c r="B735" s="239">
        <v>9.8249999999999993</v>
      </c>
      <c r="C735" s="285" t="s">
        <v>1037</v>
      </c>
    </row>
    <row r="736" spans="1:3" ht="18" hidden="1">
      <c r="A736" s="286" t="s">
        <v>1089</v>
      </c>
      <c r="B736" s="239">
        <v>10.725</v>
      </c>
      <c r="C736" s="285" t="s">
        <v>1037</v>
      </c>
    </row>
    <row r="737" spans="1:3" ht="18" hidden="1">
      <c r="A737" s="286" t="s">
        <v>1091</v>
      </c>
      <c r="B737" s="239">
        <v>4.5389999999999997</v>
      </c>
      <c r="C737" s="285" t="s">
        <v>1037</v>
      </c>
    </row>
    <row r="738" spans="1:3" ht="18" hidden="1">
      <c r="A738" s="286" t="s">
        <v>1094</v>
      </c>
      <c r="B738" s="239">
        <v>5.4619999999999997</v>
      </c>
      <c r="C738" s="285" t="s">
        <v>1037</v>
      </c>
    </row>
    <row r="739" spans="1:3" ht="18" hidden="1">
      <c r="A739" s="286" t="s">
        <v>1096</v>
      </c>
      <c r="B739" s="239">
        <v>6.3860000000000001</v>
      </c>
      <c r="C739" s="285" t="s">
        <v>1037</v>
      </c>
    </row>
    <row r="740" spans="1:3" ht="18" hidden="1">
      <c r="A740" s="286" t="s">
        <v>1098</v>
      </c>
      <c r="B740" s="239">
        <v>7.3090000000000002</v>
      </c>
      <c r="C740" s="285" t="s">
        <v>1037</v>
      </c>
    </row>
    <row r="741" spans="1:3" ht="18" hidden="1">
      <c r="A741" s="286" t="s">
        <v>1100</v>
      </c>
      <c r="B741" s="239">
        <v>9.1549999999999994</v>
      </c>
      <c r="C741" s="285" t="s">
        <v>1037</v>
      </c>
    </row>
    <row r="742" spans="1:3" ht="18" hidden="1">
      <c r="A742" s="286" t="s">
        <v>1102</v>
      </c>
      <c r="B742" s="239">
        <v>10.079000000000001</v>
      </c>
      <c r="C742" s="285" t="s">
        <v>1037</v>
      </c>
    </row>
    <row r="743" spans="1:3" ht="18" hidden="1">
      <c r="A743" s="286" t="s">
        <v>1104</v>
      </c>
      <c r="B743" s="239">
        <v>11.002000000000001</v>
      </c>
      <c r="C743" s="285" t="s">
        <v>1037</v>
      </c>
    </row>
    <row r="744" spans="1:3" ht="18" hidden="1">
      <c r="A744" s="286" t="s">
        <v>1107</v>
      </c>
      <c r="B744" s="239">
        <v>4.7679999999999998</v>
      </c>
      <c r="C744" s="285" t="s">
        <v>1037</v>
      </c>
    </row>
    <row r="745" spans="1:3" ht="18" hidden="1">
      <c r="A745" s="286" t="s">
        <v>1109</v>
      </c>
      <c r="B745" s="239">
        <v>5.7370000000000001</v>
      </c>
      <c r="C745" s="285" t="s">
        <v>1037</v>
      </c>
    </row>
    <row r="746" spans="1:3" ht="18" hidden="1">
      <c r="A746" s="286" t="s">
        <v>1111</v>
      </c>
      <c r="B746" s="239">
        <v>6.7069999999999999</v>
      </c>
      <c r="C746" s="285" t="s">
        <v>1037</v>
      </c>
    </row>
    <row r="747" spans="1:3" ht="18" hidden="1">
      <c r="A747" s="286" t="s">
        <v>1113</v>
      </c>
      <c r="B747" s="239">
        <v>7.6769999999999996</v>
      </c>
      <c r="C747" s="285" t="s">
        <v>1037</v>
      </c>
    </row>
    <row r="748" spans="1:3" ht="18" hidden="1">
      <c r="A748" s="286" t="s">
        <v>1115</v>
      </c>
      <c r="B748" s="239">
        <v>9.6159999999999997</v>
      </c>
      <c r="C748" s="285" t="s">
        <v>1037</v>
      </c>
    </row>
    <row r="749" spans="1:3" ht="18" hidden="1">
      <c r="A749" s="286" t="s">
        <v>1117</v>
      </c>
      <c r="B749" s="239">
        <v>10.586</v>
      </c>
      <c r="C749" s="285" t="s">
        <v>1037</v>
      </c>
    </row>
    <row r="750" spans="1:3" ht="18" hidden="1">
      <c r="A750" s="286" t="s">
        <v>1119</v>
      </c>
      <c r="B750" s="239">
        <v>11.555</v>
      </c>
      <c r="C750" s="285" t="s">
        <v>1037</v>
      </c>
    </row>
    <row r="751" spans="1:3" ht="18" hidden="1">
      <c r="A751" s="286" t="s">
        <v>1127</v>
      </c>
      <c r="B751" s="239">
        <v>0.30199999999999999</v>
      </c>
      <c r="C751" s="285" t="s">
        <v>1526</v>
      </c>
    </row>
    <row r="752" spans="1:3" ht="18" hidden="1">
      <c r="A752" s="286" t="s">
        <v>914</v>
      </c>
      <c r="B752" s="239">
        <v>3.4020000000000001</v>
      </c>
      <c r="C752" s="285" t="s">
        <v>1037</v>
      </c>
    </row>
    <row r="753" spans="1:3" ht="18" hidden="1">
      <c r="A753" s="286" t="s">
        <v>918</v>
      </c>
      <c r="B753" s="239">
        <v>4.0940000000000003</v>
      </c>
      <c r="C753" s="285" t="s">
        <v>1037</v>
      </c>
    </row>
    <row r="754" spans="1:3" ht="18" hidden="1">
      <c r="A754" s="286" t="s">
        <v>922</v>
      </c>
      <c r="B754" s="239">
        <v>4.7859999999999996</v>
      </c>
      <c r="C754" s="285" t="s">
        <v>1037</v>
      </c>
    </row>
    <row r="755" spans="1:3" ht="18" hidden="1">
      <c r="A755" s="286" t="s">
        <v>926</v>
      </c>
      <c r="B755" s="239">
        <v>5.4779999999999998</v>
      </c>
      <c r="C755" s="285" t="s">
        <v>1037</v>
      </c>
    </row>
    <row r="756" spans="1:3" ht="18" hidden="1">
      <c r="A756" s="286" t="s">
        <v>930</v>
      </c>
      <c r="B756" s="239">
        <v>6.8620000000000001</v>
      </c>
      <c r="C756" s="285" t="s">
        <v>1037</v>
      </c>
    </row>
    <row r="757" spans="1:3" ht="18" hidden="1">
      <c r="A757" s="286" t="s">
        <v>934</v>
      </c>
      <c r="B757" s="239">
        <v>7.5540000000000003</v>
      </c>
      <c r="C757" s="285" t="s">
        <v>1037</v>
      </c>
    </row>
    <row r="758" spans="1:3" ht="18" hidden="1">
      <c r="A758" s="286" t="s">
        <v>938</v>
      </c>
      <c r="B758" s="239">
        <v>8.2460000000000004</v>
      </c>
      <c r="C758" s="285" t="s">
        <v>1037</v>
      </c>
    </row>
    <row r="759" spans="1:3" ht="18" hidden="1">
      <c r="A759" s="286" t="s">
        <v>942</v>
      </c>
      <c r="B759" s="239">
        <v>3.5449999999999999</v>
      </c>
      <c r="C759" s="285" t="s">
        <v>1037</v>
      </c>
    </row>
    <row r="760" spans="1:3" ht="18" hidden="1">
      <c r="A760" s="286" t="s">
        <v>945</v>
      </c>
      <c r="B760" s="239">
        <v>4.266</v>
      </c>
      <c r="C760" s="285" t="s">
        <v>1037</v>
      </c>
    </row>
    <row r="761" spans="1:3" ht="18" hidden="1">
      <c r="A761" s="286" t="s">
        <v>948</v>
      </c>
      <c r="B761" s="239">
        <v>4.9870000000000001</v>
      </c>
      <c r="C761" s="285" t="s">
        <v>1037</v>
      </c>
    </row>
    <row r="762" spans="1:3" ht="18" hidden="1">
      <c r="A762" s="286" t="s">
        <v>951</v>
      </c>
      <c r="B762" s="239">
        <v>5.7080000000000002</v>
      </c>
      <c r="C762" s="285" t="s">
        <v>1037</v>
      </c>
    </row>
    <row r="763" spans="1:3" ht="18" hidden="1">
      <c r="A763" s="286" t="s">
        <v>954</v>
      </c>
      <c r="B763" s="239">
        <v>7.15</v>
      </c>
      <c r="C763" s="285" t="s">
        <v>1037</v>
      </c>
    </row>
    <row r="764" spans="1:3" ht="18" hidden="1">
      <c r="A764" s="286" t="s">
        <v>957</v>
      </c>
      <c r="B764" s="239">
        <v>7.8710000000000004</v>
      </c>
      <c r="C764" s="285" t="s">
        <v>1037</v>
      </c>
    </row>
    <row r="765" spans="1:3" ht="18" hidden="1">
      <c r="A765" s="286" t="s">
        <v>960</v>
      </c>
      <c r="B765" s="239">
        <v>8.5920000000000005</v>
      </c>
      <c r="C765" s="285" t="s">
        <v>1037</v>
      </c>
    </row>
    <row r="766" spans="1:3" ht="18" hidden="1">
      <c r="A766" s="286" t="s">
        <v>964</v>
      </c>
      <c r="B766" s="239">
        <v>3.6869999999999998</v>
      </c>
      <c r="C766" s="285" t="s">
        <v>1037</v>
      </c>
    </row>
    <row r="767" spans="1:3" ht="18" hidden="1">
      <c r="A767" s="286" t="s">
        <v>967</v>
      </c>
      <c r="B767" s="239">
        <v>4.4370000000000003</v>
      </c>
      <c r="C767" s="285" t="s">
        <v>1037</v>
      </c>
    </row>
    <row r="768" spans="1:3" ht="18" hidden="1">
      <c r="A768" s="286" t="s">
        <v>970</v>
      </c>
      <c r="B768" s="239">
        <v>5.1870000000000003</v>
      </c>
      <c r="C768" s="285" t="s">
        <v>1037</v>
      </c>
    </row>
    <row r="769" spans="1:3" ht="18" hidden="1">
      <c r="A769" s="286" t="s">
        <v>973</v>
      </c>
      <c r="B769" s="239">
        <v>5.9370000000000003</v>
      </c>
      <c r="C769" s="285" t="s">
        <v>1037</v>
      </c>
    </row>
    <row r="770" spans="1:3" ht="18" hidden="1">
      <c r="A770" s="286" t="s">
        <v>976</v>
      </c>
      <c r="B770" s="239">
        <v>7.4370000000000003</v>
      </c>
      <c r="C770" s="285" t="s">
        <v>1037</v>
      </c>
    </row>
    <row r="771" spans="1:3" ht="18" hidden="1">
      <c r="A771" s="286" t="s">
        <v>979</v>
      </c>
      <c r="B771" s="239">
        <v>8.1869999999999994</v>
      </c>
      <c r="C771" s="285" t="s">
        <v>1037</v>
      </c>
    </row>
    <row r="772" spans="1:3" ht="18" hidden="1">
      <c r="A772" s="286" t="s">
        <v>982</v>
      </c>
      <c r="B772" s="239">
        <v>8.9369999999999994</v>
      </c>
      <c r="C772" s="285" t="s">
        <v>1037</v>
      </c>
    </row>
    <row r="773" spans="1:3" ht="18" hidden="1">
      <c r="A773" s="286" t="s">
        <v>986</v>
      </c>
      <c r="B773" s="239">
        <v>3.7829999999999999</v>
      </c>
      <c r="C773" s="285" t="s">
        <v>1037</v>
      </c>
    </row>
    <row r="774" spans="1:3" ht="18" hidden="1">
      <c r="A774" s="286" t="s">
        <v>989</v>
      </c>
      <c r="B774" s="239">
        <v>4.5519999999999996</v>
      </c>
      <c r="C774" s="285" t="s">
        <v>1037</v>
      </c>
    </row>
    <row r="775" spans="1:3" ht="18" hidden="1">
      <c r="A775" s="286" t="s">
        <v>992</v>
      </c>
      <c r="B775" s="239">
        <v>5.3209999999999997</v>
      </c>
      <c r="C775" s="285" t="s">
        <v>1037</v>
      </c>
    </row>
    <row r="776" spans="1:3" ht="18" hidden="1">
      <c r="A776" s="286" t="s">
        <v>995</v>
      </c>
      <c r="B776" s="239">
        <v>6.0910000000000002</v>
      </c>
      <c r="C776" s="285" t="s">
        <v>1037</v>
      </c>
    </row>
    <row r="777" spans="1:3" ht="18" hidden="1">
      <c r="A777" s="286" t="s">
        <v>998</v>
      </c>
      <c r="B777" s="239">
        <v>7.6289999999999996</v>
      </c>
      <c r="C777" s="285" t="s">
        <v>1037</v>
      </c>
    </row>
    <row r="778" spans="1:3" ht="18" hidden="1">
      <c r="A778" s="286" t="s">
        <v>1001</v>
      </c>
      <c r="B778" s="239">
        <v>8.3989999999999991</v>
      </c>
      <c r="C778" s="285" t="s">
        <v>1037</v>
      </c>
    </row>
    <row r="779" spans="1:3" ht="18" hidden="1">
      <c r="A779" s="286" t="s">
        <v>1004</v>
      </c>
      <c r="B779" s="239">
        <v>9.1679999999999993</v>
      </c>
      <c r="C779" s="285" t="s">
        <v>1037</v>
      </c>
    </row>
    <row r="780" spans="1:3" ht="18" hidden="1">
      <c r="A780" s="286" t="s">
        <v>1008</v>
      </c>
      <c r="B780" s="239">
        <v>3.9729999999999999</v>
      </c>
      <c r="C780" s="285" t="s">
        <v>1037</v>
      </c>
    </row>
    <row r="781" spans="1:3" ht="18" hidden="1">
      <c r="A781" s="286" t="s">
        <v>1011</v>
      </c>
      <c r="B781" s="239">
        <v>4.7809999999999997</v>
      </c>
      <c r="C781" s="285" t="s">
        <v>1037</v>
      </c>
    </row>
    <row r="782" spans="1:3" ht="18" hidden="1">
      <c r="A782" s="286" t="s">
        <v>1014</v>
      </c>
      <c r="B782" s="239">
        <v>5.5890000000000004</v>
      </c>
      <c r="C782" s="285" t="s">
        <v>1037</v>
      </c>
    </row>
    <row r="783" spans="1:3" ht="18" hidden="1">
      <c r="A783" s="286" t="s">
        <v>1017</v>
      </c>
      <c r="B783" s="239">
        <v>6.3970000000000002</v>
      </c>
      <c r="C783" s="285" t="s">
        <v>1037</v>
      </c>
    </row>
    <row r="784" spans="1:3" ht="18" hidden="1">
      <c r="A784" s="286" t="s">
        <v>1020</v>
      </c>
      <c r="B784" s="239">
        <v>8.0129999999999999</v>
      </c>
      <c r="C784" s="285" t="s">
        <v>1037</v>
      </c>
    </row>
    <row r="785" spans="1:3" ht="18" hidden="1">
      <c r="A785" s="286" t="s">
        <v>1023</v>
      </c>
      <c r="B785" s="239">
        <v>8.8209999999999997</v>
      </c>
      <c r="C785" s="285" t="s">
        <v>1037</v>
      </c>
    </row>
    <row r="786" spans="1:3" ht="18" hidden="1">
      <c r="A786" s="286" t="s">
        <v>1026</v>
      </c>
      <c r="B786" s="239">
        <v>9.6289999999999996</v>
      </c>
      <c r="C786" s="285" t="s">
        <v>1037</v>
      </c>
    </row>
    <row r="787" spans="1:3" ht="18" hidden="1">
      <c r="A787" s="286" t="s">
        <v>1036</v>
      </c>
      <c r="B787" s="239">
        <v>0.252</v>
      </c>
      <c r="C787" s="285" t="s">
        <v>1526</v>
      </c>
    </row>
    <row r="788" spans="1:3" ht="18" hidden="1">
      <c r="A788" s="286" t="s">
        <v>1470</v>
      </c>
      <c r="B788" s="286">
        <v>7.3999999999999996E-2</v>
      </c>
      <c r="C788" s="285" t="s">
        <v>1516</v>
      </c>
    </row>
    <row r="789" spans="1:3" ht="18" hidden="1">
      <c r="A789" s="286" t="s">
        <v>170</v>
      </c>
      <c r="B789" s="286">
        <v>5.6000000000000001E-2</v>
      </c>
      <c r="C789" s="285" t="s">
        <v>1516</v>
      </c>
    </row>
    <row r="790" spans="1:3" ht="18" hidden="1">
      <c r="A790" s="286" t="s">
        <v>1470</v>
      </c>
      <c r="B790" s="286">
        <v>7.3999999999999996E-2</v>
      </c>
      <c r="C790" s="285" t="s">
        <v>1527</v>
      </c>
    </row>
    <row r="791" spans="1:3" ht="18" hidden="1">
      <c r="A791" s="286" t="s">
        <v>170</v>
      </c>
      <c r="B791" s="286">
        <v>5.6000000000000001E-2</v>
      </c>
      <c r="C791" s="285" t="s">
        <v>1527</v>
      </c>
    </row>
    <row r="792" spans="1:3" ht="18" hidden="1">
      <c r="A792" s="286" t="s">
        <v>1470</v>
      </c>
      <c r="B792" s="286">
        <v>7.3999999999999996E-2</v>
      </c>
      <c r="C792" s="285" t="s">
        <v>1528</v>
      </c>
    </row>
    <row r="793" spans="1:3" ht="18" hidden="1">
      <c r="A793" s="286" t="s">
        <v>170</v>
      </c>
      <c r="B793" s="286">
        <v>5.6000000000000001E-2</v>
      </c>
      <c r="C793" s="285" t="s">
        <v>1528</v>
      </c>
    </row>
    <row r="794" spans="1:3" ht="18" hidden="1">
      <c r="A794" s="286" t="s">
        <v>1471</v>
      </c>
      <c r="B794" s="286">
        <v>8.4000000000000005E-2</v>
      </c>
      <c r="C794" s="285" t="s">
        <v>1517</v>
      </c>
    </row>
    <row r="795" spans="1:3" ht="18" hidden="1">
      <c r="A795" s="286" t="s">
        <v>224</v>
      </c>
      <c r="B795" s="286">
        <v>6.4000000000000001E-2</v>
      </c>
      <c r="C795" s="285" t="s">
        <v>1517</v>
      </c>
    </row>
    <row r="796" spans="1:3" ht="18" hidden="1">
      <c r="A796" s="286" t="s">
        <v>1472</v>
      </c>
      <c r="B796" s="286">
        <v>0.129</v>
      </c>
      <c r="C796" s="285" t="s">
        <v>1518</v>
      </c>
    </row>
    <row r="797" spans="1:3" ht="18" hidden="1">
      <c r="A797" s="286" t="s">
        <v>1034</v>
      </c>
      <c r="B797" s="286">
        <v>7.1999999999999995E-2</v>
      </c>
      <c r="C797" s="285" t="s">
        <v>1518</v>
      </c>
    </row>
    <row r="798" spans="1:3" ht="18" hidden="1">
      <c r="A798" s="286" t="s">
        <v>1473</v>
      </c>
      <c r="B798" s="286">
        <v>0.157</v>
      </c>
      <c r="C798" s="285" t="s">
        <v>1519</v>
      </c>
    </row>
    <row r="799" spans="1:3" ht="18" hidden="1">
      <c r="A799" s="286" t="s">
        <v>651</v>
      </c>
      <c r="B799" s="286">
        <v>8.7999999999999995E-2</v>
      </c>
      <c r="C799" s="285" t="s">
        <v>1519</v>
      </c>
    </row>
    <row r="800" spans="1:3" ht="18" hidden="1">
      <c r="A800" s="286" t="s">
        <v>1474</v>
      </c>
      <c r="B800" s="286">
        <v>0.13800000000000001</v>
      </c>
      <c r="C800" s="285" t="s">
        <v>1520</v>
      </c>
    </row>
    <row r="801" spans="1:3" ht="18" hidden="1">
      <c r="A801" s="286" t="s">
        <v>832</v>
      </c>
      <c r="B801" s="286">
        <v>7.6999999999999999E-2</v>
      </c>
      <c r="C801" s="285" t="s">
        <v>1520</v>
      </c>
    </row>
    <row r="802" spans="1:3" ht="18" hidden="1">
      <c r="A802" s="286"/>
      <c r="B802" s="286"/>
      <c r="C802" s="285"/>
    </row>
    <row r="803" spans="1:3" ht="18" hidden="1">
      <c r="A803" s="286"/>
      <c r="B803" s="286"/>
      <c r="C803" s="285"/>
    </row>
    <row r="804" spans="1:3" ht="18" hidden="1">
      <c r="A804" s="286" t="s">
        <v>1471</v>
      </c>
      <c r="B804" s="286">
        <v>8.4000000000000005E-2</v>
      </c>
      <c r="C804" s="285" t="s">
        <v>1523</v>
      </c>
    </row>
    <row r="805" spans="1:3" ht="18" hidden="1">
      <c r="A805" s="286" t="s">
        <v>224</v>
      </c>
      <c r="B805" s="286">
        <v>6.4000000000000001E-2</v>
      </c>
      <c r="C805" s="285" t="s">
        <v>1523</v>
      </c>
    </row>
    <row r="806" spans="1:3" ht="18" hidden="1">
      <c r="A806" s="289" t="s">
        <v>908</v>
      </c>
      <c r="B806" s="288">
        <v>9.7000000000000003E-2</v>
      </c>
      <c r="C806" s="290" t="s">
        <v>1525</v>
      </c>
    </row>
    <row r="807" spans="1:3" ht="18" hidden="1">
      <c r="A807" s="289" t="s">
        <v>1479</v>
      </c>
      <c r="B807" s="288">
        <v>0.23599999999999999</v>
      </c>
      <c r="C807" s="285" t="s">
        <v>834</v>
      </c>
    </row>
    <row r="808" spans="1:3" ht="18" hidden="1">
      <c r="A808" s="289" t="s">
        <v>836</v>
      </c>
      <c r="B808" s="288">
        <v>1.306</v>
      </c>
      <c r="C808" s="285" t="s">
        <v>834</v>
      </c>
    </row>
    <row r="809" spans="1:3" ht="18" hidden="1">
      <c r="A809" s="289" t="s">
        <v>838</v>
      </c>
      <c r="B809" s="288">
        <v>1.5720000000000001</v>
      </c>
      <c r="C809" s="285" t="s">
        <v>834</v>
      </c>
    </row>
    <row r="810" spans="1:3" ht="18" hidden="1">
      <c r="A810" s="289" t="s">
        <v>840</v>
      </c>
      <c r="B810" s="288">
        <v>1.8380000000000001</v>
      </c>
      <c r="C810" s="285" t="s">
        <v>834</v>
      </c>
    </row>
    <row r="811" spans="1:3" ht="18" hidden="1">
      <c r="A811" s="289" t="s">
        <v>842</v>
      </c>
      <c r="B811" s="288">
        <v>2.1030000000000002</v>
      </c>
      <c r="C811" s="285" t="s">
        <v>834</v>
      </c>
    </row>
    <row r="812" spans="1:3" ht="18" hidden="1">
      <c r="A812" s="289" t="s">
        <v>844</v>
      </c>
      <c r="B812" s="288">
        <v>2.6349999999999998</v>
      </c>
      <c r="C812" s="285" t="s">
        <v>834</v>
      </c>
    </row>
    <row r="813" spans="1:3" ht="18" hidden="1">
      <c r="A813" s="289" t="s">
        <v>846</v>
      </c>
      <c r="B813" s="288">
        <v>2.9009999999999998</v>
      </c>
      <c r="C813" s="285" t="s">
        <v>834</v>
      </c>
    </row>
    <row r="814" spans="1:3" ht="18" hidden="1">
      <c r="A814" s="289" t="s">
        <v>848</v>
      </c>
      <c r="B814" s="288">
        <v>3.1659999999999999</v>
      </c>
      <c r="C814" s="285" t="s">
        <v>834</v>
      </c>
    </row>
    <row r="815" spans="1:3" ht="18" hidden="1">
      <c r="A815" s="289" t="s">
        <v>850</v>
      </c>
      <c r="B815" s="288">
        <v>1.361</v>
      </c>
      <c r="C815" s="285" t="s">
        <v>834</v>
      </c>
    </row>
    <row r="816" spans="1:3" ht="18" hidden="1">
      <c r="A816" s="289" t="s">
        <v>852</v>
      </c>
      <c r="B816" s="288">
        <v>1.6379999999999999</v>
      </c>
      <c r="C816" s="285" t="s">
        <v>834</v>
      </c>
    </row>
    <row r="817" spans="1:3" ht="18" hidden="1">
      <c r="A817" s="289" t="s">
        <v>854</v>
      </c>
      <c r="B817" s="288">
        <v>1.915</v>
      </c>
      <c r="C817" s="285" t="s">
        <v>834</v>
      </c>
    </row>
    <row r="818" spans="1:3" ht="18" hidden="1">
      <c r="A818" s="289" t="s">
        <v>856</v>
      </c>
      <c r="B818" s="288">
        <v>2.1920000000000002</v>
      </c>
      <c r="C818" s="285" t="s">
        <v>834</v>
      </c>
    </row>
    <row r="819" spans="1:3" ht="18" hidden="1">
      <c r="A819" s="289" t="s">
        <v>858</v>
      </c>
      <c r="B819" s="288">
        <v>2.7450000000000001</v>
      </c>
      <c r="C819" s="285" t="s">
        <v>834</v>
      </c>
    </row>
    <row r="820" spans="1:3" ht="18" hidden="1">
      <c r="A820" s="289" t="s">
        <v>860</v>
      </c>
      <c r="B820" s="288">
        <v>3.0219999999999998</v>
      </c>
      <c r="C820" s="285" t="s">
        <v>834</v>
      </c>
    </row>
    <row r="821" spans="1:3" ht="18" hidden="1">
      <c r="A821" s="289" t="s">
        <v>862</v>
      </c>
      <c r="B821" s="288">
        <v>3.2989999999999999</v>
      </c>
      <c r="C821" s="285" t="s">
        <v>834</v>
      </c>
    </row>
    <row r="822" spans="1:3" ht="18" hidden="1">
      <c r="A822" s="289" t="s">
        <v>864</v>
      </c>
      <c r="B822" s="288">
        <v>1.4159999999999999</v>
      </c>
      <c r="C822" s="285" t="s">
        <v>834</v>
      </c>
    </row>
    <row r="823" spans="1:3" ht="18" hidden="1">
      <c r="A823" s="289" t="s">
        <v>866</v>
      </c>
      <c r="B823" s="288">
        <v>1.704</v>
      </c>
      <c r="C823" s="285" t="s">
        <v>834</v>
      </c>
    </row>
    <row r="824" spans="1:3" ht="18" hidden="1">
      <c r="A824" s="289" t="s">
        <v>868</v>
      </c>
      <c r="B824" s="288">
        <v>1.992</v>
      </c>
      <c r="C824" s="285" t="s">
        <v>834</v>
      </c>
    </row>
    <row r="825" spans="1:3" ht="18" hidden="1">
      <c r="A825" s="289" t="s">
        <v>870</v>
      </c>
      <c r="B825" s="288">
        <v>2.2799999999999998</v>
      </c>
      <c r="C825" s="285" t="s">
        <v>834</v>
      </c>
    </row>
    <row r="826" spans="1:3" ht="18" hidden="1">
      <c r="A826" s="289" t="s">
        <v>872</v>
      </c>
      <c r="B826" s="288">
        <v>2.8559999999999999</v>
      </c>
      <c r="C826" s="285" t="s">
        <v>834</v>
      </c>
    </row>
    <row r="827" spans="1:3" ht="18" hidden="1">
      <c r="A827" s="289" t="s">
        <v>874</v>
      </c>
      <c r="B827" s="288">
        <v>3.1440000000000001</v>
      </c>
      <c r="C827" s="285" t="s">
        <v>834</v>
      </c>
    </row>
    <row r="828" spans="1:3" ht="18" hidden="1">
      <c r="A828" s="289" t="s">
        <v>876</v>
      </c>
      <c r="B828" s="288">
        <v>3.4319999999999999</v>
      </c>
      <c r="C828" s="285" t="s">
        <v>834</v>
      </c>
    </row>
    <row r="829" spans="1:3" ht="18" hidden="1">
      <c r="A829" s="289" t="s">
        <v>878</v>
      </c>
      <c r="B829" s="288">
        <v>1.4530000000000001</v>
      </c>
      <c r="C829" s="285" t="s">
        <v>834</v>
      </c>
    </row>
    <row r="830" spans="1:3" ht="18" hidden="1">
      <c r="A830" s="289" t="s">
        <v>880</v>
      </c>
      <c r="B830" s="288">
        <v>1.748</v>
      </c>
      <c r="C830" s="285" t="s">
        <v>834</v>
      </c>
    </row>
    <row r="831" spans="1:3" ht="18" hidden="1">
      <c r="A831" s="289" t="s">
        <v>882</v>
      </c>
      <c r="B831" s="288">
        <v>2.0430000000000001</v>
      </c>
      <c r="C831" s="285" t="s">
        <v>834</v>
      </c>
    </row>
    <row r="832" spans="1:3" ht="18" hidden="1">
      <c r="A832" s="289" t="s">
        <v>884</v>
      </c>
      <c r="B832" s="288">
        <v>2.339</v>
      </c>
      <c r="C832" s="285" t="s">
        <v>834</v>
      </c>
    </row>
    <row r="833" spans="1:3" ht="18" hidden="1">
      <c r="A833" s="289" t="s">
        <v>886</v>
      </c>
      <c r="B833" s="288">
        <v>2.93</v>
      </c>
      <c r="C833" s="285" t="s">
        <v>834</v>
      </c>
    </row>
    <row r="834" spans="1:3" ht="18" hidden="1">
      <c r="A834" s="289" t="s">
        <v>888</v>
      </c>
      <c r="B834" s="288">
        <v>3.2250000000000001</v>
      </c>
      <c r="C834" s="285" t="s">
        <v>834</v>
      </c>
    </row>
    <row r="835" spans="1:3" ht="18" hidden="1">
      <c r="A835" s="289" t="s">
        <v>890</v>
      </c>
      <c r="B835" s="288">
        <v>3.5209999999999999</v>
      </c>
      <c r="C835" s="285" t="s">
        <v>834</v>
      </c>
    </row>
    <row r="836" spans="1:3" ht="18" hidden="1">
      <c r="A836" s="289" t="s">
        <v>892</v>
      </c>
      <c r="B836" s="288">
        <v>1.526</v>
      </c>
      <c r="C836" s="285" t="s">
        <v>834</v>
      </c>
    </row>
    <row r="837" spans="1:3" ht="18" hidden="1">
      <c r="A837" s="289" t="s">
        <v>894</v>
      </c>
      <c r="B837" s="288">
        <v>1.8360000000000001</v>
      </c>
      <c r="C837" s="285" t="s">
        <v>834</v>
      </c>
    </row>
    <row r="838" spans="1:3" ht="18" hidden="1">
      <c r="A838" s="289" t="s">
        <v>896</v>
      </c>
      <c r="B838" s="288">
        <v>2.1459999999999999</v>
      </c>
      <c r="C838" s="285" t="s">
        <v>834</v>
      </c>
    </row>
    <row r="839" spans="1:3" ht="18" hidden="1">
      <c r="A839" s="289" t="s">
        <v>898</v>
      </c>
      <c r="B839" s="288">
        <v>2.4569999999999999</v>
      </c>
      <c r="C839" s="285" t="s">
        <v>834</v>
      </c>
    </row>
    <row r="840" spans="1:3" ht="18" hidden="1">
      <c r="A840" s="289" t="s">
        <v>900</v>
      </c>
      <c r="B840" s="288">
        <v>3.077</v>
      </c>
      <c r="C840" s="285" t="s">
        <v>834</v>
      </c>
    </row>
    <row r="841" spans="1:3" ht="18" hidden="1">
      <c r="A841" s="289" t="s">
        <v>902</v>
      </c>
      <c r="B841" s="288">
        <v>3.387</v>
      </c>
      <c r="C841" s="285" t="s">
        <v>834</v>
      </c>
    </row>
    <row r="842" spans="1:3" ht="18" hidden="1">
      <c r="A842" s="289" t="s">
        <v>904</v>
      </c>
      <c r="B842" s="288">
        <v>3.698</v>
      </c>
      <c r="C842" s="285" t="s">
        <v>834</v>
      </c>
    </row>
  </sheetData>
  <autoFilter ref="A1:C842">
    <filterColumn colId="2">
      <filters>
        <filter val="ALLURA0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C36"/>
  <sheetViews>
    <sheetView workbookViewId="0">
      <selection activeCell="B12" sqref="B12"/>
    </sheetView>
  </sheetViews>
  <sheetFormatPr defaultColWidth="9" defaultRowHeight="15"/>
  <cols>
    <col min="2" max="2" width="31.7109375" customWidth="1"/>
    <col min="3" max="3" width="26" customWidth="1"/>
  </cols>
  <sheetData>
    <row r="1" spans="2:3" ht="20.25">
      <c r="B1" s="280" t="s">
        <v>8</v>
      </c>
      <c r="C1" s="280" t="s">
        <v>9</v>
      </c>
    </row>
    <row r="2" spans="2:3" ht="20.25">
      <c r="B2" s="281" t="s">
        <v>13</v>
      </c>
      <c r="C2" s="281" t="s">
        <v>14</v>
      </c>
    </row>
    <row r="3" spans="2:3" ht="20.25">
      <c r="B3" s="281" t="s">
        <v>17</v>
      </c>
      <c r="C3" s="281" t="s">
        <v>18</v>
      </c>
    </row>
    <row r="4" spans="2:3" ht="20.25">
      <c r="B4" s="281" t="s">
        <v>23</v>
      </c>
      <c r="C4" s="281" t="s">
        <v>18</v>
      </c>
    </row>
    <row r="5" spans="2:3" ht="20.25">
      <c r="B5" s="281" t="s">
        <v>27</v>
      </c>
      <c r="C5" s="281" t="s">
        <v>28</v>
      </c>
    </row>
    <row r="6" spans="2:3" ht="20.25">
      <c r="B6" s="281" t="s">
        <v>32</v>
      </c>
      <c r="C6" s="281" t="s">
        <v>28</v>
      </c>
    </row>
    <row r="7" spans="2:3" ht="20.25">
      <c r="B7" s="281" t="s">
        <v>36</v>
      </c>
      <c r="C7" s="281" t="s">
        <v>37</v>
      </c>
    </row>
    <row r="8" spans="2:3" ht="20.25">
      <c r="B8" s="281" t="s">
        <v>41</v>
      </c>
      <c r="C8" s="281" t="s">
        <v>42</v>
      </c>
    </row>
    <row r="9" spans="2:3" ht="20.25">
      <c r="B9" s="282" t="s">
        <v>46</v>
      </c>
      <c r="C9" s="282" t="s">
        <v>47</v>
      </c>
    </row>
    <row r="10" spans="2:3" ht="20.25">
      <c r="B10" s="281" t="s">
        <v>50</v>
      </c>
      <c r="C10" s="281" t="s">
        <v>47</v>
      </c>
    </row>
    <row r="11" spans="2:3" ht="20.25">
      <c r="B11" s="282" t="s">
        <v>53</v>
      </c>
      <c r="C11" s="282" t="s">
        <v>54</v>
      </c>
    </row>
    <row r="12" spans="2:3" ht="20.25">
      <c r="B12" s="281" t="s">
        <v>57</v>
      </c>
      <c r="C12" s="281" t="s">
        <v>54</v>
      </c>
    </row>
    <row r="13" spans="2:3" ht="20.25">
      <c r="B13" s="282" t="s">
        <v>1529</v>
      </c>
      <c r="C13" s="282" t="s">
        <v>1530</v>
      </c>
    </row>
    <row r="14" spans="2:3" ht="20.25">
      <c r="B14" s="281" t="s">
        <v>1531</v>
      </c>
      <c r="C14" s="281" t="s">
        <v>1530</v>
      </c>
    </row>
    <row r="15" spans="2:3" ht="20.25">
      <c r="B15" s="281" t="s">
        <v>1532</v>
      </c>
      <c r="C15" s="281" t="s">
        <v>1533</v>
      </c>
    </row>
    <row r="16" spans="2:3" ht="20.25">
      <c r="B16" s="282" t="s">
        <v>1534</v>
      </c>
      <c r="C16" s="282" t="s">
        <v>1535</v>
      </c>
    </row>
    <row r="17" spans="2:3" ht="20.25">
      <c r="B17" s="281" t="s">
        <v>1536</v>
      </c>
      <c r="C17" s="282" t="s">
        <v>1537</v>
      </c>
    </row>
    <row r="18" spans="2:3" ht="20.25">
      <c r="B18" s="282" t="s">
        <v>1538</v>
      </c>
      <c r="C18" s="282" t="s">
        <v>1539</v>
      </c>
    </row>
    <row r="19" spans="2:3" ht="20.25">
      <c r="B19" s="282" t="s">
        <v>1540</v>
      </c>
      <c r="C19" s="282" t="s">
        <v>1541</v>
      </c>
    </row>
    <row r="20" spans="2:3" ht="20.25">
      <c r="B20" s="282" t="s">
        <v>1542</v>
      </c>
      <c r="C20" s="282" t="s">
        <v>1543</v>
      </c>
    </row>
    <row r="21" spans="2:3" ht="20.25">
      <c r="B21" s="282" t="s">
        <v>1544</v>
      </c>
      <c r="C21" s="282" t="s">
        <v>1545</v>
      </c>
    </row>
    <row r="22" spans="2:3" ht="20.25">
      <c r="B22" s="282" t="s">
        <v>1546</v>
      </c>
      <c r="C22" s="282" t="s">
        <v>1547</v>
      </c>
    </row>
    <row r="23" spans="2:3" ht="20.25">
      <c r="B23" s="282" t="s">
        <v>1548</v>
      </c>
      <c r="C23" s="282" t="s">
        <v>1549</v>
      </c>
    </row>
    <row r="24" spans="2:3" ht="20.25">
      <c r="B24" s="281" t="s">
        <v>1550</v>
      </c>
      <c r="C24" s="281" t="s">
        <v>1551</v>
      </c>
    </row>
    <row r="25" spans="2:3" ht="20.25">
      <c r="B25" s="282" t="s">
        <v>1552</v>
      </c>
      <c r="C25" s="282" t="s">
        <v>1553</v>
      </c>
    </row>
    <row r="26" spans="2:3" ht="20.25">
      <c r="B26" s="282" t="s">
        <v>1554</v>
      </c>
      <c r="C26" s="282" t="s">
        <v>1555</v>
      </c>
    </row>
    <row r="27" spans="2:3" ht="20.25">
      <c r="B27" s="281" t="s">
        <v>1556</v>
      </c>
      <c r="C27" s="281" t="s">
        <v>1557</v>
      </c>
    </row>
    <row r="28" spans="2:3" ht="20.25">
      <c r="B28" s="281" t="s">
        <v>1558</v>
      </c>
      <c r="C28" s="281" t="s">
        <v>1557</v>
      </c>
    </row>
    <row r="29" spans="2:3" ht="20.25">
      <c r="B29" s="281" t="s">
        <v>1559</v>
      </c>
      <c r="C29" s="281" t="s">
        <v>1560</v>
      </c>
    </row>
    <row r="30" spans="2:3" ht="20.25">
      <c r="B30" s="282" t="s">
        <v>1561</v>
      </c>
      <c r="C30" s="281" t="s">
        <v>1560</v>
      </c>
    </row>
    <row r="31" spans="2:3" ht="20.25">
      <c r="B31" s="282" t="s">
        <v>1562</v>
      </c>
      <c r="C31" s="76" t="s">
        <v>1563</v>
      </c>
    </row>
    <row r="32" spans="2:3" ht="20.25">
      <c r="B32" s="282" t="s">
        <v>1564</v>
      </c>
      <c r="C32" s="282" t="s">
        <v>1565</v>
      </c>
    </row>
    <row r="33" spans="2:3" ht="20.25">
      <c r="B33" s="281" t="s">
        <v>1566</v>
      </c>
      <c r="C33" s="281" t="s">
        <v>1567</v>
      </c>
    </row>
    <row r="34" spans="2:3" ht="20.25">
      <c r="B34" s="282" t="s">
        <v>1568</v>
      </c>
      <c r="C34" s="282" t="s">
        <v>1569</v>
      </c>
    </row>
    <row r="35" spans="2:3" ht="20.25">
      <c r="B35" s="281" t="s">
        <v>1570</v>
      </c>
      <c r="C35" s="281" t="s">
        <v>1571</v>
      </c>
    </row>
    <row r="36" spans="2:3" ht="20.25">
      <c r="B36" s="282" t="s">
        <v>1572</v>
      </c>
      <c r="C36" s="282" t="s">
        <v>1573</v>
      </c>
    </row>
  </sheetData>
  <conditionalFormatting sqref="B22">
    <cfRule type="duplicateValues" dxfId="5" priority="1"/>
  </conditionalFormatting>
  <conditionalFormatting sqref="B2:B21 B23:B26">
    <cfRule type="duplicateValues" dxfId="4" priority="2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C2:H78"/>
  <sheetViews>
    <sheetView topLeftCell="A70" workbookViewId="0">
      <selection activeCell="J80" sqref="J80"/>
    </sheetView>
  </sheetViews>
  <sheetFormatPr defaultColWidth="9" defaultRowHeight="15"/>
  <cols>
    <col min="4" max="4" width="31.85546875" customWidth="1"/>
    <col min="5" max="5" width="38.5703125" customWidth="1"/>
    <col min="6" max="6" width="17.85546875" customWidth="1"/>
  </cols>
  <sheetData>
    <row r="2" spans="3:8">
      <c r="C2" s="278">
        <v>44</v>
      </c>
      <c r="D2" s="279" t="s">
        <v>1574</v>
      </c>
      <c r="E2" s="279" t="s">
        <v>1575</v>
      </c>
      <c r="F2" s="279" t="s">
        <v>1576</v>
      </c>
      <c r="G2" s="279">
        <v>265</v>
      </c>
      <c r="H2" s="279">
        <v>0.14699999999999999</v>
      </c>
    </row>
    <row r="3" spans="3:8">
      <c r="C3" s="278">
        <v>45</v>
      </c>
      <c r="D3" s="279" t="s">
        <v>1577</v>
      </c>
      <c r="E3" s="279" t="s">
        <v>1578</v>
      </c>
      <c r="F3" s="279" t="s">
        <v>1576</v>
      </c>
      <c r="G3" s="279">
        <v>265</v>
      </c>
      <c r="H3" s="279">
        <v>0.16200000000000001</v>
      </c>
    </row>
    <row r="4" spans="3:8">
      <c r="C4" s="278">
        <v>46</v>
      </c>
      <c r="D4" s="279" t="s">
        <v>1579</v>
      </c>
      <c r="E4" s="279" t="s">
        <v>1580</v>
      </c>
      <c r="F4" s="279" t="s">
        <v>1576</v>
      </c>
      <c r="G4" s="279">
        <v>265</v>
      </c>
      <c r="H4" s="279">
        <v>0.17699999999999999</v>
      </c>
    </row>
    <row r="5" spans="3:8">
      <c r="C5" s="278">
        <v>47</v>
      </c>
      <c r="D5" s="279" t="s">
        <v>1581</v>
      </c>
      <c r="E5" s="279" t="s">
        <v>1582</v>
      </c>
      <c r="F5" s="279" t="s">
        <v>1576</v>
      </c>
      <c r="G5" s="279">
        <v>265</v>
      </c>
      <c r="H5" s="279">
        <v>0.192</v>
      </c>
    </row>
    <row r="6" spans="3:8">
      <c r="C6" s="278">
        <v>48</v>
      </c>
      <c r="D6" s="279" t="s">
        <v>1583</v>
      </c>
      <c r="E6" s="279" t="s">
        <v>1584</v>
      </c>
      <c r="F6" s="279" t="s">
        <v>1576</v>
      </c>
      <c r="G6" s="279">
        <v>265</v>
      </c>
      <c r="H6" s="279">
        <v>0.20699999999999999</v>
      </c>
    </row>
    <row r="7" spans="3:8">
      <c r="C7" s="278">
        <v>49</v>
      </c>
      <c r="D7" s="279" t="s">
        <v>1585</v>
      </c>
      <c r="E7" s="279" t="s">
        <v>1586</v>
      </c>
      <c r="F7" s="279" t="s">
        <v>1576</v>
      </c>
      <c r="G7" s="279">
        <v>265</v>
      </c>
      <c r="H7" s="279">
        <v>0.222</v>
      </c>
    </row>
    <row r="8" spans="3:8">
      <c r="C8" s="278">
        <v>50</v>
      </c>
      <c r="D8" s="279" t="s">
        <v>1587</v>
      </c>
      <c r="E8" s="279" t="s">
        <v>1588</v>
      </c>
      <c r="F8" s="279" t="s">
        <v>1576</v>
      </c>
      <c r="G8" s="279">
        <v>265</v>
      </c>
      <c r="H8" s="279">
        <v>0.23699999999999999</v>
      </c>
    </row>
    <row r="9" spans="3:8">
      <c r="C9" s="278">
        <v>51</v>
      </c>
      <c r="D9" s="279" t="s">
        <v>1589</v>
      </c>
      <c r="E9" s="279" t="s">
        <v>1590</v>
      </c>
      <c r="F9" s="279" t="s">
        <v>1576</v>
      </c>
      <c r="G9" s="279">
        <v>265</v>
      </c>
      <c r="H9" s="279">
        <v>0.252</v>
      </c>
    </row>
    <row r="10" spans="3:8">
      <c r="C10" s="278">
        <v>52</v>
      </c>
      <c r="D10" s="279" t="s">
        <v>1591</v>
      </c>
      <c r="E10" s="279" t="s">
        <v>1592</v>
      </c>
      <c r="F10" s="279" t="s">
        <v>1576</v>
      </c>
      <c r="G10" s="279">
        <v>265</v>
      </c>
      <c r="H10" s="279">
        <v>0.26700000000000002</v>
      </c>
    </row>
    <row r="11" spans="3:8">
      <c r="C11" s="278">
        <v>53</v>
      </c>
      <c r="D11" s="279" t="s">
        <v>1593</v>
      </c>
      <c r="E11" s="279" t="s">
        <v>1594</v>
      </c>
      <c r="F11" s="279" t="s">
        <v>1576</v>
      </c>
      <c r="G11" s="279">
        <v>265</v>
      </c>
      <c r="H11" s="279">
        <v>0.28100000000000003</v>
      </c>
    </row>
    <row r="12" spans="3:8">
      <c r="C12" s="278">
        <v>54</v>
      </c>
      <c r="D12" s="279" t="s">
        <v>1595</v>
      </c>
      <c r="E12" s="279" t="s">
        <v>1596</v>
      </c>
      <c r="F12" s="279" t="s">
        <v>1576</v>
      </c>
      <c r="G12" s="279">
        <v>265</v>
      </c>
      <c r="H12" s="279">
        <v>0.29599999999999999</v>
      </c>
    </row>
    <row r="13" spans="3:8">
      <c r="C13" s="278">
        <v>55</v>
      </c>
      <c r="D13" s="279" t="s">
        <v>1597</v>
      </c>
      <c r="E13" s="279" t="s">
        <v>1598</v>
      </c>
      <c r="F13" s="279" t="s">
        <v>1576</v>
      </c>
      <c r="G13" s="279">
        <v>265</v>
      </c>
      <c r="H13" s="279">
        <v>0.311</v>
      </c>
    </row>
    <row r="14" spans="3:8">
      <c r="C14" s="278">
        <v>56</v>
      </c>
      <c r="D14" s="279" t="s">
        <v>1599</v>
      </c>
      <c r="E14" s="279" t="s">
        <v>1600</v>
      </c>
      <c r="F14" s="279" t="s">
        <v>1576</v>
      </c>
      <c r="G14" s="279">
        <v>265</v>
      </c>
      <c r="H14" s="279">
        <v>0.32600000000000001</v>
      </c>
    </row>
    <row r="15" spans="3:8">
      <c r="C15" s="278">
        <v>57</v>
      </c>
      <c r="D15" s="279" t="s">
        <v>1601</v>
      </c>
      <c r="E15" s="279" t="s">
        <v>1602</v>
      </c>
      <c r="F15" s="279" t="s">
        <v>1576</v>
      </c>
      <c r="G15" s="279">
        <v>265</v>
      </c>
      <c r="H15" s="279">
        <v>0.34100000000000003</v>
      </c>
    </row>
    <row r="16" spans="3:8">
      <c r="C16" s="278">
        <v>58</v>
      </c>
      <c r="D16" s="279" t="s">
        <v>1603</v>
      </c>
      <c r="E16" s="279" t="s">
        <v>1604</v>
      </c>
      <c r="F16" s="279" t="s">
        <v>1576</v>
      </c>
      <c r="G16" s="279">
        <v>265</v>
      </c>
      <c r="H16" s="279">
        <v>0.35599999999999998</v>
      </c>
    </row>
    <row r="17" spans="3:8">
      <c r="C17" s="278">
        <v>59</v>
      </c>
      <c r="D17" s="279" t="s">
        <v>1605</v>
      </c>
      <c r="E17" s="279" t="s">
        <v>1606</v>
      </c>
      <c r="F17" s="279" t="s">
        <v>1576</v>
      </c>
      <c r="G17" s="279">
        <v>265</v>
      </c>
      <c r="H17" s="279">
        <v>0.153</v>
      </c>
    </row>
    <row r="18" spans="3:8">
      <c r="C18" s="278">
        <v>60</v>
      </c>
      <c r="D18" s="279" t="s">
        <v>1607</v>
      </c>
      <c r="E18" s="279" t="s">
        <v>1608</v>
      </c>
      <c r="F18" s="279" t="s">
        <v>1576</v>
      </c>
      <c r="G18" s="279">
        <v>265</v>
      </c>
      <c r="H18" s="279">
        <v>0.16900000000000001</v>
      </c>
    </row>
    <row r="19" spans="3:8">
      <c r="C19" s="278">
        <v>61</v>
      </c>
      <c r="D19" s="279" t="s">
        <v>1609</v>
      </c>
      <c r="E19" s="279" t="s">
        <v>1610</v>
      </c>
      <c r="F19" s="279" t="s">
        <v>1576</v>
      </c>
      <c r="G19" s="279">
        <v>265</v>
      </c>
      <c r="H19" s="279">
        <v>0.184</v>
      </c>
    </row>
    <row r="20" spans="3:8">
      <c r="C20" s="278">
        <v>62</v>
      </c>
      <c r="D20" s="279" t="s">
        <v>1611</v>
      </c>
      <c r="E20" s="279" t="s">
        <v>1612</v>
      </c>
      <c r="F20" s="279" t="s">
        <v>1576</v>
      </c>
      <c r="G20" s="279">
        <v>265</v>
      </c>
      <c r="H20" s="279">
        <v>0.2</v>
      </c>
    </row>
    <row r="21" spans="3:8">
      <c r="C21" s="278">
        <v>63</v>
      </c>
      <c r="D21" s="279" t="s">
        <v>1613</v>
      </c>
      <c r="E21" s="279" t="s">
        <v>1614</v>
      </c>
      <c r="F21" s="279" t="s">
        <v>1576</v>
      </c>
      <c r="G21" s="279">
        <v>265</v>
      </c>
      <c r="H21" s="279">
        <v>0.215</v>
      </c>
    </row>
    <row r="22" spans="3:8">
      <c r="C22" s="278">
        <v>64</v>
      </c>
      <c r="D22" s="279" t="s">
        <v>1615</v>
      </c>
      <c r="E22" s="279" t="s">
        <v>1616</v>
      </c>
      <c r="F22" s="279" t="s">
        <v>1576</v>
      </c>
      <c r="G22" s="279">
        <v>265</v>
      </c>
      <c r="H22" s="279">
        <v>0.23100000000000001</v>
      </c>
    </row>
    <row r="23" spans="3:8">
      <c r="C23" s="278">
        <v>65</v>
      </c>
      <c r="D23" s="279" t="s">
        <v>1617</v>
      </c>
      <c r="E23" s="279" t="s">
        <v>1618</v>
      </c>
      <c r="F23" s="279" t="s">
        <v>1576</v>
      </c>
      <c r="G23" s="279">
        <v>265</v>
      </c>
      <c r="H23" s="279">
        <v>0.247</v>
      </c>
    </row>
    <row r="24" spans="3:8">
      <c r="C24" s="278">
        <v>66</v>
      </c>
      <c r="D24" s="279" t="s">
        <v>1619</v>
      </c>
      <c r="E24" s="279" t="s">
        <v>1620</v>
      </c>
      <c r="F24" s="279" t="s">
        <v>1576</v>
      </c>
      <c r="G24" s="279">
        <v>265</v>
      </c>
      <c r="H24" s="279">
        <v>0.26200000000000001</v>
      </c>
    </row>
    <row r="25" spans="3:8">
      <c r="C25" s="278">
        <v>67</v>
      </c>
      <c r="D25" s="279" t="s">
        <v>1621</v>
      </c>
      <c r="E25" s="279" t="s">
        <v>1622</v>
      </c>
      <c r="F25" s="279" t="s">
        <v>1576</v>
      </c>
      <c r="G25" s="279">
        <v>265</v>
      </c>
      <c r="H25" s="279">
        <v>0.27800000000000002</v>
      </c>
    </row>
    <row r="26" spans="3:8">
      <c r="C26" s="278">
        <v>68</v>
      </c>
      <c r="D26" s="279" t="s">
        <v>1623</v>
      </c>
      <c r="E26" s="279" t="s">
        <v>1624</v>
      </c>
      <c r="F26" s="279" t="s">
        <v>1576</v>
      </c>
      <c r="G26" s="279">
        <v>265</v>
      </c>
      <c r="H26" s="279">
        <v>0.29299999999999998</v>
      </c>
    </row>
    <row r="27" spans="3:8">
      <c r="C27" s="278">
        <v>69</v>
      </c>
      <c r="D27" s="279" t="s">
        <v>1625</v>
      </c>
      <c r="E27" s="279" t="s">
        <v>1626</v>
      </c>
      <c r="F27" s="279" t="s">
        <v>1576</v>
      </c>
      <c r="G27" s="279">
        <v>265</v>
      </c>
      <c r="H27" s="279">
        <v>0.309</v>
      </c>
    </row>
    <row r="28" spans="3:8">
      <c r="C28" s="278">
        <v>70</v>
      </c>
      <c r="D28" s="279" t="s">
        <v>1627</v>
      </c>
      <c r="E28" s="279" t="s">
        <v>1628</v>
      </c>
      <c r="F28" s="279" t="s">
        <v>1576</v>
      </c>
      <c r="G28" s="279">
        <v>265</v>
      </c>
      <c r="H28" s="279">
        <v>0.32400000000000001</v>
      </c>
    </row>
    <row r="29" spans="3:8">
      <c r="C29" s="278">
        <v>71</v>
      </c>
      <c r="D29" s="279" t="s">
        <v>1629</v>
      </c>
      <c r="E29" s="279" t="s">
        <v>1630</v>
      </c>
      <c r="F29" s="279" t="s">
        <v>1576</v>
      </c>
      <c r="G29" s="279">
        <v>265</v>
      </c>
      <c r="H29" s="279">
        <v>0.34</v>
      </c>
    </row>
    <row r="30" spans="3:8">
      <c r="C30" s="278">
        <v>72</v>
      </c>
      <c r="D30" s="279" t="s">
        <v>1631</v>
      </c>
      <c r="E30" s="279" t="s">
        <v>1632</v>
      </c>
      <c r="F30" s="279" t="s">
        <v>1576</v>
      </c>
      <c r="G30" s="279">
        <v>265</v>
      </c>
      <c r="H30" s="279">
        <v>0.35599999999999998</v>
      </c>
    </row>
    <row r="31" spans="3:8">
      <c r="C31" s="278">
        <v>73</v>
      </c>
      <c r="D31" s="279" t="s">
        <v>1633</v>
      </c>
      <c r="E31" s="279" t="s">
        <v>1634</v>
      </c>
      <c r="F31" s="279" t="s">
        <v>1576</v>
      </c>
      <c r="G31" s="279">
        <v>265</v>
      </c>
      <c r="H31" s="279">
        <v>0.371</v>
      </c>
    </row>
    <row r="32" spans="3:8">
      <c r="C32" s="278">
        <v>74</v>
      </c>
      <c r="D32" s="279" t="s">
        <v>1635</v>
      </c>
      <c r="E32" s="279" t="s">
        <v>1636</v>
      </c>
      <c r="F32" s="279" t="s">
        <v>1576</v>
      </c>
      <c r="G32" s="279">
        <v>265</v>
      </c>
      <c r="H32" s="279">
        <v>0.159</v>
      </c>
    </row>
    <row r="33" spans="3:8">
      <c r="C33" s="278">
        <v>75</v>
      </c>
      <c r="D33" s="279" t="s">
        <v>1637</v>
      </c>
      <c r="E33" s="279" t="s">
        <v>1638</v>
      </c>
      <c r="F33" s="279" t="s">
        <v>1576</v>
      </c>
      <c r="G33" s="279">
        <v>265</v>
      </c>
      <c r="H33" s="279">
        <v>0.17499999999999999</v>
      </c>
    </row>
    <row r="34" spans="3:8">
      <c r="C34" s="278">
        <v>76</v>
      </c>
      <c r="D34" s="279" t="s">
        <v>1639</v>
      </c>
      <c r="E34" s="279" t="s">
        <v>1640</v>
      </c>
      <c r="F34" s="279" t="s">
        <v>1576</v>
      </c>
      <c r="G34" s="279">
        <v>265</v>
      </c>
      <c r="H34" s="279">
        <v>0.192</v>
      </c>
    </row>
    <row r="35" spans="3:8">
      <c r="C35" s="278">
        <v>77</v>
      </c>
      <c r="D35" s="279" t="s">
        <v>1641</v>
      </c>
      <c r="E35" s="279" t="s">
        <v>1642</v>
      </c>
      <c r="F35" s="279" t="s">
        <v>1576</v>
      </c>
      <c r="G35" s="279">
        <v>265</v>
      </c>
      <c r="H35" s="279">
        <v>0.20799999999999999</v>
      </c>
    </row>
    <row r="36" spans="3:8">
      <c r="C36" s="278">
        <v>78</v>
      </c>
      <c r="D36" s="279" t="s">
        <v>1643</v>
      </c>
      <c r="E36" s="279" t="s">
        <v>1644</v>
      </c>
      <c r="F36" s="279" t="s">
        <v>1576</v>
      </c>
      <c r="G36" s="279">
        <v>265</v>
      </c>
      <c r="H36" s="279">
        <v>0.224</v>
      </c>
    </row>
    <row r="37" spans="3:8">
      <c r="C37" s="278">
        <v>79</v>
      </c>
      <c r="D37" s="279" t="s">
        <v>1645</v>
      </c>
      <c r="E37" s="279" t="s">
        <v>1646</v>
      </c>
      <c r="F37" s="279" t="s">
        <v>1576</v>
      </c>
      <c r="G37" s="279">
        <v>265</v>
      </c>
      <c r="H37" s="279">
        <v>0.24</v>
      </c>
    </row>
    <row r="38" spans="3:8">
      <c r="C38" s="278">
        <v>80</v>
      </c>
      <c r="D38" s="279" t="s">
        <v>1647</v>
      </c>
      <c r="E38" s="279" t="s">
        <v>1648</v>
      </c>
      <c r="F38" s="279" t="s">
        <v>1576</v>
      </c>
      <c r="G38" s="279">
        <v>265</v>
      </c>
      <c r="H38" s="279">
        <v>0.25600000000000001</v>
      </c>
    </row>
    <row r="39" spans="3:8">
      <c r="C39" s="278">
        <v>81</v>
      </c>
      <c r="D39" s="279" t="s">
        <v>1649</v>
      </c>
      <c r="E39" s="279" t="s">
        <v>1650</v>
      </c>
      <c r="F39" s="279" t="s">
        <v>1576</v>
      </c>
      <c r="G39" s="279">
        <v>265</v>
      </c>
      <c r="H39" s="279">
        <v>0.27300000000000002</v>
      </c>
    </row>
    <row r="40" spans="3:8">
      <c r="C40" s="278">
        <v>82</v>
      </c>
      <c r="D40" s="279" t="s">
        <v>1651</v>
      </c>
      <c r="E40" s="279" t="s">
        <v>1652</v>
      </c>
      <c r="F40" s="279" t="s">
        <v>1576</v>
      </c>
      <c r="G40" s="279">
        <v>265</v>
      </c>
      <c r="H40" s="279">
        <v>0.28899999999999998</v>
      </c>
    </row>
    <row r="41" spans="3:8">
      <c r="C41" s="278">
        <v>83</v>
      </c>
      <c r="D41" s="279" t="s">
        <v>1653</v>
      </c>
      <c r="E41" s="279" t="s">
        <v>1654</v>
      </c>
      <c r="F41" s="279" t="s">
        <v>1576</v>
      </c>
      <c r="G41" s="279">
        <v>265</v>
      </c>
      <c r="H41" s="279">
        <v>0.30499999999999999</v>
      </c>
    </row>
    <row r="42" spans="3:8">
      <c r="C42" s="278">
        <v>84</v>
      </c>
      <c r="D42" s="279" t="s">
        <v>1655</v>
      </c>
      <c r="E42" s="279" t="s">
        <v>1656</v>
      </c>
      <c r="F42" s="279" t="s">
        <v>1576</v>
      </c>
      <c r="G42" s="279">
        <v>265</v>
      </c>
      <c r="H42" s="279">
        <v>0.32100000000000001</v>
      </c>
    </row>
    <row r="43" spans="3:8">
      <c r="C43" s="278">
        <v>85</v>
      </c>
      <c r="D43" s="279" t="s">
        <v>1657</v>
      </c>
      <c r="E43" s="279" t="s">
        <v>1658</v>
      </c>
      <c r="F43" s="279" t="s">
        <v>1576</v>
      </c>
      <c r="G43" s="279">
        <v>265</v>
      </c>
      <c r="H43" s="279">
        <v>0.33700000000000002</v>
      </c>
    </row>
    <row r="44" spans="3:8">
      <c r="C44" s="278">
        <v>86</v>
      </c>
      <c r="D44" s="279" t="s">
        <v>1659</v>
      </c>
      <c r="E44" s="279" t="s">
        <v>1660</v>
      </c>
      <c r="F44" s="279" t="s">
        <v>1576</v>
      </c>
      <c r="G44" s="279">
        <v>265</v>
      </c>
      <c r="H44" s="279">
        <v>0.35399999999999998</v>
      </c>
    </row>
    <row r="45" spans="3:8">
      <c r="C45" s="278">
        <v>87</v>
      </c>
      <c r="D45" s="279" t="s">
        <v>1661</v>
      </c>
      <c r="E45" s="279" t="s">
        <v>1662</v>
      </c>
      <c r="F45" s="279" t="s">
        <v>1576</v>
      </c>
      <c r="G45" s="279">
        <v>265</v>
      </c>
      <c r="H45" s="279">
        <v>0.37</v>
      </c>
    </row>
    <row r="46" spans="3:8">
      <c r="C46" s="278">
        <v>88</v>
      </c>
      <c r="D46" s="279" t="s">
        <v>1663</v>
      </c>
      <c r="E46" s="279" t="s">
        <v>1664</v>
      </c>
      <c r="F46" s="279" t="s">
        <v>1576</v>
      </c>
      <c r="G46" s="279">
        <v>265</v>
      </c>
      <c r="H46" s="279">
        <v>0.38600000000000001</v>
      </c>
    </row>
    <row r="47" spans="3:8">
      <c r="C47" s="278">
        <v>89</v>
      </c>
      <c r="D47" s="279" t="s">
        <v>1665</v>
      </c>
      <c r="E47" s="279" t="s">
        <v>1666</v>
      </c>
      <c r="F47" s="279" t="s">
        <v>1576</v>
      </c>
      <c r="G47" s="279">
        <v>265</v>
      </c>
      <c r="H47" s="279">
        <v>0.16300000000000001</v>
      </c>
    </row>
    <row r="48" spans="3:8">
      <c r="C48" s="278">
        <v>90</v>
      </c>
      <c r="D48" s="279" t="s">
        <v>1667</v>
      </c>
      <c r="E48" s="279" t="s">
        <v>1668</v>
      </c>
      <c r="F48" s="279" t="s">
        <v>1576</v>
      </c>
      <c r="G48" s="279">
        <v>265</v>
      </c>
      <c r="H48" s="279">
        <v>0.18</v>
      </c>
    </row>
    <row r="49" spans="3:8">
      <c r="C49" s="278">
        <v>91</v>
      </c>
      <c r="D49" s="279" t="s">
        <v>1669</v>
      </c>
      <c r="E49" s="279" t="s">
        <v>1670</v>
      </c>
      <c r="F49" s="279" t="s">
        <v>1576</v>
      </c>
      <c r="G49" s="279">
        <v>265</v>
      </c>
      <c r="H49" s="279">
        <v>0.19700000000000001</v>
      </c>
    </row>
    <row r="50" spans="3:8">
      <c r="C50" s="278">
        <v>92</v>
      </c>
      <c r="D50" s="279" t="s">
        <v>1671</v>
      </c>
      <c r="E50" s="279" t="s">
        <v>1672</v>
      </c>
      <c r="F50" s="279" t="s">
        <v>1576</v>
      </c>
      <c r="G50" s="279">
        <v>265</v>
      </c>
      <c r="H50" s="279">
        <v>0.21299999999999999</v>
      </c>
    </row>
    <row r="51" spans="3:8">
      <c r="C51" s="278">
        <v>93</v>
      </c>
      <c r="D51" s="279" t="s">
        <v>1673</v>
      </c>
      <c r="E51" s="279" t="s">
        <v>1674</v>
      </c>
      <c r="F51" s="279" t="s">
        <v>1576</v>
      </c>
      <c r="G51" s="279">
        <v>265</v>
      </c>
      <c r="H51" s="279">
        <v>0.23</v>
      </c>
    </row>
    <row r="52" spans="3:8">
      <c r="C52" s="278">
        <v>94</v>
      </c>
      <c r="D52" s="279" t="s">
        <v>1675</v>
      </c>
      <c r="E52" s="279" t="s">
        <v>1676</v>
      </c>
      <c r="F52" s="279" t="s">
        <v>1576</v>
      </c>
      <c r="G52" s="279">
        <v>265</v>
      </c>
      <c r="H52" s="279">
        <v>0.247</v>
      </c>
    </row>
    <row r="53" spans="3:8">
      <c r="C53" s="278">
        <v>95</v>
      </c>
      <c r="D53" s="279" t="s">
        <v>1677</v>
      </c>
      <c r="E53" s="279" t="s">
        <v>1678</v>
      </c>
      <c r="F53" s="279" t="s">
        <v>1576</v>
      </c>
      <c r="G53" s="279">
        <v>265</v>
      </c>
      <c r="H53" s="279">
        <v>0.26300000000000001</v>
      </c>
    </row>
    <row r="54" spans="3:8">
      <c r="C54" s="278">
        <v>96</v>
      </c>
      <c r="D54" s="279" t="s">
        <v>1679</v>
      </c>
      <c r="E54" s="279" t="s">
        <v>1680</v>
      </c>
      <c r="F54" s="279" t="s">
        <v>1576</v>
      </c>
      <c r="G54" s="279">
        <v>265</v>
      </c>
      <c r="H54" s="279">
        <v>0.28000000000000003</v>
      </c>
    </row>
    <row r="55" spans="3:8">
      <c r="C55" s="278">
        <v>97</v>
      </c>
      <c r="D55" s="279" t="s">
        <v>1681</v>
      </c>
      <c r="E55" s="279" t="s">
        <v>1682</v>
      </c>
      <c r="F55" s="279" t="s">
        <v>1576</v>
      </c>
      <c r="G55" s="279">
        <v>265</v>
      </c>
      <c r="H55" s="279">
        <v>0.29599999999999999</v>
      </c>
    </row>
    <row r="56" spans="3:8">
      <c r="C56" s="278">
        <v>98</v>
      </c>
      <c r="D56" s="279" t="s">
        <v>1683</v>
      </c>
      <c r="E56" s="279" t="s">
        <v>1684</v>
      </c>
      <c r="F56" s="279" t="s">
        <v>1576</v>
      </c>
      <c r="G56" s="279">
        <v>265</v>
      </c>
      <c r="H56" s="279">
        <v>0.313</v>
      </c>
    </row>
    <row r="57" spans="3:8">
      <c r="C57" s="278">
        <v>99</v>
      </c>
      <c r="D57" s="279" t="s">
        <v>1685</v>
      </c>
      <c r="E57" s="279" t="s">
        <v>1686</v>
      </c>
      <c r="F57" s="279" t="s">
        <v>1576</v>
      </c>
      <c r="G57" s="279">
        <v>265</v>
      </c>
      <c r="H57" s="279">
        <v>0.33</v>
      </c>
    </row>
    <row r="58" spans="3:8">
      <c r="C58" s="278">
        <v>100</v>
      </c>
      <c r="D58" s="279" t="s">
        <v>1687</v>
      </c>
      <c r="E58" s="279" t="s">
        <v>1688</v>
      </c>
      <c r="F58" s="279" t="s">
        <v>1576</v>
      </c>
      <c r="G58" s="279">
        <v>265</v>
      </c>
      <c r="H58" s="279">
        <v>0.34599999999999997</v>
      </c>
    </row>
    <row r="59" spans="3:8">
      <c r="C59" s="278">
        <v>101</v>
      </c>
      <c r="D59" s="279" t="s">
        <v>1689</v>
      </c>
      <c r="E59" s="279" t="s">
        <v>1690</v>
      </c>
      <c r="F59" s="279" t="s">
        <v>1576</v>
      </c>
      <c r="G59" s="279">
        <v>265</v>
      </c>
      <c r="H59" s="279">
        <v>0.36299999999999999</v>
      </c>
    </row>
    <row r="60" spans="3:8">
      <c r="C60" s="278">
        <v>102</v>
      </c>
      <c r="D60" s="279" t="s">
        <v>1691</v>
      </c>
      <c r="E60" s="279" t="s">
        <v>1692</v>
      </c>
      <c r="F60" s="279" t="s">
        <v>1576</v>
      </c>
      <c r="G60" s="279">
        <v>265</v>
      </c>
      <c r="H60" s="279">
        <v>0.379</v>
      </c>
    </row>
    <row r="61" spans="3:8">
      <c r="C61" s="278">
        <v>103</v>
      </c>
      <c r="D61" s="279" t="s">
        <v>1693</v>
      </c>
      <c r="E61" s="279" t="s">
        <v>1694</v>
      </c>
      <c r="F61" s="279" t="s">
        <v>1576</v>
      </c>
      <c r="G61" s="279">
        <v>265</v>
      </c>
      <c r="H61" s="279">
        <v>0.39600000000000002</v>
      </c>
    </row>
    <row r="62" spans="3:8">
      <c r="C62" s="278">
        <v>104</v>
      </c>
      <c r="D62" s="279" t="s">
        <v>1695</v>
      </c>
      <c r="E62" s="279" t="s">
        <v>1696</v>
      </c>
      <c r="F62" s="279" t="s">
        <v>1576</v>
      </c>
      <c r="G62" s="279">
        <v>265</v>
      </c>
      <c r="H62" s="279">
        <v>0.17199999999999999</v>
      </c>
    </row>
    <row r="63" spans="3:8">
      <c r="C63" s="278">
        <v>105</v>
      </c>
      <c r="D63" s="279" t="s">
        <v>1697</v>
      </c>
      <c r="E63" s="279" t="s">
        <v>1698</v>
      </c>
      <c r="F63" s="279" t="s">
        <v>1576</v>
      </c>
      <c r="G63" s="279">
        <v>265</v>
      </c>
      <c r="H63" s="279">
        <v>0.189</v>
      </c>
    </row>
    <row r="64" spans="3:8">
      <c r="C64" s="278">
        <v>106</v>
      </c>
      <c r="D64" s="279" t="s">
        <v>1699</v>
      </c>
      <c r="E64" s="279" t="s">
        <v>1700</v>
      </c>
      <c r="F64" s="279" t="s">
        <v>1576</v>
      </c>
      <c r="G64" s="279">
        <v>265</v>
      </c>
      <c r="H64" s="279">
        <v>0.20699999999999999</v>
      </c>
    </row>
    <row r="65" spans="3:8">
      <c r="C65" s="278">
        <v>107</v>
      </c>
      <c r="D65" s="279" t="s">
        <v>1701</v>
      </c>
      <c r="E65" s="279" t="s">
        <v>1702</v>
      </c>
      <c r="F65" s="279" t="s">
        <v>1576</v>
      </c>
      <c r="G65" s="279">
        <v>265</v>
      </c>
      <c r="H65" s="279">
        <v>0.224</v>
      </c>
    </row>
    <row r="66" spans="3:8">
      <c r="C66" s="278">
        <v>108</v>
      </c>
      <c r="D66" s="279" t="s">
        <v>1703</v>
      </c>
      <c r="E66" s="279" t="s">
        <v>1704</v>
      </c>
      <c r="F66" s="279" t="s">
        <v>1576</v>
      </c>
      <c r="G66" s="279">
        <v>265</v>
      </c>
      <c r="H66" s="279">
        <v>0.24099999999999999</v>
      </c>
    </row>
    <row r="67" spans="3:8">
      <c r="C67" s="278">
        <v>109</v>
      </c>
      <c r="D67" s="279" t="s">
        <v>1705</v>
      </c>
      <c r="E67" s="279" t="s">
        <v>1706</v>
      </c>
      <c r="F67" s="279" t="s">
        <v>1576</v>
      </c>
      <c r="G67" s="279">
        <v>265</v>
      </c>
      <c r="H67" s="279">
        <v>0.25900000000000001</v>
      </c>
    </row>
    <row r="68" spans="3:8">
      <c r="C68" s="278">
        <v>110</v>
      </c>
      <c r="D68" s="279" t="s">
        <v>1707</v>
      </c>
      <c r="E68" s="279" t="s">
        <v>1708</v>
      </c>
      <c r="F68" s="279" t="s">
        <v>1576</v>
      </c>
      <c r="G68" s="279">
        <v>265</v>
      </c>
      <c r="H68" s="279">
        <v>0.27600000000000002</v>
      </c>
    </row>
    <row r="69" spans="3:8">
      <c r="C69" s="278">
        <v>111</v>
      </c>
      <c r="D69" s="279" t="s">
        <v>1709</v>
      </c>
      <c r="E69" s="279" t="s">
        <v>1710</v>
      </c>
      <c r="F69" s="279" t="s">
        <v>1576</v>
      </c>
      <c r="G69" s="279">
        <v>265</v>
      </c>
      <c r="H69" s="279">
        <v>0.29399999999999998</v>
      </c>
    </row>
    <row r="70" spans="3:8">
      <c r="C70" s="278">
        <v>112</v>
      </c>
      <c r="D70" s="279" t="s">
        <v>1711</v>
      </c>
      <c r="E70" s="279" t="s">
        <v>1712</v>
      </c>
      <c r="F70" s="279" t="s">
        <v>1576</v>
      </c>
      <c r="G70" s="279">
        <v>265</v>
      </c>
      <c r="H70" s="279">
        <v>0.311</v>
      </c>
    </row>
    <row r="71" spans="3:8">
      <c r="C71" s="278">
        <v>113</v>
      </c>
      <c r="D71" s="279" t="s">
        <v>1713</v>
      </c>
      <c r="E71" s="279" t="s">
        <v>1714</v>
      </c>
      <c r="F71" s="279" t="s">
        <v>1576</v>
      </c>
      <c r="G71" s="279">
        <v>265</v>
      </c>
      <c r="H71" s="279">
        <v>0.32900000000000001</v>
      </c>
    </row>
    <row r="72" spans="3:8">
      <c r="C72" s="278">
        <v>114</v>
      </c>
      <c r="D72" s="279" t="s">
        <v>1715</v>
      </c>
      <c r="E72" s="279" t="s">
        <v>1716</v>
      </c>
      <c r="F72" s="279" t="s">
        <v>1576</v>
      </c>
      <c r="G72" s="279">
        <v>265</v>
      </c>
      <c r="H72" s="279">
        <v>0.34599999999999997</v>
      </c>
    </row>
    <row r="73" spans="3:8">
      <c r="C73" s="278">
        <v>115</v>
      </c>
      <c r="D73" s="279" t="s">
        <v>1717</v>
      </c>
      <c r="E73" s="279" t="s">
        <v>1718</v>
      </c>
      <c r="F73" s="279" t="s">
        <v>1576</v>
      </c>
      <c r="G73" s="279">
        <v>265</v>
      </c>
      <c r="H73" s="279">
        <v>0.36399999999999999</v>
      </c>
    </row>
    <row r="74" spans="3:8">
      <c r="C74" s="278">
        <v>116</v>
      </c>
      <c r="D74" s="279" t="s">
        <v>1719</v>
      </c>
      <c r="E74" s="279" t="s">
        <v>1720</v>
      </c>
      <c r="F74" s="279" t="s">
        <v>1576</v>
      </c>
      <c r="G74" s="279">
        <v>265</v>
      </c>
      <c r="H74" s="279">
        <v>0.38100000000000001</v>
      </c>
    </row>
    <row r="75" spans="3:8">
      <c r="C75" s="278">
        <v>117</v>
      </c>
      <c r="D75" s="279" t="s">
        <v>1721</v>
      </c>
      <c r="E75" s="279" t="s">
        <v>1722</v>
      </c>
      <c r="F75" s="279" t="s">
        <v>1576</v>
      </c>
      <c r="G75" s="279">
        <v>265</v>
      </c>
      <c r="H75" s="279">
        <v>0.39900000000000002</v>
      </c>
    </row>
    <row r="76" spans="3:8">
      <c r="C76" s="278">
        <v>118</v>
      </c>
      <c r="D76" s="279" t="s">
        <v>1723</v>
      </c>
      <c r="E76" s="279" t="s">
        <v>1724</v>
      </c>
      <c r="F76" s="279" t="s">
        <v>1576</v>
      </c>
      <c r="G76" s="279">
        <v>265</v>
      </c>
      <c r="H76" s="279">
        <v>0.41599999999999998</v>
      </c>
    </row>
    <row r="77" spans="3:8">
      <c r="C77" s="278">
        <v>119</v>
      </c>
      <c r="D77" s="279" t="s">
        <v>1725</v>
      </c>
      <c r="E77" s="279" t="s">
        <v>1726</v>
      </c>
      <c r="F77" s="279" t="s">
        <v>1576</v>
      </c>
      <c r="G77" s="279">
        <v>265</v>
      </c>
      <c r="H77" s="279">
        <v>2.4E-2</v>
      </c>
    </row>
    <row r="78" spans="3:8">
      <c r="C78" s="278">
        <v>120</v>
      </c>
      <c r="D78" s="279" t="s">
        <v>1727</v>
      </c>
      <c r="E78" s="279" t="s">
        <v>1728</v>
      </c>
      <c r="F78" s="279" t="s">
        <v>1576</v>
      </c>
      <c r="G78" s="279">
        <v>265</v>
      </c>
      <c r="H78" s="279">
        <v>1.0999999999999999E-2</v>
      </c>
    </row>
  </sheetData>
  <pageMargins left="0.7" right="0.7" top="0.75" bottom="0.75" header="0.3" footer="0.3"/>
  <pageSetup paperSize="9" orientation="portrait" verticalDpi="20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filterMode="1"/>
  <dimension ref="A1:F980"/>
  <sheetViews>
    <sheetView zoomScale="115" zoomScaleNormal="115" workbookViewId="0">
      <pane ySplit="2" topLeftCell="A280" activePane="bottomLeft" state="frozen"/>
      <selection pane="bottomLeft" activeCell="A2" sqref="A2"/>
    </sheetView>
  </sheetViews>
  <sheetFormatPr defaultColWidth="9" defaultRowHeight="15"/>
  <cols>
    <col min="1" max="1" width="14.5703125" customWidth="1"/>
    <col min="2" max="2" width="13.85546875" customWidth="1"/>
    <col min="3" max="3" width="13.28515625" customWidth="1"/>
    <col min="4" max="4" width="17.85546875" customWidth="1"/>
    <col min="5" max="5" width="72.140625" bestFit="1" customWidth="1"/>
    <col min="6" max="6" width="13.85546875" style="15" customWidth="1"/>
  </cols>
  <sheetData>
    <row r="1" spans="1:6" ht="15.75" thickBot="1"/>
    <row r="2" spans="1:6" ht="18.75" thickBot="1">
      <c r="A2" s="115" t="s">
        <v>1394</v>
      </c>
      <c r="B2" s="115" t="s">
        <v>1729</v>
      </c>
      <c r="C2" s="115" t="s">
        <v>1390</v>
      </c>
      <c r="D2" s="115" t="s">
        <v>1730</v>
      </c>
      <c r="E2" s="116" t="s">
        <v>1430</v>
      </c>
      <c r="F2" s="249" t="s">
        <v>1</v>
      </c>
    </row>
    <row r="3" spans="1:6" ht="18.75" hidden="1" thickBot="1">
      <c r="A3" s="119">
        <v>32</v>
      </c>
      <c r="B3" s="119">
        <v>71.5</v>
      </c>
      <c r="C3" s="119">
        <v>115</v>
      </c>
      <c r="D3" s="119">
        <v>40</v>
      </c>
      <c r="E3" s="120" t="s">
        <v>3094</v>
      </c>
      <c r="F3" s="250">
        <f t="shared" ref="F3:F34" si="0">ROUND(A3*B3*0.0254*C3/1000*D3/1000,3)</f>
        <v>0.26700000000000002</v>
      </c>
    </row>
    <row r="4" spans="1:6" ht="18.75" hidden="1" thickBot="1">
      <c r="A4" s="119">
        <v>32</v>
      </c>
      <c r="B4" s="123">
        <v>74.5</v>
      </c>
      <c r="C4" s="123">
        <v>115</v>
      </c>
      <c r="D4" s="123">
        <v>40</v>
      </c>
      <c r="E4" s="120" t="s">
        <v>3095</v>
      </c>
      <c r="F4" s="251">
        <f t="shared" si="0"/>
        <v>0.27900000000000003</v>
      </c>
    </row>
    <row r="5" spans="1:6" ht="18.75" hidden="1" thickBot="1">
      <c r="A5" s="119">
        <v>32</v>
      </c>
      <c r="B5" s="123">
        <v>77.5</v>
      </c>
      <c r="C5" s="123">
        <v>115</v>
      </c>
      <c r="D5" s="123">
        <v>40</v>
      </c>
      <c r="E5" s="120" t="s">
        <v>3096</v>
      </c>
      <c r="F5" s="251">
        <f t="shared" si="0"/>
        <v>0.28999999999999998</v>
      </c>
    </row>
    <row r="6" spans="1:6" ht="18.75" hidden="1" thickBot="1">
      <c r="A6" s="119">
        <v>32</v>
      </c>
      <c r="B6" s="123">
        <v>79.5</v>
      </c>
      <c r="C6" s="123">
        <v>115</v>
      </c>
      <c r="D6" s="123">
        <v>40</v>
      </c>
      <c r="E6" s="120" t="s">
        <v>3097</v>
      </c>
      <c r="F6" s="251">
        <f t="shared" si="0"/>
        <v>0.29699999999999999</v>
      </c>
    </row>
    <row r="7" spans="1:6" ht="18.75" hidden="1" thickBot="1">
      <c r="A7" s="119">
        <v>32</v>
      </c>
      <c r="B7" s="123">
        <v>83.5</v>
      </c>
      <c r="C7" s="123">
        <v>115</v>
      </c>
      <c r="D7" s="123">
        <v>40</v>
      </c>
      <c r="E7" s="120" t="s">
        <v>3098</v>
      </c>
      <c r="F7" s="251">
        <f t="shared" si="0"/>
        <v>0.312</v>
      </c>
    </row>
    <row r="8" spans="1:6" ht="18.75" hidden="1" thickBot="1">
      <c r="A8" s="119">
        <v>32</v>
      </c>
      <c r="B8" s="123">
        <v>12.5</v>
      </c>
      <c r="C8" s="123">
        <v>115</v>
      </c>
      <c r="D8" s="123">
        <v>40</v>
      </c>
      <c r="E8" s="120" t="s">
        <v>3099</v>
      </c>
      <c r="F8" s="251">
        <f t="shared" si="0"/>
        <v>4.7E-2</v>
      </c>
    </row>
    <row r="9" spans="1:6" ht="18.75" hidden="1" thickBot="1">
      <c r="A9" s="119">
        <v>32</v>
      </c>
      <c r="B9" s="123">
        <v>19.5</v>
      </c>
      <c r="C9" s="123">
        <v>115</v>
      </c>
      <c r="D9" s="123">
        <v>40</v>
      </c>
      <c r="E9" s="120" t="s">
        <v>3100</v>
      </c>
      <c r="F9" s="251">
        <f t="shared" si="0"/>
        <v>7.2999999999999995E-2</v>
      </c>
    </row>
    <row r="10" spans="1:6" ht="18.75" hidden="1" thickBot="1">
      <c r="A10" s="126">
        <v>32</v>
      </c>
      <c r="B10" s="126">
        <v>71.5</v>
      </c>
      <c r="C10" s="126">
        <v>135</v>
      </c>
      <c r="D10" s="126">
        <v>40</v>
      </c>
      <c r="E10" s="127" t="s">
        <v>3101</v>
      </c>
      <c r="F10" s="252">
        <f t="shared" si="0"/>
        <v>0.314</v>
      </c>
    </row>
    <row r="11" spans="1:6" ht="18.75" hidden="1" thickBot="1">
      <c r="A11" s="126">
        <v>32</v>
      </c>
      <c r="B11" s="126">
        <v>74.5</v>
      </c>
      <c r="C11" s="126">
        <v>135</v>
      </c>
      <c r="D11" s="126">
        <v>40</v>
      </c>
      <c r="E11" s="127" t="s">
        <v>3102</v>
      </c>
      <c r="F11" s="252">
        <f t="shared" si="0"/>
        <v>0.32700000000000001</v>
      </c>
    </row>
    <row r="12" spans="1:6" ht="18.75" hidden="1" thickBot="1">
      <c r="A12" s="126">
        <v>32</v>
      </c>
      <c r="B12" s="126">
        <v>77.5</v>
      </c>
      <c r="C12" s="126">
        <v>135</v>
      </c>
      <c r="D12" s="126">
        <v>40</v>
      </c>
      <c r="E12" s="127" t="s">
        <v>3103</v>
      </c>
      <c r="F12" s="252">
        <f t="shared" si="0"/>
        <v>0.34</v>
      </c>
    </row>
    <row r="13" spans="1:6" ht="18.75" hidden="1" thickBot="1">
      <c r="A13" s="126">
        <v>32</v>
      </c>
      <c r="B13" s="126">
        <v>79.5</v>
      </c>
      <c r="C13" s="126">
        <v>135</v>
      </c>
      <c r="D13" s="126">
        <v>40</v>
      </c>
      <c r="E13" s="127" t="s">
        <v>3104</v>
      </c>
      <c r="F13" s="252">
        <f t="shared" si="0"/>
        <v>0.34899999999999998</v>
      </c>
    </row>
    <row r="14" spans="1:6" ht="18.75" hidden="1" thickBot="1">
      <c r="A14" s="126">
        <v>32</v>
      </c>
      <c r="B14" s="126">
        <v>83.5</v>
      </c>
      <c r="C14" s="126">
        <v>135</v>
      </c>
      <c r="D14" s="126">
        <v>40</v>
      </c>
      <c r="E14" s="127" t="s">
        <v>3105</v>
      </c>
      <c r="F14" s="252">
        <f t="shared" si="0"/>
        <v>0.36599999999999999</v>
      </c>
    </row>
    <row r="15" spans="1:6" ht="18.75" hidden="1" thickBot="1">
      <c r="A15" s="126">
        <v>32</v>
      </c>
      <c r="B15" s="126">
        <v>12.5</v>
      </c>
      <c r="C15" s="126">
        <v>135</v>
      </c>
      <c r="D15" s="126">
        <v>40</v>
      </c>
      <c r="E15" s="127" t="s">
        <v>3106</v>
      </c>
      <c r="F15" s="252">
        <f t="shared" si="0"/>
        <v>5.5E-2</v>
      </c>
    </row>
    <row r="16" spans="1:6" ht="18.75" hidden="1" thickBot="1">
      <c r="A16" s="126">
        <v>32</v>
      </c>
      <c r="B16" s="126">
        <v>19.5</v>
      </c>
      <c r="C16" s="126">
        <v>135</v>
      </c>
      <c r="D16" s="126">
        <v>40</v>
      </c>
      <c r="E16" s="127" t="s">
        <v>3107</v>
      </c>
      <c r="F16" s="252">
        <f t="shared" si="0"/>
        <v>8.5999999999999993E-2</v>
      </c>
    </row>
    <row r="17" spans="1:6" ht="18.75" hidden="1" thickBot="1">
      <c r="A17" s="126">
        <v>32</v>
      </c>
      <c r="B17" s="130">
        <v>71.5</v>
      </c>
      <c r="C17" s="130">
        <v>155</v>
      </c>
      <c r="D17" s="130">
        <v>40</v>
      </c>
      <c r="E17" s="131" t="s">
        <v>3108</v>
      </c>
      <c r="F17" s="253">
        <f t="shared" si="0"/>
        <v>0.36</v>
      </c>
    </row>
    <row r="18" spans="1:6" ht="18.75" hidden="1" thickBot="1">
      <c r="A18" s="126">
        <v>32</v>
      </c>
      <c r="B18" s="130">
        <v>74.5</v>
      </c>
      <c r="C18" s="130">
        <v>155</v>
      </c>
      <c r="D18" s="130">
        <v>40</v>
      </c>
      <c r="E18" s="131" t="s">
        <v>3109</v>
      </c>
      <c r="F18" s="253">
        <f t="shared" si="0"/>
        <v>0.375</v>
      </c>
    </row>
    <row r="19" spans="1:6" ht="18.75" hidden="1" thickBot="1">
      <c r="A19" s="126">
        <v>32</v>
      </c>
      <c r="B19" s="130">
        <v>77.5</v>
      </c>
      <c r="C19" s="130">
        <v>155</v>
      </c>
      <c r="D19" s="130">
        <v>40</v>
      </c>
      <c r="E19" s="131" t="s">
        <v>3110</v>
      </c>
      <c r="F19" s="253">
        <f t="shared" si="0"/>
        <v>0.39100000000000001</v>
      </c>
    </row>
    <row r="20" spans="1:6" ht="18.75" hidden="1" thickBot="1">
      <c r="A20" s="126">
        <v>32</v>
      </c>
      <c r="B20" s="130">
        <v>79.5</v>
      </c>
      <c r="C20" s="130">
        <v>155</v>
      </c>
      <c r="D20" s="130">
        <v>40</v>
      </c>
      <c r="E20" s="131" t="s">
        <v>3111</v>
      </c>
      <c r="F20" s="253">
        <f t="shared" si="0"/>
        <v>0.40100000000000002</v>
      </c>
    </row>
    <row r="21" spans="1:6" ht="18.75" hidden="1" thickBot="1">
      <c r="A21" s="126">
        <v>32</v>
      </c>
      <c r="B21" s="130">
        <v>83.5</v>
      </c>
      <c r="C21" s="130">
        <v>155</v>
      </c>
      <c r="D21" s="130">
        <v>40</v>
      </c>
      <c r="E21" s="131" t="s">
        <v>3112</v>
      </c>
      <c r="F21" s="253">
        <f t="shared" si="0"/>
        <v>0.42099999999999999</v>
      </c>
    </row>
    <row r="22" spans="1:6" ht="18.75" hidden="1" thickBot="1">
      <c r="A22" s="126">
        <v>32</v>
      </c>
      <c r="B22" s="130">
        <v>12.5</v>
      </c>
      <c r="C22" s="130">
        <v>155</v>
      </c>
      <c r="D22" s="130">
        <v>40</v>
      </c>
      <c r="E22" s="131" t="s">
        <v>3113</v>
      </c>
      <c r="F22" s="253">
        <f t="shared" si="0"/>
        <v>6.3E-2</v>
      </c>
    </row>
    <row r="23" spans="1:6" ht="18.75" hidden="1" thickBot="1">
      <c r="A23" s="126">
        <v>32</v>
      </c>
      <c r="B23" s="130">
        <v>19.5</v>
      </c>
      <c r="C23" s="130">
        <v>155</v>
      </c>
      <c r="D23" s="130">
        <v>40</v>
      </c>
      <c r="E23" s="131" t="s">
        <v>3114</v>
      </c>
      <c r="F23" s="253">
        <f t="shared" si="0"/>
        <v>9.8000000000000004E-2</v>
      </c>
    </row>
    <row r="24" spans="1:6" ht="18.75" hidden="1" thickBot="1">
      <c r="A24" s="126">
        <v>32</v>
      </c>
      <c r="B24" s="134">
        <v>71.5</v>
      </c>
      <c r="C24" s="134">
        <v>175</v>
      </c>
      <c r="D24" s="134">
        <v>40</v>
      </c>
      <c r="E24" s="135" t="s">
        <v>3115</v>
      </c>
      <c r="F24" s="254">
        <f t="shared" si="0"/>
        <v>0.40699999999999997</v>
      </c>
    </row>
    <row r="25" spans="1:6" ht="18.75" hidden="1" thickBot="1">
      <c r="A25" s="126">
        <v>32</v>
      </c>
      <c r="B25" s="134">
        <v>74.5</v>
      </c>
      <c r="C25" s="134">
        <v>175</v>
      </c>
      <c r="D25" s="134">
        <v>40</v>
      </c>
      <c r="E25" s="135" t="s">
        <v>3116</v>
      </c>
      <c r="F25" s="254">
        <f t="shared" si="0"/>
        <v>0.42399999999999999</v>
      </c>
    </row>
    <row r="26" spans="1:6" ht="18.75" hidden="1" thickBot="1">
      <c r="A26" s="126">
        <v>32</v>
      </c>
      <c r="B26" s="134">
        <v>77.5</v>
      </c>
      <c r="C26" s="134">
        <v>175</v>
      </c>
      <c r="D26" s="134">
        <v>40</v>
      </c>
      <c r="E26" s="135" t="s">
        <v>3117</v>
      </c>
      <c r="F26" s="254">
        <f t="shared" si="0"/>
        <v>0.441</v>
      </c>
    </row>
    <row r="27" spans="1:6" ht="18.75" hidden="1" thickBot="1">
      <c r="A27" s="126">
        <v>32</v>
      </c>
      <c r="B27" s="134">
        <v>79.5</v>
      </c>
      <c r="C27" s="134">
        <v>175</v>
      </c>
      <c r="D27" s="134">
        <v>40</v>
      </c>
      <c r="E27" s="135" t="s">
        <v>3118</v>
      </c>
      <c r="F27" s="254">
        <f t="shared" si="0"/>
        <v>0.45200000000000001</v>
      </c>
    </row>
    <row r="28" spans="1:6" ht="18.75" hidden="1" thickBot="1">
      <c r="A28" s="126">
        <v>32</v>
      </c>
      <c r="B28" s="134">
        <v>83.5</v>
      </c>
      <c r="C28" s="134">
        <v>175</v>
      </c>
      <c r="D28" s="134">
        <v>40</v>
      </c>
      <c r="E28" s="135" t="s">
        <v>3119</v>
      </c>
      <c r="F28" s="254">
        <f t="shared" si="0"/>
        <v>0.47499999999999998</v>
      </c>
    </row>
    <row r="29" spans="1:6" ht="18.75" hidden="1" thickBot="1">
      <c r="A29" s="126">
        <v>32</v>
      </c>
      <c r="B29" s="134">
        <v>12.5</v>
      </c>
      <c r="C29" s="134">
        <v>175</v>
      </c>
      <c r="D29" s="134">
        <v>40</v>
      </c>
      <c r="E29" s="135" t="s">
        <v>3120</v>
      </c>
      <c r="F29" s="254">
        <f t="shared" si="0"/>
        <v>7.0999999999999994E-2</v>
      </c>
    </row>
    <row r="30" spans="1:6" ht="18.75" hidden="1" thickBot="1">
      <c r="A30" s="126">
        <v>32</v>
      </c>
      <c r="B30" s="138">
        <v>19.5</v>
      </c>
      <c r="C30" s="138">
        <v>175</v>
      </c>
      <c r="D30" s="138">
        <v>40</v>
      </c>
      <c r="E30" s="139" t="s">
        <v>3121</v>
      </c>
      <c r="F30" s="255">
        <f t="shared" si="0"/>
        <v>0.111</v>
      </c>
    </row>
    <row r="31" spans="1:6" ht="18.75" hidden="1" thickBot="1">
      <c r="A31" s="126">
        <v>32</v>
      </c>
      <c r="B31" s="142">
        <v>71.5</v>
      </c>
      <c r="C31" s="142">
        <v>205</v>
      </c>
      <c r="D31" s="142">
        <v>40</v>
      </c>
      <c r="E31" s="143" t="s">
        <v>3122</v>
      </c>
      <c r="F31" s="256">
        <f t="shared" si="0"/>
        <v>0.47699999999999998</v>
      </c>
    </row>
    <row r="32" spans="1:6" ht="18.75" hidden="1" thickBot="1">
      <c r="A32" s="126">
        <v>32</v>
      </c>
      <c r="B32" s="146">
        <v>74.5</v>
      </c>
      <c r="C32" s="146">
        <v>205</v>
      </c>
      <c r="D32" s="146">
        <v>40</v>
      </c>
      <c r="E32" s="147" t="s">
        <v>3123</v>
      </c>
      <c r="F32" s="257">
        <f t="shared" si="0"/>
        <v>0.497</v>
      </c>
    </row>
    <row r="33" spans="1:6" ht="18.75" hidden="1" thickBot="1">
      <c r="A33" s="126">
        <v>32</v>
      </c>
      <c r="B33" s="146">
        <v>77.5</v>
      </c>
      <c r="C33" s="146">
        <v>205</v>
      </c>
      <c r="D33" s="146">
        <v>40</v>
      </c>
      <c r="E33" s="147" t="s">
        <v>3124</v>
      </c>
      <c r="F33" s="257">
        <f t="shared" si="0"/>
        <v>0.51700000000000002</v>
      </c>
    </row>
    <row r="34" spans="1:6" ht="18.75" hidden="1" thickBot="1">
      <c r="A34" s="126">
        <v>32</v>
      </c>
      <c r="B34" s="146">
        <v>79.5</v>
      </c>
      <c r="C34" s="146">
        <v>205</v>
      </c>
      <c r="D34" s="146">
        <v>40</v>
      </c>
      <c r="E34" s="147" t="s">
        <v>3125</v>
      </c>
      <c r="F34" s="257">
        <f t="shared" si="0"/>
        <v>0.53</v>
      </c>
    </row>
    <row r="35" spans="1:6" ht="18.75" hidden="1" thickBot="1">
      <c r="A35" s="126">
        <v>32</v>
      </c>
      <c r="B35" s="146">
        <v>83.5</v>
      </c>
      <c r="C35" s="146">
        <v>205</v>
      </c>
      <c r="D35" s="146">
        <v>40</v>
      </c>
      <c r="E35" s="147" t="s">
        <v>3126</v>
      </c>
      <c r="F35" s="257">
        <f t="shared" ref="F35:F66" si="1">ROUND(A35*B35*0.0254*C35/1000*D35/1000,3)</f>
        <v>0.55700000000000005</v>
      </c>
    </row>
    <row r="36" spans="1:6" ht="18.75" hidden="1" thickBot="1">
      <c r="A36" s="126">
        <v>32</v>
      </c>
      <c r="B36" s="146">
        <v>12.5</v>
      </c>
      <c r="C36" s="146">
        <v>205</v>
      </c>
      <c r="D36" s="146">
        <v>40</v>
      </c>
      <c r="E36" s="147" t="s">
        <v>3127</v>
      </c>
      <c r="F36" s="257">
        <f t="shared" si="1"/>
        <v>8.3000000000000004E-2</v>
      </c>
    </row>
    <row r="37" spans="1:6" ht="18.75" hidden="1" thickBot="1">
      <c r="A37" s="126">
        <v>32</v>
      </c>
      <c r="B37" s="150">
        <v>19.5</v>
      </c>
      <c r="C37" s="150">
        <v>205</v>
      </c>
      <c r="D37" s="150">
        <v>40</v>
      </c>
      <c r="E37" s="151" t="s">
        <v>3128</v>
      </c>
      <c r="F37" s="258">
        <f t="shared" si="1"/>
        <v>0.13</v>
      </c>
    </row>
    <row r="38" spans="1:6" ht="18.75" hidden="1" thickBot="1">
      <c r="A38" s="126">
        <v>32</v>
      </c>
      <c r="B38" s="154">
        <v>71.5</v>
      </c>
      <c r="C38" s="154">
        <v>115</v>
      </c>
      <c r="D38" s="154">
        <v>70</v>
      </c>
      <c r="E38" s="155" t="s">
        <v>3396</v>
      </c>
      <c r="F38" s="259">
        <f t="shared" si="1"/>
        <v>0.46800000000000003</v>
      </c>
    </row>
    <row r="39" spans="1:6" ht="18.75" hidden="1" thickBot="1">
      <c r="A39" s="126">
        <v>32</v>
      </c>
      <c r="B39" s="123">
        <v>74.5</v>
      </c>
      <c r="C39" s="123">
        <v>115</v>
      </c>
      <c r="D39" s="123">
        <v>70</v>
      </c>
      <c r="E39" s="156" t="s">
        <v>3397</v>
      </c>
      <c r="F39" s="251">
        <f t="shared" si="1"/>
        <v>0.48699999999999999</v>
      </c>
    </row>
    <row r="40" spans="1:6" ht="18.75" hidden="1" thickBot="1">
      <c r="A40" s="126">
        <v>32</v>
      </c>
      <c r="B40" s="123">
        <v>77.5</v>
      </c>
      <c r="C40" s="123">
        <v>115</v>
      </c>
      <c r="D40" s="123">
        <v>70</v>
      </c>
      <c r="E40" s="156" t="s">
        <v>3398</v>
      </c>
      <c r="F40" s="251">
        <f t="shared" si="1"/>
        <v>0.50700000000000001</v>
      </c>
    </row>
    <row r="41" spans="1:6" ht="18.75" hidden="1" thickBot="1">
      <c r="A41" s="126">
        <v>32</v>
      </c>
      <c r="B41" s="123">
        <v>79.5</v>
      </c>
      <c r="C41" s="123">
        <v>115</v>
      </c>
      <c r="D41" s="123">
        <v>70</v>
      </c>
      <c r="E41" s="156" t="s">
        <v>3399</v>
      </c>
      <c r="F41" s="251">
        <f t="shared" si="1"/>
        <v>0.52</v>
      </c>
    </row>
    <row r="42" spans="1:6" ht="18.75" hidden="1" thickBot="1">
      <c r="A42" s="126">
        <v>32</v>
      </c>
      <c r="B42" s="123">
        <v>83.5</v>
      </c>
      <c r="C42" s="123">
        <v>115</v>
      </c>
      <c r="D42" s="123">
        <v>70</v>
      </c>
      <c r="E42" s="156" t="s">
        <v>3400</v>
      </c>
      <c r="F42" s="251">
        <f t="shared" si="1"/>
        <v>0.54600000000000004</v>
      </c>
    </row>
    <row r="43" spans="1:6" ht="18.75" hidden="1" thickBot="1">
      <c r="A43" s="126">
        <v>32</v>
      </c>
      <c r="B43" s="123">
        <v>12.5</v>
      </c>
      <c r="C43" s="123">
        <v>115</v>
      </c>
      <c r="D43" s="123">
        <v>70</v>
      </c>
      <c r="E43" s="156" t="s">
        <v>3401</v>
      </c>
      <c r="F43" s="251">
        <f t="shared" si="1"/>
        <v>8.2000000000000003E-2</v>
      </c>
    </row>
    <row r="44" spans="1:6" ht="18.75" hidden="1" thickBot="1">
      <c r="A44" s="126">
        <v>32</v>
      </c>
      <c r="B44" s="159">
        <v>19.5</v>
      </c>
      <c r="C44" s="159">
        <v>115</v>
      </c>
      <c r="D44" s="123">
        <v>70</v>
      </c>
      <c r="E44" s="160" t="s">
        <v>3402</v>
      </c>
      <c r="F44" s="260">
        <f t="shared" si="1"/>
        <v>0.128</v>
      </c>
    </row>
    <row r="45" spans="1:6" ht="18.75" hidden="1" thickBot="1">
      <c r="A45" s="126">
        <v>32</v>
      </c>
      <c r="B45" s="163">
        <v>71.5</v>
      </c>
      <c r="C45" s="163">
        <v>135</v>
      </c>
      <c r="D45" s="163">
        <v>70</v>
      </c>
      <c r="E45" s="164" t="s">
        <v>3403</v>
      </c>
      <c r="F45" s="261">
        <f t="shared" si="1"/>
        <v>0.54900000000000004</v>
      </c>
    </row>
    <row r="46" spans="1:6" ht="18.75" hidden="1" thickBot="1">
      <c r="A46" s="126">
        <v>32</v>
      </c>
      <c r="B46" s="126">
        <v>74.5</v>
      </c>
      <c r="C46" s="126">
        <v>135</v>
      </c>
      <c r="D46" s="126">
        <v>70</v>
      </c>
      <c r="E46" s="127" t="s">
        <v>3404</v>
      </c>
      <c r="F46" s="252">
        <f t="shared" si="1"/>
        <v>0.57199999999999995</v>
      </c>
    </row>
    <row r="47" spans="1:6" ht="18.75" hidden="1" thickBot="1">
      <c r="A47" s="126">
        <v>32</v>
      </c>
      <c r="B47" s="126">
        <v>77.5</v>
      </c>
      <c r="C47" s="126">
        <v>135</v>
      </c>
      <c r="D47" s="126">
        <v>70</v>
      </c>
      <c r="E47" s="127" t="s">
        <v>3405</v>
      </c>
      <c r="F47" s="252">
        <f t="shared" si="1"/>
        <v>0.59499999999999997</v>
      </c>
    </row>
    <row r="48" spans="1:6" ht="18.75" hidden="1" thickBot="1">
      <c r="A48" s="126">
        <v>32</v>
      </c>
      <c r="B48" s="126">
        <v>79.5</v>
      </c>
      <c r="C48" s="126">
        <v>135</v>
      </c>
      <c r="D48" s="126">
        <v>70</v>
      </c>
      <c r="E48" s="127" t="s">
        <v>3406</v>
      </c>
      <c r="F48" s="252">
        <f t="shared" si="1"/>
        <v>0.61099999999999999</v>
      </c>
    </row>
    <row r="49" spans="1:6" ht="18.75" hidden="1" thickBot="1">
      <c r="A49" s="126">
        <v>32</v>
      </c>
      <c r="B49" s="126">
        <v>83.5</v>
      </c>
      <c r="C49" s="126">
        <v>135</v>
      </c>
      <c r="D49" s="126">
        <v>70</v>
      </c>
      <c r="E49" s="127" t="s">
        <v>3407</v>
      </c>
      <c r="F49" s="252">
        <f t="shared" si="1"/>
        <v>0.64100000000000001</v>
      </c>
    </row>
    <row r="50" spans="1:6" ht="18.75" hidden="1" thickBot="1">
      <c r="A50" s="126">
        <v>32</v>
      </c>
      <c r="B50" s="126">
        <v>12.5</v>
      </c>
      <c r="C50" s="126">
        <v>135</v>
      </c>
      <c r="D50" s="126">
        <v>70</v>
      </c>
      <c r="E50" s="127" t="s">
        <v>3408</v>
      </c>
      <c r="F50" s="252">
        <f t="shared" si="1"/>
        <v>9.6000000000000002E-2</v>
      </c>
    </row>
    <row r="51" spans="1:6" ht="18.75" hidden="1" thickBot="1">
      <c r="A51" s="126">
        <v>32</v>
      </c>
      <c r="B51" s="167">
        <v>19.5</v>
      </c>
      <c r="C51" s="167">
        <v>135</v>
      </c>
      <c r="D51" s="126">
        <v>70</v>
      </c>
      <c r="E51" s="168" t="s">
        <v>3409</v>
      </c>
      <c r="F51" s="262">
        <f t="shared" si="1"/>
        <v>0.15</v>
      </c>
    </row>
    <row r="52" spans="1:6" ht="18.75" hidden="1" thickBot="1">
      <c r="A52" s="126">
        <v>32</v>
      </c>
      <c r="B52" s="171">
        <v>71.5</v>
      </c>
      <c r="C52" s="171">
        <v>155</v>
      </c>
      <c r="D52" s="171">
        <v>70</v>
      </c>
      <c r="E52" s="172" t="s">
        <v>3410</v>
      </c>
      <c r="F52" s="263">
        <f t="shared" si="1"/>
        <v>0.63100000000000001</v>
      </c>
    </row>
    <row r="53" spans="1:6" ht="18.75" hidden="1" thickBot="1">
      <c r="A53" s="126">
        <v>32</v>
      </c>
      <c r="B53" s="130">
        <v>74.5</v>
      </c>
      <c r="C53" s="130">
        <v>155</v>
      </c>
      <c r="D53" s="130">
        <v>70</v>
      </c>
      <c r="E53" s="131" t="s">
        <v>3411</v>
      </c>
      <c r="F53" s="253">
        <f t="shared" si="1"/>
        <v>0.65700000000000003</v>
      </c>
    </row>
    <row r="54" spans="1:6" ht="18.75" hidden="1" thickBot="1">
      <c r="A54" s="126">
        <v>32</v>
      </c>
      <c r="B54" s="130">
        <v>77.5</v>
      </c>
      <c r="C54" s="130">
        <v>155</v>
      </c>
      <c r="D54" s="130">
        <v>70</v>
      </c>
      <c r="E54" s="131" t="s">
        <v>3412</v>
      </c>
      <c r="F54" s="253">
        <f t="shared" si="1"/>
        <v>0.68300000000000005</v>
      </c>
    </row>
    <row r="55" spans="1:6" ht="18.75" hidden="1" thickBot="1">
      <c r="A55" s="126">
        <v>32</v>
      </c>
      <c r="B55" s="130">
        <v>79.5</v>
      </c>
      <c r="C55" s="130">
        <v>155</v>
      </c>
      <c r="D55" s="130">
        <v>70</v>
      </c>
      <c r="E55" s="131" t="s">
        <v>3413</v>
      </c>
      <c r="F55" s="253">
        <f t="shared" si="1"/>
        <v>0.70099999999999996</v>
      </c>
    </row>
    <row r="56" spans="1:6" ht="18.75" hidden="1" thickBot="1">
      <c r="A56" s="126">
        <v>32</v>
      </c>
      <c r="B56" s="130">
        <v>83.5</v>
      </c>
      <c r="C56" s="130">
        <v>155</v>
      </c>
      <c r="D56" s="130">
        <v>70</v>
      </c>
      <c r="E56" s="131" t="s">
        <v>3414</v>
      </c>
      <c r="F56" s="253">
        <f t="shared" si="1"/>
        <v>0.73599999999999999</v>
      </c>
    </row>
    <row r="57" spans="1:6" ht="18.75" hidden="1" thickBot="1">
      <c r="A57" s="126">
        <v>32</v>
      </c>
      <c r="B57" s="130">
        <v>12.5</v>
      </c>
      <c r="C57" s="130">
        <v>155</v>
      </c>
      <c r="D57" s="130">
        <v>70</v>
      </c>
      <c r="E57" s="131" t="s">
        <v>3415</v>
      </c>
      <c r="F57" s="253">
        <f t="shared" si="1"/>
        <v>0.11</v>
      </c>
    </row>
    <row r="58" spans="1:6" ht="18.75" hidden="1" thickBot="1">
      <c r="A58" s="126">
        <v>32</v>
      </c>
      <c r="B58" s="175">
        <v>19.5</v>
      </c>
      <c r="C58" s="175">
        <v>155</v>
      </c>
      <c r="D58" s="130">
        <v>70</v>
      </c>
      <c r="E58" s="176" t="s">
        <v>3416</v>
      </c>
      <c r="F58" s="264">
        <f t="shared" si="1"/>
        <v>0.17199999999999999</v>
      </c>
    </row>
    <row r="59" spans="1:6" ht="18.75" hidden="1" thickBot="1">
      <c r="A59" s="126">
        <v>32</v>
      </c>
      <c r="B59" s="179">
        <v>71.5</v>
      </c>
      <c r="C59" s="179">
        <v>175</v>
      </c>
      <c r="D59" s="134">
        <v>70</v>
      </c>
      <c r="E59" s="180" t="s">
        <v>3417</v>
      </c>
      <c r="F59" s="265">
        <f t="shared" si="1"/>
        <v>0.71199999999999997</v>
      </c>
    </row>
    <row r="60" spans="1:6" ht="18.75" hidden="1" thickBot="1">
      <c r="A60" s="126">
        <v>32</v>
      </c>
      <c r="B60" s="134">
        <v>74.5</v>
      </c>
      <c r="C60" s="134">
        <v>175</v>
      </c>
      <c r="D60" s="134">
        <v>70</v>
      </c>
      <c r="E60" s="135" t="s">
        <v>3418</v>
      </c>
      <c r="F60" s="254">
        <f t="shared" si="1"/>
        <v>0.74199999999999999</v>
      </c>
    </row>
    <row r="61" spans="1:6" ht="18.75" hidden="1" thickBot="1">
      <c r="A61" s="126">
        <v>32</v>
      </c>
      <c r="B61" s="134">
        <v>77.5</v>
      </c>
      <c r="C61" s="134">
        <v>175</v>
      </c>
      <c r="D61" s="134">
        <v>70</v>
      </c>
      <c r="E61" s="135" t="s">
        <v>3419</v>
      </c>
      <c r="F61" s="254">
        <f t="shared" si="1"/>
        <v>0.77200000000000002</v>
      </c>
    </row>
    <row r="62" spans="1:6" ht="18.75" hidden="1" thickBot="1">
      <c r="A62" s="126">
        <v>32</v>
      </c>
      <c r="B62" s="134">
        <v>79.5</v>
      </c>
      <c r="C62" s="134">
        <v>175</v>
      </c>
      <c r="D62" s="134">
        <v>70</v>
      </c>
      <c r="E62" s="135" t="s">
        <v>3420</v>
      </c>
      <c r="F62" s="254">
        <f t="shared" si="1"/>
        <v>0.79200000000000004</v>
      </c>
    </row>
    <row r="63" spans="1:6" ht="18.75" hidden="1" thickBot="1">
      <c r="A63" s="126">
        <v>32</v>
      </c>
      <c r="B63" s="134">
        <v>83.5</v>
      </c>
      <c r="C63" s="134">
        <v>175</v>
      </c>
      <c r="D63" s="134">
        <v>70</v>
      </c>
      <c r="E63" s="135" t="s">
        <v>3421</v>
      </c>
      <c r="F63" s="254">
        <f t="shared" si="1"/>
        <v>0.83099999999999996</v>
      </c>
    </row>
    <row r="64" spans="1:6" ht="18.75" hidden="1" thickBot="1">
      <c r="A64" s="126">
        <v>32</v>
      </c>
      <c r="B64" s="134">
        <v>12.5</v>
      </c>
      <c r="C64" s="134">
        <v>175</v>
      </c>
      <c r="D64" s="134">
        <v>70</v>
      </c>
      <c r="E64" s="135" t="s">
        <v>3422</v>
      </c>
      <c r="F64" s="254">
        <f t="shared" si="1"/>
        <v>0.124</v>
      </c>
    </row>
    <row r="65" spans="1:6" ht="18.75" hidden="1" thickBot="1">
      <c r="A65" s="126">
        <v>32</v>
      </c>
      <c r="B65" s="183">
        <v>19.5</v>
      </c>
      <c r="C65" s="183">
        <v>175</v>
      </c>
      <c r="D65" s="134">
        <v>70</v>
      </c>
      <c r="E65" s="184" t="s">
        <v>3423</v>
      </c>
      <c r="F65" s="266">
        <f t="shared" si="1"/>
        <v>0.19400000000000001</v>
      </c>
    </row>
    <row r="66" spans="1:6" ht="18.75" hidden="1" thickBot="1">
      <c r="A66" s="126">
        <v>32</v>
      </c>
      <c r="B66" s="217">
        <v>71.5</v>
      </c>
      <c r="C66" s="217">
        <v>205</v>
      </c>
      <c r="D66" s="146">
        <v>70</v>
      </c>
      <c r="E66" s="218" t="s">
        <v>3424</v>
      </c>
      <c r="F66" s="267">
        <f t="shared" si="1"/>
        <v>0.83399999999999996</v>
      </c>
    </row>
    <row r="67" spans="1:6" ht="18.75" hidden="1" thickBot="1">
      <c r="A67" s="126">
        <v>32</v>
      </c>
      <c r="B67" s="146">
        <v>74.5</v>
      </c>
      <c r="C67" s="146">
        <v>205</v>
      </c>
      <c r="D67" s="146">
        <v>70</v>
      </c>
      <c r="E67" s="147" t="s">
        <v>3425</v>
      </c>
      <c r="F67" s="257">
        <f t="shared" ref="F67:F87" si="2">ROUND(A67*B67*0.0254*C67/1000*D67/1000,3)</f>
        <v>0.86899999999999999</v>
      </c>
    </row>
    <row r="68" spans="1:6" ht="18.75" hidden="1" thickBot="1">
      <c r="A68" s="126">
        <v>32</v>
      </c>
      <c r="B68" s="146">
        <v>77.5</v>
      </c>
      <c r="C68" s="146">
        <v>205</v>
      </c>
      <c r="D68" s="146">
        <v>70</v>
      </c>
      <c r="E68" s="147" t="s">
        <v>3426</v>
      </c>
      <c r="F68" s="257">
        <f t="shared" si="2"/>
        <v>0.90400000000000003</v>
      </c>
    </row>
    <row r="69" spans="1:6" ht="18.75" hidden="1" thickBot="1">
      <c r="A69" s="126">
        <v>32</v>
      </c>
      <c r="B69" s="146">
        <v>79.5</v>
      </c>
      <c r="C69" s="146">
        <v>205</v>
      </c>
      <c r="D69" s="146">
        <v>70</v>
      </c>
      <c r="E69" s="147" t="s">
        <v>3427</v>
      </c>
      <c r="F69" s="257">
        <f t="shared" si="2"/>
        <v>0.92700000000000005</v>
      </c>
    </row>
    <row r="70" spans="1:6" ht="18.75" hidden="1" thickBot="1">
      <c r="A70" s="126">
        <v>32</v>
      </c>
      <c r="B70" s="146">
        <v>83.5</v>
      </c>
      <c r="C70" s="146">
        <v>205</v>
      </c>
      <c r="D70" s="146">
        <v>70</v>
      </c>
      <c r="E70" s="147" t="s">
        <v>3428</v>
      </c>
      <c r="F70" s="257">
        <f t="shared" si="2"/>
        <v>0.97399999999999998</v>
      </c>
    </row>
    <row r="71" spans="1:6" ht="18.75" hidden="1" thickBot="1">
      <c r="A71" s="126">
        <v>32</v>
      </c>
      <c r="B71" s="146">
        <v>12.5</v>
      </c>
      <c r="C71" s="146">
        <v>205</v>
      </c>
      <c r="D71" s="146">
        <v>70</v>
      </c>
      <c r="E71" s="147" t="s">
        <v>3429</v>
      </c>
      <c r="F71" s="257">
        <f t="shared" si="2"/>
        <v>0.14599999999999999</v>
      </c>
    </row>
    <row r="72" spans="1:6" ht="18.75" hidden="1" thickBot="1">
      <c r="A72" s="126">
        <v>32</v>
      </c>
      <c r="B72" s="221">
        <v>19.5</v>
      </c>
      <c r="C72" s="221">
        <v>205</v>
      </c>
      <c r="D72" s="221">
        <v>70</v>
      </c>
      <c r="E72" s="222" t="s">
        <v>3430</v>
      </c>
      <c r="F72" s="268">
        <f t="shared" si="2"/>
        <v>0.22700000000000001</v>
      </c>
    </row>
    <row r="73" spans="1:6" ht="18.75" hidden="1" thickBot="1">
      <c r="A73" s="126">
        <v>32</v>
      </c>
      <c r="B73" s="154">
        <v>71.5</v>
      </c>
      <c r="C73" s="154">
        <v>115</v>
      </c>
      <c r="D73" s="123">
        <v>75</v>
      </c>
      <c r="E73" s="155" t="s">
        <v>1784</v>
      </c>
      <c r="F73" s="259">
        <f t="shared" si="2"/>
        <v>0.501</v>
      </c>
    </row>
    <row r="74" spans="1:6" ht="18.75" hidden="1" thickBot="1">
      <c r="A74" s="126">
        <v>32</v>
      </c>
      <c r="B74" s="123">
        <v>74.5</v>
      </c>
      <c r="C74" s="123">
        <v>115</v>
      </c>
      <c r="D74" s="123">
        <v>75</v>
      </c>
      <c r="E74" s="156" t="s">
        <v>1785</v>
      </c>
      <c r="F74" s="251">
        <f t="shared" si="2"/>
        <v>0.52200000000000002</v>
      </c>
    </row>
    <row r="75" spans="1:6" ht="18.75" hidden="1" thickBot="1">
      <c r="A75" s="126">
        <v>32</v>
      </c>
      <c r="B75" s="123">
        <v>77.5</v>
      </c>
      <c r="C75" s="123">
        <v>115</v>
      </c>
      <c r="D75" s="123">
        <v>75</v>
      </c>
      <c r="E75" s="156" t="s">
        <v>1786</v>
      </c>
      <c r="F75" s="251">
        <f t="shared" si="2"/>
        <v>0.54300000000000004</v>
      </c>
    </row>
    <row r="76" spans="1:6" ht="18.75" hidden="1" thickBot="1">
      <c r="A76" s="126">
        <v>32</v>
      </c>
      <c r="B76" s="123">
        <v>79.5</v>
      </c>
      <c r="C76" s="123">
        <v>115</v>
      </c>
      <c r="D76" s="123">
        <v>75</v>
      </c>
      <c r="E76" s="156" t="s">
        <v>1787</v>
      </c>
      <c r="F76" s="251">
        <f t="shared" si="2"/>
        <v>0.55700000000000005</v>
      </c>
    </row>
    <row r="77" spans="1:6" ht="18.75" hidden="1" thickBot="1">
      <c r="A77" s="126">
        <v>32</v>
      </c>
      <c r="B77" s="123">
        <v>83.5</v>
      </c>
      <c r="C77" s="123">
        <v>115</v>
      </c>
      <c r="D77" s="123">
        <v>75</v>
      </c>
      <c r="E77" s="156" t="s">
        <v>1788</v>
      </c>
      <c r="F77" s="251">
        <f t="shared" si="2"/>
        <v>0.58499999999999996</v>
      </c>
    </row>
    <row r="78" spans="1:6" ht="18.75" hidden="1" thickBot="1">
      <c r="A78" s="126">
        <v>32</v>
      </c>
      <c r="B78" s="123">
        <v>12.5</v>
      </c>
      <c r="C78" s="123">
        <v>115</v>
      </c>
      <c r="D78" s="123">
        <v>75</v>
      </c>
      <c r="E78" s="156" t="s">
        <v>1789</v>
      </c>
      <c r="F78" s="251">
        <f t="shared" si="2"/>
        <v>8.7999999999999995E-2</v>
      </c>
    </row>
    <row r="79" spans="1:6" ht="18.75" hidden="1" thickBot="1">
      <c r="A79" s="126">
        <v>32</v>
      </c>
      <c r="B79" s="159">
        <v>19.5</v>
      </c>
      <c r="C79" s="159">
        <v>115</v>
      </c>
      <c r="D79" s="159">
        <v>75</v>
      </c>
      <c r="E79" s="160" t="s">
        <v>1790</v>
      </c>
      <c r="F79" s="260">
        <f t="shared" si="2"/>
        <v>0.13700000000000001</v>
      </c>
    </row>
    <row r="80" spans="1:6" ht="18">
      <c r="A80" s="126">
        <v>32</v>
      </c>
      <c r="B80" s="163">
        <v>71.5</v>
      </c>
      <c r="C80" s="163">
        <v>155</v>
      </c>
      <c r="D80" s="126">
        <v>75</v>
      </c>
      <c r="E80" s="164" t="s">
        <v>3958</v>
      </c>
      <c r="F80" s="261">
        <f t="shared" si="2"/>
        <v>0.67600000000000005</v>
      </c>
    </row>
    <row r="81" spans="1:6" ht="18">
      <c r="A81" s="126">
        <v>32</v>
      </c>
      <c r="B81" s="126">
        <v>74.5</v>
      </c>
      <c r="C81" s="126">
        <v>155</v>
      </c>
      <c r="D81" s="126">
        <v>75</v>
      </c>
      <c r="E81" s="127" t="s">
        <v>3959</v>
      </c>
      <c r="F81" s="252">
        <f t="shared" si="2"/>
        <v>0.70399999999999996</v>
      </c>
    </row>
    <row r="82" spans="1:6" ht="18">
      <c r="A82" s="126">
        <v>32</v>
      </c>
      <c r="B82" s="126">
        <v>77.5</v>
      </c>
      <c r="C82" s="126">
        <v>155</v>
      </c>
      <c r="D82" s="126">
        <v>75</v>
      </c>
      <c r="E82" s="127" t="s">
        <v>3960</v>
      </c>
      <c r="F82" s="252">
        <f t="shared" si="2"/>
        <v>0.73199999999999998</v>
      </c>
    </row>
    <row r="83" spans="1:6" ht="18">
      <c r="A83" s="126">
        <v>32</v>
      </c>
      <c r="B83" s="126">
        <v>79.5</v>
      </c>
      <c r="C83" s="126">
        <v>155</v>
      </c>
      <c r="D83" s="126">
        <v>75</v>
      </c>
      <c r="E83" s="127" t="s">
        <v>3961</v>
      </c>
      <c r="F83" s="252">
        <f t="shared" si="2"/>
        <v>0.751</v>
      </c>
    </row>
    <row r="84" spans="1:6" ht="18">
      <c r="A84" s="126">
        <v>32</v>
      </c>
      <c r="B84" s="126">
        <v>83.5</v>
      </c>
      <c r="C84" s="126">
        <v>155</v>
      </c>
      <c r="D84" s="126">
        <v>75</v>
      </c>
      <c r="E84" s="127" t="s">
        <v>3962</v>
      </c>
      <c r="F84" s="252">
        <f t="shared" si="2"/>
        <v>0.78900000000000003</v>
      </c>
    </row>
    <row r="85" spans="1:6" ht="18">
      <c r="A85" s="126">
        <v>32</v>
      </c>
      <c r="B85" s="126">
        <v>12.5</v>
      </c>
      <c r="C85" s="126">
        <v>155</v>
      </c>
      <c r="D85" s="126">
        <v>75</v>
      </c>
      <c r="E85" s="127" t="s">
        <v>3963</v>
      </c>
      <c r="F85" s="252">
        <f t="shared" si="2"/>
        <v>0.11799999999999999</v>
      </c>
    </row>
    <row r="86" spans="1:6" ht="18.75" thickBot="1">
      <c r="A86" s="126">
        <v>32</v>
      </c>
      <c r="B86" s="167">
        <v>19.5</v>
      </c>
      <c r="C86" s="167">
        <v>155</v>
      </c>
      <c r="D86" s="167">
        <v>75</v>
      </c>
      <c r="E86" s="168" t="s">
        <v>3964</v>
      </c>
      <c r="F86" s="262">
        <f t="shared" si="2"/>
        <v>0.184</v>
      </c>
    </row>
    <row r="87" spans="1:6" ht="18.75" hidden="1" thickBot="1">
      <c r="A87" s="126">
        <v>32</v>
      </c>
      <c r="B87" s="154">
        <v>26.5</v>
      </c>
      <c r="C87" s="154">
        <v>115</v>
      </c>
      <c r="D87" s="154">
        <v>40</v>
      </c>
      <c r="E87" s="155" t="s">
        <v>3136</v>
      </c>
      <c r="F87" s="259">
        <f t="shared" si="2"/>
        <v>9.9000000000000005E-2</v>
      </c>
    </row>
    <row r="88" spans="1:6" ht="18.75" hidden="1" thickBot="1">
      <c r="A88" s="126">
        <v>32</v>
      </c>
      <c r="B88" s="123">
        <v>29.5</v>
      </c>
      <c r="C88" s="123">
        <v>115</v>
      </c>
      <c r="D88" s="123">
        <v>40</v>
      </c>
      <c r="E88" s="120" t="s">
        <v>3137</v>
      </c>
      <c r="F88" s="251">
        <f t="shared" ref="F88:F104" si="3">ROUND(A88*B88*0.0254*C88/1000*D88/1000,3)</f>
        <v>0.11</v>
      </c>
    </row>
    <row r="89" spans="1:6" ht="18.75" hidden="1" thickBot="1">
      <c r="A89" s="126">
        <v>32</v>
      </c>
      <c r="B89" s="123">
        <v>32.5</v>
      </c>
      <c r="C89" s="123">
        <v>115</v>
      </c>
      <c r="D89" s="123">
        <v>40</v>
      </c>
      <c r="E89" s="120" t="s">
        <v>3138</v>
      </c>
      <c r="F89" s="251">
        <f t="shared" si="3"/>
        <v>0.122</v>
      </c>
    </row>
    <row r="90" spans="1:6" ht="18.75" hidden="1" thickBot="1">
      <c r="A90" s="126">
        <v>32</v>
      </c>
      <c r="B90" s="123">
        <v>35.5</v>
      </c>
      <c r="C90" s="123">
        <v>115</v>
      </c>
      <c r="D90" s="123">
        <v>40</v>
      </c>
      <c r="E90" s="120" t="s">
        <v>3139</v>
      </c>
      <c r="F90" s="251">
        <f t="shared" si="3"/>
        <v>0.13300000000000001</v>
      </c>
    </row>
    <row r="91" spans="1:6" ht="18.75" hidden="1" thickBot="1">
      <c r="A91" s="126">
        <v>32</v>
      </c>
      <c r="B91" s="123">
        <v>38.5</v>
      </c>
      <c r="C91" s="123">
        <v>115</v>
      </c>
      <c r="D91" s="123">
        <v>40</v>
      </c>
      <c r="E91" s="120" t="s">
        <v>3140</v>
      </c>
      <c r="F91" s="251">
        <f t="shared" si="3"/>
        <v>0.14399999999999999</v>
      </c>
    </row>
    <row r="92" spans="1:6" ht="18.75" hidden="1" thickBot="1">
      <c r="A92" s="126">
        <v>32</v>
      </c>
      <c r="B92" s="123">
        <v>41.5</v>
      </c>
      <c r="C92" s="123">
        <v>115</v>
      </c>
      <c r="D92" s="123">
        <v>40</v>
      </c>
      <c r="E92" s="120" t="s">
        <v>3141</v>
      </c>
      <c r="F92" s="251">
        <f t="shared" si="3"/>
        <v>0.155</v>
      </c>
    </row>
    <row r="93" spans="1:6" ht="18.75" hidden="1" thickBot="1">
      <c r="A93" s="126">
        <v>32</v>
      </c>
      <c r="B93" s="123">
        <v>44.5</v>
      </c>
      <c r="C93" s="123">
        <v>115</v>
      </c>
      <c r="D93" s="123">
        <v>40</v>
      </c>
      <c r="E93" s="120" t="s">
        <v>3142</v>
      </c>
      <c r="F93" s="251">
        <f t="shared" si="3"/>
        <v>0.16600000000000001</v>
      </c>
    </row>
    <row r="94" spans="1:6" ht="18.75" hidden="1" thickBot="1">
      <c r="A94" s="126">
        <v>32</v>
      </c>
      <c r="B94" s="123">
        <v>47.5</v>
      </c>
      <c r="C94" s="123">
        <v>115</v>
      </c>
      <c r="D94" s="123">
        <v>40</v>
      </c>
      <c r="E94" s="120" t="s">
        <v>3143</v>
      </c>
      <c r="F94" s="251">
        <f t="shared" si="3"/>
        <v>0.17799999999999999</v>
      </c>
    </row>
    <row r="95" spans="1:6" ht="18.75" hidden="1" thickBot="1">
      <c r="A95" s="126">
        <v>32</v>
      </c>
      <c r="B95" s="123">
        <v>50.5</v>
      </c>
      <c r="C95" s="123">
        <v>115</v>
      </c>
      <c r="D95" s="123">
        <v>40</v>
      </c>
      <c r="E95" s="120" t="s">
        <v>3144</v>
      </c>
      <c r="F95" s="251">
        <f t="shared" si="3"/>
        <v>0.189</v>
      </c>
    </row>
    <row r="96" spans="1:6" ht="18.75" hidden="1" thickBot="1">
      <c r="A96" s="126">
        <v>32</v>
      </c>
      <c r="B96" s="123">
        <v>53.5</v>
      </c>
      <c r="C96" s="123">
        <v>115</v>
      </c>
      <c r="D96" s="123">
        <v>40</v>
      </c>
      <c r="E96" s="120" t="s">
        <v>3145</v>
      </c>
      <c r="F96" s="251">
        <f t="shared" si="3"/>
        <v>0.2</v>
      </c>
    </row>
    <row r="97" spans="1:6" ht="18.75" hidden="1" thickBot="1">
      <c r="A97" s="126">
        <v>32</v>
      </c>
      <c r="B97" s="123">
        <v>56.5</v>
      </c>
      <c r="C97" s="123">
        <v>115</v>
      </c>
      <c r="D97" s="123">
        <v>40</v>
      </c>
      <c r="E97" s="120" t="s">
        <v>3146</v>
      </c>
      <c r="F97" s="251">
        <f t="shared" si="3"/>
        <v>0.21099999999999999</v>
      </c>
    </row>
    <row r="98" spans="1:6" ht="18.75" hidden="1" thickBot="1">
      <c r="A98" s="126">
        <v>32</v>
      </c>
      <c r="B98" s="123">
        <v>59.5</v>
      </c>
      <c r="C98" s="123">
        <v>115</v>
      </c>
      <c r="D98" s="123">
        <v>40</v>
      </c>
      <c r="E98" s="120" t="s">
        <v>3147</v>
      </c>
      <c r="F98" s="251">
        <f t="shared" si="3"/>
        <v>0.222</v>
      </c>
    </row>
    <row r="99" spans="1:6" ht="18.75" hidden="1" thickBot="1">
      <c r="A99" s="126">
        <v>32</v>
      </c>
      <c r="B99" s="123">
        <v>62.5</v>
      </c>
      <c r="C99" s="123">
        <v>115</v>
      </c>
      <c r="D99" s="123">
        <v>40</v>
      </c>
      <c r="E99" s="120" t="s">
        <v>3148</v>
      </c>
      <c r="F99" s="251">
        <f t="shared" si="3"/>
        <v>0.23400000000000001</v>
      </c>
    </row>
    <row r="100" spans="1:6" ht="18.75" hidden="1" thickBot="1">
      <c r="A100" s="126">
        <v>32</v>
      </c>
      <c r="B100" s="190">
        <v>65.5</v>
      </c>
      <c r="C100" s="190">
        <v>115</v>
      </c>
      <c r="D100" s="190">
        <v>40</v>
      </c>
      <c r="E100" s="120" t="s">
        <v>3149</v>
      </c>
      <c r="F100" s="269">
        <f t="shared" si="3"/>
        <v>0.245</v>
      </c>
    </row>
    <row r="101" spans="1:6" ht="18.75" hidden="1" thickBot="1">
      <c r="A101" s="126">
        <v>32</v>
      </c>
      <c r="B101" s="123">
        <v>68.5</v>
      </c>
      <c r="C101" s="123">
        <v>115</v>
      </c>
      <c r="D101" s="123">
        <v>40</v>
      </c>
      <c r="E101" s="120" t="s">
        <v>3150</v>
      </c>
      <c r="F101" s="251">
        <f t="shared" si="3"/>
        <v>0.25600000000000001</v>
      </c>
    </row>
    <row r="102" spans="1:6" ht="18.75" hidden="1" thickBot="1">
      <c r="A102" s="126">
        <v>32</v>
      </c>
      <c r="B102" s="123">
        <v>9.5</v>
      </c>
      <c r="C102" s="123">
        <v>115</v>
      </c>
      <c r="D102" s="123">
        <v>40</v>
      </c>
      <c r="E102" s="120" t="s">
        <v>3238</v>
      </c>
      <c r="F102" s="251">
        <f t="shared" si="3"/>
        <v>3.5999999999999997E-2</v>
      </c>
    </row>
    <row r="103" spans="1:6" ht="18.75" hidden="1" thickBot="1">
      <c r="A103" s="126">
        <v>32</v>
      </c>
      <c r="B103" s="159">
        <v>14.5</v>
      </c>
      <c r="C103" s="159">
        <v>115</v>
      </c>
      <c r="D103" s="159">
        <v>40</v>
      </c>
      <c r="E103" s="198" t="s">
        <v>3151</v>
      </c>
      <c r="F103" s="260">
        <f t="shared" si="3"/>
        <v>5.3999999999999999E-2</v>
      </c>
    </row>
    <row r="104" spans="1:6" ht="18.75" hidden="1" thickBot="1">
      <c r="A104" s="126">
        <v>32</v>
      </c>
      <c r="B104" s="163">
        <v>26.5</v>
      </c>
      <c r="C104" s="163">
        <v>135</v>
      </c>
      <c r="D104" s="163">
        <v>40</v>
      </c>
      <c r="E104" s="163" t="s">
        <v>3152</v>
      </c>
      <c r="F104" s="261">
        <f t="shared" si="3"/>
        <v>0.11600000000000001</v>
      </c>
    </row>
    <row r="105" spans="1:6" ht="18.75" hidden="1" thickBot="1">
      <c r="A105" s="126">
        <v>32</v>
      </c>
      <c r="B105" s="126">
        <v>29.5</v>
      </c>
      <c r="C105" s="126">
        <v>135</v>
      </c>
      <c r="D105" s="126">
        <v>40</v>
      </c>
      <c r="E105" s="126" t="s">
        <v>3153</v>
      </c>
      <c r="F105" s="252">
        <f t="shared" ref="F105:F121" si="4">ROUND(A105*B105*0.0254*C105/1000*D105/1000,3)</f>
        <v>0.129</v>
      </c>
    </row>
    <row r="106" spans="1:6" ht="18.75" hidden="1" thickBot="1">
      <c r="A106" s="126">
        <v>32</v>
      </c>
      <c r="B106" s="126">
        <v>32.5</v>
      </c>
      <c r="C106" s="126">
        <v>135</v>
      </c>
      <c r="D106" s="126">
        <v>40</v>
      </c>
      <c r="E106" s="126" t="s">
        <v>3154</v>
      </c>
      <c r="F106" s="252">
        <f t="shared" si="4"/>
        <v>0.14299999999999999</v>
      </c>
    </row>
    <row r="107" spans="1:6" ht="18.75" hidden="1" thickBot="1">
      <c r="A107" s="126">
        <v>32</v>
      </c>
      <c r="B107" s="126">
        <v>35.5</v>
      </c>
      <c r="C107" s="126">
        <v>135</v>
      </c>
      <c r="D107" s="126">
        <v>40</v>
      </c>
      <c r="E107" s="126" t="s">
        <v>3155</v>
      </c>
      <c r="F107" s="252">
        <f t="shared" si="4"/>
        <v>0.156</v>
      </c>
    </row>
    <row r="108" spans="1:6" ht="18.75" hidden="1" thickBot="1">
      <c r="A108" s="126">
        <v>32</v>
      </c>
      <c r="B108" s="126">
        <v>38.5</v>
      </c>
      <c r="C108" s="126">
        <v>135</v>
      </c>
      <c r="D108" s="126">
        <v>40</v>
      </c>
      <c r="E108" s="126" t="s">
        <v>3156</v>
      </c>
      <c r="F108" s="252">
        <f t="shared" si="4"/>
        <v>0.16900000000000001</v>
      </c>
    </row>
    <row r="109" spans="1:6" ht="18.75" hidden="1" thickBot="1">
      <c r="A109" s="126">
        <v>32</v>
      </c>
      <c r="B109" s="126">
        <v>41.5</v>
      </c>
      <c r="C109" s="126">
        <v>135</v>
      </c>
      <c r="D109" s="126">
        <v>40</v>
      </c>
      <c r="E109" s="126" t="s">
        <v>3157</v>
      </c>
      <c r="F109" s="252">
        <f t="shared" si="4"/>
        <v>0.182</v>
      </c>
    </row>
    <row r="110" spans="1:6" ht="18.75" hidden="1" thickBot="1">
      <c r="A110" s="126">
        <v>32</v>
      </c>
      <c r="B110" s="126">
        <v>44.5</v>
      </c>
      <c r="C110" s="126">
        <v>135</v>
      </c>
      <c r="D110" s="126">
        <v>40</v>
      </c>
      <c r="E110" s="126" t="s">
        <v>3158</v>
      </c>
      <c r="F110" s="252">
        <f t="shared" si="4"/>
        <v>0.19500000000000001</v>
      </c>
    </row>
    <row r="111" spans="1:6" ht="18.75" hidden="1" thickBot="1">
      <c r="A111" s="126">
        <v>32</v>
      </c>
      <c r="B111" s="126">
        <v>47.5</v>
      </c>
      <c r="C111" s="126">
        <v>135</v>
      </c>
      <c r="D111" s="126">
        <v>40</v>
      </c>
      <c r="E111" s="126" t="s">
        <v>3159</v>
      </c>
      <c r="F111" s="252">
        <f t="shared" si="4"/>
        <v>0.20799999999999999</v>
      </c>
    </row>
    <row r="112" spans="1:6" ht="18.75" hidden="1" thickBot="1">
      <c r="A112" s="126">
        <v>32</v>
      </c>
      <c r="B112" s="126">
        <v>50.5</v>
      </c>
      <c r="C112" s="126">
        <v>135</v>
      </c>
      <c r="D112" s="126">
        <v>40</v>
      </c>
      <c r="E112" s="126" t="s">
        <v>3160</v>
      </c>
      <c r="F112" s="252">
        <f t="shared" si="4"/>
        <v>0.222</v>
      </c>
    </row>
    <row r="113" spans="1:6" ht="18.75" hidden="1" thickBot="1">
      <c r="A113" s="126">
        <v>32</v>
      </c>
      <c r="B113" s="126">
        <v>53.5</v>
      </c>
      <c r="C113" s="126">
        <v>135</v>
      </c>
      <c r="D113" s="126">
        <v>40</v>
      </c>
      <c r="E113" s="126" t="s">
        <v>3161</v>
      </c>
      <c r="F113" s="252">
        <f t="shared" si="4"/>
        <v>0.23499999999999999</v>
      </c>
    </row>
    <row r="114" spans="1:6" ht="18.75" hidden="1" thickBot="1">
      <c r="A114" s="126">
        <v>32</v>
      </c>
      <c r="B114" s="126">
        <v>56.5</v>
      </c>
      <c r="C114" s="126">
        <v>135</v>
      </c>
      <c r="D114" s="126">
        <v>40</v>
      </c>
      <c r="E114" s="126" t="s">
        <v>3162</v>
      </c>
      <c r="F114" s="252">
        <f t="shared" si="4"/>
        <v>0.248</v>
      </c>
    </row>
    <row r="115" spans="1:6" ht="18.75" hidden="1" thickBot="1">
      <c r="A115" s="126">
        <v>32</v>
      </c>
      <c r="B115" s="126">
        <v>59.5</v>
      </c>
      <c r="C115" s="126">
        <v>135</v>
      </c>
      <c r="D115" s="126">
        <v>40</v>
      </c>
      <c r="E115" s="126" t="s">
        <v>3163</v>
      </c>
      <c r="F115" s="252">
        <f t="shared" si="4"/>
        <v>0.26100000000000001</v>
      </c>
    </row>
    <row r="116" spans="1:6" ht="18.75" hidden="1" thickBot="1">
      <c r="A116" s="126">
        <v>32</v>
      </c>
      <c r="B116" s="126">
        <v>62.5</v>
      </c>
      <c r="C116" s="126">
        <v>135</v>
      </c>
      <c r="D116" s="126">
        <v>40</v>
      </c>
      <c r="E116" s="126" t="s">
        <v>3164</v>
      </c>
      <c r="F116" s="252">
        <f t="shared" si="4"/>
        <v>0.27400000000000002</v>
      </c>
    </row>
    <row r="117" spans="1:6" ht="18.75" hidden="1" thickBot="1">
      <c r="A117" s="126">
        <v>32</v>
      </c>
      <c r="B117" s="126">
        <v>65.5</v>
      </c>
      <c r="C117" s="126">
        <v>135</v>
      </c>
      <c r="D117" s="126">
        <v>40</v>
      </c>
      <c r="E117" s="126" t="s">
        <v>3165</v>
      </c>
      <c r="F117" s="252">
        <f t="shared" si="4"/>
        <v>0.28699999999999998</v>
      </c>
    </row>
    <row r="118" spans="1:6" ht="18.75" hidden="1" thickBot="1">
      <c r="A118" s="126">
        <v>32</v>
      </c>
      <c r="B118" s="126">
        <v>68.5</v>
      </c>
      <c r="C118" s="126">
        <v>135</v>
      </c>
      <c r="D118" s="126">
        <v>40</v>
      </c>
      <c r="E118" s="126" t="s">
        <v>3166</v>
      </c>
      <c r="F118" s="252">
        <f t="shared" si="4"/>
        <v>0.30099999999999999</v>
      </c>
    </row>
    <row r="119" spans="1:6" ht="18.75" hidden="1" thickBot="1">
      <c r="A119" s="126">
        <v>32</v>
      </c>
      <c r="B119" s="126">
        <v>9.5</v>
      </c>
      <c r="C119" s="126">
        <v>135</v>
      </c>
      <c r="D119" s="126">
        <v>40</v>
      </c>
      <c r="E119" s="126" t="s">
        <v>3239</v>
      </c>
      <c r="F119" s="252">
        <f t="shared" si="4"/>
        <v>4.2000000000000003E-2</v>
      </c>
    </row>
    <row r="120" spans="1:6" ht="18.75" hidden="1" thickBot="1">
      <c r="A120" s="126">
        <v>32</v>
      </c>
      <c r="B120" s="167">
        <v>14.5</v>
      </c>
      <c r="C120" s="167">
        <v>135</v>
      </c>
      <c r="D120" s="167">
        <v>40</v>
      </c>
      <c r="E120" s="167" t="s">
        <v>3167</v>
      </c>
      <c r="F120" s="262">
        <f t="shared" si="4"/>
        <v>6.4000000000000001E-2</v>
      </c>
    </row>
    <row r="121" spans="1:6" ht="18.75" hidden="1" thickBot="1">
      <c r="A121" s="126">
        <v>32</v>
      </c>
      <c r="B121" s="171">
        <v>26.5</v>
      </c>
      <c r="C121" s="171">
        <v>155</v>
      </c>
      <c r="D121" s="171">
        <v>40</v>
      </c>
      <c r="E121" s="172" t="s">
        <v>3168</v>
      </c>
      <c r="F121" s="263">
        <f t="shared" si="4"/>
        <v>0.13400000000000001</v>
      </c>
    </row>
    <row r="122" spans="1:6" ht="18.75" hidden="1" thickBot="1">
      <c r="A122" s="126">
        <v>32</v>
      </c>
      <c r="B122" s="130">
        <v>29.5</v>
      </c>
      <c r="C122" s="130">
        <v>155</v>
      </c>
      <c r="D122" s="130">
        <v>40</v>
      </c>
      <c r="E122" s="204" t="s">
        <v>3169</v>
      </c>
      <c r="F122" s="253">
        <f t="shared" ref="F122:F138" si="5">ROUND(A122*B122*0.0254*C122/1000*D122/1000,3)</f>
        <v>0.14899999999999999</v>
      </c>
    </row>
    <row r="123" spans="1:6" ht="18.75" hidden="1" thickBot="1">
      <c r="A123" s="126">
        <v>32</v>
      </c>
      <c r="B123" s="130">
        <v>32.5</v>
      </c>
      <c r="C123" s="130">
        <v>155</v>
      </c>
      <c r="D123" s="130">
        <v>40</v>
      </c>
      <c r="E123" s="204" t="s">
        <v>3170</v>
      </c>
      <c r="F123" s="253">
        <f t="shared" si="5"/>
        <v>0.16400000000000001</v>
      </c>
    </row>
    <row r="124" spans="1:6" ht="18.75" hidden="1" thickBot="1">
      <c r="A124" s="126">
        <v>32</v>
      </c>
      <c r="B124" s="130">
        <v>35.5</v>
      </c>
      <c r="C124" s="130">
        <v>155</v>
      </c>
      <c r="D124" s="130">
        <v>40</v>
      </c>
      <c r="E124" s="204" t="s">
        <v>3171</v>
      </c>
      <c r="F124" s="253">
        <f t="shared" si="5"/>
        <v>0.17899999999999999</v>
      </c>
    </row>
    <row r="125" spans="1:6" ht="18.75" hidden="1" thickBot="1">
      <c r="A125" s="126">
        <v>32</v>
      </c>
      <c r="B125" s="130">
        <v>38.5</v>
      </c>
      <c r="C125" s="130">
        <v>155</v>
      </c>
      <c r="D125" s="130">
        <v>40</v>
      </c>
      <c r="E125" s="204" t="s">
        <v>3172</v>
      </c>
      <c r="F125" s="253">
        <f t="shared" si="5"/>
        <v>0.19400000000000001</v>
      </c>
    </row>
    <row r="126" spans="1:6" ht="18.75" hidden="1" thickBot="1">
      <c r="A126" s="126">
        <v>32</v>
      </c>
      <c r="B126" s="130">
        <v>41.5</v>
      </c>
      <c r="C126" s="130">
        <v>155</v>
      </c>
      <c r="D126" s="130">
        <v>40</v>
      </c>
      <c r="E126" s="204" t="s">
        <v>3173</v>
      </c>
      <c r="F126" s="253">
        <f t="shared" si="5"/>
        <v>0.20899999999999999</v>
      </c>
    </row>
    <row r="127" spans="1:6" ht="18.75" hidden="1" thickBot="1">
      <c r="A127" s="126">
        <v>32</v>
      </c>
      <c r="B127" s="130">
        <v>44.5</v>
      </c>
      <c r="C127" s="130">
        <v>155</v>
      </c>
      <c r="D127" s="130">
        <v>40</v>
      </c>
      <c r="E127" s="204" t="s">
        <v>3174</v>
      </c>
      <c r="F127" s="253">
        <f t="shared" si="5"/>
        <v>0.224</v>
      </c>
    </row>
    <row r="128" spans="1:6" ht="18.75" hidden="1" thickBot="1">
      <c r="A128" s="126">
        <v>32</v>
      </c>
      <c r="B128" s="130">
        <v>47.5</v>
      </c>
      <c r="C128" s="130">
        <v>155</v>
      </c>
      <c r="D128" s="130">
        <v>40</v>
      </c>
      <c r="E128" s="204" t="s">
        <v>3175</v>
      </c>
      <c r="F128" s="253">
        <f t="shared" si="5"/>
        <v>0.23899999999999999</v>
      </c>
    </row>
    <row r="129" spans="1:6" ht="18.75" hidden="1" thickBot="1">
      <c r="A129" s="126">
        <v>32</v>
      </c>
      <c r="B129" s="130">
        <v>50.5</v>
      </c>
      <c r="C129" s="130">
        <v>155</v>
      </c>
      <c r="D129" s="130">
        <v>40</v>
      </c>
      <c r="E129" s="204" t="s">
        <v>3176</v>
      </c>
      <c r="F129" s="253">
        <f t="shared" si="5"/>
        <v>0.254</v>
      </c>
    </row>
    <row r="130" spans="1:6" ht="18.75" hidden="1" thickBot="1">
      <c r="A130" s="126">
        <v>32</v>
      </c>
      <c r="B130" s="130">
        <v>53.5</v>
      </c>
      <c r="C130" s="130">
        <v>155</v>
      </c>
      <c r="D130" s="130">
        <v>40</v>
      </c>
      <c r="E130" s="204" t="s">
        <v>3177</v>
      </c>
      <c r="F130" s="253">
        <f t="shared" si="5"/>
        <v>0.27</v>
      </c>
    </row>
    <row r="131" spans="1:6" ht="18.75" hidden="1" thickBot="1">
      <c r="A131" s="126">
        <v>32</v>
      </c>
      <c r="B131" s="130">
        <v>56.5</v>
      </c>
      <c r="C131" s="130">
        <v>155</v>
      </c>
      <c r="D131" s="130">
        <v>40</v>
      </c>
      <c r="E131" s="204" t="s">
        <v>3178</v>
      </c>
      <c r="F131" s="253">
        <f t="shared" si="5"/>
        <v>0.28499999999999998</v>
      </c>
    </row>
    <row r="132" spans="1:6" ht="18.75" hidden="1" thickBot="1">
      <c r="A132" s="126">
        <v>32</v>
      </c>
      <c r="B132" s="130">
        <v>59.5</v>
      </c>
      <c r="C132" s="130">
        <v>155</v>
      </c>
      <c r="D132" s="130">
        <v>40</v>
      </c>
      <c r="E132" s="204" t="s">
        <v>3179</v>
      </c>
      <c r="F132" s="253">
        <f t="shared" si="5"/>
        <v>0.3</v>
      </c>
    </row>
    <row r="133" spans="1:6" ht="18.75" hidden="1" thickBot="1">
      <c r="A133" s="126">
        <v>32</v>
      </c>
      <c r="B133" s="130">
        <v>62.5</v>
      </c>
      <c r="C133" s="130">
        <v>155</v>
      </c>
      <c r="D133" s="130">
        <v>40</v>
      </c>
      <c r="E133" s="204" t="s">
        <v>3180</v>
      </c>
      <c r="F133" s="253">
        <f t="shared" si="5"/>
        <v>0.315</v>
      </c>
    </row>
    <row r="134" spans="1:6" ht="18.75" hidden="1" thickBot="1">
      <c r="A134" s="126">
        <v>32</v>
      </c>
      <c r="B134" s="193">
        <v>65.5</v>
      </c>
      <c r="C134" s="193">
        <v>155</v>
      </c>
      <c r="D134" s="193">
        <v>40</v>
      </c>
      <c r="E134" s="204" t="s">
        <v>3181</v>
      </c>
      <c r="F134" s="270">
        <f t="shared" si="5"/>
        <v>0.33</v>
      </c>
    </row>
    <row r="135" spans="1:6" ht="18.75" hidden="1" thickBot="1">
      <c r="A135" s="126">
        <v>32</v>
      </c>
      <c r="B135" s="130">
        <v>68.5</v>
      </c>
      <c r="C135" s="130">
        <v>155</v>
      </c>
      <c r="D135" s="130">
        <v>40</v>
      </c>
      <c r="E135" s="204" t="s">
        <v>3182</v>
      </c>
      <c r="F135" s="253">
        <f t="shared" si="5"/>
        <v>0.34499999999999997</v>
      </c>
    </row>
    <row r="136" spans="1:6" ht="18.75" hidden="1" thickBot="1">
      <c r="A136" s="126">
        <v>32</v>
      </c>
      <c r="B136" s="130">
        <v>9.5</v>
      </c>
      <c r="C136" s="130">
        <v>155</v>
      </c>
      <c r="D136" s="130">
        <v>40</v>
      </c>
      <c r="E136" s="204" t="s">
        <v>3240</v>
      </c>
      <c r="F136" s="253">
        <f t="shared" si="5"/>
        <v>4.8000000000000001E-2</v>
      </c>
    </row>
    <row r="137" spans="1:6" ht="18.75" hidden="1" thickBot="1">
      <c r="A137" s="126">
        <v>32</v>
      </c>
      <c r="B137" s="175">
        <v>14.5</v>
      </c>
      <c r="C137" s="175">
        <v>155</v>
      </c>
      <c r="D137" s="175">
        <v>40</v>
      </c>
      <c r="E137" s="206" t="s">
        <v>3183</v>
      </c>
      <c r="F137" s="264">
        <f t="shared" si="5"/>
        <v>7.2999999999999995E-2</v>
      </c>
    </row>
    <row r="138" spans="1:6" ht="18.75" hidden="1" thickBot="1">
      <c r="A138" s="126">
        <v>32</v>
      </c>
      <c r="B138" s="179">
        <v>26.5</v>
      </c>
      <c r="C138" s="179">
        <v>175</v>
      </c>
      <c r="D138" s="179">
        <v>40</v>
      </c>
      <c r="E138" s="179" t="s">
        <v>3184</v>
      </c>
      <c r="F138" s="265">
        <f t="shared" si="5"/>
        <v>0.151</v>
      </c>
    </row>
    <row r="139" spans="1:6" ht="18.75" hidden="1" thickBot="1">
      <c r="A139" s="126">
        <v>32</v>
      </c>
      <c r="B139" s="134">
        <v>29.5</v>
      </c>
      <c r="C139" s="134">
        <v>175</v>
      </c>
      <c r="D139" s="134">
        <v>40</v>
      </c>
      <c r="E139" s="134" t="s">
        <v>3185</v>
      </c>
      <c r="F139" s="254">
        <f t="shared" ref="F139:F155" si="6">ROUND(A139*B139*0.0254*C139/1000*D139/1000,3)</f>
        <v>0.16800000000000001</v>
      </c>
    </row>
    <row r="140" spans="1:6" ht="18.75" hidden="1" thickBot="1">
      <c r="A140" s="126">
        <v>32</v>
      </c>
      <c r="B140" s="134">
        <v>32.5</v>
      </c>
      <c r="C140" s="134">
        <v>175</v>
      </c>
      <c r="D140" s="134">
        <v>40</v>
      </c>
      <c r="E140" s="134" t="s">
        <v>3186</v>
      </c>
      <c r="F140" s="254">
        <f t="shared" si="6"/>
        <v>0.185</v>
      </c>
    </row>
    <row r="141" spans="1:6" ht="18.75" hidden="1" thickBot="1">
      <c r="A141" s="126">
        <v>32</v>
      </c>
      <c r="B141" s="134">
        <v>35.5</v>
      </c>
      <c r="C141" s="134">
        <v>175</v>
      </c>
      <c r="D141" s="134">
        <v>40</v>
      </c>
      <c r="E141" s="134" t="s">
        <v>3187</v>
      </c>
      <c r="F141" s="254">
        <f t="shared" si="6"/>
        <v>0.20200000000000001</v>
      </c>
    </row>
    <row r="142" spans="1:6" ht="18.75" hidden="1" thickBot="1">
      <c r="A142" s="126">
        <v>32</v>
      </c>
      <c r="B142" s="134">
        <v>38.5</v>
      </c>
      <c r="C142" s="134">
        <v>175</v>
      </c>
      <c r="D142" s="134">
        <v>40</v>
      </c>
      <c r="E142" s="134" t="s">
        <v>3188</v>
      </c>
      <c r="F142" s="254">
        <f t="shared" si="6"/>
        <v>0.219</v>
      </c>
    </row>
    <row r="143" spans="1:6" ht="18.75" hidden="1" thickBot="1">
      <c r="A143" s="126">
        <v>32</v>
      </c>
      <c r="B143" s="134">
        <v>41.5</v>
      </c>
      <c r="C143" s="134">
        <v>175</v>
      </c>
      <c r="D143" s="134">
        <v>40</v>
      </c>
      <c r="E143" s="134" t="s">
        <v>3189</v>
      </c>
      <c r="F143" s="254">
        <f t="shared" si="6"/>
        <v>0.23599999999999999</v>
      </c>
    </row>
    <row r="144" spans="1:6" ht="18.75" hidden="1" thickBot="1">
      <c r="A144" s="126">
        <v>32</v>
      </c>
      <c r="B144" s="134">
        <v>44.5</v>
      </c>
      <c r="C144" s="134">
        <v>175</v>
      </c>
      <c r="D144" s="134">
        <v>40</v>
      </c>
      <c r="E144" s="134" t="s">
        <v>3190</v>
      </c>
      <c r="F144" s="254">
        <f t="shared" si="6"/>
        <v>0.253</v>
      </c>
    </row>
    <row r="145" spans="1:6" ht="18.75" hidden="1" thickBot="1">
      <c r="A145" s="126">
        <v>32</v>
      </c>
      <c r="B145" s="134">
        <v>47.5</v>
      </c>
      <c r="C145" s="134">
        <v>175</v>
      </c>
      <c r="D145" s="134">
        <v>40</v>
      </c>
      <c r="E145" s="134" t="s">
        <v>3191</v>
      </c>
      <c r="F145" s="254">
        <f t="shared" si="6"/>
        <v>0.27</v>
      </c>
    </row>
    <row r="146" spans="1:6" ht="18.75" hidden="1" thickBot="1">
      <c r="A146" s="126">
        <v>32</v>
      </c>
      <c r="B146" s="134">
        <v>50.5</v>
      </c>
      <c r="C146" s="134">
        <v>175</v>
      </c>
      <c r="D146" s="134">
        <v>40</v>
      </c>
      <c r="E146" s="134" t="s">
        <v>3192</v>
      </c>
      <c r="F146" s="254">
        <f t="shared" si="6"/>
        <v>0.28699999999999998</v>
      </c>
    </row>
    <row r="147" spans="1:6" ht="18.75" hidden="1" thickBot="1">
      <c r="A147" s="126">
        <v>32</v>
      </c>
      <c r="B147" s="134">
        <v>53.5</v>
      </c>
      <c r="C147" s="134">
        <v>175</v>
      </c>
      <c r="D147" s="134">
        <v>40</v>
      </c>
      <c r="E147" s="134" t="s">
        <v>3193</v>
      </c>
      <c r="F147" s="254">
        <f t="shared" si="6"/>
        <v>0.30399999999999999</v>
      </c>
    </row>
    <row r="148" spans="1:6" ht="18.75" hidden="1" thickBot="1">
      <c r="A148" s="126">
        <v>32</v>
      </c>
      <c r="B148" s="134">
        <v>56.5</v>
      </c>
      <c r="C148" s="134">
        <v>175</v>
      </c>
      <c r="D148" s="134">
        <v>40</v>
      </c>
      <c r="E148" s="134" t="s">
        <v>3194</v>
      </c>
      <c r="F148" s="254">
        <f t="shared" si="6"/>
        <v>0.32100000000000001</v>
      </c>
    </row>
    <row r="149" spans="1:6" ht="18.75" hidden="1" thickBot="1">
      <c r="A149" s="126">
        <v>32</v>
      </c>
      <c r="B149" s="134">
        <v>59.5</v>
      </c>
      <c r="C149" s="134">
        <v>175</v>
      </c>
      <c r="D149" s="134">
        <v>40</v>
      </c>
      <c r="E149" s="134" t="s">
        <v>3195</v>
      </c>
      <c r="F149" s="254">
        <f t="shared" si="6"/>
        <v>0.33900000000000002</v>
      </c>
    </row>
    <row r="150" spans="1:6" ht="18.75" hidden="1" thickBot="1">
      <c r="A150" s="126">
        <v>32</v>
      </c>
      <c r="B150" s="134">
        <v>62.5</v>
      </c>
      <c r="C150" s="134">
        <v>175</v>
      </c>
      <c r="D150" s="134">
        <v>40</v>
      </c>
      <c r="E150" s="134" t="s">
        <v>3196</v>
      </c>
      <c r="F150" s="254">
        <f t="shared" si="6"/>
        <v>0.35599999999999998</v>
      </c>
    </row>
    <row r="151" spans="1:6" ht="18.75" hidden="1" thickBot="1">
      <c r="A151" s="126">
        <v>32</v>
      </c>
      <c r="B151" s="134">
        <v>65.5</v>
      </c>
      <c r="C151" s="134">
        <v>175</v>
      </c>
      <c r="D151" s="134">
        <v>40</v>
      </c>
      <c r="E151" s="134" t="s">
        <v>3197</v>
      </c>
      <c r="F151" s="254">
        <f t="shared" si="6"/>
        <v>0.373</v>
      </c>
    </row>
    <row r="152" spans="1:6" ht="18.75" hidden="1" thickBot="1">
      <c r="A152" s="126">
        <v>32</v>
      </c>
      <c r="B152" s="134">
        <v>68.5</v>
      </c>
      <c r="C152" s="134">
        <v>175</v>
      </c>
      <c r="D152" s="134">
        <v>40</v>
      </c>
      <c r="E152" s="134" t="s">
        <v>3198</v>
      </c>
      <c r="F152" s="254">
        <f t="shared" si="6"/>
        <v>0.39</v>
      </c>
    </row>
    <row r="153" spans="1:6" ht="18.75" hidden="1" thickBot="1">
      <c r="A153" s="126">
        <v>32</v>
      </c>
      <c r="B153" s="134">
        <v>9.5</v>
      </c>
      <c r="C153" s="134">
        <v>175</v>
      </c>
      <c r="D153" s="134">
        <v>40</v>
      </c>
      <c r="E153" s="134" t="s">
        <v>3241</v>
      </c>
      <c r="F153" s="254">
        <f t="shared" si="6"/>
        <v>5.3999999999999999E-2</v>
      </c>
    </row>
    <row r="154" spans="1:6" ht="18.75" hidden="1" thickBot="1">
      <c r="A154" s="126">
        <v>32</v>
      </c>
      <c r="B154" s="183">
        <v>14.5</v>
      </c>
      <c r="C154" s="183">
        <v>175</v>
      </c>
      <c r="D154" s="183">
        <v>40</v>
      </c>
      <c r="E154" s="183" t="s">
        <v>3199</v>
      </c>
      <c r="F154" s="266">
        <f t="shared" si="6"/>
        <v>8.2000000000000003E-2</v>
      </c>
    </row>
    <row r="155" spans="1:6" ht="18.75" hidden="1" thickBot="1">
      <c r="A155" s="126">
        <v>32</v>
      </c>
      <c r="B155" s="224">
        <v>26.5</v>
      </c>
      <c r="C155" s="224">
        <v>205</v>
      </c>
      <c r="D155" s="224">
        <v>40</v>
      </c>
      <c r="E155" s="224" t="s">
        <v>3200</v>
      </c>
      <c r="F155" s="271">
        <f t="shared" si="6"/>
        <v>0.17699999999999999</v>
      </c>
    </row>
    <row r="156" spans="1:6" ht="18.75" hidden="1" thickBot="1">
      <c r="A156" s="126">
        <v>32</v>
      </c>
      <c r="B156" s="226">
        <v>29.5</v>
      </c>
      <c r="C156" s="226">
        <v>205</v>
      </c>
      <c r="D156" s="226">
        <v>40</v>
      </c>
      <c r="E156" s="226" t="s">
        <v>3201</v>
      </c>
      <c r="F156" s="272">
        <f t="shared" ref="F156:F172" si="7">ROUND(A156*B156*0.0254*C156/1000*D156/1000,3)</f>
        <v>0.19700000000000001</v>
      </c>
    </row>
    <row r="157" spans="1:6" ht="18.75" hidden="1" thickBot="1">
      <c r="A157" s="126">
        <v>32</v>
      </c>
      <c r="B157" s="226">
        <v>32.5</v>
      </c>
      <c r="C157" s="226">
        <v>205</v>
      </c>
      <c r="D157" s="226">
        <v>40</v>
      </c>
      <c r="E157" s="226" t="s">
        <v>3202</v>
      </c>
      <c r="F157" s="272">
        <f t="shared" si="7"/>
        <v>0.217</v>
      </c>
    </row>
    <row r="158" spans="1:6" ht="18.75" hidden="1" thickBot="1">
      <c r="A158" s="126">
        <v>32</v>
      </c>
      <c r="B158" s="226">
        <v>35.5</v>
      </c>
      <c r="C158" s="226">
        <v>205</v>
      </c>
      <c r="D158" s="226">
        <v>40</v>
      </c>
      <c r="E158" s="226" t="s">
        <v>3203</v>
      </c>
      <c r="F158" s="272">
        <f t="shared" si="7"/>
        <v>0.23699999999999999</v>
      </c>
    </row>
    <row r="159" spans="1:6" ht="18.75" hidden="1" thickBot="1">
      <c r="A159" s="126">
        <v>32</v>
      </c>
      <c r="B159" s="226">
        <v>38.5</v>
      </c>
      <c r="C159" s="226">
        <v>205</v>
      </c>
      <c r="D159" s="226">
        <v>40</v>
      </c>
      <c r="E159" s="226" t="s">
        <v>3204</v>
      </c>
      <c r="F159" s="272">
        <f t="shared" si="7"/>
        <v>0.25700000000000001</v>
      </c>
    </row>
    <row r="160" spans="1:6" ht="18.75" hidden="1" thickBot="1">
      <c r="A160" s="126">
        <v>32</v>
      </c>
      <c r="B160" s="226">
        <v>41.5</v>
      </c>
      <c r="C160" s="226">
        <v>205</v>
      </c>
      <c r="D160" s="226">
        <v>40</v>
      </c>
      <c r="E160" s="226" t="s">
        <v>3205</v>
      </c>
      <c r="F160" s="272">
        <f t="shared" si="7"/>
        <v>0.27700000000000002</v>
      </c>
    </row>
    <row r="161" spans="1:6" ht="18.75" hidden="1" thickBot="1">
      <c r="A161" s="126">
        <v>32</v>
      </c>
      <c r="B161" s="226">
        <v>44.5</v>
      </c>
      <c r="C161" s="226">
        <v>205</v>
      </c>
      <c r="D161" s="226">
        <v>40</v>
      </c>
      <c r="E161" s="226" t="s">
        <v>3206</v>
      </c>
      <c r="F161" s="272">
        <f t="shared" si="7"/>
        <v>0.29699999999999999</v>
      </c>
    </row>
    <row r="162" spans="1:6" ht="18.75" hidden="1" thickBot="1">
      <c r="A162" s="126">
        <v>32</v>
      </c>
      <c r="B162" s="226">
        <v>47.5</v>
      </c>
      <c r="C162" s="226">
        <v>205</v>
      </c>
      <c r="D162" s="226">
        <v>40</v>
      </c>
      <c r="E162" s="226" t="s">
        <v>3207</v>
      </c>
      <c r="F162" s="272">
        <f t="shared" si="7"/>
        <v>0.317</v>
      </c>
    </row>
    <row r="163" spans="1:6" ht="18.75" hidden="1" thickBot="1">
      <c r="A163" s="126">
        <v>32</v>
      </c>
      <c r="B163" s="226">
        <v>50.5</v>
      </c>
      <c r="C163" s="226">
        <v>205</v>
      </c>
      <c r="D163" s="226">
        <v>40</v>
      </c>
      <c r="E163" s="226" t="s">
        <v>3208</v>
      </c>
      <c r="F163" s="272">
        <f t="shared" si="7"/>
        <v>0.33700000000000002</v>
      </c>
    </row>
    <row r="164" spans="1:6" ht="18.75" hidden="1" thickBot="1">
      <c r="A164" s="126">
        <v>32</v>
      </c>
      <c r="B164" s="226">
        <v>53.5</v>
      </c>
      <c r="C164" s="226">
        <v>205</v>
      </c>
      <c r="D164" s="226">
        <v>40</v>
      </c>
      <c r="E164" s="226" t="s">
        <v>3209</v>
      </c>
      <c r="F164" s="272">
        <f t="shared" si="7"/>
        <v>0.35699999999999998</v>
      </c>
    </row>
    <row r="165" spans="1:6" ht="18.75" hidden="1" thickBot="1">
      <c r="A165" s="126">
        <v>32</v>
      </c>
      <c r="B165" s="226">
        <v>56.5</v>
      </c>
      <c r="C165" s="226">
        <v>205</v>
      </c>
      <c r="D165" s="226">
        <v>40</v>
      </c>
      <c r="E165" s="226" t="s">
        <v>3210</v>
      </c>
      <c r="F165" s="272">
        <f t="shared" si="7"/>
        <v>0.377</v>
      </c>
    </row>
    <row r="166" spans="1:6" ht="18.75" hidden="1" thickBot="1">
      <c r="A166" s="126">
        <v>32</v>
      </c>
      <c r="B166" s="226">
        <v>59.5</v>
      </c>
      <c r="C166" s="226">
        <v>205</v>
      </c>
      <c r="D166" s="226">
        <v>40</v>
      </c>
      <c r="E166" s="226" t="s">
        <v>3211</v>
      </c>
      <c r="F166" s="272">
        <f t="shared" si="7"/>
        <v>0.39700000000000002</v>
      </c>
    </row>
    <row r="167" spans="1:6" ht="18.75" hidden="1" thickBot="1">
      <c r="A167" s="126">
        <v>32</v>
      </c>
      <c r="B167" s="226">
        <v>62.5</v>
      </c>
      <c r="C167" s="226">
        <v>205</v>
      </c>
      <c r="D167" s="226">
        <v>40</v>
      </c>
      <c r="E167" s="226" t="s">
        <v>3212</v>
      </c>
      <c r="F167" s="272">
        <f t="shared" si="7"/>
        <v>0.41699999999999998</v>
      </c>
    </row>
    <row r="168" spans="1:6" ht="18.75" hidden="1" thickBot="1">
      <c r="A168" s="126">
        <v>32</v>
      </c>
      <c r="B168" s="226">
        <v>65.5</v>
      </c>
      <c r="C168" s="226">
        <v>205</v>
      </c>
      <c r="D168" s="226">
        <v>40</v>
      </c>
      <c r="E168" s="226" t="s">
        <v>3213</v>
      </c>
      <c r="F168" s="272">
        <f t="shared" si="7"/>
        <v>0.437</v>
      </c>
    </row>
    <row r="169" spans="1:6" ht="18.75" hidden="1" thickBot="1">
      <c r="A169" s="126">
        <v>32</v>
      </c>
      <c r="B169" s="226">
        <v>68.5</v>
      </c>
      <c r="C169" s="226">
        <v>205</v>
      </c>
      <c r="D169" s="226">
        <v>40</v>
      </c>
      <c r="E169" s="226" t="s">
        <v>3214</v>
      </c>
      <c r="F169" s="272">
        <f t="shared" si="7"/>
        <v>0.45700000000000002</v>
      </c>
    </row>
    <row r="170" spans="1:6" ht="18.75" hidden="1" thickBot="1">
      <c r="A170" s="126">
        <v>32</v>
      </c>
      <c r="B170" s="226">
        <v>9.5</v>
      </c>
      <c r="C170" s="226">
        <v>205</v>
      </c>
      <c r="D170" s="226">
        <v>40</v>
      </c>
      <c r="E170" s="226" t="s">
        <v>3242</v>
      </c>
      <c r="F170" s="272">
        <f t="shared" si="7"/>
        <v>6.3E-2</v>
      </c>
    </row>
    <row r="171" spans="1:6" ht="18.75" hidden="1" thickBot="1">
      <c r="A171" s="126">
        <v>32</v>
      </c>
      <c r="B171" s="228">
        <v>14.5</v>
      </c>
      <c r="C171" s="228">
        <v>205</v>
      </c>
      <c r="D171" s="228">
        <v>40</v>
      </c>
      <c r="E171" s="228" t="s">
        <v>3215</v>
      </c>
      <c r="F171" s="273">
        <f t="shared" si="7"/>
        <v>9.7000000000000003E-2</v>
      </c>
    </row>
    <row r="172" spans="1:6" ht="18.75" hidden="1" thickBot="1">
      <c r="A172" s="126">
        <v>32</v>
      </c>
      <c r="B172" s="154">
        <v>24</v>
      </c>
      <c r="C172" s="154">
        <v>115</v>
      </c>
      <c r="D172" s="154">
        <v>70</v>
      </c>
      <c r="E172" s="155" t="s">
        <v>3388</v>
      </c>
      <c r="F172" s="259">
        <f t="shared" si="7"/>
        <v>0.157</v>
      </c>
    </row>
    <row r="173" spans="1:6" ht="18.75" hidden="1" thickBot="1">
      <c r="A173" s="126">
        <v>32</v>
      </c>
      <c r="B173" s="123">
        <v>27</v>
      </c>
      <c r="C173" s="123">
        <v>115</v>
      </c>
      <c r="D173" s="123">
        <v>70</v>
      </c>
      <c r="E173" s="120" t="s">
        <v>3431</v>
      </c>
      <c r="F173" s="251">
        <f t="shared" ref="F173:F189" si="8">ROUND(A173*B173*0.0254*C173/1000*D173/1000,3)</f>
        <v>0.17699999999999999</v>
      </c>
    </row>
    <row r="174" spans="1:6" ht="18.75" hidden="1" thickBot="1">
      <c r="A174" s="126">
        <v>32</v>
      </c>
      <c r="B174" s="123">
        <v>30</v>
      </c>
      <c r="C174" s="123">
        <v>115</v>
      </c>
      <c r="D174" s="123">
        <v>70</v>
      </c>
      <c r="E174" s="120" t="s">
        <v>3432</v>
      </c>
      <c r="F174" s="251">
        <f t="shared" si="8"/>
        <v>0.19600000000000001</v>
      </c>
    </row>
    <row r="175" spans="1:6" ht="18.75" hidden="1" thickBot="1">
      <c r="A175" s="126">
        <v>32</v>
      </c>
      <c r="B175" s="123">
        <v>33</v>
      </c>
      <c r="C175" s="123">
        <v>115</v>
      </c>
      <c r="D175" s="123">
        <v>70</v>
      </c>
      <c r="E175" s="120" t="s">
        <v>3433</v>
      </c>
      <c r="F175" s="251">
        <f t="shared" si="8"/>
        <v>0.216</v>
      </c>
    </row>
    <row r="176" spans="1:6" ht="18.75" hidden="1" thickBot="1">
      <c r="A176" s="126">
        <v>32</v>
      </c>
      <c r="B176" s="123">
        <v>36</v>
      </c>
      <c r="C176" s="123">
        <v>115</v>
      </c>
      <c r="D176" s="123">
        <v>70</v>
      </c>
      <c r="E176" s="120" t="s">
        <v>3434</v>
      </c>
      <c r="F176" s="251">
        <f t="shared" si="8"/>
        <v>0.23599999999999999</v>
      </c>
    </row>
    <row r="177" spans="1:6" ht="18.75" hidden="1" thickBot="1">
      <c r="A177" s="126">
        <v>32</v>
      </c>
      <c r="B177" s="123">
        <v>39</v>
      </c>
      <c r="C177" s="123">
        <v>115</v>
      </c>
      <c r="D177" s="123">
        <v>70</v>
      </c>
      <c r="E177" s="120" t="s">
        <v>3435</v>
      </c>
      <c r="F177" s="251">
        <f t="shared" si="8"/>
        <v>0.255</v>
      </c>
    </row>
    <row r="178" spans="1:6" ht="18.75" hidden="1" thickBot="1">
      <c r="A178" s="126">
        <v>32</v>
      </c>
      <c r="B178" s="123">
        <v>42</v>
      </c>
      <c r="C178" s="123">
        <v>115</v>
      </c>
      <c r="D178" s="123">
        <v>70</v>
      </c>
      <c r="E178" s="120" t="s">
        <v>3436</v>
      </c>
      <c r="F178" s="251">
        <f t="shared" si="8"/>
        <v>0.27500000000000002</v>
      </c>
    </row>
    <row r="179" spans="1:6" ht="18.75" hidden="1" thickBot="1">
      <c r="A179" s="126">
        <v>32</v>
      </c>
      <c r="B179" s="123">
        <v>45</v>
      </c>
      <c r="C179" s="123">
        <v>115</v>
      </c>
      <c r="D179" s="123">
        <v>70</v>
      </c>
      <c r="E179" s="120" t="s">
        <v>3437</v>
      </c>
      <c r="F179" s="251">
        <f t="shared" si="8"/>
        <v>0.29399999999999998</v>
      </c>
    </row>
    <row r="180" spans="1:6" ht="18.75" hidden="1" thickBot="1">
      <c r="A180" s="126">
        <v>32</v>
      </c>
      <c r="B180" s="123">
        <v>48</v>
      </c>
      <c r="C180" s="123">
        <v>115</v>
      </c>
      <c r="D180" s="123">
        <v>70</v>
      </c>
      <c r="E180" s="120" t="s">
        <v>3438</v>
      </c>
      <c r="F180" s="251">
        <f t="shared" si="8"/>
        <v>0.314</v>
      </c>
    </row>
    <row r="181" spans="1:6" ht="18.75" hidden="1" thickBot="1">
      <c r="A181" s="126">
        <v>32</v>
      </c>
      <c r="B181" s="123">
        <v>51</v>
      </c>
      <c r="C181" s="123">
        <v>115</v>
      </c>
      <c r="D181" s="123">
        <v>70</v>
      </c>
      <c r="E181" s="120" t="s">
        <v>3439</v>
      </c>
      <c r="F181" s="251">
        <f t="shared" si="8"/>
        <v>0.33400000000000002</v>
      </c>
    </row>
    <row r="182" spans="1:6" ht="18.75" hidden="1" thickBot="1">
      <c r="A182" s="126">
        <v>32</v>
      </c>
      <c r="B182" s="123">
        <v>54</v>
      </c>
      <c r="C182" s="123">
        <v>115</v>
      </c>
      <c r="D182" s="123">
        <v>70</v>
      </c>
      <c r="E182" s="120" t="s">
        <v>3391</v>
      </c>
      <c r="F182" s="251">
        <f t="shared" si="8"/>
        <v>0.35299999999999998</v>
      </c>
    </row>
    <row r="183" spans="1:6" ht="18.75" hidden="1" thickBot="1">
      <c r="A183" s="126">
        <v>32</v>
      </c>
      <c r="B183" s="123">
        <v>57</v>
      </c>
      <c r="C183" s="123">
        <v>115</v>
      </c>
      <c r="D183" s="123">
        <v>70</v>
      </c>
      <c r="E183" s="120" t="s">
        <v>3440</v>
      </c>
      <c r="F183" s="251">
        <f t="shared" si="8"/>
        <v>0.373</v>
      </c>
    </row>
    <row r="184" spans="1:6" ht="18.75" hidden="1" thickBot="1">
      <c r="A184" s="126">
        <v>32</v>
      </c>
      <c r="B184" s="123">
        <v>60</v>
      </c>
      <c r="C184" s="123">
        <v>115</v>
      </c>
      <c r="D184" s="123">
        <v>70</v>
      </c>
      <c r="E184" s="120" t="s">
        <v>3441</v>
      </c>
      <c r="F184" s="251">
        <f t="shared" si="8"/>
        <v>0.39300000000000002</v>
      </c>
    </row>
    <row r="185" spans="1:6" ht="18.75" hidden="1" thickBot="1">
      <c r="A185" s="126">
        <v>32</v>
      </c>
      <c r="B185" s="190">
        <v>63</v>
      </c>
      <c r="C185" s="190">
        <v>115</v>
      </c>
      <c r="D185" s="190">
        <v>70</v>
      </c>
      <c r="E185" s="120" t="s">
        <v>3442</v>
      </c>
      <c r="F185" s="269">
        <f t="shared" si="8"/>
        <v>0.41199999999999998</v>
      </c>
    </row>
    <row r="186" spans="1:6" ht="18.75" hidden="1" thickBot="1">
      <c r="A186" s="126">
        <v>32</v>
      </c>
      <c r="B186" s="123">
        <v>66</v>
      </c>
      <c r="C186" s="123">
        <v>115</v>
      </c>
      <c r="D186" s="123">
        <v>70</v>
      </c>
      <c r="E186" s="120" t="s">
        <v>3392</v>
      </c>
      <c r="F186" s="251">
        <f t="shared" si="8"/>
        <v>0.432</v>
      </c>
    </row>
    <row r="187" spans="1:6" ht="18.75" hidden="1" thickBot="1">
      <c r="A187" s="126">
        <v>32</v>
      </c>
      <c r="B187" s="123">
        <v>9</v>
      </c>
      <c r="C187" s="123">
        <v>115</v>
      </c>
      <c r="D187" s="123">
        <v>70</v>
      </c>
      <c r="E187" s="120" t="s">
        <v>3443</v>
      </c>
      <c r="F187" s="251">
        <f t="shared" si="8"/>
        <v>5.8999999999999997E-2</v>
      </c>
    </row>
    <row r="188" spans="1:6" ht="18.75" hidden="1" thickBot="1">
      <c r="A188" s="126">
        <v>32</v>
      </c>
      <c r="B188" s="159">
        <v>12</v>
      </c>
      <c r="C188" s="159">
        <v>115</v>
      </c>
      <c r="D188" s="159">
        <v>70</v>
      </c>
      <c r="E188" s="198" t="s">
        <v>3444</v>
      </c>
      <c r="F188" s="260">
        <f t="shared" si="8"/>
        <v>7.9000000000000001E-2</v>
      </c>
    </row>
    <row r="189" spans="1:6" ht="18.75" hidden="1" thickBot="1">
      <c r="A189" s="126">
        <v>32</v>
      </c>
      <c r="B189" s="163">
        <v>24</v>
      </c>
      <c r="C189" s="163">
        <v>135</v>
      </c>
      <c r="D189" s="163">
        <v>70</v>
      </c>
      <c r="E189" s="163" t="s">
        <v>3390</v>
      </c>
      <c r="F189" s="261">
        <f t="shared" si="8"/>
        <v>0.184</v>
      </c>
    </row>
    <row r="190" spans="1:6" ht="18.75" hidden="1" thickBot="1">
      <c r="A190" s="126">
        <v>32</v>
      </c>
      <c r="B190" s="126">
        <v>27</v>
      </c>
      <c r="C190" s="126">
        <v>135</v>
      </c>
      <c r="D190" s="126">
        <v>70</v>
      </c>
      <c r="E190" s="126" t="s">
        <v>3445</v>
      </c>
      <c r="F190" s="252">
        <f t="shared" ref="F190:F206" si="9">ROUND(A190*B190*0.0254*C190/1000*D190/1000,3)</f>
        <v>0.20699999999999999</v>
      </c>
    </row>
    <row r="191" spans="1:6" ht="18.75" hidden="1" thickBot="1">
      <c r="A191" s="126">
        <v>32</v>
      </c>
      <c r="B191" s="126">
        <v>30</v>
      </c>
      <c r="C191" s="126">
        <v>135</v>
      </c>
      <c r="D191" s="126">
        <v>70</v>
      </c>
      <c r="E191" s="126" t="s">
        <v>3386</v>
      </c>
      <c r="F191" s="252">
        <f t="shared" si="9"/>
        <v>0.23</v>
      </c>
    </row>
    <row r="192" spans="1:6" ht="18.75" hidden="1" thickBot="1">
      <c r="A192" s="126">
        <v>32</v>
      </c>
      <c r="B192" s="126">
        <v>33</v>
      </c>
      <c r="C192" s="126">
        <v>135</v>
      </c>
      <c r="D192" s="126">
        <v>70</v>
      </c>
      <c r="E192" s="126" t="s">
        <v>3446</v>
      </c>
      <c r="F192" s="252">
        <f t="shared" si="9"/>
        <v>0.253</v>
      </c>
    </row>
    <row r="193" spans="1:6" ht="18.75" hidden="1" thickBot="1">
      <c r="A193" s="126">
        <v>32</v>
      </c>
      <c r="B193" s="126">
        <v>36</v>
      </c>
      <c r="C193" s="126">
        <v>135</v>
      </c>
      <c r="D193" s="126">
        <v>70</v>
      </c>
      <c r="E193" s="126" t="s">
        <v>3387</v>
      </c>
      <c r="F193" s="252">
        <f t="shared" si="9"/>
        <v>0.27700000000000002</v>
      </c>
    </row>
    <row r="194" spans="1:6" ht="18.75" hidden="1" thickBot="1">
      <c r="A194" s="126">
        <v>32</v>
      </c>
      <c r="B194" s="126">
        <v>39</v>
      </c>
      <c r="C194" s="126">
        <v>135</v>
      </c>
      <c r="D194" s="126">
        <v>70</v>
      </c>
      <c r="E194" s="126" t="s">
        <v>3447</v>
      </c>
      <c r="F194" s="252">
        <f t="shared" si="9"/>
        <v>0.3</v>
      </c>
    </row>
    <row r="195" spans="1:6" ht="18.75" hidden="1" thickBot="1">
      <c r="A195" s="126">
        <v>32</v>
      </c>
      <c r="B195" s="126">
        <v>42</v>
      </c>
      <c r="C195" s="126">
        <v>135</v>
      </c>
      <c r="D195" s="126">
        <v>70</v>
      </c>
      <c r="E195" s="126" t="s">
        <v>3384</v>
      </c>
      <c r="F195" s="252">
        <f t="shared" si="9"/>
        <v>0.32300000000000001</v>
      </c>
    </row>
    <row r="196" spans="1:6" ht="18.75" hidden="1" thickBot="1">
      <c r="A196" s="126">
        <v>32</v>
      </c>
      <c r="B196" s="126">
        <v>45</v>
      </c>
      <c r="C196" s="126">
        <v>135</v>
      </c>
      <c r="D196" s="126">
        <v>70</v>
      </c>
      <c r="E196" s="126" t="s">
        <v>3448</v>
      </c>
      <c r="F196" s="252">
        <f t="shared" si="9"/>
        <v>0.34599999999999997</v>
      </c>
    </row>
    <row r="197" spans="1:6" ht="18.75" hidden="1" thickBot="1">
      <c r="A197" s="126">
        <v>32</v>
      </c>
      <c r="B197" s="126">
        <v>48</v>
      </c>
      <c r="C197" s="126">
        <v>135</v>
      </c>
      <c r="D197" s="126">
        <v>70</v>
      </c>
      <c r="E197" s="126" t="s">
        <v>3449</v>
      </c>
      <c r="F197" s="252">
        <f t="shared" si="9"/>
        <v>0.36899999999999999</v>
      </c>
    </row>
    <row r="198" spans="1:6" ht="18.75" hidden="1" thickBot="1">
      <c r="A198" s="126">
        <v>32</v>
      </c>
      <c r="B198" s="126">
        <v>51</v>
      </c>
      <c r="C198" s="126">
        <v>135</v>
      </c>
      <c r="D198" s="126">
        <v>70</v>
      </c>
      <c r="E198" s="126" t="s">
        <v>3450</v>
      </c>
      <c r="F198" s="252">
        <f t="shared" si="9"/>
        <v>0.39200000000000002</v>
      </c>
    </row>
    <row r="199" spans="1:6" ht="18.75" hidden="1" thickBot="1">
      <c r="A199" s="126">
        <v>32</v>
      </c>
      <c r="B199" s="126">
        <v>54</v>
      </c>
      <c r="C199" s="126">
        <v>135</v>
      </c>
      <c r="D199" s="126">
        <v>70</v>
      </c>
      <c r="E199" s="126" t="s">
        <v>3382</v>
      </c>
      <c r="F199" s="252">
        <f t="shared" si="9"/>
        <v>0.41499999999999998</v>
      </c>
    </row>
    <row r="200" spans="1:6" ht="18.75" hidden="1" thickBot="1">
      <c r="A200" s="126">
        <v>32</v>
      </c>
      <c r="B200" s="126">
        <v>57</v>
      </c>
      <c r="C200" s="126">
        <v>135</v>
      </c>
      <c r="D200" s="126">
        <v>70</v>
      </c>
      <c r="E200" s="126" t="s">
        <v>3451</v>
      </c>
      <c r="F200" s="252">
        <f t="shared" si="9"/>
        <v>0.438</v>
      </c>
    </row>
    <row r="201" spans="1:6" ht="18.75" hidden="1" thickBot="1">
      <c r="A201" s="126">
        <v>32</v>
      </c>
      <c r="B201" s="126">
        <v>60</v>
      </c>
      <c r="C201" s="126">
        <v>135</v>
      </c>
      <c r="D201" s="126">
        <v>70</v>
      </c>
      <c r="E201" s="126" t="s">
        <v>3385</v>
      </c>
      <c r="F201" s="252">
        <f t="shared" si="9"/>
        <v>0.46100000000000002</v>
      </c>
    </row>
    <row r="202" spans="1:6" ht="18.75" hidden="1" thickBot="1">
      <c r="A202" s="126">
        <v>32</v>
      </c>
      <c r="B202" s="126">
        <v>63</v>
      </c>
      <c r="C202" s="126">
        <v>135</v>
      </c>
      <c r="D202" s="126">
        <v>70</v>
      </c>
      <c r="E202" s="126" t="s">
        <v>3452</v>
      </c>
      <c r="F202" s="252">
        <f t="shared" si="9"/>
        <v>0.48399999999999999</v>
      </c>
    </row>
    <row r="203" spans="1:6" ht="18.75" hidden="1" thickBot="1">
      <c r="A203" s="126">
        <v>32</v>
      </c>
      <c r="B203" s="126">
        <v>66</v>
      </c>
      <c r="C203" s="126">
        <v>135</v>
      </c>
      <c r="D203" s="126">
        <v>70</v>
      </c>
      <c r="E203" s="126" t="s">
        <v>3383</v>
      </c>
      <c r="F203" s="252">
        <f t="shared" si="9"/>
        <v>0.50700000000000001</v>
      </c>
    </row>
    <row r="204" spans="1:6" ht="18.75" hidden="1" thickBot="1">
      <c r="A204" s="126">
        <v>32</v>
      </c>
      <c r="B204" s="126">
        <v>9</v>
      </c>
      <c r="C204" s="126">
        <v>135</v>
      </c>
      <c r="D204" s="126">
        <v>70</v>
      </c>
      <c r="E204" s="126" t="s">
        <v>3453</v>
      </c>
      <c r="F204" s="252">
        <f t="shared" si="9"/>
        <v>6.9000000000000006E-2</v>
      </c>
    </row>
    <row r="205" spans="1:6" ht="18.75" hidden="1" thickBot="1">
      <c r="A205" s="126">
        <v>32</v>
      </c>
      <c r="B205" s="167">
        <v>12</v>
      </c>
      <c r="C205" s="167">
        <v>135</v>
      </c>
      <c r="D205" s="167">
        <v>70</v>
      </c>
      <c r="E205" s="167" t="s">
        <v>3454</v>
      </c>
      <c r="F205" s="262">
        <f t="shared" si="9"/>
        <v>9.1999999999999998E-2</v>
      </c>
    </row>
    <row r="206" spans="1:6" ht="18.75" hidden="1" thickBot="1">
      <c r="A206" s="126">
        <v>32</v>
      </c>
      <c r="B206" s="171">
        <v>24</v>
      </c>
      <c r="C206" s="171">
        <v>155</v>
      </c>
      <c r="D206" s="171">
        <v>70</v>
      </c>
      <c r="E206" s="172" t="s">
        <v>3455</v>
      </c>
      <c r="F206" s="263">
        <f t="shared" si="9"/>
        <v>0.21199999999999999</v>
      </c>
    </row>
    <row r="207" spans="1:6" ht="18.75" hidden="1" thickBot="1">
      <c r="A207" s="126">
        <v>32</v>
      </c>
      <c r="B207" s="130">
        <v>27</v>
      </c>
      <c r="C207" s="130">
        <v>155</v>
      </c>
      <c r="D207" s="130">
        <v>70</v>
      </c>
      <c r="E207" s="204" t="s">
        <v>3456</v>
      </c>
      <c r="F207" s="253">
        <f t="shared" ref="F207:F223" si="10">ROUND(A207*B207*0.0254*C207/1000*D207/1000,3)</f>
        <v>0.23799999999999999</v>
      </c>
    </row>
    <row r="208" spans="1:6" ht="18.75" hidden="1" thickBot="1">
      <c r="A208" s="126">
        <v>32</v>
      </c>
      <c r="B208" s="130">
        <v>30</v>
      </c>
      <c r="C208" s="130">
        <v>155</v>
      </c>
      <c r="D208" s="130">
        <v>70</v>
      </c>
      <c r="E208" s="204" t="s">
        <v>3380</v>
      </c>
      <c r="F208" s="253">
        <f t="shared" si="10"/>
        <v>0.26500000000000001</v>
      </c>
    </row>
    <row r="209" spans="1:6" ht="18.75" hidden="1" thickBot="1">
      <c r="A209" s="126">
        <v>32</v>
      </c>
      <c r="B209" s="130">
        <v>33</v>
      </c>
      <c r="C209" s="130">
        <v>155</v>
      </c>
      <c r="D209" s="130">
        <v>70</v>
      </c>
      <c r="E209" s="204" t="s">
        <v>3457</v>
      </c>
      <c r="F209" s="253">
        <f t="shared" si="10"/>
        <v>0.29099999999999998</v>
      </c>
    </row>
    <row r="210" spans="1:6" ht="18.75" hidden="1" thickBot="1">
      <c r="A210" s="126">
        <v>32</v>
      </c>
      <c r="B210" s="130">
        <v>36</v>
      </c>
      <c r="C210" s="130">
        <v>155</v>
      </c>
      <c r="D210" s="130">
        <v>70</v>
      </c>
      <c r="E210" s="204" t="s">
        <v>3458</v>
      </c>
      <c r="F210" s="253">
        <f t="shared" si="10"/>
        <v>0.317</v>
      </c>
    </row>
    <row r="211" spans="1:6" ht="18.75" hidden="1" thickBot="1">
      <c r="A211" s="126">
        <v>32</v>
      </c>
      <c r="B211" s="130">
        <v>39</v>
      </c>
      <c r="C211" s="130">
        <v>155</v>
      </c>
      <c r="D211" s="130">
        <v>70</v>
      </c>
      <c r="E211" s="204" t="s">
        <v>3459</v>
      </c>
      <c r="F211" s="253">
        <f t="shared" si="10"/>
        <v>0.34399999999999997</v>
      </c>
    </row>
    <row r="212" spans="1:6" ht="18.75" hidden="1" thickBot="1">
      <c r="A212" s="126">
        <v>32</v>
      </c>
      <c r="B212" s="130">
        <v>42</v>
      </c>
      <c r="C212" s="130">
        <v>155</v>
      </c>
      <c r="D212" s="130">
        <v>70</v>
      </c>
      <c r="E212" s="204" t="s">
        <v>3389</v>
      </c>
      <c r="F212" s="253">
        <f t="shared" si="10"/>
        <v>0.37</v>
      </c>
    </row>
    <row r="213" spans="1:6" ht="18.75" hidden="1" thickBot="1">
      <c r="A213" s="126">
        <v>32</v>
      </c>
      <c r="B213" s="130">
        <v>45</v>
      </c>
      <c r="C213" s="130">
        <v>155</v>
      </c>
      <c r="D213" s="130">
        <v>70</v>
      </c>
      <c r="E213" s="204" t="s">
        <v>3460</v>
      </c>
      <c r="F213" s="253">
        <f t="shared" si="10"/>
        <v>0.39700000000000002</v>
      </c>
    </row>
    <row r="214" spans="1:6" ht="18.75" hidden="1" thickBot="1">
      <c r="A214" s="126">
        <v>32</v>
      </c>
      <c r="B214" s="130">
        <v>48</v>
      </c>
      <c r="C214" s="130">
        <v>155</v>
      </c>
      <c r="D214" s="130">
        <v>70</v>
      </c>
      <c r="E214" s="204" t="s">
        <v>3461</v>
      </c>
      <c r="F214" s="253">
        <f t="shared" si="10"/>
        <v>0.42299999999999999</v>
      </c>
    </row>
    <row r="215" spans="1:6" ht="18.75" hidden="1" thickBot="1">
      <c r="A215" s="126">
        <v>32</v>
      </c>
      <c r="B215" s="130">
        <v>51</v>
      </c>
      <c r="C215" s="130">
        <v>155</v>
      </c>
      <c r="D215" s="130">
        <v>70</v>
      </c>
      <c r="E215" s="204" t="s">
        <v>3462</v>
      </c>
      <c r="F215" s="253">
        <f t="shared" si="10"/>
        <v>0.45</v>
      </c>
    </row>
    <row r="216" spans="1:6" ht="18.75" hidden="1" thickBot="1">
      <c r="A216" s="126">
        <v>32</v>
      </c>
      <c r="B216" s="130">
        <v>54</v>
      </c>
      <c r="C216" s="130">
        <v>155</v>
      </c>
      <c r="D216" s="130">
        <v>70</v>
      </c>
      <c r="E216" s="204" t="s">
        <v>3379</v>
      </c>
      <c r="F216" s="253">
        <f t="shared" si="10"/>
        <v>0.47599999999999998</v>
      </c>
    </row>
    <row r="217" spans="1:6" ht="18.75" hidden="1" thickBot="1">
      <c r="A217" s="126">
        <v>32</v>
      </c>
      <c r="B217" s="130">
        <v>57</v>
      </c>
      <c r="C217" s="130">
        <v>155</v>
      </c>
      <c r="D217" s="130">
        <v>70</v>
      </c>
      <c r="E217" s="204" t="s">
        <v>3463</v>
      </c>
      <c r="F217" s="253">
        <f t="shared" si="10"/>
        <v>0.503</v>
      </c>
    </row>
    <row r="218" spans="1:6" ht="18.75" hidden="1" thickBot="1">
      <c r="A218" s="126">
        <v>32</v>
      </c>
      <c r="B218" s="130">
        <v>60</v>
      </c>
      <c r="C218" s="130">
        <v>155</v>
      </c>
      <c r="D218" s="130">
        <v>70</v>
      </c>
      <c r="E218" s="204" t="s">
        <v>3381</v>
      </c>
      <c r="F218" s="253">
        <f t="shared" si="10"/>
        <v>0.52900000000000003</v>
      </c>
    </row>
    <row r="219" spans="1:6" ht="18.75" hidden="1" thickBot="1">
      <c r="A219" s="126">
        <v>32</v>
      </c>
      <c r="B219" s="193">
        <v>63</v>
      </c>
      <c r="C219" s="193">
        <v>155</v>
      </c>
      <c r="D219" s="193">
        <v>70</v>
      </c>
      <c r="E219" s="204" t="s">
        <v>3464</v>
      </c>
      <c r="F219" s="270">
        <f t="shared" si="10"/>
        <v>0.55600000000000005</v>
      </c>
    </row>
    <row r="220" spans="1:6" ht="18.75" hidden="1" thickBot="1">
      <c r="A220" s="126">
        <v>32</v>
      </c>
      <c r="B220" s="130">
        <v>66</v>
      </c>
      <c r="C220" s="130">
        <v>155</v>
      </c>
      <c r="D220" s="130">
        <v>70</v>
      </c>
      <c r="E220" s="204" t="s">
        <v>3378</v>
      </c>
      <c r="F220" s="253">
        <f t="shared" si="10"/>
        <v>0.58199999999999996</v>
      </c>
    </row>
    <row r="221" spans="1:6" ht="18.75" hidden="1" thickBot="1">
      <c r="A221" s="126">
        <v>32</v>
      </c>
      <c r="B221" s="130">
        <v>9</v>
      </c>
      <c r="C221" s="130">
        <v>155</v>
      </c>
      <c r="D221" s="130">
        <v>70</v>
      </c>
      <c r="E221" s="204" t="s">
        <v>3465</v>
      </c>
      <c r="F221" s="253">
        <f t="shared" si="10"/>
        <v>7.9000000000000001E-2</v>
      </c>
    </row>
    <row r="222" spans="1:6" ht="18.75" hidden="1" thickBot="1">
      <c r="A222" s="126">
        <v>32</v>
      </c>
      <c r="B222" s="175">
        <v>12</v>
      </c>
      <c r="C222" s="175">
        <v>155</v>
      </c>
      <c r="D222" s="175">
        <v>70</v>
      </c>
      <c r="E222" s="206" t="s">
        <v>3466</v>
      </c>
      <c r="F222" s="264">
        <f t="shared" si="10"/>
        <v>0.106</v>
      </c>
    </row>
    <row r="223" spans="1:6" ht="18.75" hidden="1" thickBot="1">
      <c r="A223" s="126">
        <v>32</v>
      </c>
      <c r="B223" s="179">
        <v>24</v>
      </c>
      <c r="C223" s="179">
        <v>175</v>
      </c>
      <c r="D223" s="179">
        <v>70</v>
      </c>
      <c r="E223" s="179" t="s">
        <v>3467</v>
      </c>
      <c r="F223" s="265">
        <f t="shared" si="10"/>
        <v>0.23899999999999999</v>
      </c>
    </row>
    <row r="224" spans="1:6" ht="18.75" hidden="1" thickBot="1">
      <c r="A224" s="126">
        <v>32</v>
      </c>
      <c r="B224" s="134">
        <v>27</v>
      </c>
      <c r="C224" s="134">
        <v>175</v>
      </c>
      <c r="D224" s="134">
        <v>70</v>
      </c>
      <c r="E224" s="134" t="s">
        <v>3468</v>
      </c>
      <c r="F224" s="254">
        <f t="shared" ref="F224:F240" si="11">ROUND(A224*B224*0.0254*C224/1000*D224/1000,3)</f>
        <v>0.26900000000000002</v>
      </c>
    </row>
    <row r="225" spans="1:6" ht="18.75" hidden="1" thickBot="1">
      <c r="A225" s="126">
        <v>32</v>
      </c>
      <c r="B225" s="134">
        <v>30</v>
      </c>
      <c r="C225" s="134">
        <v>175</v>
      </c>
      <c r="D225" s="134">
        <v>70</v>
      </c>
      <c r="E225" s="134" t="s">
        <v>3469</v>
      </c>
      <c r="F225" s="254">
        <f t="shared" si="11"/>
        <v>0.29899999999999999</v>
      </c>
    </row>
    <row r="226" spans="1:6" ht="18.75" hidden="1" thickBot="1">
      <c r="A226" s="126">
        <v>32</v>
      </c>
      <c r="B226" s="134">
        <v>33</v>
      </c>
      <c r="C226" s="134">
        <v>175</v>
      </c>
      <c r="D226" s="134">
        <v>70</v>
      </c>
      <c r="E226" s="134" t="s">
        <v>3470</v>
      </c>
      <c r="F226" s="254">
        <f t="shared" si="11"/>
        <v>0.32900000000000001</v>
      </c>
    </row>
    <row r="227" spans="1:6" ht="18.75" hidden="1" thickBot="1">
      <c r="A227" s="126">
        <v>32</v>
      </c>
      <c r="B227" s="134">
        <v>36</v>
      </c>
      <c r="C227" s="134">
        <v>175</v>
      </c>
      <c r="D227" s="134">
        <v>70</v>
      </c>
      <c r="E227" s="134" t="s">
        <v>3471</v>
      </c>
      <c r="F227" s="254">
        <f t="shared" si="11"/>
        <v>0.35799999999999998</v>
      </c>
    </row>
    <row r="228" spans="1:6" ht="18.75" hidden="1" thickBot="1">
      <c r="A228" s="126">
        <v>32</v>
      </c>
      <c r="B228" s="134">
        <v>39</v>
      </c>
      <c r="C228" s="134">
        <v>175</v>
      </c>
      <c r="D228" s="134">
        <v>70</v>
      </c>
      <c r="E228" s="134" t="s">
        <v>3472</v>
      </c>
      <c r="F228" s="254">
        <f t="shared" si="11"/>
        <v>0.38800000000000001</v>
      </c>
    </row>
    <row r="229" spans="1:6" ht="18.75" hidden="1" thickBot="1">
      <c r="A229" s="126">
        <v>32</v>
      </c>
      <c r="B229" s="134">
        <v>42</v>
      </c>
      <c r="C229" s="134">
        <v>175</v>
      </c>
      <c r="D229" s="134">
        <v>70</v>
      </c>
      <c r="E229" s="134" t="s">
        <v>3393</v>
      </c>
      <c r="F229" s="254">
        <f t="shared" si="11"/>
        <v>0.41799999999999998</v>
      </c>
    </row>
    <row r="230" spans="1:6" ht="18.75" hidden="1" thickBot="1">
      <c r="A230" s="126">
        <v>32</v>
      </c>
      <c r="B230" s="134">
        <v>45</v>
      </c>
      <c r="C230" s="134">
        <v>175</v>
      </c>
      <c r="D230" s="134">
        <v>70</v>
      </c>
      <c r="E230" s="134" t="s">
        <v>3473</v>
      </c>
      <c r="F230" s="254">
        <f t="shared" si="11"/>
        <v>0.44800000000000001</v>
      </c>
    </row>
    <row r="231" spans="1:6" ht="18.75" hidden="1" thickBot="1">
      <c r="A231" s="126">
        <v>32</v>
      </c>
      <c r="B231" s="134">
        <v>48</v>
      </c>
      <c r="C231" s="134">
        <v>175</v>
      </c>
      <c r="D231" s="134">
        <v>70</v>
      </c>
      <c r="E231" s="134" t="s">
        <v>3474</v>
      </c>
      <c r="F231" s="254">
        <f t="shared" si="11"/>
        <v>0.47799999999999998</v>
      </c>
    </row>
    <row r="232" spans="1:6" ht="18.75" hidden="1" thickBot="1">
      <c r="A232" s="126">
        <v>32</v>
      </c>
      <c r="B232" s="134">
        <v>51</v>
      </c>
      <c r="C232" s="134">
        <v>175</v>
      </c>
      <c r="D232" s="134">
        <v>70</v>
      </c>
      <c r="E232" s="134" t="s">
        <v>3475</v>
      </c>
      <c r="F232" s="254">
        <f t="shared" si="11"/>
        <v>0.50800000000000001</v>
      </c>
    </row>
    <row r="233" spans="1:6" ht="18.75" hidden="1" thickBot="1">
      <c r="A233" s="126">
        <v>32</v>
      </c>
      <c r="B233" s="134">
        <v>54</v>
      </c>
      <c r="C233" s="134">
        <v>175</v>
      </c>
      <c r="D233" s="134">
        <v>70</v>
      </c>
      <c r="E233" s="134" t="s">
        <v>3476</v>
      </c>
      <c r="F233" s="254">
        <f t="shared" si="11"/>
        <v>0.53800000000000003</v>
      </c>
    </row>
    <row r="234" spans="1:6" ht="18.75" hidden="1" thickBot="1">
      <c r="A234" s="126">
        <v>32</v>
      </c>
      <c r="B234" s="134">
        <v>57</v>
      </c>
      <c r="C234" s="134">
        <v>175</v>
      </c>
      <c r="D234" s="134">
        <v>70</v>
      </c>
      <c r="E234" s="134" t="s">
        <v>3477</v>
      </c>
      <c r="F234" s="254">
        <f t="shared" si="11"/>
        <v>0.56799999999999995</v>
      </c>
    </row>
    <row r="235" spans="1:6" ht="18.75" hidden="1" thickBot="1">
      <c r="A235" s="126">
        <v>32</v>
      </c>
      <c r="B235" s="134">
        <v>60</v>
      </c>
      <c r="C235" s="134">
        <v>175</v>
      </c>
      <c r="D235" s="134">
        <v>70</v>
      </c>
      <c r="E235" s="134" t="s">
        <v>3478</v>
      </c>
      <c r="F235" s="254">
        <f t="shared" si="11"/>
        <v>0.59699999999999998</v>
      </c>
    </row>
    <row r="236" spans="1:6" ht="18.75" hidden="1" thickBot="1">
      <c r="A236" s="126">
        <v>32</v>
      </c>
      <c r="B236" s="134">
        <v>63</v>
      </c>
      <c r="C236" s="134">
        <v>175</v>
      </c>
      <c r="D236" s="134">
        <v>70</v>
      </c>
      <c r="E236" s="134" t="s">
        <v>3479</v>
      </c>
      <c r="F236" s="254">
        <f t="shared" si="11"/>
        <v>0.627</v>
      </c>
    </row>
    <row r="237" spans="1:6" ht="18.75" hidden="1" thickBot="1">
      <c r="A237" s="126">
        <v>32</v>
      </c>
      <c r="B237" s="134">
        <v>66</v>
      </c>
      <c r="C237" s="134">
        <v>175</v>
      </c>
      <c r="D237" s="134">
        <v>70</v>
      </c>
      <c r="E237" s="134" t="s">
        <v>3394</v>
      </c>
      <c r="F237" s="254">
        <f t="shared" si="11"/>
        <v>0.65700000000000003</v>
      </c>
    </row>
    <row r="238" spans="1:6" ht="18.75" hidden="1" thickBot="1">
      <c r="A238" s="126">
        <v>32</v>
      </c>
      <c r="B238" s="134">
        <v>7</v>
      </c>
      <c r="C238" s="134">
        <v>175</v>
      </c>
      <c r="D238" s="134">
        <v>70</v>
      </c>
      <c r="E238" s="134" t="s">
        <v>3480</v>
      </c>
      <c r="F238" s="254">
        <f t="shared" si="11"/>
        <v>7.0000000000000007E-2</v>
      </c>
    </row>
    <row r="239" spans="1:6" ht="18.75" hidden="1" thickBot="1">
      <c r="A239" s="126">
        <v>32</v>
      </c>
      <c r="B239" s="183">
        <v>12</v>
      </c>
      <c r="C239" s="183">
        <v>175</v>
      </c>
      <c r="D239" s="183">
        <v>70</v>
      </c>
      <c r="E239" s="183" t="s">
        <v>3481</v>
      </c>
      <c r="F239" s="266">
        <f t="shared" si="11"/>
        <v>0.11899999999999999</v>
      </c>
    </row>
    <row r="240" spans="1:6" ht="18.75" hidden="1" thickBot="1">
      <c r="A240" s="126">
        <v>32</v>
      </c>
      <c r="B240" s="163">
        <v>24</v>
      </c>
      <c r="C240" s="163">
        <v>205</v>
      </c>
      <c r="D240" s="163">
        <v>70</v>
      </c>
      <c r="E240" s="163" t="s">
        <v>3482</v>
      </c>
      <c r="F240" s="261">
        <f t="shared" si="11"/>
        <v>0.28000000000000003</v>
      </c>
    </row>
    <row r="241" spans="1:6" ht="18.75" hidden="1" thickBot="1">
      <c r="A241" s="126">
        <v>32</v>
      </c>
      <c r="B241" s="126">
        <v>27</v>
      </c>
      <c r="C241" s="126">
        <v>205</v>
      </c>
      <c r="D241" s="126">
        <v>70</v>
      </c>
      <c r="E241" s="126" t="s">
        <v>3483</v>
      </c>
      <c r="F241" s="252">
        <f t="shared" ref="F241:F257" si="12">ROUND(A241*B241*0.0254*C241/1000*D241/1000,3)</f>
        <v>0.315</v>
      </c>
    </row>
    <row r="242" spans="1:6" ht="18.75" hidden="1" thickBot="1">
      <c r="A242" s="126">
        <v>32</v>
      </c>
      <c r="B242" s="126">
        <v>30</v>
      </c>
      <c r="C242" s="126">
        <v>205</v>
      </c>
      <c r="D242" s="126">
        <v>70</v>
      </c>
      <c r="E242" s="126" t="s">
        <v>3484</v>
      </c>
      <c r="F242" s="252">
        <f t="shared" si="12"/>
        <v>0.35</v>
      </c>
    </row>
    <row r="243" spans="1:6" ht="18.75" hidden="1" thickBot="1">
      <c r="A243" s="126">
        <v>32</v>
      </c>
      <c r="B243" s="126">
        <v>33</v>
      </c>
      <c r="C243" s="126">
        <v>205</v>
      </c>
      <c r="D243" s="126">
        <v>70</v>
      </c>
      <c r="E243" s="126" t="s">
        <v>3485</v>
      </c>
      <c r="F243" s="252">
        <f t="shared" si="12"/>
        <v>0.38500000000000001</v>
      </c>
    </row>
    <row r="244" spans="1:6" ht="18.75" hidden="1" thickBot="1">
      <c r="A244" s="126">
        <v>32</v>
      </c>
      <c r="B244" s="126">
        <v>36</v>
      </c>
      <c r="C244" s="126">
        <v>205</v>
      </c>
      <c r="D244" s="126">
        <v>70</v>
      </c>
      <c r="E244" s="126" t="s">
        <v>3486</v>
      </c>
      <c r="F244" s="252">
        <f t="shared" si="12"/>
        <v>0.42</v>
      </c>
    </row>
    <row r="245" spans="1:6" ht="18.75" hidden="1" thickBot="1">
      <c r="A245" s="126">
        <v>32</v>
      </c>
      <c r="B245" s="126">
        <v>39</v>
      </c>
      <c r="C245" s="126">
        <v>205</v>
      </c>
      <c r="D245" s="126">
        <v>70</v>
      </c>
      <c r="E245" s="126" t="s">
        <v>3487</v>
      </c>
      <c r="F245" s="252">
        <f t="shared" si="12"/>
        <v>0.45500000000000002</v>
      </c>
    </row>
    <row r="246" spans="1:6" ht="18.75" hidden="1" thickBot="1">
      <c r="A246" s="126">
        <v>32</v>
      </c>
      <c r="B246" s="126">
        <v>42</v>
      </c>
      <c r="C246" s="126">
        <v>205</v>
      </c>
      <c r="D246" s="126">
        <v>70</v>
      </c>
      <c r="E246" s="126" t="s">
        <v>3488</v>
      </c>
      <c r="F246" s="252">
        <f t="shared" si="12"/>
        <v>0.49</v>
      </c>
    </row>
    <row r="247" spans="1:6" ht="18.75" hidden="1" thickBot="1">
      <c r="A247" s="126">
        <v>32</v>
      </c>
      <c r="B247" s="126">
        <v>45</v>
      </c>
      <c r="C247" s="126">
        <v>205</v>
      </c>
      <c r="D247" s="126">
        <v>70</v>
      </c>
      <c r="E247" s="126" t="s">
        <v>3489</v>
      </c>
      <c r="F247" s="252">
        <f t="shared" si="12"/>
        <v>0.52500000000000002</v>
      </c>
    </row>
    <row r="248" spans="1:6" ht="18.75" hidden="1" thickBot="1">
      <c r="A248" s="126">
        <v>32</v>
      </c>
      <c r="B248" s="126">
        <v>48</v>
      </c>
      <c r="C248" s="126">
        <v>205</v>
      </c>
      <c r="D248" s="126">
        <v>70</v>
      </c>
      <c r="E248" s="126" t="s">
        <v>3490</v>
      </c>
      <c r="F248" s="252">
        <f t="shared" si="12"/>
        <v>0.56000000000000005</v>
      </c>
    </row>
    <row r="249" spans="1:6" ht="18.75" hidden="1" thickBot="1">
      <c r="A249" s="126">
        <v>32</v>
      </c>
      <c r="B249" s="126">
        <v>51</v>
      </c>
      <c r="C249" s="126">
        <v>205</v>
      </c>
      <c r="D249" s="126">
        <v>70</v>
      </c>
      <c r="E249" s="126" t="s">
        <v>3491</v>
      </c>
      <c r="F249" s="252">
        <f t="shared" si="12"/>
        <v>0.59499999999999997</v>
      </c>
    </row>
    <row r="250" spans="1:6" ht="18.75" hidden="1" thickBot="1">
      <c r="A250" s="126">
        <v>32</v>
      </c>
      <c r="B250" s="126">
        <v>54</v>
      </c>
      <c r="C250" s="126">
        <v>205</v>
      </c>
      <c r="D250" s="126">
        <v>70</v>
      </c>
      <c r="E250" s="126" t="s">
        <v>3492</v>
      </c>
      <c r="F250" s="252">
        <f t="shared" si="12"/>
        <v>0.63</v>
      </c>
    </row>
    <row r="251" spans="1:6" ht="18.75" hidden="1" thickBot="1">
      <c r="A251" s="126">
        <v>32</v>
      </c>
      <c r="B251" s="126">
        <v>57</v>
      </c>
      <c r="C251" s="126">
        <v>205</v>
      </c>
      <c r="D251" s="126">
        <v>70</v>
      </c>
      <c r="E251" s="126" t="s">
        <v>3493</v>
      </c>
      <c r="F251" s="252">
        <f t="shared" si="12"/>
        <v>0.66500000000000004</v>
      </c>
    </row>
    <row r="252" spans="1:6" ht="18.75" hidden="1" thickBot="1">
      <c r="A252" s="126">
        <v>32</v>
      </c>
      <c r="B252" s="126">
        <v>60</v>
      </c>
      <c r="C252" s="126">
        <v>205</v>
      </c>
      <c r="D252" s="126">
        <v>70</v>
      </c>
      <c r="E252" s="126" t="s">
        <v>3494</v>
      </c>
      <c r="F252" s="252">
        <f t="shared" si="12"/>
        <v>0.7</v>
      </c>
    </row>
    <row r="253" spans="1:6" ht="18.75" hidden="1" thickBot="1">
      <c r="A253" s="126">
        <v>32</v>
      </c>
      <c r="B253" s="126">
        <v>63</v>
      </c>
      <c r="C253" s="126">
        <v>205</v>
      </c>
      <c r="D253" s="126">
        <v>70</v>
      </c>
      <c r="E253" s="126" t="s">
        <v>3495</v>
      </c>
      <c r="F253" s="252">
        <f t="shared" si="12"/>
        <v>0.73499999999999999</v>
      </c>
    </row>
    <row r="254" spans="1:6" ht="18.75" hidden="1" thickBot="1">
      <c r="A254" s="126">
        <v>32</v>
      </c>
      <c r="B254" s="126">
        <v>66</v>
      </c>
      <c r="C254" s="126">
        <v>205</v>
      </c>
      <c r="D254" s="126">
        <v>70</v>
      </c>
      <c r="E254" s="126" t="s">
        <v>3496</v>
      </c>
      <c r="F254" s="252">
        <f t="shared" si="12"/>
        <v>0.77</v>
      </c>
    </row>
    <row r="255" spans="1:6" ht="18.75" hidden="1" thickBot="1">
      <c r="A255" s="126">
        <v>32</v>
      </c>
      <c r="B255" s="126">
        <v>9</v>
      </c>
      <c r="C255" s="126">
        <v>205</v>
      </c>
      <c r="D255" s="126">
        <v>70</v>
      </c>
      <c r="E255" s="126" t="s">
        <v>3497</v>
      </c>
      <c r="F255" s="252">
        <f t="shared" si="12"/>
        <v>0.105</v>
      </c>
    </row>
    <row r="256" spans="1:6" ht="18.75" hidden="1" thickBot="1">
      <c r="A256" s="126">
        <v>32</v>
      </c>
      <c r="B256" s="167">
        <v>12</v>
      </c>
      <c r="C256" s="167">
        <v>205</v>
      </c>
      <c r="D256" s="167">
        <v>70</v>
      </c>
      <c r="E256" s="167" t="s">
        <v>3498</v>
      </c>
      <c r="F256" s="262">
        <f t="shared" si="12"/>
        <v>0.14000000000000001</v>
      </c>
    </row>
    <row r="257" spans="1:6" ht="18.75" hidden="1" thickBot="1">
      <c r="A257" s="126">
        <v>32</v>
      </c>
      <c r="B257" s="154">
        <v>24</v>
      </c>
      <c r="C257" s="154">
        <v>115</v>
      </c>
      <c r="D257" s="154">
        <v>72</v>
      </c>
      <c r="E257" s="163" t="s">
        <v>3878</v>
      </c>
      <c r="F257" s="259">
        <f t="shared" si="12"/>
        <v>0.16200000000000001</v>
      </c>
    </row>
    <row r="258" spans="1:6" ht="18.75" hidden="1" thickBot="1">
      <c r="A258" s="126">
        <v>32</v>
      </c>
      <c r="B258" s="123">
        <v>27</v>
      </c>
      <c r="C258" s="123">
        <v>115</v>
      </c>
      <c r="D258" s="123">
        <v>75</v>
      </c>
      <c r="E258" s="126" t="s">
        <v>3879</v>
      </c>
      <c r="F258" s="251">
        <f t="shared" ref="F258:F274" si="13">ROUND(A258*B258*0.0254*C258/1000*D258/1000,3)</f>
        <v>0.189</v>
      </c>
    </row>
    <row r="259" spans="1:6" ht="18.75" hidden="1" thickBot="1">
      <c r="A259" s="126">
        <v>32</v>
      </c>
      <c r="B259" s="123">
        <v>30</v>
      </c>
      <c r="C259" s="123">
        <v>115</v>
      </c>
      <c r="D259" s="123">
        <v>75</v>
      </c>
      <c r="E259" s="126" t="s">
        <v>3880</v>
      </c>
      <c r="F259" s="251">
        <f t="shared" si="13"/>
        <v>0.21</v>
      </c>
    </row>
    <row r="260" spans="1:6" ht="18.75" hidden="1" thickBot="1">
      <c r="A260" s="126">
        <v>32</v>
      </c>
      <c r="B260" s="123">
        <v>33</v>
      </c>
      <c r="C260" s="123">
        <v>115</v>
      </c>
      <c r="D260" s="123">
        <v>75</v>
      </c>
      <c r="E260" s="126" t="s">
        <v>3881</v>
      </c>
      <c r="F260" s="251">
        <f t="shared" si="13"/>
        <v>0.23100000000000001</v>
      </c>
    </row>
    <row r="261" spans="1:6" ht="18.75" hidden="1" thickBot="1">
      <c r="A261" s="126">
        <v>32</v>
      </c>
      <c r="B261" s="123">
        <v>36</v>
      </c>
      <c r="C261" s="123">
        <v>115</v>
      </c>
      <c r="D261" s="123">
        <v>75</v>
      </c>
      <c r="E261" s="126" t="s">
        <v>3882</v>
      </c>
      <c r="F261" s="251">
        <f t="shared" si="13"/>
        <v>0.252</v>
      </c>
    </row>
    <row r="262" spans="1:6" ht="18.75" hidden="1" thickBot="1">
      <c r="A262" s="126">
        <v>32</v>
      </c>
      <c r="B262" s="123">
        <v>39</v>
      </c>
      <c r="C262" s="123">
        <v>115</v>
      </c>
      <c r="D262" s="123">
        <v>75</v>
      </c>
      <c r="E262" s="126" t="s">
        <v>3883</v>
      </c>
      <c r="F262" s="251">
        <f t="shared" si="13"/>
        <v>0.27300000000000002</v>
      </c>
    </row>
    <row r="263" spans="1:6" ht="18.75" hidden="1" thickBot="1">
      <c r="A263" s="126">
        <v>32</v>
      </c>
      <c r="B263" s="123">
        <v>42</v>
      </c>
      <c r="C263" s="123">
        <v>115</v>
      </c>
      <c r="D263" s="123">
        <v>75</v>
      </c>
      <c r="E263" s="126" t="s">
        <v>3884</v>
      </c>
      <c r="F263" s="251">
        <f t="shared" si="13"/>
        <v>0.29399999999999998</v>
      </c>
    </row>
    <row r="264" spans="1:6" ht="18.75" hidden="1" thickBot="1">
      <c r="A264" s="126">
        <v>32</v>
      </c>
      <c r="B264" s="123">
        <v>45</v>
      </c>
      <c r="C264" s="123">
        <v>115</v>
      </c>
      <c r="D264" s="123">
        <v>75</v>
      </c>
      <c r="E264" s="126" t="s">
        <v>3885</v>
      </c>
      <c r="F264" s="251">
        <f t="shared" si="13"/>
        <v>0.315</v>
      </c>
    </row>
    <row r="265" spans="1:6" ht="18.75" hidden="1" thickBot="1">
      <c r="A265" s="126">
        <v>32</v>
      </c>
      <c r="B265" s="123">
        <v>48</v>
      </c>
      <c r="C265" s="123">
        <v>115</v>
      </c>
      <c r="D265" s="123">
        <v>75</v>
      </c>
      <c r="E265" s="126" t="s">
        <v>3886</v>
      </c>
      <c r="F265" s="251">
        <f t="shared" si="13"/>
        <v>0.33600000000000002</v>
      </c>
    </row>
    <row r="266" spans="1:6" ht="18.75" hidden="1" thickBot="1">
      <c r="A266" s="126">
        <v>32</v>
      </c>
      <c r="B266" s="123">
        <v>51</v>
      </c>
      <c r="C266" s="123">
        <v>115</v>
      </c>
      <c r="D266" s="123">
        <v>75</v>
      </c>
      <c r="E266" s="126" t="s">
        <v>3887</v>
      </c>
      <c r="F266" s="251">
        <f t="shared" si="13"/>
        <v>0.35799999999999998</v>
      </c>
    </row>
    <row r="267" spans="1:6" ht="18.75" hidden="1" thickBot="1">
      <c r="A267" s="126">
        <v>32</v>
      </c>
      <c r="B267" s="123">
        <v>54</v>
      </c>
      <c r="C267" s="123">
        <v>115</v>
      </c>
      <c r="D267" s="123">
        <v>75</v>
      </c>
      <c r="E267" s="126" t="s">
        <v>3888</v>
      </c>
      <c r="F267" s="251">
        <f t="shared" si="13"/>
        <v>0.379</v>
      </c>
    </row>
    <row r="268" spans="1:6" ht="18.75" hidden="1" thickBot="1">
      <c r="A268" s="126">
        <v>32</v>
      </c>
      <c r="B268" s="123">
        <v>57</v>
      </c>
      <c r="C268" s="123">
        <v>115</v>
      </c>
      <c r="D268" s="123">
        <v>75</v>
      </c>
      <c r="E268" s="126" t="s">
        <v>3889</v>
      </c>
      <c r="F268" s="251">
        <f t="shared" si="13"/>
        <v>0.4</v>
      </c>
    </row>
    <row r="269" spans="1:6" ht="18.75" hidden="1" thickBot="1">
      <c r="A269" s="126">
        <v>32</v>
      </c>
      <c r="B269" s="123">
        <v>60</v>
      </c>
      <c r="C269" s="123">
        <v>115</v>
      </c>
      <c r="D269" s="123">
        <v>75</v>
      </c>
      <c r="E269" s="126" t="s">
        <v>3890</v>
      </c>
      <c r="F269" s="251">
        <f t="shared" si="13"/>
        <v>0.42099999999999999</v>
      </c>
    </row>
    <row r="270" spans="1:6" ht="18.75" hidden="1" thickBot="1">
      <c r="A270" s="126">
        <v>32</v>
      </c>
      <c r="B270" s="190">
        <v>63</v>
      </c>
      <c r="C270" s="190">
        <v>115</v>
      </c>
      <c r="D270" s="190">
        <v>75</v>
      </c>
      <c r="E270" s="126" t="s">
        <v>3891</v>
      </c>
      <c r="F270" s="269">
        <f t="shared" si="13"/>
        <v>0.442</v>
      </c>
    </row>
    <row r="271" spans="1:6" ht="18.75" hidden="1" thickBot="1">
      <c r="A271" s="126">
        <v>32</v>
      </c>
      <c r="B271" s="123">
        <v>66</v>
      </c>
      <c r="C271" s="123">
        <v>115</v>
      </c>
      <c r="D271" s="123">
        <v>75</v>
      </c>
      <c r="E271" s="126" t="s">
        <v>3892</v>
      </c>
      <c r="F271" s="251">
        <f t="shared" si="13"/>
        <v>0.46300000000000002</v>
      </c>
    </row>
    <row r="272" spans="1:6" ht="18.75" hidden="1" thickBot="1">
      <c r="A272" s="126">
        <v>32</v>
      </c>
      <c r="B272" s="123">
        <v>9</v>
      </c>
      <c r="C272" s="123">
        <v>115</v>
      </c>
      <c r="D272" s="123">
        <v>75</v>
      </c>
      <c r="E272" s="126" t="s">
        <v>3893</v>
      </c>
      <c r="F272" s="251">
        <f t="shared" si="13"/>
        <v>6.3E-2</v>
      </c>
    </row>
    <row r="273" spans="1:6" ht="18.75" hidden="1" thickBot="1">
      <c r="A273" s="126">
        <v>32</v>
      </c>
      <c r="B273" s="159">
        <v>12</v>
      </c>
      <c r="C273" s="159">
        <v>115</v>
      </c>
      <c r="D273" s="159">
        <v>75</v>
      </c>
      <c r="E273" s="167" t="s">
        <v>3894</v>
      </c>
      <c r="F273" s="260">
        <f t="shared" si="13"/>
        <v>8.4000000000000005E-2</v>
      </c>
    </row>
    <row r="274" spans="1:6" ht="18">
      <c r="A274" s="126">
        <v>32</v>
      </c>
      <c r="B274" s="163">
        <v>24</v>
      </c>
      <c r="C274" s="163">
        <v>155</v>
      </c>
      <c r="D274" s="163">
        <v>75</v>
      </c>
      <c r="E274" s="163" t="s">
        <v>3895</v>
      </c>
      <c r="F274" s="261">
        <f t="shared" si="13"/>
        <v>0.22700000000000001</v>
      </c>
    </row>
    <row r="275" spans="1:6" ht="18">
      <c r="A275" s="126">
        <v>32</v>
      </c>
      <c r="B275" s="126">
        <v>27</v>
      </c>
      <c r="C275" s="126">
        <v>155</v>
      </c>
      <c r="D275" s="126">
        <v>75</v>
      </c>
      <c r="E275" s="126" t="s">
        <v>3896</v>
      </c>
      <c r="F275" s="252">
        <f t="shared" ref="F275:F338" si="14">ROUND(A275*B275*0.0254*C275/1000*D275/1000,3)</f>
        <v>0.255</v>
      </c>
    </row>
    <row r="276" spans="1:6" ht="18">
      <c r="A276" s="126">
        <v>32</v>
      </c>
      <c r="B276" s="126">
        <v>30</v>
      </c>
      <c r="C276" s="126">
        <v>155</v>
      </c>
      <c r="D276" s="126">
        <v>75</v>
      </c>
      <c r="E276" s="126" t="s">
        <v>3897</v>
      </c>
      <c r="F276" s="252">
        <f t="shared" si="14"/>
        <v>0.28299999999999997</v>
      </c>
    </row>
    <row r="277" spans="1:6" ht="18">
      <c r="A277" s="126">
        <v>32</v>
      </c>
      <c r="B277" s="126">
        <v>33</v>
      </c>
      <c r="C277" s="126">
        <v>155</v>
      </c>
      <c r="D277" s="126">
        <v>75</v>
      </c>
      <c r="E277" s="126" t="s">
        <v>3898</v>
      </c>
      <c r="F277" s="252">
        <f t="shared" si="14"/>
        <v>0.312</v>
      </c>
    </row>
    <row r="278" spans="1:6" ht="18">
      <c r="A278" s="126">
        <v>32</v>
      </c>
      <c r="B278" s="126">
        <v>36</v>
      </c>
      <c r="C278" s="126">
        <v>155</v>
      </c>
      <c r="D278" s="126">
        <v>75</v>
      </c>
      <c r="E278" s="126" t="s">
        <v>3899</v>
      </c>
      <c r="F278" s="252">
        <f t="shared" si="14"/>
        <v>0.34</v>
      </c>
    </row>
    <row r="279" spans="1:6" ht="18">
      <c r="A279" s="126">
        <v>32</v>
      </c>
      <c r="B279" s="126">
        <v>39</v>
      </c>
      <c r="C279" s="126">
        <v>155</v>
      </c>
      <c r="D279" s="126">
        <v>75</v>
      </c>
      <c r="E279" s="126" t="s">
        <v>3900</v>
      </c>
      <c r="F279" s="252">
        <f t="shared" si="14"/>
        <v>0.36899999999999999</v>
      </c>
    </row>
    <row r="280" spans="1:6" ht="18">
      <c r="A280" s="126">
        <v>32</v>
      </c>
      <c r="B280" s="126">
        <v>42</v>
      </c>
      <c r="C280" s="126">
        <v>155</v>
      </c>
      <c r="D280" s="126">
        <v>75</v>
      </c>
      <c r="E280" s="126" t="s">
        <v>3901</v>
      </c>
      <c r="F280" s="252">
        <f t="shared" si="14"/>
        <v>0.39700000000000002</v>
      </c>
    </row>
    <row r="281" spans="1:6" ht="18">
      <c r="A281" s="126">
        <v>32</v>
      </c>
      <c r="B281" s="126">
        <v>45</v>
      </c>
      <c r="C281" s="126">
        <v>155</v>
      </c>
      <c r="D281" s="126">
        <v>75</v>
      </c>
      <c r="E281" s="126" t="s">
        <v>3902</v>
      </c>
      <c r="F281" s="252">
        <f t="shared" si="14"/>
        <v>0.42499999999999999</v>
      </c>
    </row>
    <row r="282" spans="1:6" ht="18">
      <c r="A282" s="126">
        <v>32</v>
      </c>
      <c r="B282" s="126">
        <v>48</v>
      </c>
      <c r="C282" s="126">
        <v>155</v>
      </c>
      <c r="D282" s="126">
        <v>75</v>
      </c>
      <c r="E282" s="126" t="s">
        <v>3903</v>
      </c>
      <c r="F282" s="252">
        <f t="shared" si="14"/>
        <v>0.45400000000000001</v>
      </c>
    </row>
    <row r="283" spans="1:6" ht="18">
      <c r="A283" s="126">
        <v>32</v>
      </c>
      <c r="B283" s="126">
        <v>51</v>
      </c>
      <c r="C283" s="126">
        <v>155</v>
      </c>
      <c r="D283" s="126">
        <v>75</v>
      </c>
      <c r="E283" s="126" t="s">
        <v>3904</v>
      </c>
      <c r="F283" s="252">
        <f t="shared" si="14"/>
        <v>0.48199999999999998</v>
      </c>
    </row>
    <row r="284" spans="1:6" ht="18">
      <c r="A284" s="126">
        <v>32</v>
      </c>
      <c r="B284" s="126">
        <v>54</v>
      </c>
      <c r="C284" s="126">
        <v>155</v>
      </c>
      <c r="D284" s="126">
        <v>75</v>
      </c>
      <c r="E284" s="126" t="s">
        <v>3905</v>
      </c>
      <c r="F284" s="252">
        <f t="shared" si="14"/>
        <v>0.51</v>
      </c>
    </row>
    <row r="285" spans="1:6" ht="18">
      <c r="A285" s="126">
        <v>32</v>
      </c>
      <c r="B285" s="126">
        <v>57</v>
      </c>
      <c r="C285" s="126">
        <v>155</v>
      </c>
      <c r="D285" s="126">
        <v>75</v>
      </c>
      <c r="E285" s="126" t="s">
        <v>3906</v>
      </c>
      <c r="F285" s="252">
        <f t="shared" si="14"/>
        <v>0.53900000000000003</v>
      </c>
    </row>
    <row r="286" spans="1:6" ht="18">
      <c r="A286" s="126">
        <v>32</v>
      </c>
      <c r="B286" s="126">
        <v>60</v>
      </c>
      <c r="C286" s="126">
        <v>155</v>
      </c>
      <c r="D286" s="126">
        <v>75</v>
      </c>
      <c r="E286" s="126" t="s">
        <v>3907</v>
      </c>
      <c r="F286" s="252">
        <f t="shared" si="14"/>
        <v>0.56699999999999995</v>
      </c>
    </row>
    <row r="287" spans="1:6" ht="18">
      <c r="A287" s="126">
        <v>32</v>
      </c>
      <c r="B287" s="126">
        <v>63</v>
      </c>
      <c r="C287" s="126">
        <v>155</v>
      </c>
      <c r="D287" s="126">
        <v>75</v>
      </c>
      <c r="E287" s="126" t="s">
        <v>3908</v>
      </c>
      <c r="F287" s="252">
        <f t="shared" si="14"/>
        <v>0.59499999999999997</v>
      </c>
    </row>
    <row r="288" spans="1:6" ht="18">
      <c r="A288" s="126">
        <v>32</v>
      </c>
      <c r="B288" s="126">
        <v>66</v>
      </c>
      <c r="C288" s="126">
        <v>155</v>
      </c>
      <c r="D288" s="126">
        <v>75</v>
      </c>
      <c r="E288" s="126" t="s">
        <v>3870</v>
      </c>
      <c r="F288" s="252">
        <f t="shared" si="14"/>
        <v>0.624</v>
      </c>
    </row>
    <row r="289" spans="1:6" ht="18">
      <c r="A289" s="126">
        <v>32</v>
      </c>
      <c r="B289" s="126">
        <v>9</v>
      </c>
      <c r="C289" s="126">
        <v>155</v>
      </c>
      <c r="D289" s="126">
        <v>75</v>
      </c>
      <c r="E289" s="126" t="s">
        <v>3909</v>
      </c>
      <c r="F289" s="252">
        <f t="shared" si="14"/>
        <v>8.5000000000000006E-2</v>
      </c>
    </row>
    <row r="290" spans="1:6" ht="18">
      <c r="A290" s="126">
        <v>32</v>
      </c>
      <c r="B290" s="274">
        <v>12</v>
      </c>
      <c r="C290" s="274">
        <v>155</v>
      </c>
      <c r="D290" s="274">
        <v>75</v>
      </c>
      <c r="E290" s="274" t="s">
        <v>3910</v>
      </c>
      <c r="F290" s="275">
        <f t="shared" si="14"/>
        <v>0.113</v>
      </c>
    </row>
    <row r="291" spans="1:6" ht="18" hidden="1">
      <c r="A291" s="126">
        <v>32</v>
      </c>
      <c r="B291" s="163">
        <v>71.5</v>
      </c>
      <c r="C291" s="163">
        <v>135</v>
      </c>
      <c r="D291" s="163">
        <v>75</v>
      </c>
      <c r="E291" s="163" t="s">
        <v>3911</v>
      </c>
      <c r="F291" s="200">
        <f t="shared" si="14"/>
        <v>0.58799999999999997</v>
      </c>
    </row>
    <row r="292" spans="1:6" ht="18" hidden="1">
      <c r="A292" s="126">
        <v>32</v>
      </c>
      <c r="B292" s="126">
        <v>74.5</v>
      </c>
      <c r="C292" s="126">
        <v>135</v>
      </c>
      <c r="D292" s="126">
        <v>75</v>
      </c>
      <c r="E292" s="126" t="s">
        <v>3912</v>
      </c>
      <c r="F292" s="201">
        <f t="shared" si="14"/>
        <v>0.61299999999999999</v>
      </c>
    </row>
    <row r="293" spans="1:6" ht="18" hidden="1">
      <c r="A293" s="126">
        <v>32</v>
      </c>
      <c r="B293" s="126">
        <v>77.5</v>
      </c>
      <c r="C293" s="126">
        <v>135</v>
      </c>
      <c r="D293" s="126">
        <v>75</v>
      </c>
      <c r="E293" s="126" t="s">
        <v>3913</v>
      </c>
      <c r="F293" s="201">
        <f t="shared" si="14"/>
        <v>0.63800000000000001</v>
      </c>
    </row>
    <row r="294" spans="1:6" ht="18" hidden="1">
      <c r="A294" s="126">
        <v>32</v>
      </c>
      <c r="B294" s="126">
        <v>79.5</v>
      </c>
      <c r="C294" s="126">
        <v>135</v>
      </c>
      <c r="D294" s="126">
        <v>75</v>
      </c>
      <c r="E294" s="126" t="s">
        <v>3914</v>
      </c>
      <c r="F294" s="201">
        <f t="shared" si="14"/>
        <v>0.65400000000000003</v>
      </c>
    </row>
    <row r="295" spans="1:6" ht="18" hidden="1">
      <c r="A295" s="126">
        <v>32</v>
      </c>
      <c r="B295" s="126">
        <v>83.5</v>
      </c>
      <c r="C295" s="126">
        <v>135</v>
      </c>
      <c r="D295" s="126">
        <v>75</v>
      </c>
      <c r="E295" s="126" t="s">
        <v>3915</v>
      </c>
      <c r="F295" s="201">
        <f t="shared" si="14"/>
        <v>0.68700000000000006</v>
      </c>
    </row>
    <row r="296" spans="1:6" ht="18" hidden="1">
      <c r="A296" s="126">
        <v>32</v>
      </c>
      <c r="B296" s="126">
        <v>12.5</v>
      </c>
      <c r="C296" s="126">
        <v>135</v>
      </c>
      <c r="D296" s="126">
        <v>75</v>
      </c>
      <c r="E296" s="126" t="s">
        <v>3916</v>
      </c>
      <c r="F296" s="201">
        <f t="shared" si="14"/>
        <v>0.10299999999999999</v>
      </c>
    </row>
    <row r="297" spans="1:6" ht="18" hidden="1">
      <c r="A297" s="126">
        <v>32</v>
      </c>
      <c r="B297" s="274">
        <v>19.5</v>
      </c>
      <c r="C297" s="274">
        <v>135</v>
      </c>
      <c r="D297" s="274">
        <v>75</v>
      </c>
      <c r="E297" s="274" t="s">
        <v>3917</v>
      </c>
      <c r="F297" s="276">
        <f t="shared" si="14"/>
        <v>0.16</v>
      </c>
    </row>
    <row r="298" spans="1:6" ht="18" hidden="1">
      <c r="A298" s="126">
        <v>32</v>
      </c>
      <c r="B298" s="163">
        <v>71.5</v>
      </c>
      <c r="C298" s="163">
        <v>205</v>
      </c>
      <c r="D298" s="163">
        <v>75</v>
      </c>
      <c r="E298" s="163" t="s">
        <v>3918</v>
      </c>
      <c r="F298" s="200">
        <f t="shared" si="14"/>
        <v>0.89400000000000002</v>
      </c>
    </row>
    <row r="299" spans="1:6" ht="18" hidden="1">
      <c r="A299" s="126">
        <v>32</v>
      </c>
      <c r="B299" s="126">
        <v>74.5</v>
      </c>
      <c r="C299" s="126">
        <v>205</v>
      </c>
      <c r="D299" s="126">
        <v>75</v>
      </c>
      <c r="E299" s="126" t="s">
        <v>3919</v>
      </c>
      <c r="F299" s="201">
        <f t="shared" si="14"/>
        <v>0.93100000000000005</v>
      </c>
    </row>
    <row r="300" spans="1:6" ht="18" hidden="1">
      <c r="A300" s="126">
        <v>32</v>
      </c>
      <c r="B300" s="126">
        <v>77.5</v>
      </c>
      <c r="C300" s="126">
        <v>205</v>
      </c>
      <c r="D300" s="126">
        <v>75</v>
      </c>
      <c r="E300" s="126" t="s">
        <v>3920</v>
      </c>
      <c r="F300" s="201">
        <f t="shared" si="14"/>
        <v>0.96899999999999997</v>
      </c>
    </row>
    <row r="301" spans="1:6" ht="18" hidden="1">
      <c r="A301" s="126">
        <v>32</v>
      </c>
      <c r="B301" s="126">
        <v>79.5</v>
      </c>
      <c r="C301" s="126">
        <v>205</v>
      </c>
      <c r="D301" s="126">
        <v>75</v>
      </c>
      <c r="E301" s="126" t="s">
        <v>3921</v>
      </c>
      <c r="F301" s="201">
        <f t="shared" si="14"/>
        <v>0.99299999999999999</v>
      </c>
    </row>
    <row r="302" spans="1:6" ht="18" hidden="1">
      <c r="A302" s="126">
        <v>32</v>
      </c>
      <c r="B302" s="126">
        <v>83.5</v>
      </c>
      <c r="C302" s="126">
        <v>205</v>
      </c>
      <c r="D302" s="126">
        <v>75</v>
      </c>
      <c r="E302" s="126" t="s">
        <v>3922</v>
      </c>
      <c r="F302" s="201">
        <f t="shared" si="14"/>
        <v>1.0429999999999999</v>
      </c>
    </row>
    <row r="303" spans="1:6" ht="18" hidden="1">
      <c r="A303" s="126">
        <v>32</v>
      </c>
      <c r="B303" s="126">
        <v>12.5</v>
      </c>
      <c r="C303" s="126">
        <v>205</v>
      </c>
      <c r="D303" s="126">
        <v>75</v>
      </c>
      <c r="E303" s="126" t="s">
        <v>3923</v>
      </c>
      <c r="F303" s="201">
        <f t="shared" si="14"/>
        <v>0.156</v>
      </c>
    </row>
    <row r="304" spans="1:6" ht="18" hidden="1">
      <c r="A304" s="126">
        <v>32</v>
      </c>
      <c r="B304" s="126">
        <v>19.5</v>
      </c>
      <c r="C304" s="126">
        <v>205</v>
      </c>
      <c r="D304" s="126">
        <v>75</v>
      </c>
      <c r="E304" s="126" t="s">
        <v>3924</v>
      </c>
      <c r="F304" s="252">
        <f t="shared" si="14"/>
        <v>0.24399999999999999</v>
      </c>
    </row>
    <row r="305" spans="1:6" ht="18" hidden="1">
      <c r="A305" s="126">
        <v>32</v>
      </c>
      <c r="B305" s="126">
        <v>71.5</v>
      </c>
      <c r="C305" s="126">
        <v>95</v>
      </c>
      <c r="D305" s="126">
        <v>70</v>
      </c>
      <c r="E305" s="126" t="s">
        <v>3499</v>
      </c>
      <c r="F305" s="252">
        <f t="shared" si="14"/>
        <v>0.38600000000000001</v>
      </c>
    </row>
    <row r="306" spans="1:6" ht="18" hidden="1">
      <c r="A306" s="126">
        <v>32</v>
      </c>
      <c r="B306" s="126">
        <v>74.5</v>
      </c>
      <c r="C306" s="126">
        <v>95</v>
      </c>
      <c r="D306" s="126">
        <v>70</v>
      </c>
      <c r="E306" s="126" t="s">
        <v>3500</v>
      </c>
      <c r="F306" s="252">
        <f t="shared" si="14"/>
        <v>0.40300000000000002</v>
      </c>
    </row>
    <row r="307" spans="1:6" ht="18" hidden="1">
      <c r="A307" s="126">
        <v>32</v>
      </c>
      <c r="B307" s="126">
        <v>77.5</v>
      </c>
      <c r="C307" s="126">
        <v>95</v>
      </c>
      <c r="D307" s="126">
        <v>70</v>
      </c>
      <c r="E307" s="126" t="s">
        <v>3501</v>
      </c>
      <c r="F307" s="252">
        <f t="shared" si="14"/>
        <v>0.41899999999999998</v>
      </c>
    </row>
    <row r="308" spans="1:6" ht="18" hidden="1">
      <c r="A308" s="126">
        <v>32</v>
      </c>
      <c r="B308" s="126">
        <v>79.5</v>
      </c>
      <c r="C308" s="126">
        <v>95</v>
      </c>
      <c r="D308" s="126">
        <v>70</v>
      </c>
      <c r="E308" s="126" t="s">
        <v>3502</v>
      </c>
      <c r="F308" s="252">
        <f t="shared" si="14"/>
        <v>0.43</v>
      </c>
    </row>
    <row r="309" spans="1:6" ht="18" hidden="1">
      <c r="A309" s="126">
        <v>32</v>
      </c>
      <c r="B309" s="126">
        <v>83.5</v>
      </c>
      <c r="C309" s="126">
        <v>95</v>
      </c>
      <c r="D309" s="126">
        <v>70</v>
      </c>
      <c r="E309" s="126" t="s">
        <v>3503</v>
      </c>
      <c r="F309" s="252">
        <f t="shared" si="14"/>
        <v>0.45100000000000001</v>
      </c>
    </row>
    <row r="310" spans="1:6" ht="18" hidden="1">
      <c r="A310" s="126">
        <v>32</v>
      </c>
      <c r="B310" s="126">
        <v>12.5</v>
      </c>
      <c r="C310" s="126">
        <v>95</v>
      </c>
      <c r="D310" s="126">
        <v>70</v>
      </c>
      <c r="E310" s="126" t="s">
        <v>3504</v>
      </c>
      <c r="F310" s="252">
        <f t="shared" si="14"/>
        <v>6.8000000000000005E-2</v>
      </c>
    </row>
    <row r="311" spans="1:6" ht="18" hidden="1">
      <c r="A311" s="126">
        <v>32</v>
      </c>
      <c r="B311" s="126">
        <v>19.5</v>
      </c>
      <c r="C311" s="126">
        <v>95</v>
      </c>
      <c r="D311" s="126">
        <v>70</v>
      </c>
      <c r="E311" s="126" t="s">
        <v>3505</v>
      </c>
      <c r="F311" s="252">
        <f t="shared" si="14"/>
        <v>0.105</v>
      </c>
    </row>
    <row r="312" spans="1:6" ht="18" hidden="1">
      <c r="A312" s="126">
        <v>32</v>
      </c>
      <c r="B312" s="277">
        <v>24</v>
      </c>
      <c r="C312" s="277">
        <v>135</v>
      </c>
      <c r="D312" s="277">
        <v>75</v>
      </c>
      <c r="E312" s="277" t="s">
        <v>3925</v>
      </c>
      <c r="F312" s="252">
        <f t="shared" si="14"/>
        <v>0.19800000000000001</v>
      </c>
    </row>
    <row r="313" spans="1:6" ht="18" hidden="1">
      <c r="A313" s="126">
        <v>32</v>
      </c>
      <c r="B313" s="277">
        <v>27</v>
      </c>
      <c r="C313" s="277">
        <v>135</v>
      </c>
      <c r="D313" s="277">
        <v>75</v>
      </c>
      <c r="E313" s="277" t="s">
        <v>3926</v>
      </c>
      <c r="F313" s="252">
        <f t="shared" si="14"/>
        <v>0.222</v>
      </c>
    </row>
    <row r="314" spans="1:6" ht="18" hidden="1">
      <c r="A314" s="126">
        <v>32</v>
      </c>
      <c r="B314" s="277">
        <v>30</v>
      </c>
      <c r="C314" s="277">
        <v>135</v>
      </c>
      <c r="D314" s="277">
        <v>75</v>
      </c>
      <c r="E314" s="277" t="s">
        <v>3927</v>
      </c>
      <c r="F314" s="252">
        <f t="shared" si="14"/>
        <v>0.247</v>
      </c>
    </row>
    <row r="315" spans="1:6" ht="18" hidden="1">
      <c r="A315" s="126">
        <v>32</v>
      </c>
      <c r="B315" s="277">
        <v>33</v>
      </c>
      <c r="C315" s="277">
        <v>135</v>
      </c>
      <c r="D315" s="277">
        <v>75</v>
      </c>
      <c r="E315" s="277" t="s">
        <v>3928</v>
      </c>
      <c r="F315" s="252">
        <f t="shared" si="14"/>
        <v>0.27200000000000002</v>
      </c>
    </row>
    <row r="316" spans="1:6" ht="18" hidden="1">
      <c r="A316" s="126">
        <v>32</v>
      </c>
      <c r="B316" s="277">
        <v>36</v>
      </c>
      <c r="C316" s="277">
        <v>135</v>
      </c>
      <c r="D316" s="277">
        <v>75</v>
      </c>
      <c r="E316" s="277" t="s">
        <v>3929</v>
      </c>
      <c r="F316" s="252">
        <f t="shared" si="14"/>
        <v>0.29599999999999999</v>
      </c>
    </row>
    <row r="317" spans="1:6" ht="18" hidden="1">
      <c r="A317" s="126">
        <v>32</v>
      </c>
      <c r="B317" s="277">
        <v>39</v>
      </c>
      <c r="C317" s="277">
        <v>135</v>
      </c>
      <c r="D317" s="277">
        <v>75</v>
      </c>
      <c r="E317" s="277" t="s">
        <v>3930</v>
      </c>
      <c r="F317" s="252">
        <f t="shared" si="14"/>
        <v>0.32100000000000001</v>
      </c>
    </row>
    <row r="318" spans="1:6" ht="18" hidden="1">
      <c r="A318" s="126">
        <v>32</v>
      </c>
      <c r="B318" s="277">
        <v>42</v>
      </c>
      <c r="C318" s="277">
        <v>135</v>
      </c>
      <c r="D318" s="277">
        <v>75</v>
      </c>
      <c r="E318" s="277" t="s">
        <v>3872</v>
      </c>
      <c r="F318" s="252">
        <f t="shared" si="14"/>
        <v>0.34599999999999997</v>
      </c>
    </row>
    <row r="319" spans="1:6" ht="18" hidden="1">
      <c r="A319" s="126">
        <v>32</v>
      </c>
      <c r="B319" s="277">
        <v>45</v>
      </c>
      <c r="C319" s="277">
        <v>135</v>
      </c>
      <c r="D319" s="277">
        <v>75</v>
      </c>
      <c r="E319" s="277" t="s">
        <v>3931</v>
      </c>
      <c r="F319" s="252">
        <f t="shared" si="14"/>
        <v>0.37</v>
      </c>
    </row>
    <row r="320" spans="1:6" ht="18" hidden="1">
      <c r="A320" s="126">
        <v>32</v>
      </c>
      <c r="B320" s="277">
        <v>48</v>
      </c>
      <c r="C320" s="277">
        <v>135</v>
      </c>
      <c r="D320" s="277">
        <v>75</v>
      </c>
      <c r="E320" s="277" t="s">
        <v>3932</v>
      </c>
      <c r="F320" s="252">
        <f t="shared" si="14"/>
        <v>0.39500000000000002</v>
      </c>
    </row>
    <row r="321" spans="1:6" ht="18" hidden="1">
      <c r="A321" s="126">
        <v>32</v>
      </c>
      <c r="B321" s="277">
        <v>51</v>
      </c>
      <c r="C321" s="277">
        <v>135</v>
      </c>
      <c r="D321" s="277">
        <v>75</v>
      </c>
      <c r="E321" s="277" t="s">
        <v>3933</v>
      </c>
      <c r="F321" s="252">
        <f t="shared" si="14"/>
        <v>0.42</v>
      </c>
    </row>
    <row r="322" spans="1:6" ht="18" hidden="1">
      <c r="A322" s="126">
        <v>32</v>
      </c>
      <c r="B322" s="277">
        <v>54</v>
      </c>
      <c r="C322" s="277">
        <v>135</v>
      </c>
      <c r="D322" s="277">
        <v>75</v>
      </c>
      <c r="E322" s="277" t="s">
        <v>3934</v>
      </c>
      <c r="F322" s="252">
        <f t="shared" si="14"/>
        <v>0.44400000000000001</v>
      </c>
    </row>
    <row r="323" spans="1:6" ht="18" hidden="1">
      <c r="A323" s="126">
        <v>32</v>
      </c>
      <c r="B323" s="277">
        <v>57</v>
      </c>
      <c r="C323" s="277">
        <v>135</v>
      </c>
      <c r="D323" s="277">
        <v>75</v>
      </c>
      <c r="E323" s="277" t="s">
        <v>3935</v>
      </c>
      <c r="F323" s="252">
        <f t="shared" si="14"/>
        <v>0.46899999999999997</v>
      </c>
    </row>
    <row r="324" spans="1:6" ht="18" hidden="1">
      <c r="A324" s="126">
        <v>32</v>
      </c>
      <c r="B324" s="277">
        <v>60</v>
      </c>
      <c r="C324" s="277">
        <v>135</v>
      </c>
      <c r="D324" s="277">
        <v>75</v>
      </c>
      <c r="E324" s="277" t="s">
        <v>3936</v>
      </c>
      <c r="F324" s="252">
        <f t="shared" si="14"/>
        <v>0.49399999999999999</v>
      </c>
    </row>
    <row r="325" spans="1:6" ht="18" hidden="1">
      <c r="A325" s="126">
        <v>32</v>
      </c>
      <c r="B325" s="277">
        <v>63</v>
      </c>
      <c r="C325" s="277">
        <v>135</v>
      </c>
      <c r="D325" s="277">
        <v>75</v>
      </c>
      <c r="E325" s="277" t="s">
        <v>3937</v>
      </c>
      <c r="F325" s="252">
        <f t="shared" si="14"/>
        <v>0.51800000000000002</v>
      </c>
    </row>
    <row r="326" spans="1:6" ht="18" hidden="1">
      <c r="A326" s="126">
        <v>32</v>
      </c>
      <c r="B326" s="277">
        <v>66</v>
      </c>
      <c r="C326" s="277">
        <v>135</v>
      </c>
      <c r="D326" s="277">
        <v>75</v>
      </c>
      <c r="E326" s="277" t="s">
        <v>3938</v>
      </c>
      <c r="F326" s="252">
        <f t="shared" si="14"/>
        <v>0.54300000000000004</v>
      </c>
    </row>
    <row r="327" spans="1:6" ht="18" hidden="1">
      <c r="A327" s="126">
        <v>32</v>
      </c>
      <c r="B327" s="277">
        <v>9</v>
      </c>
      <c r="C327" s="277">
        <v>135</v>
      </c>
      <c r="D327" s="277">
        <v>75</v>
      </c>
      <c r="E327" s="277" t="s">
        <v>3939</v>
      </c>
      <c r="F327" s="252">
        <f t="shared" si="14"/>
        <v>7.3999999999999996E-2</v>
      </c>
    </row>
    <row r="328" spans="1:6" ht="18" hidden="1">
      <c r="A328" s="126">
        <v>32</v>
      </c>
      <c r="B328" s="277">
        <v>12</v>
      </c>
      <c r="C328" s="277">
        <v>135</v>
      </c>
      <c r="D328" s="277">
        <v>75</v>
      </c>
      <c r="E328" s="277" t="s">
        <v>3940</v>
      </c>
      <c r="F328" s="252">
        <f t="shared" si="14"/>
        <v>9.9000000000000005E-2</v>
      </c>
    </row>
    <row r="329" spans="1:6" ht="18" hidden="1">
      <c r="A329" s="126">
        <v>32</v>
      </c>
      <c r="B329" s="277">
        <v>24</v>
      </c>
      <c r="C329" s="277">
        <v>205</v>
      </c>
      <c r="D329" s="277">
        <v>75</v>
      </c>
      <c r="E329" s="277" t="s">
        <v>3941</v>
      </c>
      <c r="F329" s="252">
        <f t="shared" si="14"/>
        <v>0.3</v>
      </c>
    </row>
    <row r="330" spans="1:6" ht="18" hidden="1">
      <c r="A330" s="126">
        <v>32</v>
      </c>
      <c r="B330" s="277">
        <v>27</v>
      </c>
      <c r="C330" s="277">
        <v>205</v>
      </c>
      <c r="D330" s="277">
        <v>75</v>
      </c>
      <c r="E330" s="277" t="s">
        <v>3942</v>
      </c>
      <c r="F330" s="252">
        <f t="shared" si="14"/>
        <v>0.33700000000000002</v>
      </c>
    </row>
    <row r="331" spans="1:6" ht="18" hidden="1">
      <c r="A331" s="126">
        <v>32</v>
      </c>
      <c r="B331" s="277">
        <v>30</v>
      </c>
      <c r="C331" s="277">
        <v>205</v>
      </c>
      <c r="D331" s="277">
        <v>75</v>
      </c>
      <c r="E331" s="277" t="s">
        <v>3943</v>
      </c>
      <c r="F331" s="252">
        <f t="shared" si="14"/>
        <v>0.375</v>
      </c>
    </row>
    <row r="332" spans="1:6" ht="18" hidden="1">
      <c r="A332" s="126">
        <v>32</v>
      </c>
      <c r="B332" s="277">
        <v>33</v>
      </c>
      <c r="C332" s="277">
        <v>205</v>
      </c>
      <c r="D332" s="277">
        <v>75</v>
      </c>
      <c r="E332" s="277" t="s">
        <v>3944</v>
      </c>
      <c r="F332" s="252">
        <f t="shared" si="14"/>
        <v>0.41199999999999998</v>
      </c>
    </row>
    <row r="333" spans="1:6" ht="18" hidden="1">
      <c r="A333" s="126">
        <v>32</v>
      </c>
      <c r="B333" s="277">
        <v>36</v>
      </c>
      <c r="C333" s="277">
        <v>205</v>
      </c>
      <c r="D333" s="277">
        <v>75</v>
      </c>
      <c r="E333" s="277" t="s">
        <v>3945</v>
      </c>
      <c r="F333" s="252">
        <f t="shared" si="14"/>
        <v>0.45</v>
      </c>
    </row>
    <row r="334" spans="1:6" ht="18" hidden="1">
      <c r="A334" s="126">
        <v>32</v>
      </c>
      <c r="B334" s="277">
        <v>39</v>
      </c>
      <c r="C334" s="277">
        <v>205</v>
      </c>
      <c r="D334" s="277">
        <v>75</v>
      </c>
      <c r="E334" s="277" t="s">
        <v>3946</v>
      </c>
      <c r="F334" s="252">
        <f t="shared" si="14"/>
        <v>0.48699999999999999</v>
      </c>
    </row>
    <row r="335" spans="1:6" ht="18" hidden="1">
      <c r="A335" s="126">
        <v>32</v>
      </c>
      <c r="B335" s="277">
        <v>42</v>
      </c>
      <c r="C335" s="277">
        <v>205</v>
      </c>
      <c r="D335" s="277">
        <v>75</v>
      </c>
      <c r="E335" s="277" t="s">
        <v>3947</v>
      </c>
      <c r="F335" s="252">
        <f t="shared" si="14"/>
        <v>0.52500000000000002</v>
      </c>
    </row>
    <row r="336" spans="1:6" ht="18" hidden="1">
      <c r="A336" s="126">
        <v>32</v>
      </c>
      <c r="B336" s="277">
        <v>45</v>
      </c>
      <c r="C336" s="277">
        <v>205</v>
      </c>
      <c r="D336" s="277">
        <v>75</v>
      </c>
      <c r="E336" s="277" t="s">
        <v>3948</v>
      </c>
      <c r="F336" s="252">
        <f t="shared" si="14"/>
        <v>0.56200000000000006</v>
      </c>
    </row>
    <row r="337" spans="1:6" ht="18" hidden="1">
      <c r="A337" s="126">
        <v>32</v>
      </c>
      <c r="B337" s="277">
        <v>48</v>
      </c>
      <c r="C337" s="277">
        <v>205</v>
      </c>
      <c r="D337" s="277">
        <v>75</v>
      </c>
      <c r="E337" s="277" t="s">
        <v>3949</v>
      </c>
      <c r="F337" s="252">
        <f t="shared" si="14"/>
        <v>0.6</v>
      </c>
    </row>
    <row r="338" spans="1:6" ht="18" hidden="1">
      <c r="A338" s="126">
        <v>32</v>
      </c>
      <c r="B338" s="277">
        <v>51</v>
      </c>
      <c r="C338" s="277">
        <v>205</v>
      </c>
      <c r="D338" s="277">
        <v>75</v>
      </c>
      <c r="E338" s="277" t="s">
        <v>3950</v>
      </c>
      <c r="F338" s="252">
        <f t="shared" si="14"/>
        <v>0.63700000000000001</v>
      </c>
    </row>
    <row r="339" spans="1:6" ht="18" hidden="1">
      <c r="A339" s="126">
        <v>32</v>
      </c>
      <c r="B339" s="277">
        <v>54</v>
      </c>
      <c r="C339" s="277">
        <v>205</v>
      </c>
      <c r="D339" s="277">
        <v>75</v>
      </c>
      <c r="E339" s="277" t="s">
        <v>3951</v>
      </c>
      <c r="F339" s="252">
        <f t="shared" ref="F339:F362" si="15">ROUND(A339*B339*0.0254*C339/1000*D339/1000,3)</f>
        <v>0.67500000000000004</v>
      </c>
    </row>
    <row r="340" spans="1:6" ht="18" hidden="1">
      <c r="A340" s="126">
        <v>32</v>
      </c>
      <c r="B340" s="277">
        <v>57</v>
      </c>
      <c r="C340" s="277">
        <v>205</v>
      </c>
      <c r="D340" s="277">
        <v>75</v>
      </c>
      <c r="E340" s="277" t="s">
        <v>3952</v>
      </c>
      <c r="F340" s="252">
        <f t="shared" si="15"/>
        <v>0.71199999999999997</v>
      </c>
    </row>
    <row r="341" spans="1:6" ht="18" hidden="1">
      <c r="A341" s="126">
        <v>32</v>
      </c>
      <c r="B341" s="277">
        <v>60</v>
      </c>
      <c r="C341" s="277">
        <v>205</v>
      </c>
      <c r="D341" s="277">
        <v>75</v>
      </c>
      <c r="E341" s="277" t="s">
        <v>3953</v>
      </c>
      <c r="F341" s="252">
        <f t="shared" si="15"/>
        <v>0.75</v>
      </c>
    </row>
    <row r="342" spans="1:6" ht="18" hidden="1">
      <c r="A342" s="126">
        <v>32</v>
      </c>
      <c r="B342" s="277">
        <v>63</v>
      </c>
      <c r="C342" s="277">
        <v>205</v>
      </c>
      <c r="D342" s="277">
        <v>75</v>
      </c>
      <c r="E342" s="277" t="s">
        <v>3954</v>
      </c>
      <c r="F342" s="252">
        <f t="shared" si="15"/>
        <v>0.78700000000000003</v>
      </c>
    </row>
    <row r="343" spans="1:6" ht="18" hidden="1">
      <c r="A343" s="126">
        <v>32</v>
      </c>
      <c r="B343" s="277">
        <v>66</v>
      </c>
      <c r="C343" s="277">
        <v>205</v>
      </c>
      <c r="D343" s="277">
        <v>75</v>
      </c>
      <c r="E343" s="277" t="s">
        <v>3955</v>
      </c>
      <c r="F343" s="252">
        <f t="shared" si="15"/>
        <v>0.82499999999999996</v>
      </c>
    </row>
    <row r="344" spans="1:6" ht="18" hidden="1">
      <c r="A344" s="126">
        <v>32</v>
      </c>
      <c r="B344" s="277">
        <v>9</v>
      </c>
      <c r="C344" s="277">
        <v>205</v>
      </c>
      <c r="D344" s="277">
        <v>75</v>
      </c>
      <c r="E344" s="277" t="s">
        <v>3956</v>
      </c>
      <c r="F344" s="252">
        <f t="shared" si="15"/>
        <v>0.112</v>
      </c>
    </row>
    <row r="345" spans="1:6" ht="18" hidden="1">
      <c r="A345" s="126">
        <v>32</v>
      </c>
      <c r="B345" s="277">
        <v>12</v>
      </c>
      <c r="C345" s="277">
        <v>205</v>
      </c>
      <c r="D345" s="277">
        <v>75</v>
      </c>
      <c r="E345" s="277" t="s">
        <v>3957</v>
      </c>
      <c r="F345" s="252">
        <f t="shared" si="15"/>
        <v>0.15</v>
      </c>
    </row>
    <row r="346" spans="1:6" ht="18" hidden="1">
      <c r="A346" s="126">
        <v>32</v>
      </c>
      <c r="B346" s="277">
        <v>24</v>
      </c>
      <c r="C346" s="277">
        <v>95</v>
      </c>
      <c r="D346" s="277">
        <v>70</v>
      </c>
      <c r="E346" s="277" t="s">
        <v>3506</v>
      </c>
      <c r="F346" s="252">
        <f t="shared" si="15"/>
        <v>0.13</v>
      </c>
    </row>
    <row r="347" spans="1:6" ht="18" hidden="1">
      <c r="A347" s="126">
        <v>32</v>
      </c>
      <c r="B347" s="277">
        <v>27</v>
      </c>
      <c r="C347" s="277">
        <v>95</v>
      </c>
      <c r="D347" s="277">
        <v>70</v>
      </c>
      <c r="E347" s="277" t="s">
        <v>3507</v>
      </c>
      <c r="F347" s="252">
        <f t="shared" si="15"/>
        <v>0.14599999999999999</v>
      </c>
    </row>
    <row r="348" spans="1:6" ht="18" hidden="1">
      <c r="A348" s="126">
        <v>32</v>
      </c>
      <c r="B348" s="277">
        <v>30</v>
      </c>
      <c r="C348" s="277">
        <v>95</v>
      </c>
      <c r="D348" s="277">
        <v>70</v>
      </c>
      <c r="E348" s="277" t="s">
        <v>3508</v>
      </c>
      <c r="F348" s="252">
        <f t="shared" si="15"/>
        <v>0.16200000000000001</v>
      </c>
    </row>
    <row r="349" spans="1:6" ht="18" hidden="1">
      <c r="A349" s="126">
        <v>32</v>
      </c>
      <c r="B349" s="277">
        <v>33</v>
      </c>
      <c r="C349" s="277">
        <v>95</v>
      </c>
      <c r="D349" s="277">
        <v>70</v>
      </c>
      <c r="E349" s="277" t="s">
        <v>3509</v>
      </c>
      <c r="F349" s="252">
        <f t="shared" si="15"/>
        <v>0.17799999999999999</v>
      </c>
    </row>
    <row r="350" spans="1:6" ht="18" hidden="1">
      <c r="A350" s="126">
        <v>32</v>
      </c>
      <c r="B350" s="277">
        <v>36</v>
      </c>
      <c r="C350" s="277">
        <v>95</v>
      </c>
      <c r="D350" s="277">
        <v>70</v>
      </c>
      <c r="E350" s="277" t="s">
        <v>3510</v>
      </c>
      <c r="F350" s="252">
        <f t="shared" si="15"/>
        <v>0.19500000000000001</v>
      </c>
    </row>
    <row r="351" spans="1:6" ht="18" hidden="1">
      <c r="A351" s="126">
        <v>32</v>
      </c>
      <c r="B351" s="277">
        <v>39</v>
      </c>
      <c r="C351" s="277">
        <v>95</v>
      </c>
      <c r="D351" s="277">
        <v>70</v>
      </c>
      <c r="E351" s="277" t="s">
        <v>3511</v>
      </c>
      <c r="F351" s="252">
        <f t="shared" si="15"/>
        <v>0.21099999999999999</v>
      </c>
    </row>
    <row r="352" spans="1:6" ht="18" hidden="1">
      <c r="A352" s="126">
        <v>32</v>
      </c>
      <c r="B352" s="277">
        <v>42</v>
      </c>
      <c r="C352" s="277">
        <v>95</v>
      </c>
      <c r="D352" s="277">
        <v>70</v>
      </c>
      <c r="E352" s="277" t="s">
        <v>3512</v>
      </c>
      <c r="F352" s="252">
        <f t="shared" si="15"/>
        <v>0.22700000000000001</v>
      </c>
    </row>
    <row r="353" spans="1:6" ht="18" hidden="1">
      <c r="A353" s="126">
        <v>32</v>
      </c>
      <c r="B353" s="277">
        <v>45</v>
      </c>
      <c r="C353" s="277">
        <v>95</v>
      </c>
      <c r="D353" s="277">
        <v>70</v>
      </c>
      <c r="E353" s="277" t="s">
        <v>3513</v>
      </c>
      <c r="F353" s="252">
        <f t="shared" si="15"/>
        <v>0.24299999999999999</v>
      </c>
    </row>
    <row r="354" spans="1:6" ht="18" hidden="1">
      <c r="A354" s="126">
        <v>32</v>
      </c>
      <c r="B354" s="277">
        <v>48</v>
      </c>
      <c r="C354" s="277">
        <v>95</v>
      </c>
      <c r="D354" s="277">
        <v>70</v>
      </c>
      <c r="E354" s="277" t="s">
        <v>3514</v>
      </c>
      <c r="F354" s="252">
        <f t="shared" si="15"/>
        <v>0.25900000000000001</v>
      </c>
    </row>
    <row r="355" spans="1:6" ht="18" hidden="1">
      <c r="A355" s="126">
        <v>32</v>
      </c>
      <c r="B355" s="277">
        <v>51</v>
      </c>
      <c r="C355" s="277">
        <v>95</v>
      </c>
      <c r="D355" s="277">
        <v>70</v>
      </c>
      <c r="E355" s="277" t="s">
        <v>3515</v>
      </c>
      <c r="F355" s="252">
        <f t="shared" si="15"/>
        <v>0.27600000000000002</v>
      </c>
    </row>
    <row r="356" spans="1:6" ht="18" hidden="1">
      <c r="A356" s="126">
        <v>32</v>
      </c>
      <c r="B356" s="277">
        <v>54</v>
      </c>
      <c r="C356" s="277">
        <v>95</v>
      </c>
      <c r="D356" s="277">
        <v>70</v>
      </c>
      <c r="E356" s="277" t="s">
        <v>3516</v>
      </c>
      <c r="F356" s="252">
        <f t="shared" si="15"/>
        <v>0.29199999999999998</v>
      </c>
    </row>
    <row r="357" spans="1:6" ht="18" hidden="1">
      <c r="A357" s="126">
        <v>32</v>
      </c>
      <c r="B357" s="277">
        <v>57</v>
      </c>
      <c r="C357" s="277">
        <v>95</v>
      </c>
      <c r="D357" s="277">
        <v>70</v>
      </c>
      <c r="E357" s="277" t="s">
        <v>3517</v>
      </c>
      <c r="F357" s="252">
        <f t="shared" si="15"/>
        <v>0.308</v>
      </c>
    </row>
    <row r="358" spans="1:6" ht="18" hidden="1">
      <c r="A358" s="126">
        <v>32</v>
      </c>
      <c r="B358" s="277">
        <v>60</v>
      </c>
      <c r="C358" s="277">
        <v>95</v>
      </c>
      <c r="D358" s="277">
        <v>70</v>
      </c>
      <c r="E358" s="277" t="s">
        <v>3518</v>
      </c>
      <c r="F358" s="252">
        <f t="shared" si="15"/>
        <v>0.32400000000000001</v>
      </c>
    </row>
    <row r="359" spans="1:6" ht="18" hidden="1">
      <c r="A359" s="126">
        <v>32</v>
      </c>
      <c r="B359" s="277">
        <v>63</v>
      </c>
      <c r="C359" s="277">
        <v>95</v>
      </c>
      <c r="D359" s="277">
        <v>70</v>
      </c>
      <c r="E359" s="277" t="s">
        <v>3519</v>
      </c>
      <c r="F359" s="252">
        <f t="shared" si="15"/>
        <v>0.34100000000000003</v>
      </c>
    </row>
    <row r="360" spans="1:6" ht="18" hidden="1">
      <c r="A360" s="126">
        <v>32</v>
      </c>
      <c r="B360" s="277">
        <v>66</v>
      </c>
      <c r="C360" s="277">
        <v>95</v>
      </c>
      <c r="D360" s="277">
        <v>70</v>
      </c>
      <c r="E360" s="277" t="s">
        <v>3520</v>
      </c>
      <c r="F360" s="252">
        <f t="shared" si="15"/>
        <v>0.35699999999999998</v>
      </c>
    </row>
    <row r="361" spans="1:6" ht="18" hidden="1">
      <c r="A361" s="126">
        <v>32</v>
      </c>
      <c r="B361" s="277">
        <v>9</v>
      </c>
      <c r="C361" s="277">
        <v>95</v>
      </c>
      <c r="D361" s="277">
        <v>70</v>
      </c>
      <c r="E361" s="277" t="s">
        <v>3521</v>
      </c>
      <c r="F361" s="252">
        <f t="shared" si="15"/>
        <v>4.9000000000000002E-2</v>
      </c>
    </row>
    <row r="362" spans="1:6" ht="18" hidden="1">
      <c r="A362" s="126">
        <v>32</v>
      </c>
      <c r="B362" s="277">
        <v>12</v>
      </c>
      <c r="C362" s="277">
        <v>95</v>
      </c>
      <c r="D362" s="277">
        <v>70</v>
      </c>
      <c r="E362" s="277" t="s">
        <v>3522</v>
      </c>
      <c r="F362" s="252">
        <f t="shared" si="15"/>
        <v>6.5000000000000002E-2</v>
      </c>
    </row>
    <row r="363" spans="1:6" ht="18" hidden="1">
      <c r="A363" s="119">
        <v>32</v>
      </c>
      <c r="B363" s="119">
        <v>71.5</v>
      </c>
      <c r="C363" s="119">
        <v>29.5</v>
      </c>
      <c r="D363" s="119">
        <v>10</v>
      </c>
      <c r="E363" s="119" t="s">
        <v>656</v>
      </c>
      <c r="F363" s="119">
        <f>+ROUND((A363*B363*0.0254*C363*0.0254*(D363/1000)),3)</f>
        <v>0.435</v>
      </c>
    </row>
    <row r="364" spans="1:6" ht="18" hidden="1">
      <c r="A364" s="123">
        <v>32</v>
      </c>
      <c r="B364" s="123">
        <v>71.5</v>
      </c>
      <c r="C364" s="123">
        <v>32.5</v>
      </c>
      <c r="D364" s="123">
        <v>10</v>
      </c>
      <c r="E364" s="123" t="s">
        <v>2028</v>
      </c>
      <c r="F364" s="123">
        <f t="shared" ref="F364:F427" si="16">+ROUND((A364*B364*0.0254*C364*0.0254*(D364/1000)),3)</f>
        <v>0.48</v>
      </c>
    </row>
    <row r="365" spans="1:6" ht="18" hidden="1">
      <c r="A365" s="123">
        <v>32</v>
      </c>
      <c r="B365" s="123">
        <v>71.5</v>
      </c>
      <c r="C365" s="123">
        <v>35.5</v>
      </c>
      <c r="D365" s="123">
        <v>10</v>
      </c>
      <c r="E365" s="123" t="s">
        <v>659</v>
      </c>
      <c r="F365" s="123">
        <f t="shared" si="16"/>
        <v>0.52400000000000002</v>
      </c>
    </row>
    <row r="366" spans="1:6" ht="18" hidden="1">
      <c r="A366" s="123">
        <v>32</v>
      </c>
      <c r="B366" s="123">
        <v>71.5</v>
      </c>
      <c r="C366" s="123">
        <v>38.5</v>
      </c>
      <c r="D366" s="123">
        <v>10</v>
      </c>
      <c r="E366" s="123" t="s">
        <v>2029</v>
      </c>
      <c r="F366" s="123">
        <f t="shared" si="16"/>
        <v>0.56799999999999995</v>
      </c>
    </row>
    <row r="367" spans="1:6" ht="18" hidden="1">
      <c r="A367" s="123">
        <v>32</v>
      </c>
      <c r="B367" s="123">
        <v>71.5</v>
      </c>
      <c r="C367" s="123">
        <v>41.5</v>
      </c>
      <c r="D367" s="123">
        <v>10</v>
      </c>
      <c r="E367" s="123" t="s">
        <v>662</v>
      </c>
      <c r="F367" s="123">
        <f t="shared" si="16"/>
        <v>0.61299999999999999</v>
      </c>
    </row>
    <row r="368" spans="1:6" ht="18" hidden="1">
      <c r="A368" s="123">
        <v>32</v>
      </c>
      <c r="B368" s="123">
        <v>71.5</v>
      </c>
      <c r="C368" s="123">
        <v>44.5</v>
      </c>
      <c r="D368" s="123">
        <v>10</v>
      </c>
      <c r="E368" s="123" t="s">
        <v>2030</v>
      </c>
      <c r="F368" s="123">
        <f t="shared" si="16"/>
        <v>0.65700000000000003</v>
      </c>
    </row>
    <row r="369" spans="1:6" ht="18" hidden="1">
      <c r="A369" s="123">
        <v>32</v>
      </c>
      <c r="B369" s="123">
        <v>71.5</v>
      </c>
      <c r="C369" s="123">
        <v>47.5</v>
      </c>
      <c r="D369" s="123">
        <v>10</v>
      </c>
      <c r="E369" s="123" t="s">
        <v>665</v>
      </c>
      <c r="F369" s="123">
        <f t="shared" si="16"/>
        <v>0.70099999999999996</v>
      </c>
    </row>
    <row r="370" spans="1:6" ht="18" hidden="1">
      <c r="A370" s="123">
        <v>32</v>
      </c>
      <c r="B370" s="123">
        <v>71.5</v>
      </c>
      <c r="C370" s="123">
        <v>50.5</v>
      </c>
      <c r="D370" s="123">
        <v>10</v>
      </c>
      <c r="E370" s="123" t="s">
        <v>2031</v>
      </c>
      <c r="F370" s="123">
        <f t="shared" si="16"/>
        <v>0.745</v>
      </c>
    </row>
    <row r="371" spans="1:6" ht="18" hidden="1">
      <c r="A371" s="123">
        <v>32</v>
      </c>
      <c r="B371" s="123">
        <v>71.5</v>
      </c>
      <c r="C371" s="123">
        <v>53.5</v>
      </c>
      <c r="D371" s="123">
        <v>10</v>
      </c>
      <c r="E371" s="123" t="s">
        <v>2032</v>
      </c>
      <c r="F371" s="123">
        <f t="shared" si="16"/>
        <v>0.79</v>
      </c>
    </row>
    <row r="372" spans="1:6" ht="18" hidden="1">
      <c r="A372" s="123">
        <v>32</v>
      </c>
      <c r="B372" s="123">
        <v>71.5</v>
      </c>
      <c r="C372" s="123">
        <v>56.5</v>
      </c>
      <c r="D372" s="123">
        <v>10</v>
      </c>
      <c r="E372" s="123" t="s">
        <v>2033</v>
      </c>
      <c r="F372" s="123">
        <f t="shared" si="16"/>
        <v>0.83399999999999996</v>
      </c>
    </row>
    <row r="373" spans="1:6" ht="18" hidden="1">
      <c r="A373" s="123">
        <v>32</v>
      </c>
      <c r="B373" s="123">
        <v>71.5</v>
      </c>
      <c r="C373" s="123">
        <v>59.5</v>
      </c>
      <c r="D373" s="123">
        <v>10</v>
      </c>
      <c r="E373" s="123" t="s">
        <v>668</v>
      </c>
      <c r="F373" s="123">
        <f t="shared" si="16"/>
        <v>0.878</v>
      </c>
    </row>
    <row r="374" spans="1:6" ht="18" hidden="1">
      <c r="A374" s="123">
        <v>32</v>
      </c>
      <c r="B374" s="123">
        <v>71.5</v>
      </c>
      <c r="C374" s="123">
        <v>62.5</v>
      </c>
      <c r="D374" s="123">
        <v>10</v>
      </c>
      <c r="E374" s="123" t="s">
        <v>2034</v>
      </c>
      <c r="F374" s="123">
        <f t="shared" si="16"/>
        <v>0.92300000000000004</v>
      </c>
    </row>
    <row r="375" spans="1:6" ht="18" hidden="1">
      <c r="A375" s="123">
        <v>32</v>
      </c>
      <c r="B375" s="123">
        <v>71.5</v>
      </c>
      <c r="C375" s="123">
        <v>65.5</v>
      </c>
      <c r="D375" s="123">
        <v>10</v>
      </c>
      <c r="E375" s="123" t="s">
        <v>671</v>
      </c>
      <c r="F375" s="123">
        <f t="shared" si="16"/>
        <v>0.96699999999999997</v>
      </c>
    </row>
    <row r="376" spans="1:6" ht="18" hidden="1">
      <c r="A376" s="123">
        <v>32</v>
      </c>
      <c r="B376" s="123">
        <v>71.5</v>
      </c>
      <c r="C376" s="123">
        <v>68.5</v>
      </c>
      <c r="D376" s="123">
        <v>10</v>
      </c>
      <c r="E376" s="123" t="s">
        <v>2035</v>
      </c>
      <c r="F376" s="123">
        <f t="shared" si="16"/>
        <v>1.0109999999999999</v>
      </c>
    </row>
    <row r="377" spans="1:6" ht="18" hidden="1">
      <c r="A377" s="123">
        <v>32</v>
      </c>
      <c r="B377" s="123">
        <v>71.5</v>
      </c>
      <c r="C377" s="123">
        <v>71.5</v>
      </c>
      <c r="D377" s="123">
        <v>10</v>
      </c>
      <c r="E377" s="123" t="s">
        <v>674</v>
      </c>
      <c r="F377" s="123">
        <f t="shared" si="16"/>
        <v>1.0549999999999999</v>
      </c>
    </row>
    <row r="378" spans="1:6" ht="18" hidden="1">
      <c r="A378" s="123">
        <v>32</v>
      </c>
      <c r="B378" s="123">
        <v>74.5</v>
      </c>
      <c r="C378" s="123">
        <v>29.5</v>
      </c>
      <c r="D378" s="123">
        <v>10</v>
      </c>
      <c r="E378" s="123" t="s">
        <v>677</v>
      </c>
      <c r="F378" s="123">
        <f t="shared" si="16"/>
        <v>0.45400000000000001</v>
      </c>
    </row>
    <row r="379" spans="1:6" ht="18" hidden="1">
      <c r="A379" s="123">
        <v>32</v>
      </c>
      <c r="B379" s="123">
        <v>74.5</v>
      </c>
      <c r="C379" s="123">
        <v>32.5</v>
      </c>
      <c r="D379" s="123">
        <v>10</v>
      </c>
      <c r="E379" s="123" t="s">
        <v>2036</v>
      </c>
      <c r="F379" s="123">
        <f t="shared" si="16"/>
        <v>0.5</v>
      </c>
    </row>
    <row r="380" spans="1:6" ht="18" hidden="1">
      <c r="A380" s="123">
        <v>32</v>
      </c>
      <c r="B380" s="123">
        <v>74.5</v>
      </c>
      <c r="C380" s="123">
        <v>35.5</v>
      </c>
      <c r="D380" s="123">
        <v>10</v>
      </c>
      <c r="E380" s="123" t="s">
        <v>679</v>
      </c>
      <c r="F380" s="123">
        <f t="shared" si="16"/>
        <v>0.54600000000000004</v>
      </c>
    </row>
    <row r="381" spans="1:6" ht="18" hidden="1">
      <c r="A381" s="123">
        <v>32</v>
      </c>
      <c r="B381" s="123">
        <v>74.5</v>
      </c>
      <c r="C381" s="123">
        <v>38.5</v>
      </c>
      <c r="D381" s="123">
        <v>10</v>
      </c>
      <c r="E381" s="123" t="s">
        <v>2037</v>
      </c>
      <c r="F381" s="123">
        <f t="shared" si="16"/>
        <v>0.59199999999999997</v>
      </c>
    </row>
    <row r="382" spans="1:6" ht="18" hidden="1">
      <c r="A382" s="123">
        <v>32</v>
      </c>
      <c r="B382" s="123">
        <v>74.5</v>
      </c>
      <c r="C382" s="123">
        <v>41.5</v>
      </c>
      <c r="D382" s="123">
        <v>10</v>
      </c>
      <c r="E382" s="123" t="s">
        <v>681</v>
      </c>
      <c r="F382" s="123">
        <f t="shared" si="16"/>
        <v>0.63800000000000001</v>
      </c>
    </row>
    <row r="383" spans="1:6" ht="18" hidden="1">
      <c r="A383" s="123">
        <v>32</v>
      </c>
      <c r="B383" s="123">
        <v>74.5</v>
      </c>
      <c r="C383" s="123">
        <v>44.5</v>
      </c>
      <c r="D383" s="123">
        <v>10</v>
      </c>
      <c r="E383" s="123" t="s">
        <v>2038</v>
      </c>
      <c r="F383" s="123">
        <f t="shared" si="16"/>
        <v>0.68400000000000005</v>
      </c>
    </row>
    <row r="384" spans="1:6" ht="18" hidden="1">
      <c r="A384" s="123">
        <v>32</v>
      </c>
      <c r="B384" s="123">
        <v>74.5</v>
      </c>
      <c r="C384" s="123">
        <v>47.5</v>
      </c>
      <c r="D384" s="123">
        <v>10</v>
      </c>
      <c r="E384" s="123" t="s">
        <v>683</v>
      </c>
      <c r="F384" s="123">
        <f t="shared" si="16"/>
        <v>0.73099999999999998</v>
      </c>
    </row>
    <row r="385" spans="1:6" ht="18" hidden="1">
      <c r="A385" s="123">
        <v>32</v>
      </c>
      <c r="B385" s="123">
        <v>74.5</v>
      </c>
      <c r="C385" s="123">
        <v>50.5</v>
      </c>
      <c r="D385" s="123">
        <v>10</v>
      </c>
      <c r="E385" s="123" t="s">
        <v>2039</v>
      </c>
      <c r="F385" s="123">
        <f t="shared" si="16"/>
        <v>0.77700000000000002</v>
      </c>
    </row>
    <row r="386" spans="1:6" ht="18" hidden="1">
      <c r="A386" s="123">
        <v>32</v>
      </c>
      <c r="B386" s="123">
        <v>74.5</v>
      </c>
      <c r="C386" s="123">
        <v>53.5</v>
      </c>
      <c r="D386" s="123">
        <v>10</v>
      </c>
      <c r="E386" s="123" t="s">
        <v>2040</v>
      </c>
      <c r="F386" s="123">
        <f t="shared" si="16"/>
        <v>0.82299999999999995</v>
      </c>
    </row>
    <row r="387" spans="1:6" ht="18" hidden="1">
      <c r="A387" s="123">
        <v>32</v>
      </c>
      <c r="B387" s="123">
        <v>74.5</v>
      </c>
      <c r="C387" s="123">
        <v>56.5</v>
      </c>
      <c r="D387" s="123">
        <v>10</v>
      </c>
      <c r="E387" s="123" t="s">
        <v>2041</v>
      </c>
      <c r="F387" s="123">
        <f t="shared" si="16"/>
        <v>0.86899999999999999</v>
      </c>
    </row>
    <row r="388" spans="1:6" ht="18" hidden="1">
      <c r="A388" s="123">
        <v>32</v>
      </c>
      <c r="B388" s="123">
        <v>74.5</v>
      </c>
      <c r="C388" s="123">
        <v>59.5</v>
      </c>
      <c r="D388" s="123">
        <v>10</v>
      </c>
      <c r="E388" s="123" t="s">
        <v>685</v>
      </c>
      <c r="F388" s="123">
        <f t="shared" si="16"/>
        <v>0.91500000000000004</v>
      </c>
    </row>
    <row r="389" spans="1:6" ht="18" hidden="1">
      <c r="A389" s="123">
        <v>32</v>
      </c>
      <c r="B389" s="123">
        <v>74.5</v>
      </c>
      <c r="C389" s="123">
        <v>62.5</v>
      </c>
      <c r="D389" s="123">
        <v>10</v>
      </c>
      <c r="E389" s="123" t="s">
        <v>2042</v>
      </c>
      <c r="F389" s="123">
        <f t="shared" si="16"/>
        <v>0.96099999999999997</v>
      </c>
    </row>
    <row r="390" spans="1:6" ht="18" hidden="1">
      <c r="A390" s="123">
        <v>32</v>
      </c>
      <c r="B390" s="123">
        <v>74.5</v>
      </c>
      <c r="C390" s="123">
        <v>65.5</v>
      </c>
      <c r="D390" s="123">
        <v>10</v>
      </c>
      <c r="E390" s="123" t="s">
        <v>687</v>
      </c>
      <c r="F390" s="123">
        <f t="shared" si="16"/>
        <v>1.0069999999999999</v>
      </c>
    </row>
    <row r="391" spans="1:6" ht="18" hidden="1">
      <c r="A391" s="123">
        <v>32</v>
      </c>
      <c r="B391" s="123">
        <v>74.5</v>
      </c>
      <c r="C391" s="123">
        <v>68.5</v>
      </c>
      <c r="D391" s="123">
        <v>10</v>
      </c>
      <c r="E391" s="123" t="s">
        <v>2043</v>
      </c>
      <c r="F391" s="123">
        <f t="shared" si="16"/>
        <v>1.054</v>
      </c>
    </row>
    <row r="392" spans="1:6" ht="18" hidden="1">
      <c r="A392" s="123">
        <v>32</v>
      </c>
      <c r="B392" s="123">
        <v>74.5</v>
      </c>
      <c r="C392" s="123">
        <v>71.5</v>
      </c>
      <c r="D392" s="123">
        <v>10</v>
      </c>
      <c r="E392" s="123" t="s">
        <v>689</v>
      </c>
      <c r="F392" s="123">
        <f t="shared" si="16"/>
        <v>1.1000000000000001</v>
      </c>
    </row>
    <row r="393" spans="1:6" ht="18" hidden="1">
      <c r="A393" s="123">
        <v>32</v>
      </c>
      <c r="B393" s="123">
        <v>77.5</v>
      </c>
      <c r="C393" s="123">
        <v>29.5</v>
      </c>
      <c r="D393" s="123">
        <v>10</v>
      </c>
      <c r="E393" s="123" t="s">
        <v>692</v>
      </c>
      <c r="F393" s="123">
        <f t="shared" si="16"/>
        <v>0.47199999999999998</v>
      </c>
    </row>
    <row r="394" spans="1:6" ht="18" hidden="1">
      <c r="A394" s="123">
        <v>32</v>
      </c>
      <c r="B394" s="123">
        <v>77.5</v>
      </c>
      <c r="C394" s="123">
        <v>32.5</v>
      </c>
      <c r="D394" s="123">
        <v>10</v>
      </c>
      <c r="E394" s="123" t="s">
        <v>2044</v>
      </c>
      <c r="F394" s="123">
        <f t="shared" si="16"/>
        <v>0.52</v>
      </c>
    </row>
    <row r="395" spans="1:6" ht="18" hidden="1">
      <c r="A395" s="123">
        <v>32</v>
      </c>
      <c r="B395" s="123">
        <v>77.5</v>
      </c>
      <c r="C395" s="123">
        <v>35.5</v>
      </c>
      <c r="D395" s="123">
        <v>10</v>
      </c>
      <c r="E395" s="123" t="s">
        <v>694</v>
      </c>
      <c r="F395" s="123">
        <f t="shared" si="16"/>
        <v>0.56799999999999995</v>
      </c>
    </row>
    <row r="396" spans="1:6" ht="18" hidden="1">
      <c r="A396" s="123">
        <v>32</v>
      </c>
      <c r="B396" s="123">
        <v>77.5</v>
      </c>
      <c r="C396" s="123">
        <v>38.5</v>
      </c>
      <c r="D396" s="123">
        <v>10</v>
      </c>
      <c r="E396" s="123" t="s">
        <v>2045</v>
      </c>
      <c r="F396" s="123">
        <f t="shared" si="16"/>
        <v>0.61599999999999999</v>
      </c>
    </row>
    <row r="397" spans="1:6" ht="18" hidden="1">
      <c r="A397" s="123">
        <v>32</v>
      </c>
      <c r="B397" s="123">
        <v>77.5</v>
      </c>
      <c r="C397" s="123">
        <v>41.5</v>
      </c>
      <c r="D397" s="123">
        <v>10</v>
      </c>
      <c r="E397" s="123" t="s">
        <v>696</v>
      </c>
      <c r="F397" s="123">
        <f t="shared" si="16"/>
        <v>0.66400000000000003</v>
      </c>
    </row>
    <row r="398" spans="1:6" ht="18" hidden="1">
      <c r="A398" s="123">
        <v>32</v>
      </c>
      <c r="B398" s="123">
        <v>77.5</v>
      </c>
      <c r="C398" s="123">
        <v>44.5</v>
      </c>
      <c r="D398" s="123">
        <v>10</v>
      </c>
      <c r="E398" s="123" t="s">
        <v>2046</v>
      </c>
      <c r="F398" s="123">
        <f t="shared" si="16"/>
        <v>0.71199999999999997</v>
      </c>
    </row>
    <row r="399" spans="1:6" ht="18" hidden="1">
      <c r="A399" s="123">
        <v>32</v>
      </c>
      <c r="B399" s="123">
        <v>77.5</v>
      </c>
      <c r="C399" s="123">
        <v>47.5</v>
      </c>
      <c r="D399" s="123">
        <v>10</v>
      </c>
      <c r="E399" s="123" t="s">
        <v>698</v>
      </c>
      <c r="F399" s="123">
        <f t="shared" si="16"/>
        <v>0.76</v>
      </c>
    </row>
    <row r="400" spans="1:6" ht="18" hidden="1">
      <c r="A400" s="123">
        <v>32</v>
      </c>
      <c r="B400" s="123">
        <v>77.5</v>
      </c>
      <c r="C400" s="123">
        <v>50.5</v>
      </c>
      <c r="D400" s="123">
        <v>10</v>
      </c>
      <c r="E400" s="123" t="s">
        <v>2047</v>
      </c>
      <c r="F400" s="123">
        <f t="shared" si="16"/>
        <v>0.80800000000000005</v>
      </c>
    </row>
    <row r="401" spans="1:6" ht="18" hidden="1">
      <c r="A401" s="123">
        <v>32</v>
      </c>
      <c r="B401" s="123">
        <v>77.5</v>
      </c>
      <c r="C401" s="123">
        <v>53.5</v>
      </c>
      <c r="D401" s="123">
        <v>10</v>
      </c>
      <c r="E401" s="123" t="s">
        <v>2048</v>
      </c>
      <c r="F401" s="123">
        <f t="shared" si="16"/>
        <v>0.85599999999999998</v>
      </c>
    </row>
    <row r="402" spans="1:6" ht="18" hidden="1">
      <c r="A402" s="123">
        <v>32</v>
      </c>
      <c r="B402" s="123">
        <v>77.5</v>
      </c>
      <c r="C402" s="123">
        <v>56.5</v>
      </c>
      <c r="D402" s="123">
        <v>10</v>
      </c>
      <c r="E402" s="123" t="s">
        <v>2049</v>
      </c>
      <c r="F402" s="123">
        <f t="shared" si="16"/>
        <v>0.90400000000000003</v>
      </c>
    </row>
    <row r="403" spans="1:6" ht="18" hidden="1">
      <c r="A403" s="123">
        <v>32</v>
      </c>
      <c r="B403" s="123">
        <v>77.5</v>
      </c>
      <c r="C403" s="123">
        <v>59.5</v>
      </c>
      <c r="D403" s="123">
        <v>10</v>
      </c>
      <c r="E403" s="123" t="s">
        <v>700</v>
      </c>
      <c r="F403" s="123">
        <f t="shared" si="16"/>
        <v>0.95199999999999996</v>
      </c>
    </row>
    <row r="404" spans="1:6" ht="18" hidden="1">
      <c r="A404" s="123">
        <v>32</v>
      </c>
      <c r="B404" s="123">
        <v>77.5</v>
      </c>
      <c r="C404" s="123">
        <v>62.5</v>
      </c>
      <c r="D404" s="123">
        <v>10</v>
      </c>
      <c r="E404" s="123" t="s">
        <v>2050</v>
      </c>
      <c r="F404" s="123">
        <f t="shared" si="16"/>
        <v>1</v>
      </c>
    </row>
    <row r="405" spans="1:6" ht="18" hidden="1">
      <c r="A405" s="123">
        <v>32</v>
      </c>
      <c r="B405" s="123">
        <v>77.5</v>
      </c>
      <c r="C405" s="123">
        <v>65.5</v>
      </c>
      <c r="D405" s="123">
        <v>10</v>
      </c>
      <c r="E405" s="123" t="s">
        <v>702</v>
      </c>
      <c r="F405" s="123">
        <f t="shared" si="16"/>
        <v>1.048</v>
      </c>
    </row>
    <row r="406" spans="1:6" ht="18" hidden="1">
      <c r="A406" s="123">
        <v>32</v>
      </c>
      <c r="B406" s="123">
        <v>77.5</v>
      </c>
      <c r="C406" s="123">
        <v>68.5</v>
      </c>
      <c r="D406" s="123">
        <v>10</v>
      </c>
      <c r="E406" s="123" t="s">
        <v>2051</v>
      </c>
      <c r="F406" s="123">
        <f t="shared" si="16"/>
        <v>1.0960000000000001</v>
      </c>
    </row>
    <row r="407" spans="1:6" ht="18" hidden="1">
      <c r="A407" s="123">
        <v>32</v>
      </c>
      <c r="B407" s="123">
        <v>77.5</v>
      </c>
      <c r="C407" s="123">
        <v>71.5</v>
      </c>
      <c r="D407" s="123">
        <v>10</v>
      </c>
      <c r="E407" s="123" t="s">
        <v>704</v>
      </c>
      <c r="F407" s="123">
        <f t="shared" si="16"/>
        <v>1.1439999999999999</v>
      </c>
    </row>
    <row r="408" spans="1:6" ht="18" hidden="1">
      <c r="A408" s="123">
        <v>32</v>
      </c>
      <c r="B408" s="123">
        <v>79.5</v>
      </c>
      <c r="C408" s="123">
        <v>29.5</v>
      </c>
      <c r="D408" s="123">
        <v>10</v>
      </c>
      <c r="E408" s="123" t="s">
        <v>707</v>
      </c>
      <c r="F408" s="123">
        <f t="shared" si="16"/>
        <v>0.48399999999999999</v>
      </c>
    </row>
    <row r="409" spans="1:6" ht="18" hidden="1">
      <c r="A409" s="123">
        <v>32</v>
      </c>
      <c r="B409" s="123">
        <v>79.5</v>
      </c>
      <c r="C409" s="123">
        <v>32.5</v>
      </c>
      <c r="D409" s="123">
        <v>10</v>
      </c>
      <c r="E409" s="123" t="s">
        <v>2052</v>
      </c>
      <c r="F409" s="123">
        <f t="shared" si="16"/>
        <v>0.53300000000000003</v>
      </c>
    </row>
    <row r="410" spans="1:6" ht="18" hidden="1">
      <c r="A410" s="123">
        <v>32</v>
      </c>
      <c r="B410" s="123">
        <v>79.5</v>
      </c>
      <c r="C410" s="123">
        <v>35.5</v>
      </c>
      <c r="D410" s="123">
        <v>10</v>
      </c>
      <c r="E410" s="123" t="s">
        <v>709</v>
      </c>
      <c r="F410" s="123">
        <f t="shared" si="16"/>
        <v>0.58299999999999996</v>
      </c>
    </row>
    <row r="411" spans="1:6" ht="18" hidden="1">
      <c r="A411" s="123">
        <v>32</v>
      </c>
      <c r="B411" s="123">
        <v>79.5</v>
      </c>
      <c r="C411" s="123">
        <v>38.5</v>
      </c>
      <c r="D411" s="123">
        <v>10</v>
      </c>
      <c r="E411" s="123" t="s">
        <v>2053</v>
      </c>
      <c r="F411" s="123">
        <f t="shared" si="16"/>
        <v>0.63200000000000001</v>
      </c>
    </row>
    <row r="412" spans="1:6" ht="18" hidden="1">
      <c r="A412" s="123">
        <v>32</v>
      </c>
      <c r="B412" s="123">
        <v>79.5</v>
      </c>
      <c r="C412" s="123">
        <v>41.5</v>
      </c>
      <c r="D412" s="123">
        <v>10</v>
      </c>
      <c r="E412" s="123" t="s">
        <v>711</v>
      </c>
      <c r="F412" s="123">
        <f t="shared" si="16"/>
        <v>0.68100000000000005</v>
      </c>
    </row>
    <row r="413" spans="1:6" ht="18" hidden="1">
      <c r="A413" s="123">
        <v>32</v>
      </c>
      <c r="B413" s="123">
        <v>79.5</v>
      </c>
      <c r="C413" s="123">
        <v>44.5</v>
      </c>
      <c r="D413" s="123">
        <v>10</v>
      </c>
      <c r="E413" s="123" t="s">
        <v>2054</v>
      </c>
      <c r="F413" s="123">
        <f t="shared" si="16"/>
        <v>0.73</v>
      </c>
    </row>
    <row r="414" spans="1:6" ht="18" hidden="1">
      <c r="A414" s="123">
        <v>32</v>
      </c>
      <c r="B414" s="123">
        <v>79.5</v>
      </c>
      <c r="C414" s="123">
        <v>47.5</v>
      </c>
      <c r="D414" s="123">
        <v>10</v>
      </c>
      <c r="E414" s="123" t="s">
        <v>713</v>
      </c>
      <c r="F414" s="123">
        <f t="shared" si="16"/>
        <v>0.78</v>
      </c>
    </row>
    <row r="415" spans="1:6" ht="18" hidden="1">
      <c r="A415" s="123">
        <v>32</v>
      </c>
      <c r="B415" s="123">
        <v>79.5</v>
      </c>
      <c r="C415" s="123">
        <v>50.5</v>
      </c>
      <c r="D415" s="123">
        <v>10</v>
      </c>
      <c r="E415" s="123" t="s">
        <v>2055</v>
      </c>
      <c r="F415" s="123">
        <f t="shared" si="16"/>
        <v>0.82899999999999996</v>
      </c>
    </row>
    <row r="416" spans="1:6" ht="18" hidden="1">
      <c r="A416" s="123">
        <v>32</v>
      </c>
      <c r="B416" s="123">
        <v>79.5</v>
      </c>
      <c r="C416" s="123">
        <v>53.5</v>
      </c>
      <c r="D416" s="123">
        <v>10</v>
      </c>
      <c r="E416" s="123" t="s">
        <v>2056</v>
      </c>
      <c r="F416" s="123">
        <f t="shared" si="16"/>
        <v>0.878</v>
      </c>
    </row>
    <row r="417" spans="1:6" ht="18" hidden="1">
      <c r="A417" s="123">
        <v>32</v>
      </c>
      <c r="B417" s="123">
        <v>79.5</v>
      </c>
      <c r="C417" s="123">
        <v>56.5</v>
      </c>
      <c r="D417" s="123">
        <v>10</v>
      </c>
      <c r="E417" s="123" t="s">
        <v>2057</v>
      </c>
      <c r="F417" s="123">
        <f t="shared" si="16"/>
        <v>0.92700000000000005</v>
      </c>
    </row>
    <row r="418" spans="1:6" ht="18" hidden="1">
      <c r="A418" s="123">
        <v>32</v>
      </c>
      <c r="B418" s="123">
        <v>79.5</v>
      </c>
      <c r="C418" s="123">
        <v>59.5</v>
      </c>
      <c r="D418" s="123">
        <v>10</v>
      </c>
      <c r="E418" s="123" t="s">
        <v>715</v>
      </c>
      <c r="F418" s="123">
        <f t="shared" si="16"/>
        <v>0.97699999999999998</v>
      </c>
    </row>
    <row r="419" spans="1:6" ht="18" hidden="1">
      <c r="A419" s="123">
        <v>32</v>
      </c>
      <c r="B419" s="123">
        <v>79.5</v>
      </c>
      <c r="C419" s="123">
        <v>62.5</v>
      </c>
      <c r="D419" s="123">
        <v>10</v>
      </c>
      <c r="E419" s="123" t="s">
        <v>2058</v>
      </c>
      <c r="F419" s="123">
        <f t="shared" si="16"/>
        <v>1.026</v>
      </c>
    </row>
    <row r="420" spans="1:6" ht="18" hidden="1">
      <c r="A420" s="123">
        <v>32</v>
      </c>
      <c r="B420" s="123">
        <v>79.5</v>
      </c>
      <c r="C420" s="123">
        <v>65.5</v>
      </c>
      <c r="D420" s="123">
        <v>10</v>
      </c>
      <c r="E420" s="123" t="s">
        <v>717</v>
      </c>
      <c r="F420" s="123">
        <f t="shared" si="16"/>
        <v>1.075</v>
      </c>
    </row>
    <row r="421" spans="1:6" ht="18" hidden="1">
      <c r="A421" s="123">
        <v>32</v>
      </c>
      <c r="B421" s="123">
        <v>79.5</v>
      </c>
      <c r="C421" s="123">
        <v>68.5</v>
      </c>
      <c r="D421" s="123">
        <v>10</v>
      </c>
      <c r="E421" s="123" t="s">
        <v>2059</v>
      </c>
      <c r="F421" s="123">
        <f t="shared" si="16"/>
        <v>1.1240000000000001</v>
      </c>
    </row>
    <row r="422" spans="1:6" ht="18" hidden="1">
      <c r="A422" s="123">
        <v>32</v>
      </c>
      <c r="B422" s="123">
        <v>79.5</v>
      </c>
      <c r="C422" s="123">
        <v>71.5</v>
      </c>
      <c r="D422" s="123">
        <v>10</v>
      </c>
      <c r="E422" s="123" t="s">
        <v>719</v>
      </c>
      <c r="F422" s="123">
        <f t="shared" si="16"/>
        <v>1.1739999999999999</v>
      </c>
    </row>
    <row r="423" spans="1:6" ht="18" hidden="1">
      <c r="A423" s="123">
        <v>32</v>
      </c>
      <c r="B423" s="123">
        <v>83.5</v>
      </c>
      <c r="C423" s="123">
        <v>29.5</v>
      </c>
      <c r="D423" s="123">
        <v>10</v>
      </c>
      <c r="E423" s="123" t="s">
        <v>722</v>
      </c>
      <c r="F423" s="123">
        <f t="shared" si="16"/>
        <v>0.50900000000000001</v>
      </c>
    </row>
    <row r="424" spans="1:6" ht="18" hidden="1">
      <c r="A424" s="123">
        <v>32</v>
      </c>
      <c r="B424" s="123">
        <v>83.5</v>
      </c>
      <c r="C424" s="123">
        <v>32.5</v>
      </c>
      <c r="D424" s="123">
        <v>10</v>
      </c>
      <c r="E424" s="123" t="s">
        <v>2060</v>
      </c>
      <c r="F424" s="123">
        <f t="shared" si="16"/>
        <v>0.56000000000000005</v>
      </c>
    </row>
    <row r="425" spans="1:6" ht="18" hidden="1">
      <c r="A425" s="123">
        <v>32</v>
      </c>
      <c r="B425" s="123">
        <v>83.5</v>
      </c>
      <c r="C425" s="123">
        <v>35.5</v>
      </c>
      <c r="D425" s="123">
        <v>10</v>
      </c>
      <c r="E425" s="123" t="s">
        <v>724</v>
      </c>
      <c r="F425" s="123">
        <f t="shared" si="16"/>
        <v>0.61199999999999999</v>
      </c>
    </row>
    <row r="426" spans="1:6" ht="18" hidden="1">
      <c r="A426" s="123">
        <v>32</v>
      </c>
      <c r="B426" s="123">
        <v>83.5</v>
      </c>
      <c r="C426" s="123">
        <v>38.5</v>
      </c>
      <c r="D426" s="123">
        <v>10</v>
      </c>
      <c r="E426" s="123" t="s">
        <v>2061</v>
      </c>
      <c r="F426" s="123">
        <f t="shared" si="16"/>
        <v>0.66400000000000003</v>
      </c>
    </row>
    <row r="427" spans="1:6" ht="18" hidden="1">
      <c r="A427" s="123">
        <v>32</v>
      </c>
      <c r="B427" s="123">
        <v>83.5</v>
      </c>
      <c r="C427" s="123">
        <v>41.5</v>
      </c>
      <c r="D427" s="123">
        <v>10</v>
      </c>
      <c r="E427" s="123" t="s">
        <v>726</v>
      </c>
      <c r="F427" s="123">
        <f t="shared" si="16"/>
        <v>0.71499999999999997</v>
      </c>
    </row>
    <row r="428" spans="1:6" ht="18" hidden="1">
      <c r="A428" s="123">
        <v>32</v>
      </c>
      <c r="B428" s="123">
        <v>83.5</v>
      </c>
      <c r="C428" s="123">
        <v>44.5</v>
      </c>
      <c r="D428" s="123">
        <v>10</v>
      </c>
      <c r="E428" s="123" t="s">
        <v>2062</v>
      </c>
      <c r="F428" s="123">
        <f t="shared" ref="F428:F440" si="17">+ROUND((A428*B428*0.0254*C428*0.0254*(D428/1000)),3)</f>
        <v>0.76700000000000002</v>
      </c>
    </row>
    <row r="429" spans="1:6" ht="18" hidden="1">
      <c r="A429" s="123">
        <v>32</v>
      </c>
      <c r="B429" s="123">
        <v>83.5</v>
      </c>
      <c r="C429" s="123">
        <v>47.5</v>
      </c>
      <c r="D429" s="123">
        <v>10</v>
      </c>
      <c r="E429" s="123" t="s">
        <v>728</v>
      </c>
      <c r="F429" s="123">
        <f t="shared" si="17"/>
        <v>0.81899999999999995</v>
      </c>
    </row>
    <row r="430" spans="1:6" ht="18" hidden="1">
      <c r="A430" s="123">
        <v>32</v>
      </c>
      <c r="B430" s="123">
        <v>83.5</v>
      </c>
      <c r="C430" s="123">
        <v>50.5</v>
      </c>
      <c r="D430" s="123">
        <v>10</v>
      </c>
      <c r="E430" s="123" t="s">
        <v>2063</v>
      </c>
      <c r="F430" s="123">
        <f t="shared" si="17"/>
        <v>0.871</v>
      </c>
    </row>
    <row r="431" spans="1:6" ht="18" hidden="1">
      <c r="A431" s="123">
        <v>32</v>
      </c>
      <c r="B431" s="123">
        <v>83.5</v>
      </c>
      <c r="C431" s="123">
        <v>53.5</v>
      </c>
      <c r="D431" s="123">
        <v>10</v>
      </c>
      <c r="E431" s="123" t="s">
        <v>2064</v>
      </c>
      <c r="F431" s="123">
        <f t="shared" si="17"/>
        <v>0.92200000000000004</v>
      </c>
    </row>
    <row r="432" spans="1:6" ht="18" hidden="1">
      <c r="A432" s="123">
        <v>32</v>
      </c>
      <c r="B432" s="123">
        <v>83.5</v>
      </c>
      <c r="C432" s="123">
        <v>56.5</v>
      </c>
      <c r="D432" s="123">
        <v>10</v>
      </c>
      <c r="E432" s="123" t="s">
        <v>2065</v>
      </c>
      <c r="F432" s="123">
        <f t="shared" si="17"/>
        <v>0.97399999999999998</v>
      </c>
    </row>
    <row r="433" spans="1:6" ht="18" hidden="1">
      <c r="A433" s="123">
        <v>32</v>
      </c>
      <c r="B433" s="123">
        <v>83.5</v>
      </c>
      <c r="C433" s="123">
        <v>59.5</v>
      </c>
      <c r="D433" s="123">
        <v>10</v>
      </c>
      <c r="E433" s="123" t="s">
        <v>730</v>
      </c>
      <c r="F433" s="123">
        <f t="shared" si="17"/>
        <v>1.026</v>
      </c>
    </row>
    <row r="434" spans="1:6" ht="18" hidden="1">
      <c r="A434" s="123">
        <v>32</v>
      </c>
      <c r="B434" s="123">
        <v>83.5</v>
      </c>
      <c r="C434" s="123">
        <v>62.5</v>
      </c>
      <c r="D434" s="123">
        <v>10</v>
      </c>
      <c r="E434" s="123" t="s">
        <v>2066</v>
      </c>
      <c r="F434" s="123">
        <f t="shared" si="17"/>
        <v>1.077</v>
      </c>
    </row>
    <row r="435" spans="1:6" ht="18" hidden="1">
      <c r="A435" s="123">
        <v>32</v>
      </c>
      <c r="B435" s="123">
        <v>83.5</v>
      </c>
      <c r="C435" s="123">
        <v>65.5</v>
      </c>
      <c r="D435" s="123">
        <v>10</v>
      </c>
      <c r="E435" s="123" t="s">
        <v>732</v>
      </c>
      <c r="F435" s="123">
        <f t="shared" si="17"/>
        <v>1.129</v>
      </c>
    </row>
    <row r="436" spans="1:6" ht="18" hidden="1">
      <c r="A436" s="123">
        <v>32</v>
      </c>
      <c r="B436" s="123">
        <v>83.5</v>
      </c>
      <c r="C436" s="123">
        <v>68.5</v>
      </c>
      <c r="D436" s="123">
        <v>10</v>
      </c>
      <c r="E436" s="123" t="s">
        <v>2067</v>
      </c>
      <c r="F436" s="123">
        <f t="shared" si="17"/>
        <v>1.181</v>
      </c>
    </row>
    <row r="437" spans="1:6" ht="18" hidden="1">
      <c r="A437" s="123">
        <v>32</v>
      </c>
      <c r="B437" s="123">
        <v>83.5</v>
      </c>
      <c r="C437" s="123">
        <v>71.5</v>
      </c>
      <c r="D437" s="123">
        <v>10</v>
      </c>
      <c r="E437" s="123" t="s">
        <v>734</v>
      </c>
      <c r="F437" s="123">
        <f t="shared" si="17"/>
        <v>1.2330000000000001</v>
      </c>
    </row>
    <row r="438" spans="1:6" ht="18" hidden="1">
      <c r="A438" s="123">
        <v>32</v>
      </c>
      <c r="B438" s="123">
        <v>12.5</v>
      </c>
      <c r="C438" s="123">
        <v>12.5</v>
      </c>
      <c r="D438" s="123">
        <v>10</v>
      </c>
      <c r="E438" s="123" t="s">
        <v>1478</v>
      </c>
      <c r="F438" s="123">
        <f t="shared" si="17"/>
        <v>3.2000000000000001E-2</v>
      </c>
    </row>
    <row r="439" spans="1:6" ht="18.75" hidden="1" thickBot="1">
      <c r="A439" s="159">
        <v>32</v>
      </c>
      <c r="B439" s="159">
        <v>19.5</v>
      </c>
      <c r="C439" s="159">
        <v>17.5</v>
      </c>
      <c r="D439" s="159">
        <v>10</v>
      </c>
      <c r="E439" s="159" t="s">
        <v>738</v>
      </c>
      <c r="F439" s="159">
        <f t="shared" si="17"/>
        <v>7.0000000000000007E-2</v>
      </c>
    </row>
    <row r="440" spans="1:6" ht="18" hidden="1">
      <c r="A440" s="224">
        <v>18</v>
      </c>
      <c r="B440" s="224">
        <v>71.5</v>
      </c>
      <c r="C440" s="224">
        <v>29.5</v>
      </c>
      <c r="D440" s="224">
        <v>10</v>
      </c>
      <c r="E440" s="224" t="s">
        <v>2068</v>
      </c>
      <c r="F440" s="224">
        <f t="shared" si="17"/>
        <v>0.245</v>
      </c>
    </row>
    <row r="441" spans="1:6" ht="18" hidden="1">
      <c r="A441" s="226">
        <v>18</v>
      </c>
      <c r="B441" s="226">
        <v>71.5</v>
      </c>
      <c r="C441" s="226">
        <v>32.5</v>
      </c>
      <c r="D441" s="226">
        <v>10</v>
      </c>
      <c r="E441" s="226" t="s">
        <v>2069</v>
      </c>
      <c r="F441" s="226">
        <f t="shared" ref="F441:F504" si="18">+ROUND((A441*B441*0.0254*C441*0.0254*(D441/1000)),3)</f>
        <v>0.27</v>
      </c>
    </row>
    <row r="442" spans="1:6" ht="18" hidden="1">
      <c r="A442" s="226">
        <v>18</v>
      </c>
      <c r="B442" s="226">
        <v>71.5</v>
      </c>
      <c r="C442" s="226">
        <v>35.5</v>
      </c>
      <c r="D442" s="226">
        <v>10</v>
      </c>
      <c r="E442" s="226" t="s">
        <v>2070</v>
      </c>
      <c r="F442" s="226">
        <f t="shared" si="18"/>
        <v>0.29499999999999998</v>
      </c>
    </row>
    <row r="443" spans="1:6" ht="18" hidden="1">
      <c r="A443" s="226">
        <v>18</v>
      </c>
      <c r="B443" s="226">
        <v>71.5</v>
      </c>
      <c r="C443" s="226">
        <v>38.5</v>
      </c>
      <c r="D443" s="226">
        <v>10</v>
      </c>
      <c r="E443" s="226" t="s">
        <v>2071</v>
      </c>
      <c r="F443" s="226">
        <f t="shared" si="18"/>
        <v>0.32</v>
      </c>
    </row>
    <row r="444" spans="1:6" ht="18" hidden="1">
      <c r="A444" s="226">
        <v>18</v>
      </c>
      <c r="B444" s="226">
        <v>71.5</v>
      </c>
      <c r="C444" s="226">
        <v>41.5</v>
      </c>
      <c r="D444" s="226">
        <v>10</v>
      </c>
      <c r="E444" s="226" t="s">
        <v>2072</v>
      </c>
      <c r="F444" s="226">
        <f t="shared" si="18"/>
        <v>0.34499999999999997</v>
      </c>
    </row>
    <row r="445" spans="1:6" ht="18" hidden="1">
      <c r="A445" s="226">
        <v>18</v>
      </c>
      <c r="B445" s="226">
        <v>71.5</v>
      </c>
      <c r="C445" s="226">
        <v>44.5</v>
      </c>
      <c r="D445" s="226">
        <v>10</v>
      </c>
      <c r="E445" s="226" t="s">
        <v>2073</v>
      </c>
      <c r="F445" s="226">
        <f t="shared" si="18"/>
        <v>0.36899999999999999</v>
      </c>
    </row>
    <row r="446" spans="1:6" ht="18" hidden="1">
      <c r="A446" s="226">
        <v>18</v>
      </c>
      <c r="B446" s="226">
        <v>71.5</v>
      </c>
      <c r="C446" s="226">
        <v>47.5</v>
      </c>
      <c r="D446" s="226">
        <v>10</v>
      </c>
      <c r="E446" s="226" t="s">
        <v>2074</v>
      </c>
      <c r="F446" s="226">
        <f t="shared" si="18"/>
        <v>0.39400000000000002</v>
      </c>
    </row>
    <row r="447" spans="1:6" ht="18" hidden="1">
      <c r="A447" s="226">
        <v>18</v>
      </c>
      <c r="B447" s="226">
        <v>71.5</v>
      </c>
      <c r="C447" s="226">
        <v>50.5</v>
      </c>
      <c r="D447" s="226">
        <v>10</v>
      </c>
      <c r="E447" s="226" t="s">
        <v>2075</v>
      </c>
      <c r="F447" s="226">
        <f t="shared" si="18"/>
        <v>0.41899999999999998</v>
      </c>
    </row>
    <row r="448" spans="1:6" ht="18" hidden="1">
      <c r="A448" s="226">
        <v>18</v>
      </c>
      <c r="B448" s="226">
        <v>71.5</v>
      </c>
      <c r="C448" s="226">
        <v>53.5</v>
      </c>
      <c r="D448" s="226">
        <v>10</v>
      </c>
      <c r="E448" s="226" t="s">
        <v>2076</v>
      </c>
      <c r="F448" s="226">
        <f t="shared" si="18"/>
        <v>0.44400000000000001</v>
      </c>
    </row>
    <row r="449" spans="1:6" ht="18" hidden="1">
      <c r="A449" s="226">
        <v>18</v>
      </c>
      <c r="B449" s="226">
        <v>71.5</v>
      </c>
      <c r="C449" s="226">
        <v>56.5</v>
      </c>
      <c r="D449" s="226">
        <v>10</v>
      </c>
      <c r="E449" s="226" t="s">
        <v>2077</v>
      </c>
      <c r="F449" s="226">
        <f t="shared" si="18"/>
        <v>0.46899999999999997</v>
      </c>
    </row>
    <row r="450" spans="1:6" ht="18" hidden="1">
      <c r="A450" s="226">
        <v>18</v>
      </c>
      <c r="B450" s="226">
        <v>71.5</v>
      </c>
      <c r="C450" s="226">
        <v>59.5</v>
      </c>
      <c r="D450" s="226">
        <v>10</v>
      </c>
      <c r="E450" s="226" t="s">
        <v>2078</v>
      </c>
      <c r="F450" s="226">
        <f t="shared" si="18"/>
        <v>0.49399999999999999</v>
      </c>
    </row>
    <row r="451" spans="1:6" ht="18" hidden="1">
      <c r="A451" s="226">
        <v>18</v>
      </c>
      <c r="B451" s="226">
        <v>71.5</v>
      </c>
      <c r="C451" s="226">
        <v>62.5</v>
      </c>
      <c r="D451" s="226">
        <v>10</v>
      </c>
      <c r="E451" s="226" t="s">
        <v>2079</v>
      </c>
      <c r="F451" s="226">
        <f t="shared" si="18"/>
        <v>0.51900000000000002</v>
      </c>
    </row>
    <row r="452" spans="1:6" ht="18" hidden="1">
      <c r="A452" s="226">
        <v>18</v>
      </c>
      <c r="B452" s="226">
        <v>71.5</v>
      </c>
      <c r="C452" s="226">
        <v>65.5</v>
      </c>
      <c r="D452" s="226">
        <v>10</v>
      </c>
      <c r="E452" s="226" t="s">
        <v>2080</v>
      </c>
      <c r="F452" s="226">
        <f t="shared" si="18"/>
        <v>0.54400000000000004</v>
      </c>
    </row>
    <row r="453" spans="1:6" ht="18" hidden="1">
      <c r="A453" s="226">
        <v>18</v>
      </c>
      <c r="B453" s="226">
        <v>71.5</v>
      </c>
      <c r="C453" s="226">
        <v>68.5</v>
      </c>
      <c r="D453" s="226">
        <v>10</v>
      </c>
      <c r="E453" s="226" t="s">
        <v>2081</v>
      </c>
      <c r="F453" s="226">
        <f t="shared" si="18"/>
        <v>0.56899999999999995</v>
      </c>
    </row>
    <row r="454" spans="1:6" ht="18" hidden="1">
      <c r="A454" s="226">
        <v>18</v>
      </c>
      <c r="B454" s="226">
        <v>71.5</v>
      </c>
      <c r="C454" s="226">
        <v>71.5</v>
      </c>
      <c r="D454" s="226">
        <v>10</v>
      </c>
      <c r="E454" s="226" t="s">
        <v>2082</v>
      </c>
      <c r="F454" s="226">
        <f t="shared" si="18"/>
        <v>0.59399999999999997</v>
      </c>
    </row>
    <row r="455" spans="1:6" ht="18" hidden="1">
      <c r="A455" s="226">
        <v>18</v>
      </c>
      <c r="B455" s="226">
        <v>74.5</v>
      </c>
      <c r="C455" s="226">
        <v>29.5</v>
      </c>
      <c r="D455" s="226">
        <v>10</v>
      </c>
      <c r="E455" s="226" t="s">
        <v>2083</v>
      </c>
      <c r="F455" s="226">
        <f t="shared" si="18"/>
        <v>0.255</v>
      </c>
    </row>
    <row r="456" spans="1:6" ht="18" hidden="1">
      <c r="A456" s="226">
        <v>18</v>
      </c>
      <c r="B456" s="226">
        <v>74.5</v>
      </c>
      <c r="C456" s="226">
        <v>32.5</v>
      </c>
      <c r="D456" s="226">
        <v>10</v>
      </c>
      <c r="E456" s="226" t="s">
        <v>2084</v>
      </c>
      <c r="F456" s="226">
        <f t="shared" si="18"/>
        <v>0.28100000000000003</v>
      </c>
    </row>
    <row r="457" spans="1:6" ht="18" hidden="1">
      <c r="A457" s="226">
        <v>18</v>
      </c>
      <c r="B457" s="226">
        <v>74.5</v>
      </c>
      <c r="C457" s="226">
        <v>35.5</v>
      </c>
      <c r="D457" s="226">
        <v>10</v>
      </c>
      <c r="E457" s="226" t="s">
        <v>2085</v>
      </c>
      <c r="F457" s="226">
        <f t="shared" si="18"/>
        <v>0.307</v>
      </c>
    </row>
    <row r="458" spans="1:6" ht="18" hidden="1">
      <c r="A458" s="226">
        <v>18</v>
      </c>
      <c r="B458" s="226">
        <v>74.5</v>
      </c>
      <c r="C458" s="226">
        <v>38.5</v>
      </c>
      <c r="D458" s="226">
        <v>10</v>
      </c>
      <c r="E458" s="226" t="s">
        <v>2086</v>
      </c>
      <c r="F458" s="226">
        <f t="shared" si="18"/>
        <v>0.33300000000000002</v>
      </c>
    </row>
    <row r="459" spans="1:6" ht="18" hidden="1">
      <c r="A459" s="226">
        <v>18</v>
      </c>
      <c r="B459" s="226">
        <v>74.5</v>
      </c>
      <c r="C459" s="226">
        <v>41.5</v>
      </c>
      <c r="D459" s="226">
        <v>10</v>
      </c>
      <c r="E459" s="226" t="s">
        <v>2087</v>
      </c>
      <c r="F459" s="226">
        <f t="shared" si="18"/>
        <v>0.35899999999999999</v>
      </c>
    </row>
    <row r="460" spans="1:6" ht="18" hidden="1">
      <c r="A460" s="226">
        <v>18</v>
      </c>
      <c r="B460" s="226">
        <v>74.5</v>
      </c>
      <c r="C460" s="226">
        <v>44.5</v>
      </c>
      <c r="D460" s="226">
        <v>10</v>
      </c>
      <c r="E460" s="226" t="s">
        <v>2088</v>
      </c>
      <c r="F460" s="226">
        <f t="shared" si="18"/>
        <v>0.38500000000000001</v>
      </c>
    </row>
    <row r="461" spans="1:6" ht="18" hidden="1">
      <c r="A461" s="226">
        <v>18</v>
      </c>
      <c r="B461" s="226">
        <v>74.5</v>
      </c>
      <c r="C461" s="226">
        <v>47.5</v>
      </c>
      <c r="D461" s="226">
        <v>10</v>
      </c>
      <c r="E461" s="226" t="s">
        <v>2089</v>
      </c>
      <c r="F461" s="226">
        <f t="shared" si="18"/>
        <v>0.41099999999999998</v>
      </c>
    </row>
    <row r="462" spans="1:6" ht="18" hidden="1">
      <c r="A462" s="226">
        <v>18</v>
      </c>
      <c r="B462" s="226">
        <v>74.5</v>
      </c>
      <c r="C462" s="226">
        <v>50.5</v>
      </c>
      <c r="D462" s="226">
        <v>10</v>
      </c>
      <c r="E462" s="226" t="s">
        <v>2090</v>
      </c>
      <c r="F462" s="226">
        <f t="shared" si="18"/>
        <v>0.437</v>
      </c>
    </row>
    <row r="463" spans="1:6" ht="18" hidden="1">
      <c r="A463" s="226">
        <v>18</v>
      </c>
      <c r="B463" s="226">
        <v>74.5</v>
      </c>
      <c r="C463" s="226">
        <v>53.5</v>
      </c>
      <c r="D463" s="226">
        <v>10</v>
      </c>
      <c r="E463" s="226" t="s">
        <v>2091</v>
      </c>
      <c r="F463" s="226">
        <f t="shared" si="18"/>
        <v>0.46300000000000002</v>
      </c>
    </row>
    <row r="464" spans="1:6" ht="18" hidden="1">
      <c r="A464" s="226">
        <v>18</v>
      </c>
      <c r="B464" s="226">
        <v>74.5</v>
      </c>
      <c r="C464" s="226">
        <v>56.5</v>
      </c>
      <c r="D464" s="226">
        <v>10</v>
      </c>
      <c r="E464" s="226" t="s">
        <v>2092</v>
      </c>
      <c r="F464" s="226">
        <f t="shared" si="18"/>
        <v>0.48899999999999999</v>
      </c>
    </row>
    <row r="465" spans="1:6" ht="18" hidden="1">
      <c r="A465" s="226">
        <v>18</v>
      </c>
      <c r="B465" s="226">
        <v>74.5</v>
      </c>
      <c r="C465" s="226">
        <v>59.5</v>
      </c>
      <c r="D465" s="226">
        <v>10</v>
      </c>
      <c r="E465" s="226" t="s">
        <v>2093</v>
      </c>
      <c r="F465" s="226">
        <f t="shared" si="18"/>
        <v>0.51500000000000001</v>
      </c>
    </row>
    <row r="466" spans="1:6" ht="18" hidden="1">
      <c r="A466" s="226">
        <v>18</v>
      </c>
      <c r="B466" s="226">
        <v>74.5</v>
      </c>
      <c r="C466" s="226">
        <v>62.5</v>
      </c>
      <c r="D466" s="226">
        <v>10</v>
      </c>
      <c r="E466" s="226" t="s">
        <v>2094</v>
      </c>
      <c r="F466" s="226">
        <f t="shared" si="18"/>
        <v>0.54100000000000004</v>
      </c>
    </row>
    <row r="467" spans="1:6" ht="18" hidden="1">
      <c r="A467" s="226">
        <v>18</v>
      </c>
      <c r="B467" s="226">
        <v>74.5</v>
      </c>
      <c r="C467" s="226">
        <v>65.5</v>
      </c>
      <c r="D467" s="226">
        <v>10</v>
      </c>
      <c r="E467" s="226" t="s">
        <v>2095</v>
      </c>
      <c r="F467" s="226">
        <f t="shared" si="18"/>
        <v>0.56699999999999995</v>
      </c>
    </row>
    <row r="468" spans="1:6" ht="18" hidden="1">
      <c r="A468" s="226">
        <v>18</v>
      </c>
      <c r="B468" s="226">
        <v>74.5</v>
      </c>
      <c r="C468" s="226">
        <v>68.5</v>
      </c>
      <c r="D468" s="226">
        <v>10</v>
      </c>
      <c r="E468" s="226" t="s">
        <v>2096</v>
      </c>
      <c r="F468" s="226">
        <f t="shared" si="18"/>
        <v>0.59299999999999997</v>
      </c>
    </row>
    <row r="469" spans="1:6" ht="18" hidden="1">
      <c r="A469" s="226">
        <v>18</v>
      </c>
      <c r="B469" s="226">
        <v>74.5</v>
      </c>
      <c r="C469" s="226">
        <v>71.5</v>
      </c>
      <c r="D469" s="226">
        <v>10</v>
      </c>
      <c r="E469" s="226" t="s">
        <v>2097</v>
      </c>
      <c r="F469" s="226">
        <f t="shared" si="18"/>
        <v>0.61899999999999999</v>
      </c>
    </row>
    <row r="470" spans="1:6" ht="18" hidden="1">
      <c r="A470" s="226">
        <v>18</v>
      </c>
      <c r="B470" s="226">
        <v>77.5</v>
      </c>
      <c r="C470" s="226">
        <v>29.5</v>
      </c>
      <c r="D470" s="226">
        <v>10</v>
      </c>
      <c r="E470" s="226" t="s">
        <v>2098</v>
      </c>
      <c r="F470" s="226">
        <f t="shared" si="18"/>
        <v>0.26500000000000001</v>
      </c>
    </row>
    <row r="471" spans="1:6" ht="18" hidden="1">
      <c r="A471" s="226">
        <v>18</v>
      </c>
      <c r="B471" s="226">
        <v>77.5</v>
      </c>
      <c r="C471" s="226">
        <v>32.5</v>
      </c>
      <c r="D471" s="226">
        <v>10</v>
      </c>
      <c r="E471" s="226" t="s">
        <v>2099</v>
      </c>
      <c r="F471" s="226">
        <f t="shared" si="18"/>
        <v>0.29199999999999998</v>
      </c>
    </row>
    <row r="472" spans="1:6" ht="18" hidden="1">
      <c r="A472" s="226">
        <v>18</v>
      </c>
      <c r="B472" s="226">
        <v>77.5</v>
      </c>
      <c r="C472" s="226">
        <v>35.5</v>
      </c>
      <c r="D472" s="226">
        <v>10</v>
      </c>
      <c r="E472" s="226" t="s">
        <v>2100</v>
      </c>
      <c r="F472" s="226">
        <f t="shared" si="18"/>
        <v>0.31900000000000001</v>
      </c>
    </row>
    <row r="473" spans="1:6" ht="18" hidden="1">
      <c r="A473" s="226">
        <v>18</v>
      </c>
      <c r="B473" s="226">
        <v>77.5</v>
      </c>
      <c r="C473" s="226">
        <v>38.5</v>
      </c>
      <c r="D473" s="226">
        <v>10</v>
      </c>
      <c r="E473" s="226" t="s">
        <v>2101</v>
      </c>
      <c r="F473" s="226">
        <f t="shared" si="18"/>
        <v>0.34599999999999997</v>
      </c>
    </row>
    <row r="474" spans="1:6" ht="18" hidden="1">
      <c r="A474" s="226">
        <v>18</v>
      </c>
      <c r="B474" s="226">
        <v>77.5</v>
      </c>
      <c r="C474" s="226">
        <v>41.5</v>
      </c>
      <c r="D474" s="226">
        <v>10</v>
      </c>
      <c r="E474" s="226" t="s">
        <v>2102</v>
      </c>
      <c r="F474" s="226">
        <f t="shared" si="18"/>
        <v>0.373</v>
      </c>
    </row>
    <row r="475" spans="1:6" ht="18" hidden="1">
      <c r="A475" s="226">
        <v>18</v>
      </c>
      <c r="B475" s="226">
        <v>77.5</v>
      </c>
      <c r="C475" s="226">
        <v>44.5</v>
      </c>
      <c r="D475" s="226">
        <v>10</v>
      </c>
      <c r="E475" s="226" t="s">
        <v>2103</v>
      </c>
      <c r="F475" s="226">
        <f t="shared" si="18"/>
        <v>0.4</v>
      </c>
    </row>
    <row r="476" spans="1:6" ht="18" hidden="1">
      <c r="A476" s="226">
        <v>18</v>
      </c>
      <c r="B476" s="226">
        <v>77.5</v>
      </c>
      <c r="C476" s="226">
        <v>47.5</v>
      </c>
      <c r="D476" s="226">
        <v>10</v>
      </c>
      <c r="E476" s="226" t="s">
        <v>2104</v>
      </c>
      <c r="F476" s="226">
        <f t="shared" si="18"/>
        <v>0.42699999999999999</v>
      </c>
    </row>
    <row r="477" spans="1:6" ht="18" hidden="1">
      <c r="A477" s="226">
        <v>18</v>
      </c>
      <c r="B477" s="226">
        <v>77.5</v>
      </c>
      <c r="C477" s="226">
        <v>50.5</v>
      </c>
      <c r="D477" s="226">
        <v>10</v>
      </c>
      <c r="E477" s="226" t="s">
        <v>2105</v>
      </c>
      <c r="F477" s="226">
        <f t="shared" si="18"/>
        <v>0.45400000000000001</v>
      </c>
    </row>
    <row r="478" spans="1:6" ht="18" hidden="1">
      <c r="A478" s="226">
        <v>18</v>
      </c>
      <c r="B478" s="226">
        <v>77.5</v>
      </c>
      <c r="C478" s="226">
        <v>53.5</v>
      </c>
      <c r="D478" s="226">
        <v>10</v>
      </c>
      <c r="E478" s="226" t="s">
        <v>2106</v>
      </c>
      <c r="F478" s="226">
        <f t="shared" si="18"/>
        <v>0.48099999999999998</v>
      </c>
    </row>
    <row r="479" spans="1:6" ht="18" hidden="1">
      <c r="A479" s="226">
        <v>18</v>
      </c>
      <c r="B479" s="226">
        <v>77.5</v>
      </c>
      <c r="C479" s="226">
        <v>56.5</v>
      </c>
      <c r="D479" s="226">
        <v>10</v>
      </c>
      <c r="E479" s="226" t="s">
        <v>2107</v>
      </c>
      <c r="F479" s="226">
        <f t="shared" si="18"/>
        <v>0.50800000000000001</v>
      </c>
    </row>
    <row r="480" spans="1:6" ht="18" hidden="1">
      <c r="A480" s="226">
        <v>18</v>
      </c>
      <c r="B480" s="226">
        <v>77.5</v>
      </c>
      <c r="C480" s="226">
        <v>59.5</v>
      </c>
      <c r="D480" s="226">
        <v>10</v>
      </c>
      <c r="E480" s="226" t="s">
        <v>2108</v>
      </c>
      <c r="F480" s="226">
        <f t="shared" si="18"/>
        <v>0.53500000000000003</v>
      </c>
    </row>
    <row r="481" spans="1:6" ht="18" hidden="1">
      <c r="A481" s="226">
        <v>18</v>
      </c>
      <c r="B481" s="226">
        <v>77.5</v>
      </c>
      <c r="C481" s="226">
        <v>62.5</v>
      </c>
      <c r="D481" s="226">
        <v>10</v>
      </c>
      <c r="E481" s="226" t="s">
        <v>2109</v>
      </c>
      <c r="F481" s="226">
        <f t="shared" si="18"/>
        <v>0.56200000000000006</v>
      </c>
    </row>
    <row r="482" spans="1:6" ht="18" hidden="1">
      <c r="A482" s="226">
        <v>18</v>
      </c>
      <c r="B482" s="226">
        <v>77.5</v>
      </c>
      <c r="C482" s="226">
        <v>65.5</v>
      </c>
      <c r="D482" s="226">
        <v>10</v>
      </c>
      <c r="E482" s="226" t="s">
        <v>2110</v>
      </c>
      <c r="F482" s="226">
        <f t="shared" si="18"/>
        <v>0.58899999999999997</v>
      </c>
    </row>
    <row r="483" spans="1:6" ht="18" hidden="1">
      <c r="A483" s="226">
        <v>18</v>
      </c>
      <c r="B483" s="226">
        <v>77.5</v>
      </c>
      <c r="C483" s="226">
        <v>68.5</v>
      </c>
      <c r="D483" s="226">
        <v>10</v>
      </c>
      <c r="E483" s="226" t="s">
        <v>2111</v>
      </c>
      <c r="F483" s="226">
        <f t="shared" si="18"/>
        <v>0.61599999999999999</v>
      </c>
    </row>
    <row r="484" spans="1:6" ht="18" hidden="1">
      <c r="A484" s="226">
        <v>18</v>
      </c>
      <c r="B484" s="226">
        <v>77.5</v>
      </c>
      <c r="C484" s="226">
        <v>71.5</v>
      </c>
      <c r="D484" s="226">
        <v>10</v>
      </c>
      <c r="E484" s="226" t="s">
        <v>2112</v>
      </c>
      <c r="F484" s="226">
        <f t="shared" si="18"/>
        <v>0.64300000000000002</v>
      </c>
    </row>
    <row r="485" spans="1:6" ht="18" hidden="1">
      <c r="A485" s="226">
        <v>18</v>
      </c>
      <c r="B485" s="226">
        <v>79.5</v>
      </c>
      <c r="C485" s="226">
        <v>29.5</v>
      </c>
      <c r="D485" s="226">
        <v>10</v>
      </c>
      <c r="E485" s="226" t="s">
        <v>2113</v>
      </c>
      <c r="F485" s="226">
        <f t="shared" si="18"/>
        <v>0.27200000000000002</v>
      </c>
    </row>
    <row r="486" spans="1:6" ht="18" hidden="1">
      <c r="A486" s="226">
        <v>18</v>
      </c>
      <c r="B486" s="226">
        <v>79.5</v>
      </c>
      <c r="C486" s="226">
        <v>32.5</v>
      </c>
      <c r="D486" s="226">
        <v>10</v>
      </c>
      <c r="E486" s="226" t="s">
        <v>2114</v>
      </c>
      <c r="F486" s="226">
        <f t="shared" si="18"/>
        <v>0.3</v>
      </c>
    </row>
    <row r="487" spans="1:6" ht="18" hidden="1">
      <c r="A487" s="226">
        <v>18</v>
      </c>
      <c r="B487" s="226">
        <v>79.5</v>
      </c>
      <c r="C487" s="226">
        <v>35.5</v>
      </c>
      <c r="D487" s="226">
        <v>10</v>
      </c>
      <c r="E487" s="226" t="s">
        <v>2115</v>
      </c>
      <c r="F487" s="226">
        <f t="shared" si="18"/>
        <v>0.32800000000000001</v>
      </c>
    </row>
    <row r="488" spans="1:6" ht="18" hidden="1">
      <c r="A488" s="226">
        <v>18</v>
      </c>
      <c r="B488" s="226">
        <v>79.5</v>
      </c>
      <c r="C488" s="226">
        <v>38.5</v>
      </c>
      <c r="D488" s="226">
        <v>10</v>
      </c>
      <c r="E488" s="226" t="s">
        <v>2116</v>
      </c>
      <c r="F488" s="226">
        <f t="shared" si="18"/>
        <v>0.35499999999999998</v>
      </c>
    </row>
    <row r="489" spans="1:6" ht="18" hidden="1">
      <c r="A489" s="226">
        <v>18</v>
      </c>
      <c r="B489" s="226">
        <v>79.5</v>
      </c>
      <c r="C489" s="226">
        <v>41.5</v>
      </c>
      <c r="D489" s="226">
        <v>10</v>
      </c>
      <c r="E489" s="226" t="s">
        <v>2117</v>
      </c>
      <c r="F489" s="226">
        <f t="shared" si="18"/>
        <v>0.38300000000000001</v>
      </c>
    </row>
    <row r="490" spans="1:6" ht="18" hidden="1">
      <c r="A490" s="226">
        <v>18</v>
      </c>
      <c r="B490" s="226">
        <v>79.5</v>
      </c>
      <c r="C490" s="226">
        <v>44.5</v>
      </c>
      <c r="D490" s="226">
        <v>10</v>
      </c>
      <c r="E490" s="226" t="s">
        <v>2118</v>
      </c>
      <c r="F490" s="226">
        <f t="shared" si="18"/>
        <v>0.41099999999999998</v>
      </c>
    </row>
    <row r="491" spans="1:6" ht="18" hidden="1">
      <c r="A491" s="226">
        <v>18</v>
      </c>
      <c r="B491" s="226">
        <v>79.5</v>
      </c>
      <c r="C491" s="226">
        <v>47.5</v>
      </c>
      <c r="D491" s="226">
        <v>10</v>
      </c>
      <c r="E491" s="226" t="s">
        <v>2119</v>
      </c>
      <c r="F491" s="226">
        <f t="shared" si="18"/>
        <v>0.439</v>
      </c>
    </row>
    <row r="492" spans="1:6" ht="18" hidden="1">
      <c r="A492" s="226">
        <v>18</v>
      </c>
      <c r="B492" s="226">
        <v>79.5</v>
      </c>
      <c r="C492" s="226">
        <v>50.5</v>
      </c>
      <c r="D492" s="226">
        <v>10</v>
      </c>
      <c r="E492" s="226" t="s">
        <v>2120</v>
      </c>
      <c r="F492" s="226">
        <f t="shared" si="18"/>
        <v>0.46600000000000003</v>
      </c>
    </row>
    <row r="493" spans="1:6" ht="18" hidden="1">
      <c r="A493" s="226">
        <v>18</v>
      </c>
      <c r="B493" s="226">
        <v>79.5</v>
      </c>
      <c r="C493" s="226">
        <v>53.5</v>
      </c>
      <c r="D493" s="226">
        <v>10</v>
      </c>
      <c r="E493" s="226" t="s">
        <v>2121</v>
      </c>
      <c r="F493" s="226">
        <f t="shared" si="18"/>
        <v>0.49399999999999999</v>
      </c>
    </row>
    <row r="494" spans="1:6" ht="18" hidden="1">
      <c r="A494" s="226">
        <v>18</v>
      </c>
      <c r="B494" s="226">
        <v>79.5</v>
      </c>
      <c r="C494" s="226">
        <v>56.5</v>
      </c>
      <c r="D494" s="226">
        <v>10</v>
      </c>
      <c r="E494" s="226" t="s">
        <v>2122</v>
      </c>
      <c r="F494" s="226">
        <f t="shared" si="18"/>
        <v>0.52200000000000002</v>
      </c>
    </row>
    <row r="495" spans="1:6" ht="18" hidden="1">
      <c r="A495" s="226">
        <v>18</v>
      </c>
      <c r="B495" s="226">
        <v>79.5</v>
      </c>
      <c r="C495" s="226">
        <v>59.5</v>
      </c>
      <c r="D495" s="226">
        <v>10</v>
      </c>
      <c r="E495" s="226" t="s">
        <v>2123</v>
      </c>
      <c r="F495" s="226">
        <f t="shared" si="18"/>
        <v>0.54900000000000004</v>
      </c>
    </row>
    <row r="496" spans="1:6" ht="18" hidden="1">
      <c r="A496" s="226">
        <v>18</v>
      </c>
      <c r="B496" s="226">
        <v>79.5</v>
      </c>
      <c r="C496" s="226">
        <v>62.5</v>
      </c>
      <c r="D496" s="226">
        <v>10</v>
      </c>
      <c r="E496" s="226" t="s">
        <v>2124</v>
      </c>
      <c r="F496" s="226">
        <f t="shared" si="18"/>
        <v>0.57699999999999996</v>
      </c>
    </row>
    <row r="497" spans="1:6" ht="18" hidden="1">
      <c r="A497" s="226">
        <v>18</v>
      </c>
      <c r="B497" s="226">
        <v>79.5</v>
      </c>
      <c r="C497" s="226">
        <v>65.5</v>
      </c>
      <c r="D497" s="226">
        <v>10</v>
      </c>
      <c r="E497" s="226" t="s">
        <v>2125</v>
      </c>
      <c r="F497" s="226">
        <f t="shared" si="18"/>
        <v>0.60499999999999998</v>
      </c>
    </row>
    <row r="498" spans="1:6" ht="18" hidden="1">
      <c r="A498" s="226">
        <v>18</v>
      </c>
      <c r="B498" s="226">
        <v>79.5</v>
      </c>
      <c r="C498" s="226">
        <v>68.5</v>
      </c>
      <c r="D498" s="226">
        <v>10</v>
      </c>
      <c r="E498" s="226" t="s">
        <v>2126</v>
      </c>
      <c r="F498" s="226">
        <f t="shared" si="18"/>
        <v>0.63200000000000001</v>
      </c>
    </row>
    <row r="499" spans="1:6" ht="18" hidden="1">
      <c r="A499" s="226">
        <v>18</v>
      </c>
      <c r="B499" s="226">
        <v>79.5</v>
      </c>
      <c r="C499" s="226">
        <v>71.5</v>
      </c>
      <c r="D499" s="226">
        <v>10</v>
      </c>
      <c r="E499" s="226" t="s">
        <v>2127</v>
      </c>
      <c r="F499" s="226">
        <f t="shared" si="18"/>
        <v>0.66</v>
      </c>
    </row>
    <row r="500" spans="1:6" ht="18" hidden="1">
      <c r="A500" s="226">
        <v>18</v>
      </c>
      <c r="B500" s="226">
        <v>83.5</v>
      </c>
      <c r="C500" s="226">
        <v>29.5</v>
      </c>
      <c r="D500" s="226">
        <v>10</v>
      </c>
      <c r="E500" s="226" t="s">
        <v>2128</v>
      </c>
      <c r="F500" s="226">
        <f t="shared" si="18"/>
        <v>0.28599999999999998</v>
      </c>
    </row>
    <row r="501" spans="1:6" ht="18" hidden="1">
      <c r="A501" s="226">
        <v>18</v>
      </c>
      <c r="B501" s="226">
        <v>83.5</v>
      </c>
      <c r="C501" s="226">
        <v>32.5</v>
      </c>
      <c r="D501" s="226">
        <v>10</v>
      </c>
      <c r="E501" s="226" t="s">
        <v>2129</v>
      </c>
      <c r="F501" s="226">
        <f t="shared" si="18"/>
        <v>0.315</v>
      </c>
    </row>
    <row r="502" spans="1:6" ht="18" hidden="1">
      <c r="A502" s="226">
        <v>18</v>
      </c>
      <c r="B502" s="226">
        <v>83.5</v>
      </c>
      <c r="C502" s="226">
        <v>35.5</v>
      </c>
      <c r="D502" s="226">
        <v>10</v>
      </c>
      <c r="E502" s="226" t="s">
        <v>2130</v>
      </c>
      <c r="F502" s="226">
        <f t="shared" si="18"/>
        <v>0.34399999999999997</v>
      </c>
    </row>
    <row r="503" spans="1:6" ht="18" hidden="1">
      <c r="A503" s="226">
        <v>18</v>
      </c>
      <c r="B503" s="226">
        <v>83.5</v>
      </c>
      <c r="C503" s="226">
        <v>38.5</v>
      </c>
      <c r="D503" s="226">
        <v>10</v>
      </c>
      <c r="E503" s="226" t="s">
        <v>2131</v>
      </c>
      <c r="F503" s="226">
        <f t="shared" si="18"/>
        <v>0.373</v>
      </c>
    </row>
    <row r="504" spans="1:6" ht="18" hidden="1">
      <c r="A504" s="226">
        <v>18</v>
      </c>
      <c r="B504" s="226">
        <v>83.5</v>
      </c>
      <c r="C504" s="226">
        <v>41.5</v>
      </c>
      <c r="D504" s="226">
        <v>10</v>
      </c>
      <c r="E504" s="226" t="s">
        <v>2132</v>
      </c>
      <c r="F504" s="226">
        <f t="shared" si="18"/>
        <v>0.40200000000000002</v>
      </c>
    </row>
    <row r="505" spans="1:6" ht="18" hidden="1">
      <c r="A505" s="226">
        <v>18</v>
      </c>
      <c r="B505" s="226">
        <v>83.5</v>
      </c>
      <c r="C505" s="226">
        <v>44.5</v>
      </c>
      <c r="D505" s="226">
        <v>10</v>
      </c>
      <c r="E505" s="226" t="s">
        <v>2133</v>
      </c>
      <c r="F505" s="226">
        <f t="shared" ref="F505:F517" si="19">+ROUND((A505*B505*0.0254*C505*0.0254*(D505/1000)),3)</f>
        <v>0.432</v>
      </c>
    </row>
    <row r="506" spans="1:6" ht="18" hidden="1">
      <c r="A506" s="226">
        <v>18</v>
      </c>
      <c r="B506" s="226">
        <v>83.5</v>
      </c>
      <c r="C506" s="226">
        <v>47.5</v>
      </c>
      <c r="D506" s="226">
        <v>10</v>
      </c>
      <c r="E506" s="226" t="s">
        <v>2134</v>
      </c>
      <c r="F506" s="226">
        <f t="shared" si="19"/>
        <v>0.46100000000000002</v>
      </c>
    </row>
    <row r="507" spans="1:6" ht="18" hidden="1">
      <c r="A507" s="226">
        <v>18</v>
      </c>
      <c r="B507" s="226">
        <v>83.5</v>
      </c>
      <c r="C507" s="226">
        <v>50.5</v>
      </c>
      <c r="D507" s="226">
        <v>10</v>
      </c>
      <c r="E507" s="226" t="s">
        <v>2135</v>
      </c>
      <c r="F507" s="226">
        <f t="shared" si="19"/>
        <v>0.49</v>
      </c>
    </row>
    <row r="508" spans="1:6" ht="18" hidden="1">
      <c r="A508" s="226">
        <v>18</v>
      </c>
      <c r="B508" s="226">
        <v>83.5</v>
      </c>
      <c r="C508" s="226">
        <v>53.5</v>
      </c>
      <c r="D508" s="226">
        <v>10</v>
      </c>
      <c r="E508" s="226" t="s">
        <v>2136</v>
      </c>
      <c r="F508" s="226">
        <f t="shared" si="19"/>
        <v>0.51900000000000002</v>
      </c>
    </row>
    <row r="509" spans="1:6" ht="18" hidden="1">
      <c r="A509" s="226">
        <v>18</v>
      </c>
      <c r="B509" s="226">
        <v>83.5</v>
      </c>
      <c r="C509" s="226">
        <v>56.5</v>
      </c>
      <c r="D509" s="226">
        <v>10</v>
      </c>
      <c r="E509" s="226" t="s">
        <v>2137</v>
      </c>
      <c r="F509" s="226">
        <f t="shared" si="19"/>
        <v>0.54800000000000004</v>
      </c>
    </row>
    <row r="510" spans="1:6" ht="18" hidden="1">
      <c r="A510" s="226">
        <v>18</v>
      </c>
      <c r="B510" s="226">
        <v>83.5</v>
      </c>
      <c r="C510" s="226">
        <v>59.5</v>
      </c>
      <c r="D510" s="226">
        <v>10</v>
      </c>
      <c r="E510" s="226" t="s">
        <v>2138</v>
      </c>
      <c r="F510" s="226">
        <f t="shared" si="19"/>
        <v>0.57699999999999996</v>
      </c>
    </row>
    <row r="511" spans="1:6" ht="18" hidden="1">
      <c r="A511" s="226">
        <v>18</v>
      </c>
      <c r="B511" s="226">
        <v>83.5</v>
      </c>
      <c r="C511" s="226">
        <v>62.5</v>
      </c>
      <c r="D511" s="226">
        <v>10</v>
      </c>
      <c r="E511" s="226" t="s">
        <v>2139</v>
      </c>
      <c r="F511" s="226">
        <f t="shared" si="19"/>
        <v>0.60599999999999998</v>
      </c>
    </row>
    <row r="512" spans="1:6" ht="18" hidden="1">
      <c r="A512" s="226">
        <v>18</v>
      </c>
      <c r="B512" s="226">
        <v>83.5</v>
      </c>
      <c r="C512" s="226">
        <v>65.5</v>
      </c>
      <c r="D512" s="226">
        <v>10</v>
      </c>
      <c r="E512" s="226" t="s">
        <v>2140</v>
      </c>
      <c r="F512" s="226">
        <f t="shared" si="19"/>
        <v>0.63500000000000001</v>
      </c>
    </row>
    <row r="513" spans="1:6" ht="18" hidden="1">
      <c r="A513" s="226">
        <v>18</v>
      </c>
      <c r="B513" s="226">
        <v>83.5</v>
      </c>
      <c r="C513" s="226">
        <v>68.5</v>
      </c>
      <c r="D513" s="226">
        <v>10</v>
      </c>
      <c r="E513" s="226" t="s">
        <v>2141</v>
      </c>
      <c r="F513" s="226">
        <f t="shared" si="19"/>
        <v>0.66400000000000003</v>
      </c>
    </row>
    <row r="514" spans="1:6" ht="18" hidden="1">
      <c r="A514" s="226">
        <v>18</v>
      </c>
      <c r="B514" s="226">
        <v>83.5</v>
      </c>
      <c r="C514" s="226">
        <v>71.5</v>
      </c>
      <c r="D514" s="226">
        <v>10</v>
      </c>
      <c r="E514" s="226" t="s">
        <v>2142</v>
      </c>
      <c r="F514" s="226">
        <f t="shared" si="19"/>
        <v>0.69299999999999995</v>
      </c>
    </row>
    <row r="515" spans="1:6" ht="18" hidden="1">
      <c r="A515" s="226">
        <v>18</v>
      </c>
      <c r="B515" s="226">
        <v>12.5</v>
      </c>
      <c r="C515" s="226">
        <v>12.5</v>
      </c>
      <c r="D515" s="226">
        <v>10</v>
      </c>
      <c r="E515" s="226" t="s">
        <v>2143</v>
      </c>
      <c r="F515" s="226">
        <f t="shared" si="19"/>
        <v>1.7999999999999999E-2</v>
      </c>
    </row>
    <row r="516" spans="1:6" ht="18.75" hidden="1" thickBot="1">
      <c r="A516" s="228">
        <v>18</v>
      </c>
      <c r="B516" s="228">
        <v>19.5</v>
      </c>
      <c r="C516" s="228">
        <v>17.5</v>
      </c>
      <c r="D516" s="228">
        <v>10</v>
      </c>
      <c r="E516" s="228" t="s">
        <v>2144</v>
      </c>
      <c r="F516" s="228">
        <f t="shared" si="19"/>
        <v>0.04</v>
      </c>
    </row>
    <row r="517" spans="1:6" ht="18" hidden="1">
      <c r="A517" s="171">
        <v>23</v>
      </c>
      <c r="B517" s="171">
        <v>71.5</v>
      </c>
      <c r="C517" s="171">
        <v>29.5</v>
      </c>
      <c r="D517" s="171">
        <v>15</v>
      </c>
      <c r="E517" s="171" t="s">
        <v>2145</v>
      </c>
      <c r="F517" s="171">
        <f t="shared" si="19"/>
        <v>0.46899999999999997</v>
      </c>
    </row>
    <row r="518" spans="1:6" ht="18" hidden="1">
      <c r="A518" s="130">
        <v>23</v>
      </c>
      <c r="B518" s="130">
        <v>71.5</v>
      </c>
      <c r="C518" s="130">
        <v>32.5</v>
      </c>
      <c r="D518" s="130">
        <v>15</v>
      </c>
      <c r="E518" s="130" t="s">
        <v>2146</v>
      </c>
      <c r="F518" s="130">
        <f t="shared" ref="F518:F581" si="20">+ROUND((A518*B518*0.0254*C518*0.0254*(D518/1000)),3)</f>
        <v>0.51700000000000002</v>
      </c>
    </row>
    <row r="519" spans="1:6" ht="18" hidden="1">
      <c r="A519" s="130">
        <v>23</v>
      </c>
      <c r="B519" s="130">
        <v>71.5</v>
      </c>
      <c r="C519" s="130">
        <v>35.5</v>
      </c>
      <c r="D519" s="130">
        <v>15</v>
      </c>
      <c r="E519" s="130" t="s">
        <v>2147</v>
      </c>
      <c r="F519" s="130">
        <f t="shared" si="20"/>
        <v>0.56499999999999995</v>
      </c>
    </row>
    <row r="520" spans="1:6" ht="18" hidden="1">
      <c r="A520" s="130">
        <v>23</v>
      </c>
      <c r="B520" s="130">
        <v>71.5</v>
      </c>
      <c r="C520" s="130">
        <v>38.5</v>
      </c>
      <c r="D520" s="130">
        <v>15</v>
      </c>
      <c r="E520" s="130" t="s">
        <v>2148</v>
      </c>
      <c r="F520" s="130">
        <f t="shared" si="20"/>
        <v>0.61299999999999999</v>
      </c>
    </row>
    <row r="521" spans="1:6" ht="18" hidden="1">
      <c r="A521" s="130">
        <v>23</v>
      </c>
      <c r="B521" s="130">
        <v>71.5</v>
      </c>
      <c r="C521" s="130">
        <v>41.5</v>
      </c>
      <c r="D521" s="130">
        <v>15</v>
      </c>
      <c r="E521" s="130" t="s">
        <v>2149</v>
      </c>
      <c r="F521" s="130">
        <f t="shared" si="20"/>
        <v>0.66</v>
      </c>
    </row>
    <row r="522" spans="1:6" ht="18" hidden="1">
      <c r="A522" s="130">
        <v>23</v>
      </c>
      <c r="B522" s="130">
        <v>71.5</v>
      </c>
      <c r="C522" s="130">
        <v>44.5</v>
      </c>
      <c r="D522" s="130">
        <v>15</v>
      </c>
      <c r="E522" s="130" t="s">
        <v>2150</v>
      </c>
      <c r="F522" s="130">
        <f t="shared" si="20"/>
        <v>0.70799999999999996</v>
      </c>
    </row>
    <row r="523" spans="1:6" ht="18" hidden="1">
      <c r="A523" s="130">
        <v>23</v>
      </c>
      <c r="B523" s="130">
        <v>71.5</v>
      </c>
      <c r="C523" s="130">
        <v>47.5</v>
      </c>
      <c r="D523" s="130">
        <v>15</v>
      </c>
      <c r="E523" s="130" t="s">
        <v>2151</v>
      </c>
      <c r="F523" s="130">
        <f t="shared" si="20"/>
        <v>0.75600000000000001</v>
      </c>
    </row>
    <row r="524" spans="1:6" ht="18" hidden="1">
      <c r="A524" s="130">
        <v>23</v>
      </c>
      <c r="B524" s="130">
        <v>71.5</v>
      </c>
      <c r="C524" s="130">
        <v>50.5</v>
      </c>
      <c r="D524" s="130">
        <v>15</v>
      </c>
      <c r="E524" s="130" t="s">
        <v>2152</v>
      </c>
      <c r="F524" s="130">
        <f t="shared" si="20"/>
        <v>0.80400000000000005</v>
      </c>
    </row>
    <row r="525" spans="1:6" ht="18" hidden="1">
      <c r="A525" s="130">
        <v>23</v>
      </c>
      <c r="B525" s="130">
        <v>71.5</v>
      </c>
      <c r="C525" s="130">
        <v>53.5</v>
      </c>
      <c r="D525" s="130">
        <v>15</v>
      </c>
      <c r="E525" s="130" t="s">
        <v>2153</v>
      </c>
      <c r="F525" s="130">
        <f t="shared" si="20"/>
        <v>0.85099999999999998</v>
      </c>
    </row>
    <row r="526" spans="1:6" ht="18" hidden="1">
      <c r="A526" s="130">
        <v>23</v>
      </c>
      <c r="B526" s="130">
        <v>71.5</v>
      </c>
      <c r="C526" s="130">
        <v>56.5</v>
      </c>
      <c r="D526" s="130">
        <v>15</v>
      </c>
      <c r="E526" s="130" t="s">
        <v>2154</v>
      </c>
      <c r="F526" s="130">
        <f t="shared" si="20"/>
        <v>0.89900000000000002</v>
      </c>
    </row>
    <row r="527" spans="1:6" ht="18" hidden="1">
      <c r="A527" s="130">
        <v>23</v>
      </c>
      <c r="B527" s="130">
        <v>71.5</v>
      </c>
      <c r="C527" s="130">
        <v>59.5</v>
      </c>
      <c r="D527" s="130">
        <v>15</v>
      </c>
      <c r="E527" s="130" t="s">
        <v>2155</v>
      </c>
      <c r="F527" s="130">
        <f t="shared" si="20"/>
        <v>0.94699999999999995</v>
      </c>
    </row>
    <row r="528" spans="1:6" ht="18" hidden="1">
      <c r="A528" s="130">
        <v>23</v>
      </c>
      <c r="B528" s="130">
        <v>71.5</v>
      </c>
      <c r="C528" s="130">
        <v>62.5</v>
      </c>
      <c r="D528" s="130">
        <v>15</v>
      </c>
      <c r="E528" s="130" t="s">
        <v>2156</v>
      </c>
      <c r="F528" s="130">
        <f t="shared" si="20"/>
        <v>0.995</v>
      </c>
    </row>
    <row r="529" spans="1:6" ht="18" hidden="1">
      <c r="A529" s="130">
        <v>23</v>
      </c>
      <c r="B529" s="130">
        <v>71.5</v>
      </c>
      <c r="C529" s="130">
        <v>65.5</v>
      </c>
      <c r="D529" s="130">
        <v>15</v>
      </c>
      <c r="E529" s="130" t="s">
        <v>2157</v>
      </c>
      <c r="F529" s="130">
        <f t="shared" si="20"/>
        <v>1.042</v>
      </c>
    </row>
    <row r="530" spans="1:6" ht="18" hidden="1">
      <c r="A530" s="130">
        <v>23</v>
      </c>
      <c r="B530" s="130">
        <v>71.5</v>
      </c>
      <c r="C530" s="130">
        <v>68.5</v>
      </c>
      <c r="D530" s="130">
        <v>15</v>
      </c>
      <c r="E530" s="130" t="s">
        <v>2158</v>
      </c>
      <c r="F530" s="130">
        <f t="shared" si="20"/>
        <v>1.0900000000000001</v>
      </c>
    </row>
    <row r="531" spans="1:6" ht="18" hidden="1">
      <c r="A531" s="130">
        <v>23</v>
      </c>
      <c r="B531" s="130">
        <v>71.5</v>
      </c>
      <c r="C531" s="130">
        <v>71.5</v>
      </c>
      <c r="D531" s="130">
        <v>15</v>
      </c>
      <c r="E531" s="130" t="s">
        <v>2159</v>
      </c>
      <c r="F531" s="130">
        <f t="shared" si="20"/>
        <v>1.1379999999999999</v>
      </c>
    </row>
    <row r="532" spans="1:6" ht="18" hidden="1">
      <c r="A532" s="130">
        <v>23</v>
      </c>
      <c r="B532" s="130">
        <v>74.5</v>
      </c>
      <c r="C532" s="130">
        <v>29.5</v>
      </c>
      <c r="D532" s="130">
        <v>15</v>
      </c>
      <c r="E532" s="130" t="s">
        <v>2160</v>
      </c>
      <c r="F532" s="130">
        <f t="shared" si="20"/>
        <v>0.48899999999999999</v>
      </c>
    </row>
    <row r="533" spans="1:6" ht="18" hidden="1">
      <c r="A533" s="130">
        <v>23</v>
      </c>
      <c r="B533" s="130">
        <v>74.5</v>
      </c>
      <c r="C533" s="130">
        <v>32.5</v>
      </c>
      <c r="D533" s="130">
        <v>15</v>
      </c>
      <c r="E533" s="130" t="s">
        <v>2161</v>
      </c>
      <c r="F533" s="130">
        <f t="shared" si="20"/>
        <v>0.53900000000000003</v>
      </c>
    </row>
    <row r="534" spans="1:6" ht="18" hidden="1">
      <c r="A534" s="130">
        <v>23</v>
      </c>
      <c r="B534" s="130">
        <v>74.5</v>
      </c>
      <c r="C534" s="130">
        <v>35.5</v>
      </c>
      <c r="D534" s="130">
        <v>15</v>
      </c>
      <c r="E534" s="130" t="s">
        <v>2162</v>
      </c>
      <c r="F534" s="130">
        <f t="shared" si="20"/>
        <v>0.58899999999999997</v>
      </c>
    </row>
    <row r="535" spans="1:6" ht="18" hidden="1">
      <c r="A535" s="130">
        <v>23</v>
      </c>
      <c r="B535" s="130">
        <v>74.5</v>
      </c>
      <c r="C535" s="130">
        <v>38.5</v>
      </c>
      <c r="D535" s="130">
        <v>15</v>
      </c>
      <c r="E535" s="130" t="s">
        <v>2163</v>
      </c>
      <c r="F535" s="130">
        <f t="shared" si="20"/>
        <v>0.63800000000000001</v>
      </c>
    </row>
    <row r="536" spans="1:6" ht="18" hidden="1">
      <c r="A536" s="130">
        <v>23</v>
      </c>
      <c r="B536" s="130">
        <v>74.5</v>
      </c>
      <c r="C536" s="130">
        <v>41.5</v>
      </c>
      <c r="D536" s="130">
        <v>15</v>
      </c>
      <c r="E536" s="130" t="s">
        <v>2164</v>
      </c>
      <c r="F536" s="130">
        <f t="shared" si="20"/>
        <v>0.68799999999999994</v>
      </c>
    </row>
    <row r="537" spans="1:6" ht="18" hidden="1">
      <c r="A537" s="130">
        <v>23</v>
      </c>
      <c r="B537" s="130">
        <v>74.5</v>
      </c>
      <c r="C537" s="130">
        <v>44.5</v>
      </c>
      <c r="D537" s="130">
        <v>15</v>
      </c>
      <c r="E537" s="130" t="s">
        <v>2165</v>
      </c>
      <c r="F537" s="130">
        <f t="shared" si="20"/>
        <v>0.73799999999999999</v>
      </c>
    </row>
    <row r="538" spans="1:6" ht="18" hidden="1">
      <c r="A538" s="130">
        <v>23</v>
      </c>
      <c r="B538" s="130">
        <v>74.5</v>
      </c>
      <c r="C538" s="130">
        <v>47.5</v>
      </c>
      <c r="D538" s="130">
        <v>15</v>
      </c>
      <c r="E538" s="130" t="s">
        <v>2166</v>
      </c>
      <c r="F538" s="130">
        <f t="shared" si="20"/>
        <v>0.78800000000000003</v>
      </c>
    </row>
    <row r="539" spans="1:6" ht="18" hidden="1">
      <c r="A539" s="130">
        <v>23</v>
      </c>
      <c r="B539" s="130">
        <v>74.5</v>
      </c>
      <c r="C539" s="130">
        <v>50.5</v>
      </c>
      <c r="D539" s="130">
        <v>15</v>
      </c>
      <c r="E539" s="130" t="s">
        <v>2167</v>
      </c>
      <c r="F539" s="130">
        <f t="shared" si="20"/>
        <v>0.83699999999999997</v>
      </c>
    </row>
    <row r="540" spans="1:6" ht="18" hidden="1">
      <c r="A540" s="130">
        <v>23</v>
      </c>
      <c r="B540" s="130">
        <v>74.5</v>
      </c>
      <c r="C540" s="130">
        <v>53.5</v>
      </c>
      <c r="D540" s="130">
        <v>15</v>
      </c>
      <c r="E540" s="130" t="s">
        <v>2168</v>
      </c>
      <c r="F540" s="130">
        <f t="shared" si="20"/>
        <v>0.88700000000000001</v>
      </c>
    </row>
    <row r="541" spans="1:6" ht="18" hidden="1">
      <c r="A541" s="130">
        <v>23</v>
      </c>
      <c r="B541" s="130">
        <v>74.5</v>
      </c>
      <c r="C541" s="130">
        <v>56.5</v>
      </c>
      <c r="D541" s="130">
        <v>15</v>
      </c>
      <c r="E541" s="130" t="s">
        <v>2169</v>
      </c>
      <c r="F541" s="130">
        <f t="shared" si="20"/>
        <v>0.93700000000000006</v>
      </c>
    </row>
    <row r="542" spans="1:6" ht="18" hidden="1">
      <c r="A542" s="130">
        <v>23</v>
      </c>
      <c r="B542" s="130">
        <v>74.5</v>
      </c>
      <c r="C542" s="130">
        <v>59.5</v>
      </c>
      <c r="D542" s="130">
        <v>15</v>
      </c>
      <c r="E542" s="130" t="s">
        <v>2170</v>
      </c>
      <c r="F542" s="130">
        <f t="shared" si="20"/>
        <v>0.98699999999999999</v>
      </c>
    </row>
    <row r="543" spans="1:6" ht="18" hidden="1">
      <c r="A543" s="130">
        <v>23</v>
      </c>
      <c r="B543" s="130">
        <v>74.5</v>
      </c>
      <c r="C543" s="130">
        <v>62.5</v>
      </c>
      <c r="D543" s="130">
        <v>15</v>
      </c>
      <c r="E543" s="130" t="s">
        <v>2171</v>
      </c>
      <c r="F543" s="130">
        <f t="shared" si="20"/>
        <v>1.036</v>
      </c>
    </row>
    <row r="544" spans="1:6" ht="18" hidden="1">
      <c r="A544" s="130">
        <v>23</v>
      </c>
      <c r="B544" s="130">
        <v>74.5</v>
      </c>
      <c r="C544" s="130">
        <v>65.5</v>
      </c>
      <c r="D544" s="130">
        <v>15</v>
      </c>
      <c r="E544" s="130" t="s">
        <v>2172</v>
      </c>
      <c r="F544" s="130">
        <f t="shared" si="20"/>
        <v>1.0860000000000001</v>
      </c>
    </row>
    <row r="545" spans="1:6" ht="18" hidden="1">
      <c r="A545" s="130">
        <v>23</v>
      </c>
      <c r="B545" s="130">
        <v>74.5</v>
      </c>
      <c r="C545" s="130">
        <v>68.5</v>
      </c>
      <c r="D545" s="130">
        <v>15</v>
      </c>
      <c r="E545" s="130" t="s">
        <v>2173</v>
      </c>
      <c r="F545" s="130">
        <f t="shared" si="20"/>
        <v>1.1359999999999999</v>
      </c>
    </row>
    <row r="546" spans="1:6" ht="18" hidden="1">
      <c r="A546" s="130">
        <v>23</v>
      </c>
      <c r="B546" s="130">
        <v>74.5</v>
      </c>
      <c r="C546" s="130">
        <v>71.5</v>
      </c>
      <c r="D546" s="130">
        <v>15</v>
      </c>
      <c r="E546" s="130" t="s">
        <v>2174</v>
      </c>
      <c r="F546" s="130">
        <f t="shared" si="20"/>
        <v>1.1859999999999999</v>
      </c>
    </row>
    <row r="547" spans="1:6" ht="18" hidden="1">
      <c r="A547" s="130">
        <v>23</v>
      </c>
      <c r="B547" s="130">
        <v>77.5</v>
      </c>
      <c r="C547" s="130">
        <v>29.5</v>
      </c>
      <c r="D547" s="130">
        <v>15</v>
      </c>
      <c r="E547" s="130" t="s">
        <v>2175</v>
      </c>
      <c r="F547" s="130">
        <f t="shared" si="20"/>
        <v>0.50900000000000001</v>
      </c>
    </row>
    <row r="548" spans="1:6" ht="18" hidden="1">
      <c r="A548" s="130">
        <v>23</v>
      </c>
      <c r="B548" s="130">
        <v>77.5</v>
      </c>
      <c r="C548" s="130">
        <v>32.5</v>
      </c>
      <c r="D548" s="130">
        <v>15</v>
      </c>
      <c r="E548" s="130" t="s">
        <v>2176</v>
      </c>
      <c r="F548" s="130">
        <f t="shared" si="20"/>
        <v>0.56100000000000005</v>
      </c>
    </row>
    <row r="549" spans="1:6" ht="18" hidden="1">
      <c r="A549" s="130">
        <v>23</v>
      </c>
      <c r="B549" s="130">
        <v>77.5</v>
      </c>
      <c r="C549" s="130">
        <v>35.5</v>
      </c>
      <c r="D549" s="130">
        <v>15</v>
      </c>
      <c r="E549" s="130" t="s">
        <v>2177</v>
      </c>
      <c r="F549" s="130">
        <f t="shared" si="20"/>
        <v>0.61199999999999999</v>
      </c>
    </row>
    <row r="550" spans="1:6" ht="18" hidden="1">
      <c r="A550" s="130">
        <v>23</v>
      </c>
      <c r="B550" s="130">
        <v>77.5</v>
      </c>
      <c r="C550" s="130">
        <v>38.5</v>
      </c>
      <c r="D550" s="130">
        <v>15</v>
      </c>
      <c r="E550" s="130" t="s">
        <v>2178</v>
      </c>
      <c r="F550" s="130">
        <f t="shared" si="20"/>
        <v>0.66400000000000003</v>
      </c>
    </row>
    <row r="551" spans="1:6" ht="18" hidden="1">
      <c r="A551" s="130">
        <v>23</v>
      </c>
      <c r="B551" s="130">
        <v>77.5</v>
      </c>
      <c r="C551" s="130">
        <v>41.5</v>
      </c>
      <c r="D551" s="130">
        <v>15</v>
      </c>
      <c r="E551" s="130" t="s">
        <v>2179</v>
      </c>
      <c r="F551" s="130">
        <f t="shared" si="20"/>
        <v>0.71599999999999997</v>
      </c>
    </row>
    <row r="552" spans="1:6" ht="18" hidden="1">
      <c r="A552" s="130">
        <v>23</v>
      </c>
      <c r="B552" s="130">
        <v>77.5</v>
      </c>
      <c r="C552" s="130">
        <v>44.5</v>
      </c>
      <c r="D552" s="130">
        <v>15</v>
      </c>
      <c r="E552" s="130" t="s">
        <v>2180</v>
      </c>
      <c r="F552" s="130">
        <f t="shared" si="20"/>
        <v>0.76800000000000002</v>
      </c>
    </row>
    <row r="553" spans="1:6" ht="18" hidden="1">
      <c r="A553" s="130">
        <v>23</v>
      </c>
      <c r="B553" s="130">
        <v>77.5</v>
      </c>
      <c r="C553" s="130">
        <v>47.5</v>
      </c>
      <c r="D553" s="130">
        <v>15</v>
      </c>
      <c r="E553" s="130" t="s">
        <v>2181</v>
      </c>
      <c r="F553" s="130">
        <f t="shared" si="20"/>
        <v>0.81899999999999995</v>
      </c>
    </row>
    <row r="554" spans="1:6" ht="18" hidden="1">
      <c r="A554" s="130">
        <v>23</v>
      </c>
      <c r="B554" s="130">
        <v>77.5</v>
      </c>
      <c r="C554" s="130">
        <v>50.5</v>
      </c>
      <c r="D554" s="130">
        <v>15</v>
      </c>
      <c r="E554" s="130" t="s">
        <v>2182</v>
      </c>
      <c r="F554" s="130">
        <f t="shared" si="20"/>
        <v>0.871</v>
      </c>
    </row>
    <row r="555" spans="1:6" ht="18" hidden="1">
      <c r="A555" s="130">
        <v>23</v>
      </c>
      <c r="B555" s="130">
        <v>77.5</v>
      </c>
      <c r="C555" s="130">
        <v>53.5</v>
      </c>
      <c r="D555" s="130">
        <v>15</v>
      </c>
      <c r="E555" s="130" t="s">
        <v>2183</v>
      </c>
      <c r="F555" s="130">
        <f t="shared" si="20"/>
        <v>0.92300000000000004</v>
      </c>
    </row>
    <row r="556" spans="1:6" ht="18" hidden="1">
      <c r="A556" s="130">
        <v>23</v>
      </c>
      <c r="B556" s="130">
        <v>77.5</v>
      </c>
      <c r="C556" s="130">
        <v>56.5</v>
      </c>
      <c r="D556" s="130">
        <v>15</v>
      </c>
      <c r="E556" s="130" t="s">
        <v>2184</v>
      </c>
      <c r="F556" s="130">
        <f t="shared" si="20"/>
        <v>0.97499999999999998</v>
      </c>
    </row>
    <row r="557" spans="1:6" ht="18" hidden="1">
      <c r="A557" s="130">
        <v>23</v>
      </c>
      <c r="B557" s="130">
        <v>77.5</v>
      </c>
      <c r="C557" s="130">
        <v>59.5</v>
      </c>
      <c r="D557" s="130">
        <v>15</v>
      </c>
      <c r="E557" s="130" t="s">
        <v>2185</v>
      </c>
      <c r="F557" s="130">
        <f t="shared" si="20"/>
        <v>1.026</v>
      </c>
    </row>
    <row r="558" spans="1:6" ht="18" hidden="1">
      <c r="A558" s="130">
        <v>23</v>
      </c>
      <c r="B558" s="130">
        <v>77.5</v>
      </c>
      <c r="C558" s="130">
        <v>62.5</v>
      </c>
      <c r="D558" s="130">
        <v>15</v>
      </c>
      <c r="E558" s="130" t="s">
        <v>2186</v>
      </c>
      <c r="F558" s="130">
        <f t="shared" si="20"/>
        <v>1.0780000000000001</v>
      </c>
    </row>
    <row r="559" spans="1:6" ht="18" hidden="1">
      <c r="A559" s="130">
        <v>23</v>
      </c>
      <c r="B559" s="130">
        <v>77.5</v>
      </c>
      <c r="C559" s="130">
        <v>65.5</v>
      </c>
      <c r="D559" s="130">
        <v>15</v>
      </c>
      <c r="E559" s="130" t="s">
        <v>2187</v>
      </c>
      <c r="F559" s="130">
        <f t="shared" si="20"/>
        <v>1.1299999999999999</v>
      </c>
    </row>
    <row r="560" spans="1:6" ht="18" hidden="1">
      <c r="A560" s="130">
        <v>23</v>
      </c>
      <c r="B560" s="130">
        <v>77.5</v>
      </c>
      <c r="C560" s="130">
        <v>68.5</v>
      </c>
      <c r="D560" s="130">
        <v>15</v>
      </c>
      <c r="E560" s="130" t="s">
        <v>2188</v>
      </c>
      <c r="F560" s="130">
        <f t="shared" si="20"/>
        <v>1.1819999999999999</v>
      </c>
    </row>
    <row r="561" spans="1:6" ht="18" hidden="1">
      <c r="A561" s="130">
        <v>23</v>
      </c>
      <c r="B561" s="130">
        <v>77.5</v>
      </c>
      <c r="C561" s="130">
        <v>71.5</v>
      </c>
      <c r="D561" s="130">
        <v>15</v>
      </c>
      <c r="E561" s="130" t="s">
        <v>2189</v>
      </c>
      <c r="F561" s="130">
        <f t="shared" si="20"/>
        <v>1.2330000000000001</v>
      </c>
    </row>
    <row r="562" spans="1:6" ht="18" hidden="1">
      <c r="A562" s="130">
        <v>23</v>
      </c>
      <c r="B562" s="130">
        <v>79.5</v>
      </c>
      <c r="C562" s="130">
        <v>29.5</v>
      </c>
      <c r="D562" s="130">
        <v>15</v>
      </c>
      <c r="E562" s="130" t="s">
        <v>2190</v>
      </c>
      <c r="F562" s="130">
        <f t="shared" si="20"/>
        <v>0.52200000000000002</v>
      </c>
    </row>
    <row r="563" spans="1:6" ht="18" hidden="1">
      <c r="A563" s="130">
        <v>23</v>
      </c>
      <c r="B563" s="130">
        <v>79.5</v>
      </c>
      <c r="C563" s="130">
        <v>32.5</v>
      </c>
      <c r="D563" s="130">
        <v>15</v>
      </c>
      <c r="E563" s="130" t="s">
        <v>2191</v>
      </c>
      <c r="F563" s="130">
        <f t="shared" si="20"/>
        <v>0.57499999999999996</v>
      </c>
    </row>
    <row r="564" spans="1:6" ht="18" hidden="1">
      <c r="A564" s="130">
        <v>23</v>
      </c>
      <c r="B564" s="130">
        <v>79.5</v>
      </c>
      <c r="C564" s="130">
        <v>35.5</v>
      </c>
      <c r="D564" s="130">
        <v>15</v>
      </c>
      <c r="E564" s="130" t="s">
        <v>2192</v>
      </c>
      <c r="F564" s="130">
        <f t="shared" si="20"/>
        <v>0.628</v>
      </c>
    </row>
    <row r="565" spans="1:6" ht="18" hidden="1">
      <c r="A565" s="130">
        <v>23</v>
      </c>
      <c r="B565" s="130">
        <v>79.5</v>
      </c>
      <c r="C565" s="130">
        <v>38.5</v>
      </c>
      <c r="D565" s="130">
        <v>15</v>
      </c>
      <c r="E565" s="130" t="s">
        <v>2193</v>
      </c>
      <c r="F565" s="130">
        <f t="shared" si="20"/>
        <v>0.68100000000000005</v>
      </c>
    </row>
    <row r="566" spans="1:6" ht="18" hidden="1">
      <c r="A566" s="130">
        <v>23</v>
      </c>
      <c r="B566" s="130">
        <v>79.5</v>
      </c>
      <c r="C566" s="130">
        <v>41.5</v>
      </c>
      <c r="D566" s="130">
        <v>15</v>
      </c>
      <c r="E566" s="130" t="s">
        <v>2194</v>
      </c>
      <c r="F566" s="130">
        <f t="shared" si="20"/>
        <v>0.73399999999999999</v>
      </c>
    </row>
    <row r="567" spans="1:6" ht="18" hidden="1">
      <c r="A567" s="130">
        <v>23</v>
      </c>
      <c r="B567" s="130">
        <v>79.5</v>
      </c>
      <c r="C567" s="130">
        <v>44.5</v>
      </c>
      <c r="D567" s="130">
        <v>15</v>
      </c>
      <c r="E567" s="130" t="s">
        <v>2195</v>
      </c>
      <c r="F567" s="130">
        <f t="shared" si="20"/>
        <v>0.78700000000000003</v>
      </c>
    </row>
    <row r="568" spans="1:6" ht="18" hidden="1">
      <c r="A568" s="130">
        <v>23</v>
      </c>
      <c r="B568" s="130">
        <v>79.5</v>
      </c>
      <c r="C568" s="130">
        <v>47.5</v>
      </c>
      <c r="D568" s="130">
        <v>15</v>
      </c>
      <c r="E568" s="130" t="s">
        <v>2196</v>
      </c>
      <c r="F568" s="130">
        <f t="shared" si="20"/>
        <v>0.84099999999999997</v>
      </c>
    </row>
    <row r="569" spans="1:6" ht="18" hidden="1">
      <c r="A569" s="130">
        <v>23</v>
      </c>
      <c r="B569" s="130">
        <v>79.5</v>
      </c>
      <c r="C569" s="130">
        <v>50.5</v>
      </c>
      <c r="D569" s="130">
        <v>15</v>
      </c>
      <c r="E569" s="130" t="s">
        <v>2197</v>
      </c>
      <c r="F569" s="130">
        <f t="shared" si="20"/>
        <v>0.89400000000000002</v>
      </c>
    </row>
    <row r="570" spans="1:6" ht="18" hidden="1">
      <c r="A570" s="130">
        <v>23</v>
      </c>
      <c r="B570" s="130">
        <v>79.5</v>
      </c>
      <c r="C570" s="130">
        <v>53.5</v>
      </c>
      <c r="D570" s="130">
        <v>15</v>
      </c>
      <c r="E570" s="130" t="s">
        <v>2198</v>
      </c>
      <c r="F570" s="130">
        <f t="shared" si="20"/>
        <v>0.94699999999999995</v>
      </c>
    </row>
    <row r="571" spans="1:6" ht="18" hidden="1">
      <c r="A571" s="130">
        <v>23</v>
      </c>
      <c r="B571" s="130">
        <v>79.5</v>
      </c>
      <c r="C571" s="130">
        <v>56.5</v>
      </c>
      <c r="D571" s="130">
        <v>15</v>
      </c>
      <c r="E571" s="130" t="s">
        <v>2199</v>
      </c>
      <c r="F571" s="130">
        <f t="shared" si="20"/>
        <v>1</v>
      </c>
    </row>
    <row r="572" spans="1:6" ht="18" hidden="1">
      <c r="A572" s="130">
        <v>23</v>
      </c>
      <c r="B572" s="130">
        <v>79.5</v>
      </c>
      <c r="C572" s="130">
        <v>59.5</v>
      </c>
      <c r="D572" s="130">
        <v>15</v>
      </c>
      <c r="E572" s="130" t="s">
        <v>2200</v>
      </c>
      <c r="F572" s="130">
        <f t="shared" si="20"/>
        <v>1.0529999999999999</v>
      </c>
    </row>
    <row r="573" spans="1:6" ht="18" hidden="1">
      <c r="A573" s="130">
        <v>23</v>
      </c>
      <c r="B573" s="130">
        <v>79.5</v>
      </c>
      <c r="C573" s="130">
        <v>62.5</v>
      </c>
      <c r="D573" s="130">
        <v>15</v>
      </c>
      <c r="E573" s="130" t="s">
        <v>2201</v>
      </c>
      <c r="F573" s="130">
        <f t="shared" si="20"/>
        <v>1.1060000000000001</v>
      </c>
    </row>
    <row r="574" spans="1:6" ht="18" hidden="1">
      <c r="A574" s="130">
        <v>23</v>
      </c>
      <c r="B574" s="130">
        <v>79.5</v>
      </c>
      <c r="C574" s="130">
        <v>65.5</v>
      </c>
      <c r="D574" s="130">
        <v>15</v>
      </c>
      <c r="E574" s="130" t="s">
        <v>2202</v>
      </c>
      <c r="F574" s="130">
        <f t="shared" si="20"/>
        <v>1.159</v>
      </c>
    </row>
    <row r="575" spans="1:6" ht="18" hidden="1">
      <c r="A575" s="130">
        <v>23</v>
      </c>
      <c r="B575" s="130">
        <v>79.5</v>
      </c>
      <c r="C575" s="130">
        <v>68.5</v>
      </c>
      <c r="D575" s="130">
        <v>15</v>
      </c>
      <c r="E575" s="130" t="s">
        <v>2203</v>
      </c>
      <c r="F575" s="130">
        <f t="shared" si="20"/>
        <v>1.212</v>
      </c>
    </row>
    <row r="576" spans="1:6" ht="18" hidden="1">
      <c r="A576" s="130">
        <v>23</v>
      </c>
      <c r="B576" s="130">
        <v>79.5</v>
      </c>
      <c r="C576" s="130">
        <v>71.5</v>
      </c>
      <c r="D576" s="130">
        <v>15</v>
      </c>
      <c r="E576" s="130" t="s">
        <v>2204</v>
      </c>
      <c r="F576" s="130">
        <f t="shared" si="20"/>
        <v>1.2649999999999999</v>
      </c>
    </row>
    <row r="577" spans="1:6" ht="18" hidden="1">
      <c r="A577" s="130">
        <v>23</v>
      </c>
      <c r="B577" s="130">
        <v>83.5</v>
      </c>
      <c r="C577" s="130">
        <v>29.5</v>
      </c>
      <c r="D577" s="130">
        <v>15</v>
      </c>
      <c r="E577" s="130" t="s">
        <v>2205</v>
      </c>
      <c r="F577" s="130">
        <f t="shared" si="20"/>
        <v>0.54800000000000004</v>
      </c>
    </row>
    <row r="578" spans="1:6" ht="18" hidden="1">
      <c r="A578" s="130">
        <v>23</v>
      </c>
      <c r="B578" s="130">
        <v>83.5</v>
      </c>
      <c r="C578" s="130">
        <v>32.5</v>
      </c>
      <c r="D578" s="130">
        <v>15</v>
      </c>
      <c r="E578" s="130" t="s">
        <v>2206</v>
      </c>
      <c r="F578" s="130">
        <f t="shared" si="20"/>
        <v>0.60399999999999998</v>
      </c>
    </row>
    <row r="579" spans="1:6" ht="18" hidden="1">
      <c r="A579" s="130">
        <v>23</v>
      </c>
      <c r="B579" s="130">
        <v>83.5</v>
      </c>
      <c r="C579" s="130">
        <v>35.5</v>
      </c>
      <c r="D579" s="130">
        <v>15</v>
      </c>
      <c r="E579" s="130" t="s">
        <v>2207</v>
      </c>
      <c r="F579" s="130">
        <f t="shared" si="20"/>
        <v>0.66</v>
      </c>
    </row>
    <row r="580" spans="1:6" ht="18" hidden="1">
      <c r="A580" s="130">
        <v>23</v>
      </c>
      <c r="B580" s="130">
        <v>83.5</v>
      </c>
      <c r="C580" s="130">
        <v>38.5</v>
      </c>
      <c r="D580" s="130">
        <v>15</v>
      </c>
      <c r="E580" s="130" t="s">
        <v>2208</v>
      </c>
      <c r="F580" s="130">
        <f t="shared" si="20"/>
        <v>0.71599999999999997</v>
      </c>
    </row>
    <row r="581" spans="1:6" ht="18" hidden="1">
      <c r="A581" s="130">
        <v>23</v>
      </c>
      <c r="B581" s="130">
        <v>83.5</v>
      </c>
      <c r="C581" s="130">
        <v>41.5</v>
      </c>
      <c r="D581" s="130">
        <v>15</v>
      </c>
      <c r="E581" s="130" t="s">
        <v>2209</v>
      </c>
      <c r="F581" s="130">
        <f t="shared" si="20"/>
        <v>0.77100000000000002</v>
      </c>
    </row>
    <row r="582" spans="1:6" ht="18" hidden="1">
      <c r="A582" s="130">
        <v>23</v>
      </c>
      <c r="B582" s="130">
        <v>83.5</v>
      </c>
      <c r="C582" s="130">
        <v>44.5</v>
      </c>
      <c r="D582" s="130">
        <v>15</v>
      </c>
      <c r="E582" s="130" t="s">
        <v>2210</v>
      </c>
      <c r="F582" s="130">
        <f t="shared" ref="F582:F594" si="21">+ROUND((A582*B582*0.0254*C582*0.0254*(D582/1000)),3)</f>
        <v>0.82699999999999996</v>
      </c>
    </row>
    <row r="583" spans="1:6" ht="18" hidden="1">
      <c r="A583" s="130">
        <v>23</v>
      </c>
      <c r="B583" s="130">
        <v>83.5</v>
      </c>
      <c r="C583" s="130">
        <v>47.5</v>
      </c>
      <c r="D583" s="130">
        <v>15</v>
      </c>
      <c r="E583" s="130" t="s">
        <v>2211</v>
      </c>
      <c r="F583" s="130">
        <f t="shared" si="21"/>
        <v>0.88300000000000001</v>
      </c>
    </row>
    <row r="584" spans="1:6" ht="18" hidden="1">
      <c r="A584" s="130">
        <v>23</v>
      </c>
      <c r="B584" s="130">
        <v>83.5</v>
      </c>
      <c r="C584" s="130">
        <v>50.5</v>
      </c>
      <c r="D584" s="130">
        <v>15</v>
      </c>
      <c r="E584" s="130" t="s">
        <v>2212</v>
      </c>
      <c r="F584" s="130">
        <f t="shared" si="21"/>
        <v>0.93899999999999995</v>
      </c>
    </row>
    <row r="585" spans="1:6" ht="18" hidden="1">
      <c r="A585" s="130">
        <v>23</v>
      </c>
      <c r="B585" s="130">
        <v>83.5</v>
      </c>
      <c r="C585" s="130">
        <v>53.5</v>
      </c>
      <c r="D585" s="130">
        <v>15</v>
      </c>
      <c r="E585" s="130" t="s">
        <v>2213</v>
      </c>
      <c r="F585" s="130">
        <f t="shared" si="21"/>
        <v>0.99399999999999999</v>
      </c>
    </row>
    <row r="586" spans="1:6" ht="18" hidden="1">
      <c r="A586" s="130">
        <v>23</v>
      </c>
      <c r="B586" s="130">
        <v>83.5</v>
      </c>
      <c r="C586" s="130">
        <v>56.5</v>
      </c>
      <c r="D586" s="130">
        <v>15</v>
      </c>
      <c r="E586" s="130" t="s">
        <v>2214</v>
      </c>
      <c r="F586" s="130">
        <f t="shared" si="21"/>
        <v>1.05</v>
      </c>
    </row>
    <row r="587" spans="1:6" ht="18" hidden="1">
      <c r="A587" s="130">
        <v>23</v>
      </c>
      <c r="B587" s="130">
        <v>83.5</v>
      </c>
      <c r="C587" s="130">
        <v>59.5</v>
      </c>
      <c r="D587" s="130">
        <v>15</v>
      </c>
      <c r="E587" s="130" t="s">
        <v>2215</v>
      </c>
      <c r="F587" s="130">
        <f t="shared" si="21"/>
        <v>1.1060000000000001</v>
      </c>
    </row>
    <row r="588" spans="1:6" ht="18" hidden="1">
      <c r="A588" s="130">
        <v>23</v>
      </c>
      <c r="B588" s="130">
        <v>83.5</v>
      </c>
      <c r="C588" s="130">
        <v>62.5</v>
      </c>
      <c r="D588" s="130">
        <v>15</v>
      </c>
      <c r="E588" s="130" t="s">
        <v>2216</v>
      </c>
      <c r="F588" s="130">
        <f t="shared" si="21"/>
        <v>1.1619999999999999</v>
      </c>
    </row>
    <row r="589" spans="1:6" ht="18" hidden="1">
      <c r="A589" s="130">
        <v>23</v>
      </c>
      <c r="B589" s="130">
        <v>83.5</v>
      </c>
      <c r="C589" s="130">
        <v>65.5</v>
      </c>
      <c r="D589" s="130">
        <v>15</v>
      </c>
      <c r="E589" s="130" t="s">
        <v>2217</v>
      </c>
      <c r="F589" s="130">
        <f t="shared" si="21"/>
        <v>1.2170000000000001</v>
      </c>
    </row>
    <row r="590" spans="1:6" ht="18" hidden="1">
      <c r="A590" s="130">
        <v>23</v>
      </c>
      <c r="B590" s="130">
        <v>83.5</v>
      </c>
      <c r="C590" s="130">
        <v>68.5</v>
      </c>
      <c r="D590" s="130">
        <v>15</v>
      </c>
      <c r="E590" s="130" t="s">
        <v>2218</v>
      </c>
      <c r="F590" s="130">
        <f t="shared" si="21"/>
        <v>1.2729999999999999</v>
      </c>
    </row>
    <row r="591" spans="1:6" ht="18" hidden="1">
      <c r="A591" s="130">
        <v>23</v>
      </c>
      <c r="B591" s="130">
        <v>83.5</v>
      </c>
      <c r="C591" s="130">
        <v>71.5</v>
      </c>
      <c r="D591" s="130">
        <v>15</v>
      </c>
      <c r="E591" s="130" t="s">
        <v>2219</v>
      </c>
      <c r="F591" s="130">
        <f t="shared" si="21"/>
        <v>1.329</v>
      </c>
    </row>
    <row r="592" spans="1:6" ht="18" hidden="1">
      <c r="A592" s="130">
        <v>23</v>
      </c>
      <c r="B592" s="130">
        <v>12.5</v>
      </c>
      <c r="C592" s="130">
        <v>12.5</v>
      </c>
      <c r="D592" s="130">
        <v>15</v>
      </c>
      <c r="E592" s="130" t="s">
        <v>2220</v>
      </c>
      <c r="F592" s="130">
        <f t="shared" si="21"/>
        <v>3.5000000000000003E-2</v>
      </c>
    </row>
    <row r="593" spans="1:6" ht="18.75" hidden="1" thickBot="1">
      <c r="A593" s="175">
        <v>23</v>
      </c>
      <c r="B593" s="175">
        <v>19.5</v>
      </c>
      <c r="C593" s="175">
        <v>17.5</v>
      </c>
      <c r="D593" s="175">
        <v>15</v>
      </c>
      <c r="E593" s="175" t="s">
        <v>2221</v>
      </c>
      <c r="F593" s="175">
        <f t="shared" si="21"/>
        <v>7.5999999999999998E-2</v>
      </c>
    </row>
    <row r="594" spans="1:6" ht="18" hidden="1">
      <c r="A594" s="179">
        <v>25</v>
      </c>
      <c r="B594" s="179">
        <v>71.5</v>
      </c>
      <c r="C594" s="179">
        <v>29.5</v>
      </c>
      <c r="D594" s="179">
        <v>15</v>
      </c>
      <c r="E594" s="179" t="s">
        <v>2222</v>
      </c>
      <c r="F594" s="179">
        <f t="shared" si="21"/>
        <v>0.51</v>
      </c>
    </row>
    <row r="595" spans="1:6" ht="18" hidden="1">
      <c r="A595" s="134">
        <v>25</v>
      </c>
      <c r="B595" s="134">
        <v>71.5</v>
      </c>
      <c r="C595" s="134">
        <v>32.5</v>
      </c>
      <c r="D595" s="134">
        <v>15</v>
      </c>
      <c r="E595" s="134" t="s">
        <v>2223</v>
      </c>
      <c r="F595" s="134">
        <f t="shared" ref="F595:F658" si="22">+ROUND((A595*B595*0.0254*C595*0.0254*(D595/1000)),3)</f>
        <v>0.56200000000000006</v>
      </c>
    </row>
    <row r="596" spans="1:6" ht="18" hidden="1">
      <c r="A596" s="134">
        <v>25</v>
      </c>
      <c r="B596" s="134">
        <v>71.5</v>
      </c>
      <c r="C596" s="134">
        <v>35.5</v>
      </c>
      <c r="D596" s="134">
        <v>15</v>
      </c>
      <c r="E596" s="134" t="s">
        <v>2224</v>
      </c>
      <c r="F596" s="134">
        <f t="shared" si="22"/>
        <v>0.61399999999999999</v>
      </c>
    </row>
    <row r="597" spans="1:6" ht="18" hidden="1">
      <c r="A597" s="134">
        <v>25</v>
      </c>
      <c r="B597" s="134">
        <v>71.5</v>
      </c>
      <c r="C597" s="134">
        <v>38.5</v>
      </c>
      <c r="D597" s="134">
        <v>15</v>
      </c>
      <c r="E597" s="134" t="s">
        <v>2225</v>
      </c>
      <c r="F597" s="134">
        <f t="shared" si="22"/>
        <v>0.66600000000000004</v>
      </c>
    </row>
    <row r="598" spans="1:6" ht="18" hidden="1">
      <c r="A598" s="134">
        <v>25</v>
      </c>
      <c r="B598" s="134">
        <v>71.5</v>
      </c>
      <c r="C598" s="134">
        <v>41.5</v>
      </c>
      <c r="D598" s="134">
        <v>15</v>
      </c>
      <c r="E598" s="134" t="s">
        <v>2226</v>
      </c>
      <c r="F598" s="134">
        <f t="shared" si="22"/>
        <v>0.71799999999999997</v>
      </c>
    </row>
    <row r="599" spans="1:6" ht="18" hidden="1">
      <c r="A599" s="134">
        <v>25</v>
      </c>
      <c r="B599" s="134">
        <v>71.5</v>
      </c>
      <c r="C599" s="134">
        <v>44.5</v>
      </c>
      <c r="D599" s="134">
        <v>15</v>
      </c>
      <c r="E599" s="134" t="s">
        <v>2227</v>
      </c>
      <c r="F599" s="134">
        <f t="shared" si="22"/>
        <v>0.77</v>
      </c>
    </row>
    <row r="600" spans="1:6" ht="18" hidden="1">
      <c r="A600" s="134">
        <v>25</v>
      </c>
      <c r="B600" s="134">
        <v>71.5</v>
      </c>
      <c r="C600" s="134">
        <v>47.5</v>
      </c>
      <c r="D600" s="134">
        <v>15</v>
      </c>
      <c r="E600" s="134" t="s">
        <v>2228</v>
      </c>
      <c r="F600" s="134">
        <f t="shared" si="22"/>
        <v>0.82199999999999995</v>
      </c>
    </row>
    <row r="601" spans="1:6" ht="18" hidden="1">
      <c r="A601" s="134">
        <v>25</v>
      </c>
      <c r="B601" s="134">
        <v>71.5</v>
      </c>
      <c r="C601" s="134">
        <v>50.5</v>
      </c>
      <c r="D601" s="134">
        <v>15</v>
      </c>
      <c r="E601" s="134" t="s">
        <v>2229</v>
      </c>
      <c r="F601" s="134">
        <f t="shared" si="22"/>
        <v>0.874</v>
      </c>
    </row>
    <row r="602" spans="1:6" ht="18" hidden="1">
      <c r="A602" s="134">
        <v>25</v>
      </c>
      <c r="B602" s="134">
        <v>71.5</v>
      </c>
      <c r="C602" s="134">
        <v>53.5</v>
      </c>
      <c r="D602" s="134">
        <v>15</v>
      </c>
      <c r="E602" s="134" t="s">
        <v>2230</v>
      </c>
      <c r="F602" s="134">
        <f t="shared" si="22"/>
        <v>0.92500000000000004</v>
      </c>
    </row>
    <row r="603" spans="1:6" ht="18" hidden="1">
      <c r="A603" s="134">
        <v>25</v>
      </c>
      <c r="B603" s="134">
        <v>71.5</v>
      </c>
      <c r="C603" s="134">
        <v>56.5</v>
      </c>
      <c r="D603" s="134">
        <v>15</v>
      </c>
      <c r="E603" s="134" t="s">
        <v>2231</v>
      </c>
      <c r="F603" s="134">
        <f t="shared" si="22"/>
        <v>0.97699999999999998</v>
      </c>
    </row>
    <row r="604" spans="1:6" ht="18" hidden="1">
      <c r="A604" s="134">
        <v>25</v>
      </c>
      <c r="B604" s="134">
        <v>71.5</v>
      </c>
      <c r="C604" s="134">
        <v>59.5</v>
      </c>
      <c r="D604" s="134">
        <v>15</v>
      </c>
      <c r="E604" s="134" t="s">
        <v>2232</v>
      </c>
      <c r="F604" s="134">
        <f t="shared" si="22"/>
        <v>1.0289999999999999</v>
      </c>
    </row>
    <row r="605" spans="1:6" ht="18" hidden="1">
      <c r="A605" s="134">
        <v>25</v>
      </c>
      <c r="B605" s="134">
        <v>71.5</v>
      </c>
      <c r="C605" s="134">
        <v>62.5</v>
      </c>
      <c r="D605" s="134">
        <v>15</v>
      </c>
      <c r="E605" s="134" t="s">
        <v>2233</v>
      </c>
      <c r="F605" s="134">
        <f t="shared" si="22"/>
        <v>1.081</v>
      </c>
    </row>
    <row r="606" spans="1:6" ht="18" hidden="1">
      <c r="A606" s="134">
        <v>25</v>
      </c>
      <c r="B606" s="134">
        <v>71.5</v>
      </c>
      <c r="C606" s="134">
        <v>65.5</v>
      </c>
      <c r="D606" s="134">
        <v>15</v>
      </c>
      <c r="E606" s="134" t="s">
        <v>2234</v>
      </c>
      <c r="F606" s="134">
        <f t="shared" si="22"/>
        <v>1.133</v>
      </c>
    </row>
    <row r="607" spans="1:6" ht="18" hidden="1">
      <c r="A607" s="134">
        <v>25</v>
      </c>
      <c r="B607" s="134">
        <v>71.5</v>
      </c>
      <c r="C607" s="134">
        <v>68.5</v>
      </c>
      <c r="D607" s="134">
        <v>15</v>
      </c>
      <c r="E607" s="134" t="s">
        <v>2235</v>
      </c>
      <c r="F607" s="134">
        <f t="shared" si="22"/>
        <v>1.1850000000000001</v>
      </c>
    </row>
    <row r="608" spans="1:6" ht="18" hidden="1">
      <c r="A608" s="134">
        <v>25</v>
      </c>
      <c r="B608" s="134">
        <v>71.5</v>
      </c>
      <c r="C608" s="134">
        <v>71.5</v>
      </c>
      <c r="D608" s="134">
        <v>15</v>
      </c>
      <c r="E608" s="134" t="s">
        <v>2236</v>
      </c>
      <c r="F608" s="134">
        <f t="shared" si="22"/>
        <v>1.2370000000000001</v>
      </c>
    </row>
    <row r="609" spans="1:6" ht="18" hidden="1">
      <c r="A609" s="134">
        <v>25</v>
      </c>
      <c r="B609" s="134">
        <v>74.5</v>
      </c>
      <c r="C609" s="134">
        <v>29.5</v>
      </c>
      <c r="D609" s="134">
        <v>15</v>
      </c>
      <c r="E609" s="134" t="s">
        <v>2237</v>
      </c>
      <c r="F609" s="134">
        <f t="shared" si="22"/>
        <v>0.53200000000000003</v>
      </c>
    </row>
    <row r="610" spans="1:6" ht="18" hidden="1">
      <c r="A610" s="134">
        <v>25</v>
      </c>
      <c r="B610" s="134">
        <v>74.5</v>
      </c>
      <c r="C610" s="134">
        <v>32.5</v>
      </c>
      <c r="D610" s="134">
        <v>15</v>
      </c>
      <c r="E610" s="134" t="s">
        <v>2238</v>
      </c>
      <c r="F610" s="134">
        <f t="shared" si="22"/>
        <v>0.58599999999999997</v>
      </c>
    </row>
    <row r="611" spans="1:6" ht="18" hidden="1">
      <c r="A611" s="134">
        <v>25</v>
      </c>
      <c r="B611" s="134">
        <v>74.5</v>
      </c>
      <c r="C611" s="134">
        <v>35.5</v>
      </c>
      <c r="D611" s="134">
        <v>15</v>
      </c>
      <c r="E611" s="134" t="s">
        <v>2239</v>
      </c>
      <c r="F611" s="134">
        <f t="shared" si="22"/>
        <v>0.64</v>
      </c>
    </row>
    <row r="612" spans="1:6" ht="18" hidden="1">
      <c r="A612" s="134">
        <v>25</v>
      </c>
      <c r="B612" s="134">
        <v>74.5</v>
      </c>
      <c r="C612" s="134">
        <v>38.5</v>
      </c>
      <c r="D612" s="134">
        <v>15</v>
      </c>
      <c r="E612" s="134" t="s">
        <v>2240</v>
      </c>
      <c r="F612" s="134">
        <f t="shared" si="22"/>
        <v>0.69399999999999995</v>
      </c>
    </row>
    <row r="613" spans="1:6" ht="18" hidden="1">
      <c r="A613" s="134">
        <v>25</v>
      </c>
      <c r="B613" s="134">
        <v>74.5</v>
      </c>
      <c r="C613" s="134">
        <v>41.5</v>
      </c>
      <c r="D613" s="134">
        <v>15</v>
      </c>
      <c r="E613" s="134" t="s">
        <v>2241</v>
      </c>
      <c r="F613" s="134">
        <f t="shared" si="22"/>
        <v>0.748</v>
      </c>
    </row>
    <row r="614" spans="1:6" ht="18" hidden="1">
      <c r="A614" s="134">
        <v>25</v>
      </c>
      <c r="B614" s="134">
        <v>74.5</v>
      </c>
      <c r="C614" s="134">
        <v>44.5</v>
      </c>
      <c r="D614" s="134">
        <v>15</v>
      </c>
      <c r="E614" s="134" t="s">
        <v>2242</v>
      </c>
      <c r="F614" s="134">
        <f t="shared" si="22"/>
        <v>0.80200000000000005</v>
      </c>
    </row>
    <row r="615" spans="1:6" ht="18" hidden="1">
      <c r="A615" s="134">
        <v>25</v>
      </c>
      <c r="B615" s="134">
        <v>74.5</v>
      </c>
      <c r="C615" s="134">
        <v>47.5</v>
      </c>
      <c r="D615" s="134">
        <v>15</v>
      </c>
      <c r="E615" s="134" t="s">
        <v>2243</v>
      </c>
      <c r="F615" s="134">
        <f t="shared" si="22"/>
        <v>0.85599999999999998</v>
      </c>
    </row>
    <row r="616" spans="1:6" ht="18" hidden="1">
      <c r="A616" s="134">
        <v>25</v>
      </c>
      <c r="B616" s="134">
        <v>74.5</v>
      </c>
      <c r="C616" s="134">
        <v>50.5</v>
      </c>
      <c r="D616" s="134">
        <v>15</v>
      </c>
      <c r="E616" s="134" t="s">
        <v>2244</v>
      </c>
      <c r="F616" s="134">
        <f t="shared" si="22"/>
        <v>0.91</v>
      </c>
    </row>
    <row r="617" spans="1:6" ht="18" hidden="1">
      <c r="A617" s="134">
        <v>25</v>
      </c>
      <c r="B617" s="134">
        <v>74.5</v>
      </c>
      <c r="C617" s="134">
        <v>53.5</v>
      </c>
      <c r="D617" s="134">
        <v>15</v>
      </c>
      <c r="E617" s="134" t="s">
        <v>2245</v>
      </c>
      <c r="F617" s="134">
        <f t="shared" si="22"/>
        <v>0.96399999999999997</v>
      </c>
    </row>
    <row r="618" spans="1:6" ht="18" hidden="1">
      <c r="A618" s="134">
        <v>25</v>
      </c>
      <c r="B618" s="134">
        <v>74.5</v>
      </c>
      <c r="C618" s="134">
        <v>56.5</v>
      </c>
      <c r="D618" s="134">
        <v>15</v>
      </c>
      <c r="E618" s="134" t="s">
        <v>2246</v>
      </c>
      <c r="F618" s="134">
        <f t="shared" si="22"/>
        <v>1.018</v>
      </c>
    </row>
    <row r="619" spans="1:6" ht="18" hidden="1">
      <c r="A619" s="134">
        <v>25</v>
      </c>
      <c r="B619" s="134">
        <v>74.5</v>
      </c>
      <c r="C619" s="134">
        <v>59.5</v>
      </c>
      <c r="D619" s="134">
        <v>15</v>
      </c>
      <c r="E619" s="134" t="s">
        <v>2247</v>
      </c>
      <c r="F619" s="134">
        <f t="shared" si="22"/>
        <v>1.0720000000000001</v>
      </c>
    </row>
    <row r="620" spans="1:6" ht="18" hidden="1">
      <c r="A620" s="134">
        <v>25</v>
      </c>
      <c r="B620" s="134">
        <v>74.5</v>
      </c>
      <c r="C620" s="134">
        <v>62.5</v>
      </c>
      <c r="D620" s="134">
        <v>15</v>
      </c>
      <c r="E620" s="134" t="s">
        <v>2248</v>
      </c>
      <c r="F620" s="134">
        <f t="shared" si="22"/>
        <v>1.127</v>
      </c>
    </row>
    <row r="621" spans="1:6" ht="18" hidden="1">
      <c r="A621" s="134">
        <v>25</v>
      </c>
      <c r="B621" s="134">
        <v>74.5</v>
      </c>
      <c r="C621" s="134">
        <v>65.5</v>
      </c>
      <c r="D621" s="134">
        <v>15</v>
      </c>
      <c r="E621" s="134" t="s">
        <v>2249</v>
      </c>
      <c r="F621" s="134">
        <f t="shared" si="22"/>
        <v>1.181</v>
      </c>
    </row>
    <row r="622" spans="1:6" ht="18" hidden="1">
      <c r="A622" s="134">
        <v>25</v>
      </c>
      <c r="B622" s="134">
        <v>74.5</v>
      </c>
      <c r="C622" s="134">
        <v>68.5</v>
      </c>
      <c r="D622" s="134">
        <v>15</v>
      </c>
      <c r="E622" s="134" t="s">
        <v>2250</v>
      </c>
      <c r="F622" s="134">
        <f t="shared" si="22"/>
        <v>1.2350000000000001</v>
      </c>
    </row>
    <row r="623" spans="1:6" ht="18" hidden="1">
      <c r="A623" s="134">
        <v>25</v>
      </c>
      <c r="B623" s="134">
        <v>74.5</v>
      </c>
      <c r="C623" s="134">
        <v>71.5</v>
      </c>
      <c r="D623" s="134">
        <v>15</v>
      </c>
      <c r="E623" s="134" t="s">
        <v>2251</v>
      </c>
      <c r="F623" s="134">
        <f t="shared" si="22"/>
        <v>1.2889999999999999</v>
      </c>
    </row>
    <row r="624" spans="1:6" ht="18" hidden="1">
      <c r="A624" s="134">
        <v>25</v>
      </c>
      <c r="B624" s="134">
        <v>77.5</v>
      </c>
      <c r="C624" s="134">
        <v>29.5</v>
      </c>
      <c r="D624" s="134">
        <v>15</v>
      </c>
      <c r="E624" s="134" t="s">
        <v>2252</v>
      </c>
      <c r="F624" s="134">
        <f t="shared" si="22"/>
        <v>0.55300000000000005</v>
      </c>
    </row>
    <row r="625" spans="1:6" ht="18" hidden="1">
      <c r="A625" s="134">
        <v>25</v>
      </c>
      <c r="B625" s="134">
        <v>77.5</v>
      </c>
      <c r="C625" s="134">
        <v>32.5</v>
      </c>
      <c r="D625" s="134">
        <v>15</v>
      </c>
      <c r="E625" s="134" t="s">
        <v>2253</v>
      </c>
      <c r="F625" s="134">
        <f t="shared" si="22"/>
        <v>0.60899999999999999</v>
      </c>
    </row>
    <row r="626" spans="1:6" ht="18" hidden="1">
      <c r="A626" s="134">
        <v>25</v>
      </c>
      <c r="B626" s="134">
        <v>77.5</v>
      </c>
      <c r="C626" s="134">
        <v>35.5</v>
      </c>
      <c r="D626" s="134">
        <v>15</v>
      </c>
      <c r="E626" s="134" t="s">
        <v>2254</v>
      </c>
      <c r="F626" s="134">
        <f t="shared" si="22"/>
        <v>0.66600000000000004</v>
      </c>
    </row>
    <row r="627" spans="1:6" ht="18" hidden="1">
      <c r="A627" s="134">
        <v>25</v>
      </c>
      <c r="B627" s="134">
        <v>77.5</v>
      </c>
      <c r="C627" s="134">
        <v>38.5</v>
      </c>
      <c r="D627" s="134">
        <v>15</v>
      </c>
      <c r="E627" s="134" t="s">
        <v>2255</v>
      </c>
      <c r="F627" s="134">
        <f t="shared" si="22"/>
        <v>0.72199999999999998</v>
      </c>
    </row>
    <row r="628" spans="1:6" ht="18" hidden="1">
      <c r="A628" s="134">
        <v>25</v>
      </c>
      <c r="B628" s="134">
        <v>77.5</v>
      </c>
      <c r="C628" s="134">
        <v>41.5</v>
      </c>
      <c r="D628" s="134">
        <v>15</v>
      </c>
      <c r="E628" s="134" t="s">
        <v>2256</v>
      </c>
      <c r="F628" s="134">
        <f t="shared" si="22"/>
        <v>0.77800000000000002</v>
      </c>
    </row>
    <row r="629" spans="1:6" ht="18" hidden="1">
      <c r="A629" s="134">
        <v>25</v>
      </c>
      <c r="B629" s="134">
        <v>77.5</v>
      </c>
      <c r="C629" s="134">
        <v>44.5</v>
      </c>
      <c r="D629" s="134">
        <v>15</v>
      </c>
      <c r="E629" s="134" t="s">
        <v>2257</v>
      </c>
      <c r="F629" s="134">
        <f t="shared" si="22"/>
        <v>0.83399999999999996</v>
      </c>
    </row>
    <row r="630" spans="1:6" ht="18" hidden="1">
      <c r="A630" s="134">
        <v>25</v>
      </c>
      <c r="B630" s="134">
        <v>77.5</v>
      </c>
      <c r="C630" s="134">
        <v>47.5</v>
      </c>
      <c r="D630" s="134">
        <v>15</v>
      </c>
      <c r="E630" s="134" t="s">
        <v>2258</v>
      </c>
      <c r="F630" s="134">
        <f t="shared" si="22"/>
        <v>0.89100000000000001</v>
      </c>
    </row>
    <row r="631" spans="1:6" ht="18" hidden="1">
      <c r="A631" s="134">
        <v>25</v>
      </c>
      <c r="B631" s="134">
        <v>77.5</v>
      </c>
      <c r="C631" s="134">
        <v>50.5</v>
      </c>
      <c r="D631" s="134">
        <v>15</v>
      </c>
      <c r="E631" s="134" t="s">
        <v>2259</v>
      </c>
      <c r="F631" s="134">
        <f t="shared" si="22"/>
        <v>0.94699999999999995</v>
      </c>
    </row>
    <row r="632" spans="1:6" ht="18" hidden="1">
      <c r="A632" s="134">
        <v>25</v>
      </c>
      <c r="B632" s="134">
        <v>77.5</v>
      </c>
      <c r="C632" s="134">
        <v>53.5</v>
      </c>
      <c r="D632" s="134">
        <v>15</v>
      </c>
      <c r="E632" s="134" t="s">
        <v>2260</v>
      </c>
      <c r="F632" s="134">
        <f t="shared" si="22"/>
        <v>1.0029999999999999</v>
      </c>
    </row>
    <row r="633" spans="1:6" ht="18" hidden="1">
      <c r="A633" s="134">
        <v>25</v>
      </c>
      <c r="B633" s="134">
        <v>77.5</v>
      </c>
      <c r="C633" s="134">
        <v>56.5</v>
      </c>
      <c r="D633" s="134">
        <v>15</v>
      </c>
      <c r="E633" s="134" t="s">
        <v>2261</v>
      </c>
      <c r="F633" s="134">
        <f t="shared" si="22"/>
        <v>1.0589999999999999</v>
      </c>
    </row>
    <row r="634" spans="1:6" ht="18" hidden="1">
      <c r="A634" s="134">
        <v>25</v>
      </c>
      <c r="B634" s="134">
        <v>77.5</v>
      </c>
      <c r="C634" s="134">
        <v>59.5</v>
      </c>
      <c r="D634" s="134">
        <v>15</v>
      </c>
      <c r="E634" s="134" t="s">
        <v>2262</v>
      </c>
      <c r="F634" s="134">
        <f t="shared" si="22"/>
        <v>1.1160000000000001</v>
      </c>
    </row>
    <row r="635" spans="1:6" ht="18" hidden="1">
      <c r="A635" s="134">
        <v>25</v>
      </c>
      <c r="B635" s="134">
        <v>77.5</v>
      </c>
      <c r="C635" s="134">
        <v>62.5</v>
      </c>
      <c r="D635" s="134">
        <v>15</v>
      </c>
      <c r="E635" s="134" t="s">
        <v>2263</v>
      </c>
      <c r="F635" s="134">
        <f t="shared" si="22"/>
        <v>1.1719999999999999</v>
      </c>
    </row>
    <row r="636" spans="1:6" ht="18" hidden="1">
      <c r="A636" s="134">
        <v>25</v>
      </c>
      <c r="B636" s="134">
        <v>77.5</v>
      </c>
      <c r="C636" s="134">
        <v>65.5</v>
      </c>
      <c r="D636" s="134">
        <v>15</v>
      </c>
      <c r="E636" s="134" t="s">
        <v>2264</v>
      </c>
      <c r="F636" s="134">
        <f t="shared" si="22"/>
        <v>1.228</v>
      </c>
    </row>
    <row r="637" spans="1:6" ht="18" hidden="1">
      <c r="A637" s="134">
        <v>25</v>
      </c>
      <c r="B637" s="134">
        <v>77.5</v>
      </c>
      <c r="C637" s="134">
        <v>68.5</v>
      </c>
      <c r="D637" s="134">
        <v>15</v>
      </c>
      <c r="E637" s="134" t="s">
        <v>2265</v>
      </c>
      <c r="F637" s="134">
        <f t="shared" si="22"/>
        <v>1.284</v>
      </c>
    </row>
    <row r="638" spans="1:6" ht="18" hidden="1">
      <c r="A638" s="134">
        <v>25</v>
      </c>
      <c r="B638" s="134">
        <v>77.5</v>
      </c>
      <c r="C638" s="134">
        <v>71.5</v>
      </c>
      <c r="D638" s="134">
        <v>15</v>
      </c>
      <c r="E638" s="134" t="s">
        <v>2266</v>
      </c>
      <c r="F638" s="134">
        <f t="shared" si="22"/>
        <v>1.341</v>
      </c>
    </row>
    <row r="639" spans="1:6" ht="18" hidden="1">
      <c r="A639" s="134">
        <v>25</v>
      </c>
      <c r="B639" s="134">
        <v>79.5</v>
      </c>
      <c r="C639" s="134">
        <v>29.5</v>
      </c>
      <c r="D639" s="134">
        <v>15</v>
      </c>
      <c r="E639" s="134" t="s">
        <v>2267</v>
      </c>
      <c r="F639" s="134">
        <f t="shared" si="22"/>
        <v>0.56699999999999995</v>
      </c>
    </row>
    <row r="640" spans="1:6" ht="18" hidden="1">
      <c r="A640" s="134">
        <v>25</v>
      </c>
      <c r="B640" s="134">
        <v>79.5</v>
      </c>
      <c r="C640" s="134">
        <v>32.5</v>
      </c>
      <c r="D640" s="134">
        <v>15</v>
      </c>
      <c r="E640" s="134" t="s">
        <v>2268</v>
      </c>
      <c r="F640" s="134">
        <f t="shared" si="22"/>
        <v>0.625</v>
      </c>
    </row>
    <row r="641" spans="1:6" ht="18" hidden="1">
      <c r="A641" s="134">
        <v>25</v>
      </c>
      <c r="B641" s="134">
        <v>79.5</v>
      </c>
      <c r="C641" s="134">
        <v>35.5</v>
      </c>
      <c r="D641" s="134">
        <v>15</v>
      </c>
      <c r="E641" s="134" t="s">
        <v>2269</v>
      </c>
      <c r="F641" s="134">
        <f t="shared" si="22"/>
        <v>0.68300000000000005</v>
      </c>
    </row>
    <row r="642" spans="1:6" ht="18" hidden="1">
      <c r="A642" s="134">
        <v>25</v>
      </c>
      <c r="B642" s="134">
        <v>79.5</v>
      </c>
      <c r="C642" s="134">
        <v>38.5</v>
      </c>
      <c r="D642" s="134">
        <v>15</v>
      </c>
      <c r="E642" s="134" t="s">
        <v>2270</v>
      </c>
      <c r="F642" s="134">
        <f t="shared" si="22"/>
        <v>0.74099999999999999</v>
      </c>
    </row>
    <row r="643" spans="1:6" ht="18" hidden="1">
      <c r="A643" s="134">
        <v>25</v>
      </c>
      <c r="B643" s="134">
        <v>79.5</v>
      </c>
      <c r="C643" s="134">
        <v>41.5</v>
      </c>
      <c r="D643" s="134">
        <v>15</v>
      </c>
      <c r="E643" s="134" t="s">
        <v>2271</v>
      </c>
      <c r="F643" s="134">
        <f t="shared" si="22"/>
        <v>0.79800000000000004</v>
      </c>
    </row>
    <row r="644" spans="1:6" ht="18" hidden="1">
      <c r="A644" s="134">
        <v>25</v>
      </c>
      <c r="B644" s="134">
        <v>79.5</v>
      </c>
      <c r="C644" s="134">
        <v>44.5</v>
      </c>
      <c r="D644" s="134">
        <v>15</v>
      </c>
      <c r="E644" s="134" t="s">
        <v>2272</v>
      </c>
      <c r="F644" s="134">
        <f t="shared" si="22"/>
        <v>0.85599999999999998</v>
      </c>
    </row>
    <row r="645" spans="1:6" ht="18" hidden="1">
      <c r="A645" s="134">
        <v>25</v>
      </c>
      <c r="B645" s="134">
        <v>79.5</v>
      </c>
      <c r="C645" s="134">
        <v>47.5</v>
      </c>
      <c r="D645" s="134">
        <v>15</v>
      </c>
      <c r="E645" s="134" t="s">
        <v>2273</v>
      </c>
      <c r="F645" s="134">
        <f t="shared" si="22"/>
        <v>0.91400000000000003</v>
      </c>
    </row>
    <row r="646" spans="1:6" ht="18" hidden="1">
      <c r="A646" s="134">
        <v>25</v>
      </c>
      <c r="B646" s="134">
        <v>79.5</v>
      </c>
      <c r="C646" s="134">
        <v>50.5</v>
      </c>
      <c r="D646" s="134">
        <v>15</v>
      </c>
      <c r="E646" s="134" t="s">
        <v>2274</v>
      </c>
      <c r="F646" s="134">
        <f t="shared" si="22"/>
        <v>0.97099999999999997</v>
      </c>
    </row>
    <row r="647" spans="1:6" ht="18" hidden="1">
      <c r="A647" s="134">
        <v>25</v>
      </c>
      <c r="B647" s="134">
        <v>79.5</v>
      </c>
      <c r="C647" s="134">
        <v>53.5</v>
      </c>
      <c r="D647" s="134">
        <v>15</v>
      </c>
      <c r="E647" s="134" t="s">
        <v>2275</v>
      </c>
      <c r="F647" s="134">
        <f t="shared" si="22"/>
        <v>1.0289999999999999</v>
      </c>
    </row>
    <row r="648" spans="1:6" ht="18" hidden="1">
      <c r="A648" s="134">
        <v>25</v>
      </c>
      <c r="B648" s="134">
        <v>79.5</v>
      </c>
      <c r="C648" s="134">
        <v>56.5</v>
      </c>
      <c r="D648" s="134">
        <v>15</v>
      </c>
      <c r="E648" s="134" t="s">
        <v>2276</v>
      </c>
      <c r="F648" s="134">
        <f t="shared" si="22"/>
        <v>1.087</v>
      </c>
    </row>
    <row r="649" spans="1:6" ht="18" hidden="1">
      <c r="A649" s="134">
        <v>25</v>
      </c>
      <c r="B649" s="134">
        <v>79.5</v>
      </c>
      <c r="C649" s="134">
        <v>59.5</v>
      </c>
      <c r="D649" s="134">
        <v>15</v>
      </c>
      <c r="E649" s="134" t="s">
        <v>2277</v>
      </c>
      <c r="F649" s="134">
        <f t="shared" si="22"/>
        <v>1.1439999999999999</v>
      </c>
    </row>
    <row r="650" spans="1:6" ht="18" hidden="1">
      <c r="A650" s="134">
        <v>25</v>
      </c>
      <c r="B650" s="134">
        <v>79.5</v>
      </c>
      <c r="C650" s="134">
        <v>62.5</v>
      </c>
      <c r="D650" s="134">
        <v>15</v>
      </c>
      <c r="E650" s="134" t="s">
        <v>2278</v>
      </c>
      <c r="F650" s="134">
        <f t="shared" si="22"/>
        <v>1.202</v>
      </c>
    </row>
    <row r="651" spans="1:6" ht="18" hidden="1">
      <c r="A651" s="134">
        <v>25</v>
      </c>
      <c r="B651" s="134">
        <v>79.5</v>
      </c>
      <c r="C651" s="134">
        <v>65.5</v>
      </c>
      <c r="D651" s="134">
        <v>15</v>
      </c>
      <c r="E651" s="134" t="s">
        <v>2279</v>
      </c>
      <c r="F651" s="134">
        <f t="shared" si="22"/>
        <v>1.26</v>
      </c>
    </row>
    <row r="652" spans="1:6" ht="18" hidden="1">
      <c r="A652" s="134">
        <v>25</v>
      </c>
      <c r="B652" s="134">
        <v>79.5</v>
      </c>
      <c r="C652" s="134">
        <v>68.5</v>
      </c>
      <c r="D652" s="134">
        <v>15</v>
      </c>
      <c r="E652" s="134" t="s">
        <v>2280</v>
      </c>
      <c r="F652" s="134">
        <f t="shared" si="22"/>
        <v>1.3180000000000001</v>
      </c>
    </row>
    <row r="653" spans="1:6" ht="18" hidden="1">
      <c r="A653" s="134">
        <v>25</v>
      </c>
      <c r="B653" s="134">
        <v>79.5</v>
      </c>
      <c r="C653" s="134">
        <v>71.5</v>
      </c>
      <c r="D653" s="134">
        <v>15</v>
      </c>
      <c r="E653" s="134" t="s">
        <v>2281</v>
      </c>
      <c r="F653" s="134">
        <f t="shared" si="22"/>
        <v>1.375</v>
      </c>
    </row>
    <row r="654" spans="1:6" ht="18" hidden="1">
      <c r="A654" s="134">
        <v>25</v>
      </c>
      <c r="B654" s="134">
        <v>83.5</v>
      </c>
      <c r="C654" s="134">
        <v>29.5</v>
      </c>
      <c r="D654" s="134">
        <v>15</v>
      </c>
      <c r="E654" s="134" t="s">
        <v>2282</v>
      </c>
      <c r="F654" s="134">
        <f t="shared" si="22"/>
        <v>0.59599999999999997</v>
      </c>
    </row>
    <row r="655" spans="1:6" ht="18" hidden="1">
      <c r="A655" s="134">
        <v>25</v>
      </c>
      <c r="B655" s="134">
        <v>83.5</v>
      </c>
      <c r="C655" s="134">
        <v>32.5</v>
      </c>
      <c r="D655" s="134">
        <v>15</v>
      </c>
      <c r="E655" s="134" t="s">
        <v>2283</v>
      </c>
      <c r="F655" s="134">
        <f t="shared" si="22"/>
        <v>0.65700000000000003</v>
      </c>
    </row>
    <row r="656" spans="1:6" ht="18" hidden="1">
      <c r="A656" s="134">
        <v>25</v>
      </c>
      <c r="B656" s="134">
        <v>83.5</v>
      </c>
      <c r="C656" s="134">
        <v>35.5</v>
      </c>
      <c r="D656" s="134">
        <v>15</v>
      </c>
      <c r="E656" s="134" t="s">
        <v>2284</v>
      </c>
      <c r="F656" s="134">
        <f t="shared" si="22"/>
        <v>0.71699999999999997</v>
      </c>
    </row>
    <row r="657" spans="1:6" ht="18" hidden="1">
      <c r="A657" s="134">
        <v>25</v>
      </c>
      <c r="B657" s="134">
        <v>83.5</v>
      </c>
      <c r="C657" s="134">
        <v>38.5</v>
      </c>
      <c r="D657" s="134">
        <v>15</v>
      </c>
      <c r="E657" s="134" t="s">
        <v>2285</v>
      </c>
      <c r="F657" s="134">
        <f t="shared" si="22"/>
        <v>0.77800000000000002</v>
      </c>
    </row>
    <row r="658" spans="1:6" ht="18" hidden="1">
      <c r="A658" s="134">
        <v>25</v>
      </c>
      <c r="B658" s="134">
        <v>83.5</v>
      </c>
      <c r="C658" s="134">
        <v>41.5</v>
      </c>
      <c r="D658" s="134">
        <v>15</v>
      </c>
      <c r="E658" s="134" t="s">
        <v>2286</v>
      </c>
      <c r="F658" s="134">
        <f t="shared" si="22"/>
        <v>0.83799999999999997</v>
      </c>
    </row>
    <row r="659" spans="1:6" ht="18" hidden="1">
      <c r="A659" s="134">
        <v>25</v>
      </c>
      <c r="B659" s="134">
        <v>83.5</v>
      </c>
      <c r="C659" s="134">
        <v>44.5</v>
      </c>
      <c r="D659" s="134">
        <v>15</v>
      </c>
      <c r="E659" s="134" t="s">
        <v>2287</v>
      </c>
      <c r="F659" s="134">
        <f t="shared" ref="F659:F671" si="23">+ROUND((A659*B659*0.0254*C659*0.0254*(D659/1000)),3)</f>
        <v>0.89900000000000002</v>
      </c>
    </row>
    <row r="660" spans="1:6" ht="18" hidden="1">
      <c r="A660" s="134">
        <v>25</v>
      </c>
      <c r="B660" s="134">
        <v>83.5</v>
      </c>
      <c r="C660" s="134">
        <v>47.5</v>
      </c>
      <c r="D660" s="134">
        <v>15</v>
      </c>
      <c r="E660" s="134" t="s">
        <v>2288</v>
      </c>
      <c r="F660" s="134">
        <f t="shared" si="23"/>
        <v>0.96</v>
      </c>
    </row>
    <row r="661" spans="1:6" ht="18" hidden="1">
      <c r="A661" s="134">
        <v>25</v>
      </c>
      <c r="B661" s="134">
        <v>83.5</v>
      </c>
      <c r="C661" s="134">
        <v>50.5</v>
      </c>
      <c r="D661" s="134">
        <v>15</v>
      </c>
      <c r="E661" s="134" t="s">
        <v>2289</v>
      </c>
      <c r="F661" s="134">
        <f t="shared" si="23"/>
        <v>1.02</v>
      </c>
    </row>
    <row r="662" spans="1:6" ht="18" hidden="1">
      <c r="A662" s="134">
        <v>25</v>
      </c>
      <c r="B662" s="134">
        <v>83.5</v>
      </c>
      <c r="C662" s="134">
        <v>53.5</v>
      </c>
      <c r="D662" s="134">
        <v>15</v>
      </c>
      <c r="E662" s="134" t="s">
        <v>2290</v>
      </c>
      <c r="F662" s="134">
        <f t="shared" si="23"/>
        <v>1.081</v>
      </c>
    </row>
    <row r="663" spans="1:6" ht="18" hidden="1">
      <c r="A663" s="134">
        <v>25</v>
      </c>
      <c r="B663" s="134">
        <v>83.5</v>
      </c>
      <c r="C663" s="134">
        <v>56.5</v>
      </c>
      <c r="D663" s="134">
        <v>15</v>
      </c>
      <c r="E663" s="134" t="s">
        <v>2291</v>
      </c>
      <c r="F663" s="134">
        <f t="shared" si="23"/>
        <v>1.141</v>
      </c>
    </row>
    <row r="664" spans="1:6" ht="18" hidden="1">
      <c r="A664" s="134">
        <v>25</v>
      </c>
      <c r="B664" s="134">
        <v>83.5</v>
      </c>
      <c r="C664" s="134">
        <v>59.5</v>
      </c>
      <c r="D664" s="134">
        <v>15</v>
      </c>
      <c r="E664" s="134" t="s">
        <v>2292</v>
      </c>
      <c r="F664" s="134">
        <f t="shared" si="23"/>
        <v>1.202</v>
      </c>
    </row>
    <row r="665" spans="1:6" ht="18" hidden="1">
      <c r="A665" s="134">
        <v>25</v>
      </c>
      <c r="B665" s="134">
        <v>83.5</v>
      </c>
      <c r="C665" s="134">
        <v>62.5</v>
      </c>
      <c r="D665" s="134">
        <v>15</v>
      </c>
      <c r="E665" s="134" t="s">
        <v>2293</v>
      </c>
      <c r="F665" s="134">
        <f t="shared" si="23"/>
        <v>1.2629999999999999</v>
      </c>
    </row>
    <row r="666" spans="1:6" ht="18" hidden="1">
      <c r="A666" s="134">
        <v>25</v>
      </c>
      <c r="B666" s="134">
        <v>83.5</v>
      </c>
      <c r="C666" s="134">
        <v>65.5</v>
      </c>
      <c r="D666" s="134">
        <v>15</v>
      </c>
      <c r="E666" s="134" t="s">
        <v>2294</v>
      </c>
      <c r="F666" s="134">
        <f t="shared" si="23"/>
        <v>1.323</v>
      </c>
    </row>
    <row r="667" spans="1:6" ht="18" hidden="1">
      <c r="A667" s="134">
        <v>25</v>
      </c>
      <c r="B667" s="134">
        <v>83.5</v>
      </c>
      <c r="C667" s="134">
        <v>68.5</v>
      </c>
      <c r="D667" s="134">
        <v>15</v>
      </c>
      <c r="E667" s="134" t="s">
        <v>2295</v>
      </c>
      <c r="F667" s="134">
        <f t="shared" si="23"/>
        <v>1.3839999999999999</v>
      </c>
    </row>
    <row r="668" spans="1:6" ht="18" hidden="1">
      <c r="A668" s="134">
        <v>25</v>
      </c>
      <c r="B668" s="134">
        <v>83.5</v>
      </c>
      <c r="C668" s="134">
        <v>71.5</v>
      </c>
      <c r="D668" s="134">
        <v>15</v>
      </c>
      <c r="E668" s="134" t="s">
        <v>2296</v>
      </c>
      <c r="F668" s="134">
        <f t="shared" si="23"/>
        <v>1.444</v>
      </c>
    </row>
    <row r="669" spans="1:6" ht="18" hidden="1">
      <c r="A669" s="134">
        <v>25</v>
      </c>
      <c r="B669" s="134">
        <v>12.5</v>
      </c>
      <c r="C669" s="134">
        <v>12.5</v>
      </c>
      <c r="D669" s="134">
        <v>15</v>
      </c>
      <c r="E669" s="134" t="s">
        <v>2297</v>
      </c>
      <c r="F669" s="134">
        <f t="shared" si="23"/>
        <v>3.7999999999999999E-2</v>
      </c>
    </row>
    <row r="670" spans="1:6" ht="18.75" hidden="1" thickBot="1">
      <c r="A670" s="183">
        <v>25</v>
      </c>
      <c r="B670" s="183">
        <v>19.5</v>
      </c>
      <c r="C670" s="183">
        <v>17.5</v>
      </c>
      <c r="D670" s="183">
        <v>15</v>
      </c>
      <c r="E670" s="183" t="s">
        <v>2298</v>
      </c>
      <c r="F670" s="183">
        <f t="shared" si="23"/>
        <v>8.3000000000000004E-2</v>
      </c>
    </row>
    <row r="671" spans="1:6" ht="18" hidden="1">
      <c r="A671" s="154">
        <v>100</v>
      </c>
      <c r="B671" s="154">
        <v>71.5</v>
      </c>
      <c r="C671" s="154">
        <v>29.5</v>
      </c>
      <c r="D671" s="154">
        <v>20</v>
      </c>
      <c r="E671" s="154" t="s">
        <v>913</v>
      </c>
      <c r="F671" s="154">
        <f t="shared" si="23"/>
        <v>2.722</v>
      </c>
    </row>
    <row r="672" spans="1:6" ht="18" hidden="1">
      <c r="A672" s="123">
        <v>100</v>
      </c>
      <c r="B672" s="123">
        <v>71.5</v>
      </c>
      <c r="C672" s="123">
        <v>32.5</v>
      </c>
      <c r="D672" s="123">
        <v>20</v>
      </c>
      <c r="E672" s="123" t="s">
        <v>2299</v>
      </c>
      <c r="F672" s="123">
        <f t="shared" ref="F672:F735" si="24">+ROUND((A672*B672*0.0254*C672*0.0254*(D672/1000)),3)</f>
        <v>2.9980000000000002</v>
      </c>
    </row>
    <row r="673" spans="1:6" ht="18" hidden="1">
      <c r="A673" s="123">
        <v>100</v>
      </c>
      <c r="B673" s="123">
        <v>71.5</v>
      </c>
      <c r="C673" s="123">
        <v>35.5</v>
      </c>
      <c r="D673" s="123">
        <v>20</v>
      </c>
      <c r="E673" s="123" t="s">
        <v>917</v>
      </c>
      <c r="F673" s="123">
        <f t="shared" si="24"/>
        <v>3.2749999999999999</v>
      </c>
    </row>
    <row r="674" spans="1:6" ht="18" hidden="1">
      <c r="A674" s="123">
        <v>100</v>
      </c>
      <c r="B674" s="123">
        <v>71.5</v>
      </c>
      <c r="C674" s="123">
        <v>38.5</v>
      </c>
      <c r="D674" s="123">
        <v>20</v>
      </c>
      <c r="E674" s="123" t="s">
        <v>2300</v>
      </c>
      <c r="F674" s="123">
        <f t="shared" si="24"/>
        <v>3.552</v>
      </c>
    </row>
    <row r="675" spans="1:6" ht="18" hidden="1">
      <c r="A675" s="123">
        <v>100</v>
      </c>
      <c r="B675" s="123">
        <v>71.5</v>
      </c>
      <c r="C675" s="123">
        <v>41.5</v>
      </c>
      <c r="D675" s="123">
        <v>20</v>
      </c>
      <c r="E675" s="123" t="s">
        <v>921</v>
      </c>
      <c r="F675" s="123">
        <f t="shared" si="24"/>
        <v>3.8290000000000002</v>
      </c>
    </row>
    <row r="676" spans="1:6" ht="18" hidden="1">
      <c r="A676" s="123">
        <v>100</v>
      </c>
      <c r="B676" s="123">
        <v>71.5</v>
      </c>
      <c r="C676" s="123">
        <v>44.5</v>
      </c>
      <c r="D676" s="123">
        <v>20</v>
      </c>
      <c r="E676" s="123" t="s">
        <v>2301</v>
      </c>
      <c r="F676" s="123">
        <f t="shared" si="24"/>
        <v>4.1050000000000004</v>
      </c>
    </row>
    <row r="677" spans="1:6" ht="18" hidden="1">
      <c r="A677" s="123">
        <v>100</v>
      </c>
      <c r="B677" s="123">
        <v>71.5</v>
      </c>
      <c r="C677" s="123">
        <v>47.5</v>
      </c>
      <c r="D677" s="123">
        <v>20</v>
      </c>
      <c r="E677" s="123" t="s">
        <v>925</v>
      </c>
      <c r="F677" s="123">
        <f t="shared" si="24"/>
        <v>4.3819999999999997</v>
      </c>
    </row>
    <row r="678" spans="1:6" ht="18" hidden="1">
      <c r="A678" s="123">
        <v>100</v>
      </c>
      <c r="B678" s="123">
        <v>71.5</v>
      </c>
      <c r="C678" s="123">
        <v>50.5</v>
      </c>
      <c r="D678" s="123">
        <v>20</v>
      </c>
      <c r="E678" s="123" t="s">
        <v>2302</v>
      </c>
      <c r="F678" s="123">
        <f t="shared" si="24"/>
        <v>4.6589999999999998</v>
      </c>
    </row>
    <row r="679" spans="1:6" ht="18" hidden="1">
      <c r="A679" s="123">
        <v>100</v>
      </c>
      <c r="B679" s="123">
        <v>71.5</v>
      </c>
      <c r="C679" s="123">
        <v>53.5</v>
      </c>
      <c r="D679" s="123">
        <v>20</v>
      </c>
      <c r="E679" s="123" t="s">
        <v>2303</v>
      </c>
      <c r="F679" s="123">
        <f t="shared" si="24"/>
        <v>4.9359999999999999</v>
      </c>
    </row>
    <row r="680" spans="1:6" ht="18" hidden="1">
      <c r="A680" s="123">
        <v>100</v>
      </c>
      <c r="B680" s="123">
        <v>71.5</v>
      </c>
      <c r="C680" s="123">
        <v>56.5</v>
      </c>
      <c r="D680" s="123">
        <v>20</v>
      </c>
      <c r="E680" s="123" t="s">
        <v>2304</v>
      </c>
      <c r="F680" s="123">
        <f t="shared" si="24"/>
        <v>5.2130000000000001</v>
      </c>
    </row>
    <row r="681" spans="1:6" ht="18" hidden="1">
      <c r="A681" s="123">
        <v>100</v>
      </c>
      <c r="B681" s="123">
        <v>71.5</v>
      </c>
      <c r="C681" s="123">
        <v>59.5</v>
      </c>
      <c r="D681" s="123">
        <v>20</v>
      </c>
      <c r="E681" s="123" t="s">
        <v>929</v>
      </c>
      <c r="F681" s="123">
        <f t="shared" si="24"/>
        <v>5.4889999999999999</v>
      </c>
    </row>
    <row r="682" spans="1:6" ht="18" hidden="1">
      <c r="A682" s="123">
        <v>100</v>
      </c>
      <c r="B682" s="123">
        <v>71.5</v>
      </c>
      <c r="C682" s="123">
        <v>62.5</v>
      </c>
      <c r="D682" s="123">
        <v>20</v>
      </c>
      <c r="E682" s="123" t="s">
        <v>2305</v>
      </c>
      <c r="F682" s="123">
        <f t="shared" si="24"/>
        <v>5.766</v>
      </c>
    </row>
    <row r="683" spans="1:6" ht="18" hidden="1">
      <c r="A683" s="123">
        <v>100</v>
      </c>
      <c r="B683" s="123">
        <v>71.5</v>
      </c>
      <c r="C683" s="123">
        <v>65.5</v>
      </c>
      <c r="D683" s="123">
        <v>20</v>
      </c>
      <c r="E683" s="123" t="s">
        <v>933</v>
      </c>
      <c r="F683" s="123">
        <f t="shared" si="24"/>
        <v>6.0430000000000001</v>
      </c>
    </row>
    <row r="684" spans="1:6" ht="18" hidden="1">
      <c r="A684" s="123">
        <v>100</v>
      </c>
      <c r="B684" s="123">
        <v>71.5</v>
      </c>
      <c r="C684" s="123">
        <v>68.5</v>
      </c>
      <c r="D684" s="123">
        <v>20</v>
      </c>
      <c r="E684" s="123" t="s">
        <v>2306</v>
      </c>
      <c r="F684" s="123">
        <f t="shared" si="24"/>
        <v>6.32</v>
      </c>
    </row>
    <row r="685" spans="1:6" ht="18" hidden="1">
      <c r="A685" s="123">
        <v>100</v>
      </c>
      <c r="B685" s="123">
        <v>71.5</v>
      </c>
      <c r="C685" s="123">
        <v>71.5</v>
      </c>
      <c r="D685" s="123">
        <v>20</v>
      </c>
      <c r="E685" s="123" t="s">
        <v>937</v>
      </c>
      <c r="F685" s="123">
        <f t="shared" si="24"/>
        <v>6.5960000000000001</v>
      </c>
    </row>
    <row r="686" spans="1:6" ht="18" hidden="1">
      <c r="A686" s="123">
        <v>100</v>
      </c>
      <c r="B686" s="123">
        <v>74.5</v>
      </c>
      <c r="C686" s="123">
        <v>29.5</v>
      </c>
      <c r="D686" s="123">
        <v>20</v>
      </c>
      <c r="E686" s="123" t="s">
        <v>941</v>
      </c>
      <c r="F686" s="123">
        <f t="shared" si="24"/>
        <v>2.8359999999999999</v>
      </c>
    </row>
    <row r="687" spans="1:6" ht="18" hidden="1">
      <c r="A687" s="123">
        <v>100</v>
      </c>
      <c r="B687" s="123">
        <v>74.5</v>
      </c>
      <c r="C687" s="123">
        <v>32.5</v>
      </c>
      <c r="D687" s="123">
        <v>20</v>
      </c>
      <c r="E687" s="123" t="s">
        <v>2307</v>
      </c>
      <c r="F687" s="123">
        <f t="shared" si="24"/>
        <v>3.1240000000000001</v>
      </c>
    </row>
    <row r="688" spans="1:6" ht="18" hidden="1">
      <c r="A688" s="123">
        <v>100</v>
      </c>
      <c r="B688" s="123">
        <v>74.5</v>
      </c>
      <c r="C688" s="123">
        <v>35.5</v>
      </c>
      <c r="D688" s="123">
        <v>20</v>
      </c>
      <c r="E688" s="123" t="s">
        <v>944</v>
      </c>
      <c r="F688" s="123">
        <f t="shared" si="24"/>
        <v>3.4129999999999998</v>
      </c>
    </row>
    <row r="689" spans="1:6" ht="18" hidden="1">
      <c r="A689" s="123">
        <v>100</v>
      </c>
      <c r="B689" s="123">
        <v>74.5</v>
      </c>
      <c r="C689" s="123">
        <v>38.5</v>
      </c>
      <c r="D689" s="123">
        <v>20</v>
      </c>
      <c r="E689" s="123" t="s">
        <v>2308</v>
      </c>
      <c r="F689" s="123">
        <f t="shared" si="24"/>
        <v>3.7010000000000001</v>
      </c>
    </row>
    <row r="690" spans="1:6" ht="18" hidden="1">
      <c r="A690" s="123">
        <v>100</v>
      </c>
      <c r="B690" s="123">
        <v>74.5</v>
      </c>
      <c r="C690" s="123">
        <v>41.5</v>
      </c>
      <c r="D690" s="123">
        <v>20</v>
      </c>
      <c r="E690" s="123" t="s">
        <v>947</v>
      </c>
      <c r="F690" s="123">
        <f t="shared" si="24"/>
        <v>3.9889999999999999</v>
      </c>
    </row>
    <row r="691" spans="1:6" ht="18" hidden="1">
      <c r="A691" s="123">
        <v>100</v>
      </c>
      <c r="B691" s="123">
        <v>74.5</v>
      </c>
      <c r="C691" s="123">
        <v>44.5</v>
      </c>
      <c r="D691" s="123">
        <v>20</v>
      </c>
      <c r="E691" s="123" t="s">
        <v>2309</v>
      </c>
      <c r="F691" s="123">
        <f t="shared" si="24"/>
        <v>4.2779999999999996</v>
      </c>
    </row>
    <row r="692" spans="1:6" ht="18" hidden="1">
      <c r="A692" s="123">
        <v>100</v>
      </c>
      <c r="B692" s="123">
        <v>74.5</v>
      </c>
      <c r="C692" s="123">
        <v>47.5</v>
      </c>
      <c r="D692" s="123">
        <v>20</v>
      </c>
      <c r="E692" s="123" t="s">
        <v>950</v>
      </c>
      <c r="F692" s="123">
        <f t="shared" si="24"/>
        <v>4.5659999999999998</v>
      </c>
    </row>
    <row r="693" spans="1:6" ht="18" hidden="1">
      <c r="A693" s="123">
        <v>100</v>
      </c>
      <c r="B693" s="123">
        <v>74.5</v>
      </c>
      <c r="C693" s="123">
        <v>50.5</v>
      </c>
      <c r="D693" s="123">
        <v>20</v>
      </c>
      <c r="E693" s="123" t="s">
        <v>2310</v>
      </c>
      <c r="F693" s="123">
        <f t="shared" si="24"/>
        <v>4.8550000000000004</v>
      </c>
    </row>
    <row r="694" spans="1:6" ht="18" hidden="1">
      <c r="A694" s="123">
        <v>100</v>
      </c>
      <c r="B694" s="123">
        <v>74.5</v>
      </c>
      <c r="C694" s="123">
        <v>53.5</v>
      </c>
      <c r="D694" s="123">
        <v>20</v>
      </c>
      <c r="E694" s="123" t="s">
        <v>2311</v>
      </c>
      <c r="F694" s="123">
        <f t="shared" si="24"/>
        <v>5.1429999999999998</v>
      </c>
    </row>
    <row r="695" spans="1:6" ht="18" hidden="1">
      <c r="A695" s="123">
        <v>100</v>
      </c>
      <c r="B695" s="123">
        <v>74.5</v>
      </c>
      <c r="C695" s="123">
        <v>56.5</v>
      </c>
      <c r="D695" s="123">
        <v>20</v>
      </c>
      <c r="E695" s="123" t="s">
        <v>2312</v>
      </c>
      <c r="F695" s="123">
        <f t="shared" si="24"/>
        <v>5.431</v>
      </c>
    </row>
    <row r="696" spans="1:6" ht="18" hidden="1">
      <c r="A696" s="123">
        <v>100</v>
      </c>
      <c r="B696" s="123">
        <v>74.5</v>
      </c>
      <c r="C696" s="123">
        <v>59.5</v>
      </c>
      <c r="D696" s="123">
        <v>20</v>
      </c>
      <c r="E696" s="123" t="s">
        <v>953</v>
      </c>
      <c r="F696" s="123">
        <f t="shared" si="24"/>
        <v>5.72</v>
      </c>
    </row>
    <row r="697" spans="1:6" ht="18" hidden="1">
      <c r="A697" s="123">
        <v>100</v>
      </c>
      <c r="B697" s="123">
        <v>74.5</v>
      </c>
      <c r="C697" s="123">
        <v>62.5</v>
      </c>
      <c r="D697" s="123">
        <v>20</v>
      </c>
      <c r="E697" s="123" t="s">
        <v>2313</v>
      </c>
      <c r="F697" s="123">
        <f t="shared" si="24"/>
        <v>6.008</v>
      </c>
    </row>
    <row r="698" spans="1:6" ht="18" hidden="1">
      <c r="A698" s="123">
        <v>100</v>
      </c>
      <c r="B698" s="123">
        <v>74.5</v>
      </c>
      <c r="C698" s="123">
        <v>65.5</v>
      </c>
      <c r="D698" s="123">
        <v>20</v>
      </c>
      <c r="E698" s="123" t="s">
        <v>956</v>
      </c>
      <c r="F698" s="123">
        <f t="shared" si="24"/>
        <v>6.2960000000000003</v>
      </c>
    </row>
    <row r="699" spans="1:6" ht="18" hidden="1">
      <c r="A699" s="123">
        <v>100</v>
      </c>
      <c r="B699" s="123">
        <v>74.5</v>
      </c>
      <c r="C699" s="123">
        <v>68.5</v>
      </c>
      <c r="D699" s="123">
        <v>20</v>
      </c>
      <c r="E699" s="123" t="s">
        <v>2314</v>
      </c>
      <c r="F699" s="123">
        <f t="shared" si="24"/>
        <v>6.585</v>
      </c>
    </row>
    <row r="700" spans="1:6" ht="18" hidden="1">
      <c r="A700" s="123">
        <v>100</v>
      </c>
      <c r="B700" s="123">
        <v>74.5</v>
      </c>
      <c r="C700" s="123">
        <v>71.5</v>
      </c>
      <c r="D700" s="123">
        <v>20</v>
      </c>
      <c r="E700" s="123" t="s">
        <v>959</v>
      </c>
      <c r="F700" s="123">
        <f t="shared" si="24"/>
        <v>6.8730000000000002</v>
      </c>
    </row>
    <row r="701" spans="1:6" ht="18" hidden="1">
      <c r="A701" s="123">
        <v>100</v>
      </c>
      <c r="B701" s="123">
        <v>77.5</v>
      </c>
      <c r="C701" s="123">
        <v>29.5</v>
      </c>
      <c r="D701" s="123">
        <v>20</v>
      </c>
      <c r="E701" s="123" t="s">
        <v>963</v>
      </c>
      <c r="F701" s="123">
        <f t="shared" si="24"/>
        <v>2.95</v>
      </c>
    </row>
    <row r="702" spans="1:6" ht="18" hidden="1">
      <c r="A702" s="123">
        <v>100</v>
      </c>
      <c r="B702" s="123">
        <v>77.5</v>
      </c>
      <c r="C702" s="123">
        <v>32.5</v>
      </c>
      <c r="D702" s="123">
        <v>20</v>
      </c>
      <c r="E702" s="123" t="s">
        <v>2315</v>
      </c>
      <c r="F702" s="123">
        <f t="shared" si="24"/>
        <v>3.25</v>
      </c>
    </row>
    <row r="703" spans="1:6" ht="18" hidden="1">
      <c r="A703" s="123">
        <v>100</v>
      </c>
      <c r="B703" s="123">
        <v>77.5</v>
      </c>
      <c r="C703" s="123">
        <v>35.5</v>
      </c>
      <c r="D703" s="123">
        <v>20</v>
      </c>
      <c r="E703" s="123" t="s">
        <v>966</v>
      </c>
      <c r="F703" s="123">
        <f t="shared" si="24"/>
        <v>3.55</v>
      </c>
    </row>
    <row r="704" spans="1:6" ht="18" hidden="1">
      <c r="A704" s="123">
        <v>100</v>
      </c>
      <c r="B704" s="123">
        <v>77.5</v>
      </c>
      <c r="C704" s="123">
        <v>38.5</v>
      </c>
      <c r="D704" s="123">
        <v>20</v>
      </c>
      <c r="E704" s="123" t="s">
        <v>2316</v>
      </c>
      <c r="F704" s="123">
        <f t="shared" si="24"/>
        <v>3.85</v>
      </c>
    </row>
    <row r="705" spans="1:6" ht="18" hidden="1">
      <c r="A705" s="123">
        <v>100</v>
      </c>
      <c r="B705" s="123">
        <v>77.5</v>
      </c>
      <c r="C705" s="123">
        <v>41.5</v>
      </c>
      <c r="D705" s="123">
        <v>20</v>
      </c>
      <c r="E705" s="123" t="s">
        <v>969</v>
      </c>
      <c r="F705" s="123">
        <f t="shared" si="24"/>
        <v>4.1500000000000004</v>
      </c>
    </row>
    <row r="706" spans="1:6" ht="18" hidden="1">
      <c r="A706" s="123">
        <v>100</v>
      </c>
      <c r="B706" s="123">
        <v>77.5</v>
      </c>
      <c r="C706" s="123">
        <v>44.5</v>
      </c>
      <c r="D706" s="123">
        <v>20</v>
      </c>
      <c r="E706" s="123" t="s">
        <v>2317</v>
      </c>
      <c r="F706" s="123">
        <f t="shared" si="24"/>
        <v>4.45</v>
      </c>
    </row>
    <row r="707" spans="1:6" ht="18" hidden="1">
      <c r="A707" s="123">
        <v>100</v>
      </c>
      <c r="B707" s="123">
        <v>77.5</v>
      </c>
      <c r="C707" s="123">
        <v>47.5</v>
      </c>
      <c r="D707" s="123">
        <v>20</v>
      </c>
      <c r="E707" s="123" t="s">
        <v>972</v>
      </c>
      <c r="F707" s="123">
        <f t="shared" si="24"/>
        <v>4.75</v>
      </c>
    </row>
    <row r="708" spans="1:6" ht="18" hidden="1">
      <c r="A708" s="123">
        <v>100</v>
      </c>
      <c r="B708" s="123">
        <v>77.5</v>
      </c>
      <c r="C708" s="123">
        <v>50.5</v>
      </c>
      <c r="D708" s="123">
        <v>20</v>
      </c>
      <c r="E708" s="123" t="s">
        <v>2318</v>
      </c>
      <c r="F708" s="123">
        <f t="shared" si="24"/>
        <v>5.05</v>
      </c>
    </row>
    <row r="709" spans="1:6" ht="18" hidden="1">
      <c r="A709" s="123">
        <v>100</v>
      </c>
      <c r="B709" s="123">
        <v>77.5</v>
      </c>
      <c r="C709" s="123">
        <v>53.5</v>
      </c>
      <c r="D709" s="123">
        <v>20</v>
      </c>
      <c r="E709" s="123" t="s">
        <v>2319</v>
      </c>
      <c r="F709" s="123">
        <f t="shared" si="24"/>
        <v>5.35</v>
      </c>
    </row>
    <row r="710" spans="1:6" ht="18" hidden="1">
      <c r="A710" s="123">
        <v>100</v>
      </c>
      <c r="B710" s="123">
        <v>77.5</v>
      </c>
      <c r="C710" s="123">
        <v>56.5</v>
      </c>
      <c r="D710" s="123">
        <v>20</v>
      </c>
      <c r="E710" s="123" t="s">
        <v>2320</v>
      </c>
      <c r="F710" s="123">
        <f t="shared" si="24"/>
        <v>5.65</v>
      </c>
    </row>
    <row r="711" spans="1:6" ht="18" hidden="1">
      <c r="A711" s="123">
        <v>100</v>
      </c>
      <c r="B711" s="123">
        <v>77.5</v>
      </c>
      <c r="C711" s="123">
        <v>59.5</v>
      </c>
      <c r="D711" s="123">
        <v>20</v>
      </c>
      <c r="E711" s="123" t="s">
        <v>975</v>
      </c>
      <c r="F711" s="123">
        <f t="shared" si="24"/>
        <v>5.95</v>
      </c>
    </row>
    <row r="712" spans="1:6" ht="18" hidden="1">
      <c r="A712" s="123">
        <v>100</v>
      </c>
      <c r="B712" s="123">
        <v>77.5</v>
      </c>
      <c r="C712" s="123">
        <v>62.5</v>
      </c>
      <c r="D712" s="123">
        <v>20</v>
      </c>
      <c r="E712" s="123" t="s">
        <v>2321</v>
      </c>
      <c r="F712" s="123">
        <f t="shared" si="24"/>
        <v>6.25</v>
      </c>
    </row>
    <row r="713" spans="1:6" ht="18" hidden="1">
      <c r="A713" s="123">
        <v>100</v>
      </c>
      <c r="B713" s="123">
        <v>77.5</v>
      </c>
      <c r="C713" s="123">
        <v>65.5</v>
      </c>
      <c r="D713" s="123">
        <v>20</v>
      </c>
      <c r="E713" s="123" t="s">
        <v>978</v>
      </c>
      <c r="F713" s="123">
        <f t="shared" si="24"/>
        <v>6.55</v>
      </c>
    </row>
    <row r="714" spans="1:6" ht="18" hidden="1">
      <c r="A714" s="123">
        <v>100</v>
      </c>
      <c r="B714" s="123">
        <v>77.5</v>
      </c>
      <c r="C714" s="123">
        <v>68.5</v>
      </c>
      <c r="D714" s="123">
        <v>20</v>
      </c>
      <c r="E714" s="123" t="s">
        <v>2322</v>
      </c>
      <c r="F714" s="123">
        <f t="shared" si="24"/>
        <v>6.85</v>
      </c>
    </row>
    <row r="715" spans="1:6" ht="18" hidden="1">
      <c r="A715" s="123">
        <v>100</v>
      </c>
      <c r="B715" s="123">
        <v>77.5</v>
      </c>
      <c r="C715" s="123">
        <v>71.5</v>
      </c>
      <c r="D715" s="123">
        <v>20</v>
      </c>
      <c r="E715" s="123" t="s">
        <v>981</v>
      </c>
      <c r="F715" s="123">
        <f t="shared" si="24"/>
        <v>7.15</v>
      </c>
    </row>
    <row r="716" spans="1:6" ht="18" hidden="1">
      <c r="A716" s="123">
        <v>100</v>
      </c>
      <c r="B716" s="123">
        <v>79.5</v>
      </c>
      <c r="C716" s="123">
        <v>29.5</v>
      </c>
      <c r="D716" s="123">
        <v>20</v>
      </c>
      <c r="E716" s="123" t="s">
        <v>985</v>
      </c>
      <c r="F716" s="123">
        <f t="shared" si="24"/>
        <v>3.0259999999999998</v>
      </c>
    </row>
    <row r="717" spans="1:6" ht="18" hidden="1">
      <c r="A717" s="123">
        <v>100</v>
      </c>
      <c r="B717" s="123">
        <v>79.5</v>
      </c>
      <c r="C717" s="123">
        <v>32.5</v>
      </c>
      <c r="D717" s="123">
        <v>20</v>
      </c>
      <c r="E717" s="123" t="s">
        <v>2323</v>
      </c>
      <c r="F717" s="123">
        <f t="shared" si="24"/>
        <v>3.3340000000000001</v>
      </c>
    </row>
    <row r="718" spans="1:6" ht="18" hidden="1">
      <c r="A718" s="123">
        <v>100</v>
      </c>
      <c r="B718" s="123">
        <v>79.5</v>
      </c>
      <c r="C718" s="123">
        <v>35.5</v>
      </c>
      <c r="D718" s="123">
        <v>20</v>
      </c>
      <c r="E718" s="123" t="s">
        <v>988</v>
      </c>
      <c r="F718" s="123">
        <f t="shared" si="24"/>
        <v>3.6419999999999999</v>
      </c>
    </row>
    <row r="719" spans="1:6" ht="18" hidden="1">
      <c r="A719" s="123">
        <v>100</v>
      </c>
      <c r="B719" s="123">
        <v>79.5</v>
      </c>
      <c r="C719" s="123">
        <v>38.5</v>
      </c>
      <c r="D719" s="123">
        <v>20</v>
      </c>
      <c r="E719" s="123" t="s">
        <v>2324</v>
      </c>
      <c r="F719" s="123">
        <f t="shared" si="24"/>
        <v>3.9489999999999998</v>
      </c>
    </row>
    <row r="720" spans="1:6" ht="18" hidden="1">
      <c r="A720" s="123">
        <v>100</v>
      </c>
      <c r="B720" s="123">
        <v>79.5</v>
      </c>
      <c r="C720" s="123">
        <v>41.5</v>
      </c>
      <c r="D720" s="123">
        <v>20</v>
      </c>
      <c r="E720" s="123" t="s">
        <v>991</v>
      </c>
      <c r="F720" s="123">
        <f t="shared" si="24"/>
        <v>4.2569999999999997</v>
      </c>
    </row>
    <row r="721" spans="1:6" ht="18" hidden="1">
      <c r="A721" s="123">
        <v>100</v>
      </c>
      <c r="B721" s="123">
        <v>79.5</v>
      </c>
      <c r="C721" s="123">
        <v>44.5</v>
      </c>
      <c r="D721" s="123">
        <v>20</v>
      </c>
      <c r="E721" s="123" t="s">
        <v>2325</v>
      </c>
      <c r="F721" s="123">
        <f t="shared" si="24"/>
        <v>4.5650000000000004</v>
      </c>
    </row>
    <row r="722" spans="1:6" ht="18" hidden="1">
      <c r="A722" s="123">
        <v>100</v>
      </c>
      <c r="B722" s="123">
        <v>79.5</v>
      </c>
      <c r="C722" s="123">
        <v>47.5</v>
      </c>
      <c r="D722" s="123">
        <v>20</v>
      </c>
      <c r="E722" s="123" t="s">
        <v>994</v>
      </c>
      <c r="F722" s="123">
        <f t="shared" si="24"/>
        <v>4.8730000000000002</v>
      </c>
    </row>
    <row r="723" spans="1:6" ht="18" hidden="1">
      <c r="A723" s="123">
        <v>100</v>
      </c>
      <c r="B723" s="123">
        <v>79.5</v>
      </c>
      <c r="C723" s="123">
        <v>50.5</v>
      </c>
      <c r="D723" s="123">
        <v>20</v>
      </c>
      <c r="E723" s="123" t="s">
        <v>2326</v>
      </c>
      <c r="F723" s="123">
        <f t="shared" si="24"/>
        <v>5.18</v>
      </c>
    </row>
    <row r="724" spans="1:6" ht="18" hidden="1">
      <c r="A724" s="123">
        <v>100</v>
      </c>
      <c r="B724" s="123">
        <v>79.5</v>
      </c>
      <c r="C724" s="123">
        <v>53.5</v>
      </c>
      <c r="D724" s="123">
        <v>20</v>
      </c>
      <c r="E724" s="123" t="s">
        <v>2327</v>
      </c>
      <c r="F724" s="123">
        <f t="shared" si="24"/>
        <v>5.4880000000000004</v>
      </c>
    </row>
    <row r="725" spans="1:6" ht="18" hidden="1">
      <c r="A725" s="123">
        <v>100</v>
      </c>
      <c r="B725" s="123">
        <v>79.5</v>
      </c>
      <c r="C725" s="123">
        <v>56.5</v>
      </c>
      <c r="D725" s="123">
        <v>20</v>
      </c>
      <c r="E725" s="123" t="s">
        <v>2328</v>
      </c>
      <c r="F725" s="123">
        <f t="shared" si="24"/>
        <v>5.7960000000000003</v>
      </c>
    </row>
    <row r="726" spans="1:6" ht="18" hidden="1">
      <c r="A726" s="123">
        <v>100</v>
      </c>
      <c r="B726" s="123">
        <v>79.5</v>
      </c>
      <c r="C726" s="123">
        <v>59.5</v>
      </c>
      <c r="D726" s="123">
        <v>20</v>
      </c>
      <c r="E726" s="123" t="s">
        <v>997</v>
      </c>
      <c r="F726" s="123">
        <f t="shared" si="24"/>
        <v>6.1040000000000001</v>
      </c>
    </row>
    <row r="727" spans="1:6" ht="18" hidden="1">
      <c r="A727" s="123">
        <v>100</v>
      </c>
      <c r="B727" s="123">
        <v>79.5</v>
      </c>
      <c r="C727" s="123">
        <v>62.5</v>
      </c>
      <c r="D727" s="123">
        <v>20</v>
      </c>
      <c r="E727" s="123" t="s">
        <v>2329</v>
      </c>
      <c r="F727" s="123">
        <f t="shared" si="24"/>
        <v>6.4109999999999996</v>
      </c>
    </row>
    <row r="728" spans="1:6" ht="18" hidden="1">
      <c r="A728" s="123">
        <v>100</v>
      </c>
      <c r="B728" s="123">
        <v>79.5</v>
      </c>
      <c r="C728" s="123">
        <v>65.5</v>
      </c>
      <c r="D728" s="123">
        <v>20</v>
      </c>
      <c r="E728" s="123" t="s">
        <v>1000</v>
      </c>
      <c r="F728" s="123">
        <f t="shared" si="24"/>
        <v>6.7190000000000003</v>
      </c>
    </row>
    <row r="729" spans="1:6" ht="18" hidden="1">
      <c r="A729" s="123">
        <v>100</v>
      </c>
      <c r="B729" s="123">
        <v>79.5</v>
      </c>
      <c r="C729" s="123">
        <v>68.5</v>
      </c>
      <c r="D729" s="123">
        <v>20</v>
      </c>
      <c r="E729" s="123" t="s">
        <v>2330</v>
      </c>
      <c r="F729" s="123">
        <f t="shared" si="24"/>
        <v>7.0270000000000001</v>
      </c>
    </row>
    <row r="730" spans="1:6" ht="18" hidden="1">
      <c r="A730" s="123">
        <v>100</v>
      </c>
      <c r="B730" s="123">
        <v>79.5</v>
      </c>
      <c r="C730" s="123">
        <v>71.5</v>
      </c>
      <c r="D730" s="123">
        <v>20</v>
      </c>
      <c r="E730" s="123" t="s">
        <v>1003</v>
      </c>
      <c r="F730" s="123">
        <f t="shared" si="24"/>
        <v>7.335</v>
      </c>
    </row>
    <row r="731" spans="1:6" ht="18" hidden="1">
      <c r="A731" s="123">
        <v>100</v>
      </c>
      <c r="B731" s="123">
        <v>83.5</v>
      </c>
      <c r="C731" s="123">
        <v>29.5</v>
      </c>
      <c r="D731" s="123">
        <v>20</v>
      </c>
      <c r="E731" s="123" t="s">
        <v>1007</v>
      </c>
      <c r="F731" s="123">
        <f t="shared" si="24"/>
        <v>3.1779999999999999</v>
      </c>
    </row>
    <row r="732" spans="1:6" ht="18" hidden="1">
      <c r="A732" s="123">
        <v>100</v>
      </c>
      <c r="B732" s="123">
        <v>83.5</v>
      </c>
      <c r="C732" s="123">
        <v>32.5</v>
      </c>
      <c r="D732" s="123">
        <v>20</v>
      </c>
      <c r="E732" s="123" t="s">
        <v>2331</v>
      </c>
      <c r="F732" s="123">
        <f t="shared" si="24"/>
        <v>3.5019999999999998</v>
      </c>
    </row>
    <row r="733" spans="1:6" ht="18" hidden="1">
      <c r="A733" s="123">
        <v>100</v>
      </c>
      <c r="B733" s="123">
        <v>83.5</v>
      </c>
      <c r="C733" s="123">
        <v>35.5</v>
      </c>
      <c r="D733" s="123">
        <v>20</v>
      </c>
      <c r="E733" s="123" t="s">
        <v>1010</v>
      </c>
      <c r="F733" s="123">
        <f t="shared" si="24"/>
        <v>3.8250000000000002</v>
      </c>
    </row>
    <row r="734" spans="1:6" ht="18" hidden="1">
      <c r="A734" s="123">
        <v>100</v>
      </c>
      <c r="B734" s="123">
        <v>83.5</v>
      </c>
      <c r="C734" s="123">
        <v>38.5</v>
      </c>
      <c r="D734" s="123">
        <v>20</v>
      </c>
      <c r="E734" s="123" t="s">
        <v>2332</v>
      </c>
      <c r="F734" s="123">
        <f t="shared" si="24"/>
        <v>4.1479999999999997</v>
      </c>
    </row>
    <row r="735" spans="1:6" ht="18" hidden="1">
      <c r="A735" s="123">
        <v>100</v>
      </c>
      <c r="B735" s="123">
        <v>83.5</v>
      </c>
      <c r="C735" s="123">
        <v>41.5</v>
      </c>
      <c r="D735" s="123">
        <v>20</v>
      </c>
      <c r="E735" s="123" t="s">
        <v>1013</v>
      </c>
      <c r="F735" s="123">
        <f t="shared" si="24"/>
        <v>4.4710000000000001</v>
      </c>
    </row>
    <row r="736" spans="1:6" ht="18" hidden="1">
      <c r="A736" s="123">
        <v>100</v>
      </c>
      <c r="B736" s="123">
        <v>83.5</v>
      </c>
      <c r="C736" s="123">
        <v>44.5</v>
      </c>
      <c r="D736" s="123">
        <v>20</v>
      </c>
      <c r="E736" s="123" t="s">
        <v>2333</v>
      </c>
      <c r="F736" s="123">
        <f t="shared" ref="F736:F799" si="25">+ROUND((A736*B736*0.0254*C736*0.0254*(D736/1000)),3)</f>
        <v>4.7949999999999999</v>
      </c>
    </row>
    <row r="737" spans="1:6" ht="18" hidden="1">
      <c r="A737" s="123">
        <v>100</v>
      </c>
      <c r="B737" s="123">
        <v>83.5</v>
      </c>
      <c r="C737" s="123">
        <v>47.5</v>
      </c>
      <c r="D737" s="123">
        <v>20</v>
      </c>
      <c r="E737" s="123" t="s">
        <v>1016</v>
      </c>
      <c r="F737" s="123">
        <f t="shared" si="25"/>
        <v>5.1180000000000003</v>
      </c>
    </row>
    <row r="738" spans="1:6" ht="18" hidden="1">
      <c r="A738" s="123">
        <v>100</v>
      </c>
      <c r="B738" s="123">
        <v>83.5</v>
      </c>
      <c r="C738" s="123">
        <v>50.5</v>
      </c>
      <c r="D738" s="123">
        <v>20</v>
      </c>
      <c r="E738" s="123" t="s">
        <v>2334</v>
      </c>
      <c r="F738" s="123">
        <f t="shared" si="25"/>
        <v>5.4409999999999998</v>
      </c>
    </row>
    <row r="739" spans="1:6" ht="18" hidden="1">
      <c r="A739" s="123">
        <v>100</v>
      </c>
      <c r="B739" s="123">
        <v>83.5</v>
      </c>
      <c r="C739" s="123">
        <v>53.5</v>
      </c>
      <c r="D739" s="123">
        <v>20</v>
      </c>
      <c r="E739" s="123" t="s">
        <v>2335</v>
      </c>
      <c r="F739" s="123">
        <f t="shared" si="25"/>
        <v>5.7640000000000002</v>
      </c>
    </row>
    <row r="740" spans="1:6" ht="18" hidden="1">
      <c r="A740" s="123">
        <v>100</v>
      </c>
      <c r="B740" s="123">
        <v>83.5</v>
      </c>
      <c r="C740" s="123">
        <v>56.5</v>
      </c>
      <c r="D740" s="123">
        <v>20</v>
      </c>
      <c r="E740" s="123" t="s">
        <v>2336</v>
      </c>
      <c r="F740" s="123">
        <f t="shared" si="25"/>
        <v>6.0869999999999997</v>
      </c>
    </row>
    <row r="741" spans="1:6" ht="18" hidden="1">
      <c r="A741" s="123">
        <v>100</v>
      </c>
      <c r="B741" s="123">
        <v>83.5</v>
      </c>
      <c r="C741" s="123">
        <v>59.5</v>
      </c>
      <c r="D741" s="123">
        <v>20</v>
      </c>
      <c r="E741" s="123" t="s">
        <v>1019</v>
      </c>
      <c r="F741" s="123">
        <f t="shared" si="25"/>
        <v>6.4109999999999996</v>
      </c>
    </row>
    <row r="742" spans="1:6" ht="18" hidden="1">
      <c r="A742" s="123">
        <v>100</v>
      </c>
      <c r="B742" s="123">
        <v>83.5</v>
      </c>
      <c r="C742" s="123">
        <v>62.5</v>
      </c>
      <c r="D742" s="123">
        <v>20</v>
      </c>
      <c r="E742" s="123" t="s">
        <v>2337</v>
      </c>
      <c r="F742" s="123">
        <f t="shared" si="25"/>
        <v>6.734</v>
      </c>
    </row>
    <row r="743" spans="1:6" ht="18" hidden="1">
      <c r="A743" s="123">
        <v>100</v>
      </c>
      <c r="B743" s="123">
        <v>83.5</v>
      </c>
      <c r="C743" s="123">
        <v>65.5</v>
      </c>
      <c r="D743" s="123">
        <v>20</v>
      </c>
      <c r="E743" s="123" t="s">
        <v>1022</v>
      </c>
      <c r="F743" s="123">
        <f t="shared" si="25"/>
        <v>7.0570000000000004</v>
      </c>
    </row>
    <row r="744" spans="1:6" ht="18" hidden="1">
      <c r="A744" s="123">
        <v>100</v>
      </c>
      <c r="B744" s="123">
        <v>83.5</v>
      </c>
      <c r="C744" s="123">
        <v>68.5</v>
      </c>
      <c r="D744" s="123">
        <v>20</v>
      </c>
      <c r="E744" s="123" t="s">
        <v>2338</v>
      </c>
      <c r="F744" s="123">
        <f t="shared" si="25"/>
        <v>7.38</v>
      </c>
    </row>
    <row r="745" spans="1:6" ht="18" hidden="1">
      <c r="A745" s="123">
        <v>100</v>
      </c>
      <c r="B745" s="123">
        <v>83.5</v>
      </c>
      <c r="C745" s="123">
        <v>71.5</v>
      </c>
      <c r="D745" s="123">
        <v>20</v>
      </c>
      <c r="E745" s="123" t="s">
        <v>1025</v>
      </c>
      <c r="F745" s="123">
        <f t="shared" si="25"/>
        <v>7.7039999999999997</v>
      </c>
    </row>
    <row r="746" spans="1:6" ht="18" hidden="1">
      <c r="A746" s="123">
        <v>100</v>
      </c>
      <c r="B746" s="123">
        <v>12.5</v>
      </c>
      <c r="C746" s="123">
        <v>12.5</v>
      </c>
      <c r="D746" s="123">
        <v>20</v>
      </c>
      <c r="E746" s="123" t="s">
        <v>1035</v>
      </c>
      <c r="F746" s="123">
        <f t="shared" si="25"/>
        <v>0.20200000000000001</v>
      </c>
    </row>
    <row r="747" spans="1:6" ht="18.75" hidden="1" thickBot="1">
      <c r="A747" s="159">
        <v>100</v>
      </c>
      <c r="B747" s="159">
        <v>19.5</v>
      </c>
      <c r="C747" s="159">
        <v>17.5</v>
      </c>
      <c r="D747" s="159">
        <v>20</v>
      </c>
      <c r="E747" s="159" t="s">
        <v>1030</v>
      </c>
      <c r="F747" s="190">
        <f t="shared" si="25"/>
        <v>0.44</v>
      </c>
    </row>
    <row r="748" spans="1:6" ht="18" hidden="1">
      <c r="A748" s="154">
        <v>25</v>
      </c>
      <c r="B748" s="154">
        <v>71.5</v>
      </c>
      <c r="C748" s="154">
        <v>29.5</v>
      </c>
      <c r="D748" s="154">
        <v>25</v>
      </c>
      <c r="E748" s="154" t="s">
        <v>2339</v>
      </c>
      <c r="F748" s="190">
        <f t="shared" si="25"/>
        <v>0.85099999999999998</v>
      </c>
    </row>
    <row r="749" spans="1:6" ht="18" hidden="1">
      <c r="A749" s="123">
        <v>25</v>
      </c>
      <c r="B749" s="123">
        <v>71.5</v>
      </c>
      <c r="C749" s="123">
        <v>32.5</v>
      </c>
      <c r="D749" s="123">
        <v>25</v>
      </c>
      <c r="E749" s="123" t="s">
        <v>2340</v>
      </c>
      <c r="F749" s="190">
        <f t="shared" si="25"/>
        <v>0.93700000000000006</v>
      </c>
    </row>
    <row r="750" spans="1:6" ht="18" hidden="1">
      <c r="A750" s="123">
        <v>25</v>
      </c>
      <c r="B750" s="123">
        <v>71.5</v>
      </c>
      <c r="C750" s="123">
        <v>35.5</v>
      </c>
      <c r="D750" s="123">
        <v>25</v>
      </c>
      <c r="E750" s="123" t="s">
        <v>2341</v>
      </c>
      <c r="F750" s="190">
        <f t="shared" si="25"/>
        <v>1.0229999999999999</v>
      </c>
    </row>
    <row r="751" spans="1:6" ht="18" hidden="1">
      <c r="A751" s="123">
        <v>25</v>
      </c>
      <c r="B751" s="123">
        <v>71.5</v>
      </c>
      <c r="C751" s="123">
        <v>38.5</v>
      </c>
      <c r="D751" s="123">
        <v>25</v>
      </c>
      <c r="E751" s="123" t="s">
        <v>2342</v>
      </c>
      <c r="F751" s="190">
        <f t="shared" si="25"/>
        <v>1.1100000000000001</v>
      </c>
    </row>
    <row r="752" spans="1:6" ht="18" hidden="1">
      <c r="A752" s="123">
        <v>25</v>
      </c>
      <c r="B752" s="123">
        <v>71.5</v>
      </c>
      <c r="C752" s="123">
        <v>41.5</v>
      </c>
      <c r="D752" s="123">
        <v>25</v>
      </c>
      <c r="E752" s="123" t="s">
        <v>2343</v>
      </c>
      <c r="F752" s="190">
        <f t="shared" si="25"/>
        <v>1.196</v>
      </c>
    </row>
    <row r="753" spans="1:6" ht="18" hidden="1">
      <c r="A753" s="123">
        <v>25</v>
      </c>
      <c r="B753" s="123">
        <v>71.5</v>
      </c>
      <c r="C753" s="123">
        <v>44.5</v>
      </c>
      <c r="D753" s="123">
        <v>25</v>
      </c>
      <c r="E753" s="123" t="s">
        <v>2344</v>
      </c>
      <c r="F753" s="190">
        <f t="shared" si="25"/>
        <v>1.2829999999999999</v>
      </c>
    </row>
    <row r="754" spans="1:6" ht="18" hidden="1">
      <c r="A754" s="123">
        <v>25</v>
      </c>
      <c r="B754" s="123">
        <v>71.5</v>
      </c>
      <c r="C754" s="123">
        <v>47.5</v>
      </c>
      <c r="D754" s="123">
        <v>25</v>
      </c>
      <c r="E754" s="123" t="s">
        <v>2345</v>
      </c>
      <c r="F754" s="190">
        <f t="shared" si="25"/>
        <v>1.369</v>
      </c>
    </row>
    <row r="755" spans="1:6" ht="18" hidden="1">
      <c r="A755" s="123">
        <v>25</v>
      </c>
      <c r="B755" s="123">
        <v>71.5</v>
      </c>
      <c r="C755" s="123">
        <v>50.5</v>
      </c>
      <c r="D755" s="123">
        <v>25</v>
      </c>
      <c r="E755" s="123" t="s">
        <v>2346</v>
      </c>
      <c r="F755" s="190">
        <f t="shared" si="25"/>
        <v>1.456</v>
      </c>
    </row>
    <row r="756" spans="1:6" ht="18" hidden="1">
      <c r="A756" s="123">
        <v>25</v>
      </c>
      <c r="B756" s="123">
        <v>71.5</v>
      </c>
      <c r="C756" s="123">
        <v>53.5</v>
      </c>
      <c r="D756" s="123">
        <v>25</v>
      </c>
      <c r="E756" s="123" t="s">
        <v>2347</v>
      </c>
      <c r="F756" s="190">
        <f t="shared" si="25"/>
        <v>1.542</v>
      </c>
    </row>
    <row r="757" spans="1:6" ht="18" hidden="1">
      <c r="A757" s="123">
        <v>25</v>
      </c>
      <c r="B757" s="123">
        <v>71.5</v>
      </c>
      <c r="C757" s="123">
        <v>56.5</v>
      </c>
      <c r="D757" s="123">
        <v>25</v>
      </c>
      <c r="E757" s="123" t="s">
        <v>2348</v>
      </c>
      <c r="F757" s="190">
        <f t="shared" si="25"/>
        <v>1.629</v>
      </c>
    </row>
    <row r="758" spans="1:6" ht="18" hidden="1">
      <c r="A758" s="123">
        <v>25</v>
      </c>
      <c r="B758" s="123">
        <v>71.5</v>
      </c>
      <c r="C758" s="123">
        <v>59.5</v>
      </c>
      <c r="D758" s="123">
        <v>25</v>
      </c>
      <c r="E758" s="123" t="s">
        <v>2349</v>
      </c>
      <c r="F758" s="190">
        <f t="shared" si="25"/>
        <v>1.7150000000000001</v>
      </c>
    </row>
    <row r="759" spans="1:6" ht="18" hidden="1">
      <c r="A759" s="123">
        <v>25</v>
      </c>
      <c r="B759" s="123">
        <v>71.5</v>
      </c>
      <c r="C759" s="123">
        <v>62.5</v>
      </c>
      <c r="D759" s="123">
        <v>25</v>
      </c>
      <c r="E759" s="123" t="s">
        <v>2350</v>
      </c>
      <c r="F759" s="190">
        <f t="shared" si="25"/>
        <v>1.802</v>
      </c>
    </row>
    <row r="760" spans="1:6" ht="18" hidden="1">
      <c r="A760" s="123">
        <v>25</v>
      </c>
      <c r="B760" s="123">
        <v>71.5</v>
      </c>
      <c r="C760" s="123">
        <v>65.5</v>
      </c>
      <c r="D760" s="123">
        <v>25</v>
      </c>
      <c r="E760" s="123" t="s">
        <v>2351</v>
      </c>
      <c r="F760" s="190">
        <f t="shared" si="25"/>
        <v>1.8879999999999999</v>
      </c>
    </row>
    <row r="761" spans="1:6" ht="18" hidden="1">
      <c r="A761" s="123">
        <v>25</v>
      </c>
      <c r="B761" s="123">
        <v>71.5</v>
      </c>
      <c r="C761" s="123">
        <v>68.5</v>
      </c>
      <c r="D761" s="123">
        <v>25</v>
      </c>
      <c r="E761" s="123" t="s">
        <v>2352</v>
      </c>
      <c r="F761" s="190">
        <f t="shared" si="25"/>
        <v>1.9750000000000001</v>
      </c>
    </row>
    <row r="762" spans="1:6" ht="18" hidden="1">
      <c r="A762" s="123">
        <v>25</v>
      </c>
      <c r="B762" s="123">
        <v>71.5</v>
      </c>
      <c r="C762" s="123">
        <v>71.5</v>
      </c>
      <c r="D762" s="123">
        <v>25</v>
      </c>
      <c r="E762" s="123" t="s">
        <v>2353</v>
      </c>
      <c r="F762" s="190">
        <f t="shared" si="25"/>
        <v>2.0609999999999999</v>
      </c>
    </row>
    <row r="763" spans="1:6" ht="18" hidden="1">
      <c r="A763" s="123">
        <v>25</v>
      </c>
      <c r="B763" s="123">
        <v>74.5</v>
      </c>
      <c r="C763" s="123">
        <v>29.5</v>
      </c>
      <c r="D763" s="123">
        <v>25</v>
      </c>
      <c r="E763" s="123" t="s">
        <v>2354</v>
      </c>
      <c r="F763" s="190">
        <f t="shared" si="25"/>
        <v>0.88600000000000001</v>
      </c>
    </row>
    <row r="764" spans="1:6" ht="18" hidden="1">
      <c r="A764" s="123">
        <v>25</v>
      </c>
      <c r="B764" s="123">
        <v>74.5</v>
      </c>
      <c r="C764" s="123">
        <v>32.5</v>
      </c>
      <c r="D764" s="123">
        <v>25</v>
      </c>
      <c r="E764" s="123" t="s">
        <v>2355</v>
      </c>
      <c r="F764" s="190">
        <f t="shared" si="25"/>
        <v>0.97599999999999998</v>
      </c>
    </row>
    <row r="765" spans="1:6" ht="18" hidden="1">
      <c r="A765" s="123">
        <v>25</v>
      </c>
      <c r="B765" s="123">
        <v>74.5</v>
      </c>
      <c r="C765" s="123">
        <v>35.5</v>
      </c>
      <c r="D765" s="123">
        <v>25</v>
      </c>
      <c r="E765" s="123" t="s">
        <v>2356</v>
      </c>
      <c r="F765" s="190">
        <f t="shared" si="25"/>
        <v>1.0660000000000001</v>
      </c>
    </row>
    <row r="766" spans="1:6" ht="18" hidden="1">
      <c r="A766" s="123">
        <v>25</v>
      </c>
      <c r="B766" s="123">
        <v>74.5</v>
      </c>
      <c r="C766" s="123">
        <v>38.5</v>
      </c>
      <c r="D766" s="123">
        <v>25</v>
      </c>
      <c r="E766" s="123" t="s">
        <v>2357</v>
      </c>
      <c r="F766" s="190">
        <f t="shared" si="25"/>
        <v>1.157</v>
      </c>
    </row>
    <row r="767" spans="1:6" ht="18" hidden="1">
      <c r="A767" s="123">
        <v>25</v>
      </c>
      <c r="B767" s="123">
        <v>74.5</v>
      </c>
      <c r="C767" s="123">
        <v>41.5</v>
      </c>
      <c r="D767" s="123">
        <v>25</v>
      </c>
      <c r="E767" s="123" t="s">
        <v>2358</v>
      </c>
      <c r="F767" s="190">
        <f t="shared" si="25"/>
        <v>1.2470000000000001</v>
      </c>
    </row>
    <row r="768" spans="1:6" ht="18" hidden="1">
      <c r="A768" s="123">
        <v>25</v>
      </c>
      <c r="B768" s="123">
        <v>74.5</v>
      </c>
      <c r="C768" s="123">
        <v>44.5</v>
      </c>
      <c r="D768" s="123">
        <v>25</v>
      </c>
      <c r="E768" s="123" t="s">
        <v>2359</v>
      </c>
      <c r="F768" s="190">
        <f t="shared" si="25"/>
        <v>1.337</v>
      </c>
    </row>
    <row r="769" spans="1:6" ht="18" hidden="1">
      <c r="A769" s="123">
        <v>25</v>
      </c>
      <c r="B769" s="123">
        <v>74.5</v>
      </c>
      <c r="C769" s="123">
        <v>47.5</v>
      </c>
      <c r="D769" s="123">
        <v>25</v>
      </c>
      <c r="E769" s="123" t="s">
        <v>2360</v>
      </c>
      <c r="F769" s="190">
        <f t="shared" si="25"/>
        <v>1.427</v>
      </c>
    </row>
    <row r="770" spans="1:6" ht="18" hidden="1">
      <c r="A770" s="123">
        <v>25</v>
      </c>
      <c r="B770" s="123">
        <v>74.5</v>
      </c>
      <c r="C770" s="123">
        <v>50.5</v>
      </c>
      <c r="D770" s="123">
        <v>25</v>
      </c>
      <c r="E770" s="123" t="s">
        <v>2361</v>
      </c>
      <c r="F770" s="190">
        <f t="shared" si="25"/>
        <v>1.5169999999999999</v>
      </c>
    </row>
    <row r="771" spans="1:6" ht="18" hidden="1">
      <c r="A771" s="123">
        <v>25</v>
      </c>
      <c r="B771" s="123">
        <v>74.5</v>
      </c>
      <c r="C771" s="123">
        <v>53.5</v>
      </c>
      <c r="D771" s="123">
        <v>25</v>
      </c>
      <c r="E771" s="123" t="s">
        <v>2362</v>
      </c>
      <c r="F771" s="190">
        <f t="shared" si="25"/>
        <v>1.607</v>
      </c>
    </row>
    <row r="772" spans="1:6" ht="18" hidden="1">
      <c r="A772" s="123">
        <v>25</v>
      </c>
      <c r="B772" s="123">
        <v>74.5</v>
      </c>
      <c r="C772" s="123">
        <v>56.5</v>
      </c>
      <c r="D772" s="123">
        <v>25</v>
      </c>
      <c r="E772" s="123" t="s">
        <v>2363</v>
      </c>
      <c r="F772" s="190">
        <f t="shared" si="25"/>
        <v>1.6970000000000001</v>
      </c>
    </row>
    <row r="773" spans="1:6" ht="18" hidden="1">
      <c r="A773" s="123">
        <v>25</v>
      </c>
      <c r="B773" s="123">
        <v>74.5</v>
      </c>
      <c r="C773" s="123">
        <v>59.5</v>
      </c>
      <c r="D773" s="123">
        <v>25</v>
      </c>
      <c r="E773" s="123" t="s">
        <v>2364</v>
      </c>
      <c r="F773" s="190">
        <f t="shared" si="25"/>
        <v>1.7869999999999999</v>
      </c>
    </row>
    <row r="774" spans="1:6" ht="18" hidden="1">
      <c r="A774" s="123">
        <v>25</v>
      </c>
      <c r="B774" s="123">
        <v>74.5</v>
      </c>
      <c r="C774" s="123">
        <v>62.5</v>
      </c>
      <c r="D774" s="123">
        <v>25</v>
      </c>
      <c r="E774" s="123" t="s">
        <v>2365</v>
      </c>
      <c r="F774" s="190">
        <f t="shared" si="25"/>
        <v>1.8779999999999999</v>
      </c>
    </row>
    <row r="775" spans="1:6" ht="18" hidden="1">
      <c r="A775" s="123">
        <v>25</v>
      </c>
      <c r="B775" s="123">
        <v>74.5</v>
      </c>
      <c r="C775" s="123">
        <v>65.5</v>
      </c>
      <c r="D775" s="123">
        <v>25</v>
      </c>
      <c r="E775" s="123" t="s">
        <v>2366</v>
      </c>
      <c r="F775" s="190">
        <f t="shared" si="25"/>
        <v>1.968</v>
      </c>
    </row>
    <row r="776" spans="1:6" ht="18" hidden="1">
      <c r="A776" s="123">
        <v>25</v>
      </c>
      <c r="B776" s="123">
        <v>74.5</v>
      </c>
      <c r="C776" s="123">
        <v>68.5</v>
      </c>
      <c r="D776" s="123">
        <v>25</v>
      </c>
      <c r="E776" s="123" t="s">
        <v>2367</v>
      </c>
      <c r="F776" s="190">
        <f t="shared" si="25"/>
        <v>2.0579999999999998</v>
      </c>
    </row>
    <row r="777" spans="1:6" ht="18" hidden="1">
      <c r="A777" s="123">
        <v>25</v>
      </c>
      <c r="B777" s="123">
        <v>74.5</v>
      </c>
      <c r="C777" s="123">
        <v>71.5</v>
      </c>
      <c r="D777" s="123">
        <v>25</v>
      </c>
      <c r="E777" s="123" t="s">
        <v>2368</v>
      </c>
      <c r="F777" s="190">
        <f t="shared" si="25"/>
        <v>2.1480000000000001</v>
      </c>
    </row>
    <row r="778" spans="1:6" ht="18" hidden="1">
      <c r="A778" s="123">
        <v>25</v>
      </c>
      <c r="B778" s="123">
        <v>77.5</v>
      </c>
      <c r="C778" s="123">
        <v>29.5</v>
      </c>
      <c r="D778" s="123">
        <v>25</v>
      </c>
      <c r="E778" s="123" t="s">
        <v>2369</v>
      </c>
      <c r="F778" s="190">
        <f t="shared" si="25"/>
        <v>0.92200000000000004</v>
      </c>
    </row>
    <row r="779" spans="1:6" ht="18" hidden="1">
      <c r="A779" s="123">
        <v>25</v>
      </c>
      <c r="B779" s="123">
        <v>77.5</v>
      </c>
      <c r="C779" s="123">
        <v>32.5</v>
      </c>
      <c r="D779" s="123">
        <v>25</v>
      </c>
      <c r="E779" s="123" t="s">
        <v>2370</v>
      </c>
      <c r="F779" s="190">
        <f t="shared" si="25"/>
        <v>1.016</v>
      </c>
    </row>
    <row r="780" spans="1:6" ht="18" hidden="1">
      <c r="A780" s="123">
        <v>25</v>
      </c>
      <c r="B780" s="123">
        <v>77.5</v>
      </c>
      <c r="C780" s="123">
        <v>35.5</v>
      </c>
      <c r="D780" s="123">
        <v>25</v>
      </c>
      <c r="E780" s="123" t="s">
        <v>2371</v>
      </c>
      <c r="F780" s="190">
        <f t="shared" si="25"/>
        <v>1.109</v>
      </c>
    </row>
    <row r="781" spans="1:6" ht="18" hidden="1">
      <c r="A781" s="123">
        <v>25</v>
      </c>
      <c r="B781" s="123">
        <v>77.5</v>
      </c>
      <c r="C781" s="123">
        <v>38.5</v>
      </c>
      <c r="D781" s="123">
        <v>25</v>
      </c>
      <c r="E781" s="123" t="s">
        <v>2372</v>
      </c>
      <c r="F781" s="190">
        <f t="shared" si="25"/>
        <v>1.2030000000000001</v>
      </c>
    </row>
    <row r="782" spans="1:6" ht="18" hidden="1">
      <c r="A782" s="123">
        <v>25</v>
      </c>
      <c r="B782" s="123">
        <v>77.5</v>
      </c>
      <c r="C782" s="123">
        <v>41.5</v>
      </c>
      <c r="D782" s="123">
        <v>25</v>
      </c>
      <c r="E782" s="123" t="s">
        <v>2373</v>
      </c>
      <c r="F782" s="190">
        <f t="shared" si="25"/>
        <v>1.2969999999999999</v>
      </c>
    </row>
    <row r="783" spans="1:6" ht="18" hidden="1">
      <c r="A783" s="123">
        <v>25</v>
      </c>
      <c r="B783" s="123">
        <v>77.5</v>
      </c>
      <c r="C783" s="123">
        <v>44.5</v>
      </c>
      <c r="D783" s="123">
        <v>25</v>
      </c>
      <c r="E783" s="123" t="s">
        <v>2374</v>
      </c>
      <c r="F783" s="190">
        <f t="shared" si="25"/>
        <v>1.391</v>
      </c>
    </row>
    <row r="784" spans="1:6" ht="18" hidden="1">
      <c r="A784" s="123">
        <v>25</v>
      </c>
      <c r="B784" s="123">
        <v>77.5</v>
      </c>
      <c r="C784" s="123">
        <v>47.5</v>
      </c>
      <c r="D784" s="123">
        <v>25</v>
      </c>
      <c r="E784" s="123" t="s">
        <v>2375</v>
      </c>
      <c r="F784" s="190">
        <f t="shared" si="25"/>
        <v>1.484</v>
      </c>
    </row>
    <row r="785" spans="1:6" ht="18" hidden="1">
      <c r="A785" s="123">
        <v>25</v>
      </c>
      <c r="B785" s="123">
        <v>77.5</v>
      </c>
      <c r="C785" s="123">
        <v>50.5</v>
      </c>
      <c r="D785" s="123">
        <v>25</v>
      </c>
      <c r="E785" s="123" t="s">
        <v>2376</v>
      </c>
      <c r="F785" s="190">
        <f t="shared" si="25"/>
        <v>1.5780000000000001</v>
      </c>
    </row>
    <row r="786" spans="1:6" ht="18" hidden="1">
      <c r="A786" s="123">
        <v>25</v>
      </c>
      <c r="B786" s="123">
        <v>77.5</v>
      </c>
      <c r="C786" s="123">
        <v>53.5</v>
      </c>
      <c r="D786" s="123">
        <v>25</v>
      </c>
      <c r="E786" s="123" t="s">
        <v>2377</v>
      </c>
      <c r="F786" s="190">
        <f t="shared" si="25"/>
        <v>1.6719999999999999</v>
      </c>
    </row>
    <row r="787" spans="1:6" ht="18" hidden="1">
      <c r="A787" s="123">
        <v>25</v>
      </c>
      <c r="B787" s="123">
        <v>77.5</v>
      </c>
      <c r="C787" s="123">
        <v>56.5</v>
      </c>
      <c r="D787" s="123">
        <v>25</v>
      </c>
      <c r="E787" s="123" t="s">
        <v>2378</v>
      </c>
      <c r="F787" s="190">
        <f t="shared" si="25"/>
        <v>1.766</v>
      </c>
    </row>
    <row r="788" spans="1:6" ht="18" hidden="1">
      <c r="A788" s="123">
        <v>25</v>
      </c>
      <c r="B788" s="123">
        <v>77.5</v>
      </c>
      <c r="C788" s="123">
        <v>59.5</v>
      </c>
      <c r="D788" s="123">
        <v>25</v>
      </c>
      <c r="E788" s="123" t="s">
        <v>2379</v>
      </c>
      <c r="F788" s="190">
        <f t="shared" si="25"/>
        <v>1.859</v>
      </c>
    </row>
    <row r="789" spans="1:6" ht="18" hidden="1">
      <c r="A789" s="123">
        <v>25</v>
      </c>
      <c r="B789" s="123">
        <v>77.5</v>
      </c>
      <c r="C789" s="123">
        <v>62.5</v>
      </c>
      <c r="D789" s="123">
        <v>25</v>
      </c>
      <c r="E789" s="123" t="s">
        <v>2380</v>
      </c>
      <c r="F789" s="190">
        <f t="shared" si="25"/>
        <v>1.9530000000000001</v>
      </c>
    </row>
    <row r="790" spans="1:6" ht="18" hidden="1">
      <c r="A790" s="123">
        <v>25</v>
      </c>
      <c r="B790" s="123">
        <v>77.5</v>
      </c>
      <c r="C790" s="123">
        <v>65.5</v>
      </c>
      <c r="D790" s="123">
        <v>25</v>
      </c>
      <c r="E790" s="123" t="s">
        <v>2381</v>
      </c>
      <c r="F790" s="190">
        <f t="shared" si="25"/>
        <v>2.0470000000000002</v>
      </c>
    </row>
    <row r="791" spans="1:6" ht="18" hidden="1">
      <c r="A791" s="123">
        <v>25</v>
      </c>
      <c r="B791" s="123">
        <v>77.5</v>
      </c>
      <c r="C791" s="123">
        <v>68.5</v>
      </c>
      <c r="D791" s="123">
        <v>25</v>
      </c>
      <c r="E791" s="123" t="s">
        <v>2382</v>
      </c>
      <c r="F791" s="190">
        <f t="shared" si="25"/>
        <v>2.141</v>
      </c>
    </row>
    <row r="792" spans="1:6" ht="18" hidden="1">
      <c r="A792" s="123">
        <v>25</v>
      </c>
      <c r="B792" s="123">
        <v>77.5</v>
      </c>
      <c r="C792" s="123">
        <v>71.5</v>
      </c>
      <c r="D792" s="123">
        <v>25</v>
      </c>
      <c r="E792" s="123" t="s">
        <v>2383</v>
      </c>
      <c r="F792" s="190">
        <f t="shared" si="25"/>
        <v>2.234</v>
      </c>
    </row>
    <row r="793" spans="1:6" ht="18" hidden="1">
      <c r="A793" s="123">
        <v>25</v>
      </c>
      <c r="B793" s="123">
        <v>79.5</v>
      </c>
      <c r="C793" s="123">
        <v>29.5</v>
      </c>
      <c r="D793" s="123">
        <v>25</v>
      </c>
      <c r="E793" s="123" t="s">
        <v>2384</v>
      </c>
      <c r="F793" s="190">
        <f t="shared" si="25"/>
        <v>0.94599999999999995</v>
      </c>
    </row>
    <row r="794" spans="1:6" ht="18" hidden="1">
      <c r="A794" s="123">
        <v>25</v>
      </c>
      <c r="B794" s="123">
        <v>79.5</v>
      </c>
      <c r="C794" s="123">
        <v>32.5</v>
      </c>
      <c r="D794" s="123">
        <v>25</v>
      </c>
      <c r="E794" s="123" t="s">
        <v>2385</v>
      </c>
      <c r="F794" s="190">
        <f t="shared" si="25"/>
        <v>1.042</v>
      </c>
    </row>
    <row r="795" spans="1:6" ht="18" hidden="1">
      <c r="A795" s="123">
        <v>25</v>
      </c>
      <c r="B795" s="123">
        <v>79.5</v>
      </c>
      <c r="C795" s="123">
        <v>35.5</v>
      </c>
      <c r="D795" s="123">
        <v>25</v>
      </c>
      <c r="E795" s="123" t="s">
        <v>2386</v>
      </c>
      <c r="F795" s="190">
        <f t="shared" si="25"/>
        <v>1.1379999999999999</v>
      </c>
    </row>
    <row r="796" spans="1:6" ht="18" hidden="1">
      <c r="A796" s="123">
        <v>25</v>
      </c>
      <c r="B796" s="123">
        <v>79.5</v>
      </c>
      <c r="C796" s="123">
        <v>38.5</v>
      </c>
      <c r="D796" s="123">
        <v>25</v>
      </c>
      <c r="E796" s="123" t="s">
        <v>2387</v>
      </c>
      <c r="F796" s="190">
        <f t="shared" si="25"/>
        <v>1.234</v>
      </c>
    </row>
    <row r="797" spans="1:6" ht="18" hidden="1">
      <c r="A797" s="123">
        <v>25</v>
      </c>
      <c r="B797" s="123">
        <v>79.5</v>
      </c>
      <c r="C797" s="123">
        <v>41.5</v>
      </c>
      <c r="D797" s="123">
        <v>25</v>
      </c>
      <c r="E797" s="123" t="s">
        <v>2388</v>
      </c>
      <c r="F797" s="190">
        <f t="shared" si="25"/>
        <v>1.33</v>
      </c>
    </row>
    <row r="798" spans="1:6" ht="18" hidden="1">
      <c r="A798" s="123">
        <v>25</v>
      </c>
      <c r="B798" s="123">
        <v>79.5</v>
      </c>
      <c r="C798" s="123">
        <v>44.5</v>
      </c>
      <c r="D798" s="123">
        <v>25</v>
      </c>
      <c r="E798" s="123" t="s">
        <v>2389</v>
      </c>
      <c r="F798" s="190">
        <f t="shared" si="25"/>
        <v>1.427</v>
      </c>
    </row>
    <row r="799" spans="1:6" ht="18" hidden="1">
      <c r="A799" s="123">
        <v>25</v>
      </c>
      <c r="B799" s="123">
        <v>79.5</v>
      </c>
      <c r="C799" s="123">
        <v>47.5</v>
      </c>
      <c r="D799" s="123">
        <v>25</v>
      </c>
      <c r="E799" s="123" t="s">
        <v>2390</v>
      </c>
      <c r="F799" s="190">
        <f t="shared" si="25"/>
        <v>1.5229999999999999</v>
      </c>
    </row>
    <row r="800" spans="1:6" ht="18" hidden="1">
      <c r="A800" s="123">
        <v>25</v>
      </c>
      <c r="B800" s="123">
        <v>79.5</v>
      </c>
      <c r="C800" s="123">
        <v>50.5</v>
      </c>
      <c r="D800" s="123">
        <v>25</v>
      </c>
      <c r="E800" s="123" t="s">
        <v>2391</v>
      </c>
      <c r="F800" s="190">
        <f t="shared" ref="F800:F863" si="26">+ROUND((A800*B800*0.0254*C800*0.0254*(D800/1000)),3)</f>
        <v>1.619</v>
      </c>
    </row>
    <row r="801" spans="1:6" ht="18" hidden="1">
      <c r="A801" s="123">
        <v>25</v>
      </c>
      <c r="B801" s="123">
        <v>79.5</v>
      </c>
      <c r="C801" s="123">
        <v>53.5</v>
      </c>
      <c r="D801" s="123">
        <v>25</v>
      </c>
      <c r="E801" s="123" t="s">
        <v>2392</v>
      </c>
      <c r="F801" s="190">
        <f t="shared" si="26"/>
        <v>1.7150000000000001</v>
      </c>
    </row>
    <row r="802" spans="1:6" ht="18" hidden="1">
      <c r="A802" s="123">
        <v>25</v>
      </c>
      <c r="B802" s="123">
        <v>79.5</v>
      </c>
      <c r="C802" s="123">
        <v>56.5</v>
      </c>
      <c r="D802" s="123">
        <v>25</v>
      </c>
      <c r="E802" s="123" t="s">
        <v>2393</v>
      </c>
      <c r="F802" s="190">
        <f t="shared" si="26"/>
        <v>1.8109999999999999</v>
      </c>
    </row>
    <row r="803" spans="1:6" ht="18" hidden="1">
      <c r="A803" s="123">
        <v>25</v>
      </c>
      <c r="B803" s="123">
        <v>79.5</v>
      </c>
      <c r="C803" s="123">
        <v>59.5</v>
      </c>
      <c r="D803" s="123">
        <v>25</v>
      </c>
      <c r="E803" s="123" t="s">
        <v>2394</v>
      </c>
      <c r="F803" s="190">
        <f t="shared" si="26"/>
        <v>1.907</v>
      </c>
    </row>
    <row r="804" spans="1:6" ht="18" hidden="1">
      <c r="A804" s="123">
        <v>25</v>
      </c>
      <c r="B804" s="123">
        <v>79.5</v>
      </c>
      <c r="C804" s="123">
        <v>62.5</v>
      </c>
      <c r="D804" s="123">
        <v>25</v>
      </c>
      <c r="E804" s="123" t="s">
        <v>2395</v>
      </c>
      <c r="F804" s="190">
        <f t="shared" si="26"/>
        <v>2.004</v>
      </c>
    </row>
    <row r="805" spans="1:6" ht="18" hidden="1">
      <c r="A805" s="123">
        <v>25</v>
      </c>
      <c r="B805" s="123">
        <v>79.5</v>
      </c>
      <c r="C805" s="123">
        <v>65.5</v>
      </c>
      <c r="D805" s="123">
        <v>25</v>
      </c>
      <c r="E805" s="123" t="s">
        <v>2396</v>
      </c>
      <c r="F805" s="190">
        <f t="shared" si="26"/>
        <v>2.1</v>
      </c>
    </row>
    <row r="806" spans="1:6" ht="18" hidden="1">
      <c r="A806" s="123">
        <v>25</v>
      </c>
      <c r="B806" s="123">
        <v>79.5</v>
      </c>
      <c r="C806" s="123">
        <v>68.5</v>
      </c>
      <c r="D806" s="123">
        <v>25</v>
      </c>
      <c r="E806" s="123" t="s">
        <v>2397</v>
      </c>
      <c r="F806" s="190">
        <f t="shared" si="26"/>
        <v>2.1960000000000002</v>
      </c>
    </row>
    <row r="807" spans="1:6" ht="18" hidden="1">
      <c r="A807" s="123">
        <v>25</v>
      </c>
      <c r="B807" s="123">
        <v>79.5</v>
      </c>
      <c r="C807" s="123">
        <v>71.5</v>
      </c>
      <c r="D807" s="123">
        <v>25</v>
      </c>
      <c r="E807" s="123" t="s">
        <v>2398</v>
      </c>
      <c r="F807" s="190">
        <f t="shared" si="26"/>
        <v>2.2919999999999998</v>
      </c>
    </row>
    <row r="808" spans="1:6" ht="18" hidden="1">
      <c r="A808" s="123">
        <v>25</v>
      </c>
      <c r="B808" s="123">
        <v>83.5</v>
      </c>
      <c r="C808" s="123">
        <v>29.5</v>
      </c>
      <c r="D808" s="123">
        <v>25</v>
      </c>
      <c r="E808" s="123" t="s">
        <v>2399</v>
      </c>
      <c r="F808" s="190">
        <f t="shared" si="26"/>
        <v>0.99299999999999999</v>
      </c>
    </row>
    <row r="809" spans="1:6" ht="18" hidden="1">
      <c r="A809" s="123">
        <v>25</v>
      </c>
      <c r="B809" s="123">
        <v>83.5</v>
      </c>
      <c r="C809" s="123">
        <v>32.5</v>
      </c>
      <c r="D809" s="123">
        <v>25</v>
      </c>
      <c r="E809" s="123" t="s">
        <v>2400</v>
      </c>
      <c r="F809" s="190">
        <f t="shared" si="26"/>
        <v>1.0940000000000001</v>
      </c>
    </row>
    <row r="810" spans="1:6" ht="18" hidden="1">
      <c r="A810" s="123">
        <v>25</v>
      </c>
      <c r="B810" s="123">
        <v>83.5</v>
      </c>
      <c r="C810" s="123">
        <v>35.5</v>
      </c>
      <c r="D810" s="123">
        <v>25</v>
      </c>
      <c r="E810" s="123" t="s">
        <v>2401</v>
      </c>
      <c r="F810" s="190">
        <f t="shared" si="26"/>
        <v>1.1950000000000001</v>
      </c>
    </row>
    <row r="811" spans="1:6" ht="18" hidden="1">
      <c r="A811" s="123">
        <v>25</v>
      </c>
      <c r="B811" s="123">
        <v>83.5</v>
      </c>
      <c r="C811" s="123">
        <v>38.5</v>
      </c>
      <c r="D811" s="123">
        <v>25</v>
      </c>
      <c r="E811" s="123" t="s">
        <v>2402</v>
      </c>
      <c r="F811" s="190">
        <f t="shared" si="26"/>
        <v>1.296</v>
      </c>
    </row>
    <row r="812" spans="1:6" ht="18" hidden="1">
      <c r="A812" s="123">
        <v>25</v>
      </c>
      <c r="B812" s="123">
        <v>83.5</v>
      </c>
      <c r="C812" s="123">
        <v>41.5</v>
      </c>
      <c r="D812" s="123">
        <v>25</v>
      </c>
      <c r="E812" s="123" t="s">
        <v>2403</v>
      </c>
      <c r="F812" s="190">
        <f t="shared" si="26"/>
        <v>1.397</v>
      </c>
    </row>
    <row r="813" spans="1:6" ht="18" hidden="1">
      <c r="A813" s="123">
        <v>25</v>
      </c>
      <c r="B813" s="123">
        <v>83.5</v>
      </c>
      <c r="C813" s="123">
        <v>44.5</v>
      </c>
      <c r="D813" s="123">
        <v>25</v>
      </c>
      <c r="E813" s="123" t="s">
        <v>2404</v>
      </c>
      <c r="F813" s="190">
        <f t="shared" si="26"/>
        <v>1.498</v>
      </c>
    </row>
    <row r="814" spans="1:6" ht="18" hidden="1">
      <c r="A814" s="123">
        <v>25</v>
      </c>
      <c r="B814" s="123">
        <v>83.5</v>
      </c>
      <c r="C814" s="123">
        <v>47.5</v>
      </c>
      <c r="D814" s="123">
        <v>25</v>
      </c>
      <c r="E814" s="123" t="s">
        <v>2405</v>
      </c>
      <c r="F814" s="190">
        <f t="shared" si="26"/>
        <v>1.599</v>
      </c>
    </row>
    <row r="815" spans="1:6" ht="18" hidden="1">
      <c r="A815" s="123">
        <v>25</v>
      </c>
      <c r="B815" s="123">
        <v>83.5</v>
      </c>
      <c r="C815" s="123">
        <v>50.5</v>
      </c>
      <c r="D815" s="123">
        <v>25</v>
      </c>
      <c r="E815" s="123" t="s">
        <v>2406</v>
      </c>
      <c r="F815" s="190">
        <f t="shared" si="26"/>
        <v>1.7</v>
      </c>
    </row>
    <row r="816" spans="1:6" ht="18" hidden="1">
      <c r="A816" s="123">
        <v>25</v>
      </c>
      <c r="B816" s="123">
        <v>83.5</v>
      </c>
      <c r="C816" s="123">
        <v>53.5</v>
      </c>
      <c r="D816" s="123">
        <v>25</v>
      </c>
      <c r="E816" s="123" t="s">
        <v>2407</v>
      </c>
      <c r="F816" s="190">
        <f t="shared" si="26"/>
        <v>1.8009999999999999</v>
      </c>
    </row>
    <row r="817" spans="1:6" ht="18" hidden="1">
      <c r="A817" s="123">
        <v>25</v>
      </c>
      <c r="B817" s="123">
        <v>83.5</v>
      </c>
      <c r="C817" s="123">
        <v>56.5</v>
      </c>
      <c r="D817" s="123">
        <v>25</v>
      </c>
      <c r="E817" s="123" t="s">
        <v>2408</v>
      </c>
      <c r="F817" s="190">
        <f t="shared" si="26"/>
        <v>1.9019999999999999</v>
      </c>
    </row>
    <row r="818" spans="1:6" ht="18" hidden="1">
      <c r="A818" s="123">
        <v>25</v>
      </c>
      <c r="B818" s="123">
        <v>83.5</v>
      </c>
      <c r="C818" s="123">
        <v>59.5</v>
      </c>
      <c r="D818" s="123">
        <v>25</v>
      </c>
      <c r="E818" s="123" t="s">
        <v>2409</v>
      </c>
      <c r="F818" s="190">
        <f t="shared" si="26"/>
        <v>2.0030000000000001</v>
      </c>
    </row>
    <row r="819" spans="1:6" ht="18" hidden="1">
      <c r="A819" s="123">
        <v>25</v>
      </c>
      <c r="B819" s="123">
        <v>83.5</v>
      </c>
      <c r="C819" s="123">
        <v>62.5</v>
      </c>
      <c r="D819" s="123">
        <v>25</v>
      </c>
      <c r="E819" s="123" t="s">
        <v>2410</v>
      </c>
      <c r="F819" s="190">
        <f t="shared" si="26"/>
        <v>2.1040000000000001</v>
      </c>
    </row>
    <row r="820" spans="1:6" ht="18" hidden="1">
      <c r="A820" s="123">
        <v>25</v>
      </c>
      <c r="B820" s="123">
        <v>83.5</v>
      </c>
      <c r="C820" s="123">
        <v>65.5</v>
      </c>
      <c r="D820" s="123">
        <v>25</v>
      </c>
      <c r="E820" s="123" t="s">
        <v>2411</v>
      </c>
      <c r="F820" s="190">
        <f t="shared" si="26"/>
        <v>2.2050000000000001</v>
      </c>
    </row>
    <row r="821" spans="1:6" ht="18" hidden="1">
      <c r="A821" s="123">
        <v>25</v>
      </c>
      <c r="B821" s="123">
        <v>83.5</v>
      </c>
      <c r="C821" s="123">
        <v>68.5</v>
      </c>
      <c r="D821" s="123">
        <v>25</v>
      </c>
      <c r="E821" s="123" t="s">
        <v>2412</v>
      </c>
      <c r="F821" s="190">
        <f t="shared" si="26"/>
        <v>2.306</v>
      </c>
    </row>
    <row r="822" spans="1:6" ht="18" hidden="1">
      <c r="A822" s="123">
        <v>25</v>
      </c>
      <c r="B822" s="123">
        <v>83.5</v>
      </c>
      <c r="C822" s="123">
        <v>71.5</v>
      </c>
      <c r="D822" s="123">
        <v>25</v>
      </c>
      <c r="E822" s="123" t="s">
        <v>2413</v>
      </c>
      <c r="F822" s="190">
        <f t="shared" si="26"/>
        <v>2.407</v>
      </c>
    </row>
    <row r="823" spans="1:6" ht="18" hidden="1">
      <c r="A823" s="123">
        <v>25</v>
      </c>
      <c r="B823" s="123">
        <v>12.5</v>
      </c>
      <c r="C823" s="123">
        <v>12.5</v>
      </c>
      <c r="D823" s="123">
        <v>25</v>
      </c>
      <c r="E823" s="123" t="s">
        <v>2414</v>
      </c>
      <c r="F823" s="190">
        <f t="shared" si="26"/>
        <v>6.3E-2</v>
      </c>
    </row>
    <row r="824" spans="1:6" ht="18.75" hidden="1" thickBot="1">
      <c r="A824" s="159">
        <v>25</v>
      </c>
      <c r="B824" s="159">
        <v>19.5</v>
      </c>
      <c r="C824" s="159">
        <v>17.5</v>
      </c>
      <c r="D824" s="159">
        <v>25</v>
      </c>
      <c r="E824" s="159" t="s">
        <v>2415</v>
      </c>
      <c r="F824" s="190">
        <f t="shared" si="26"/>
        <v>0.13800000000000001</v>
      </c>
    </row>
    <row r="825" spans="1:6" ht="18" hidden="1">
      <c r="A825" s="154">
        <v>25</v>
      </c>
      <c r="B825" s="154">
        <v>71.5</v>
      </c>
      <c r="C825" s="154">
        <v>29.5</v>
      </c>
      <c r="D825" s="154">
        <v>50</v>
      </c>
      <c r="E825" s="154" t="s">
        <v>2416</v>
      </c>
      <c r="F825" s="190">
        <f t="shared" si="26"/>
        <v>1.7010000000000001</v>
      </c>
    </row>
    <row r="826" spans="1:6" ht="18" hidden="1">
      <c r="A826" s="123">
        <v>25</v>
      </c>
      <c r="B826" s="123">
        <v>71.5</v>
      </c>
      <c r="C826" s="123">
        <v>32.5</v>
      </c>
      <c r="D826" s="154">
        <v>50</v>
      </c>
      <c r="E826" s="123" t="s">
        <v>2417</v>
      </c>
      <c r="F826" s="190">
        <f t="shared" si="26"/>
        <v>1.8740000000000001</v>
      </c>
    </row>
    <row r="827" spans="1:6" ht="18" hidden="1">
      <c r="A827" s="123">
        <v>25</v>
      </c>
      <c r="B827" s="123">
        <v>71.5</v>
      </c>
      <c r="C827" s="123">
        <v>35.5</v>
      </c>
      <c r="D827" s="154">
        <v>50</v>
      </c>
      <c r="E827" s="123" t="s">
        <v>2418</v>
      </c>
      <c r="F827" s="190">
        <f t="shared" si="26"/>
        <v>2.0470000000000002</v>
      </c>
    </row>
    <row r="828" spans="1:6" ht="18" hidden="1">
      <c r="A828" s="123">
        <v>25</v>
      </c>
      <c r="B828" s="123">
        <v>71.5</v>
      </c>
      <c r="C828" s="123">
        <v>38.5</v>
      </c>
      <c r="D828" s="154">
        <v>50</v>
      </c>
      <c r="E828" s="123" t="s">
        <v>2419</v>
      </c>
      <c r="F828" s="190">
        <f t="shared" si="26"/>
        <v>2.2200000000000002</v>
      </c>
    </row>
    <row r="829" spans="1:6" ht="18" hidden="1">
      <c r="A829" s="123">
        <v>25</v>
      </c>
      <c r="B829" s="123">
        <v>71.5</v>
      </c>
      <c r="C829" s="123">
        <v>41.5</v>
      </c>
      <c r="D829" s="154">
        <v>50</v>
      </c>
      <c r="E829" s="123" t="s">
        <v>2420</v>
      </c>
      <c r="F829" s="190">
        <f t="shared" si="26"/>
        <v>2.3929999999999998</v>
      </c>
    </row>
    <row r="830" spans="1:6" ht="18" hidden="1">
      <c r="A830" s="123">
        <v>25</v>
      </c>
      <c r="B830" s="123">
        <v>71.5</v>
      </c>
      <c r="C830" s="123">
        <v>44.5</v>
      </c>
      <c r="D830" s="154">
        <v>50</v>
      </c>
      <c r="E830" s="123" t="s">
        <v>2421</v>
      </c>
      <c r="F830" s="190">
        <f t="shared" si="26"/>
        <v>2.5659999999999998</v>
      </c>
    </row>
    <row r="831" spans="1:6" ht="18" hidden="1">
      <c r="A831" s="123">
        <v>25</v>
      </c>
      <c r="B831" s="123">
        <v>71.5</v>
      </c>
      <c r="C831" s="123">
        <v>47.5</v>
      </c>
      <c r="D831" s="154">
        <v>50</v>
      </c>
      <c r="E831" s="123" t="s">
        <v>2422</v>
      </c>
      <c r="F831" s="190">
        <f t="shared" si="26"/>
        <v>2.7389999999999999</v>
      </c>
    </row>
    <row r="832" spans="1:6" ht="18" hidden="1">
      <c r="A832" s="123">
        <v>25</v>
      </c>
      <c r="B832" s="123">
        <v>71.5</v>
      </c>
      <c r="C832" s="123">
        <v>50.5</v>
      </c>
      <c r="D832" s="154">
        <v>50</v>
      </c>
      <c r="E832" s="123" t="s">
        <v>2423</v>
      </c>
      <c r="F832" s="190">
        <f t="shared" si="26"/>
        <v>2.9119999999999999</v>
      </c>
    </row>
    <row r="833" spans="1:6" ht="18" hidden="1">
      <c r="A833" s="123">
        <v>25</v>
      </c>
      <c r="B833" s="123">
        <v>71.5</v>
      </c>
      <c r="C833" s="123">
        <v>53.5</v>
      </c>
      <c r="D833" s="154">
        <v>50</v>
      </c>
      <c r="E833" s="123" t="s">
        <v>2424</v>
      </c>
      <c r="F833" s="190">
        <f t="shared" si="26"/>
        <v>3.085</v>
      </c>
    </row>
    <row r="834" spans="1:6" ht="18" hidden="1">
      <c r="A834" s="123">
        <v>25</v>
      </c>
      <c r="B834" s="123">
        <v>71.5</v>
      </c>
      <c r="C834" s="123">
        <v>56.5</v>
      </c>
      <c r="D834" s="154">
        <v>50</v>
      </c>
      <c r="E834" s="123" t="s">
        <v>2425</v>
      </c>
      <c r="F834" s="190">
        <f t="shared" si="26"/>
        <v>3.258</v>
      </c>
    </row>
    <row r="835" spans="1:6" ht="18" hidden="1">
      <c r="A835" s="123">
        <v>25</v>
      </c>
      <c r="B835" s="123">
        <v>71.5</v>
      </c>
      <c r="C835" s="123">
        <v>59.5</v>
      </c>
      <c r="D835" s="154">
        <v>50</v>
      </c>
      <c r="E835" s="123" t="s">
        <v>2426</v>
      </c>
      <c r="F835" s="190">
        <f t="shared" si="26"/>
        <v>3.431</v>
      </c>
    </row>
    <row r="836" spans="1:6" ht="18" hidden="1">
      <c r="A836" s="123">
        <v>25</v>
      </c>
      <c r="B836" s="123">
        <v>71.5</v>
      </c>
      <c r="C836" s="123">
        <v>62.5</v>
      </c>
      <c r="D836" s="154">
        <v>50</v>
      </c>
      <c r="E836" s="123" t="s">
        <v>2427</v>
      </c>
      <c r="F836" s="190">
        <f t="shared" si="26"/>
        <v>3.6040000000000001</v>
      </c>
    </row>
    <row r="837" spans="1:6" ht="18" hidden="1">
      <c r="A837" s="123">
        <v>25</v>
      </c>
      <c r="B837" s="123">
        <v>71.5</v>
      </c>
      <c r="C837" s="123">
        <v>65.5</v>
      </c>
      <c r="D837" s="154">
        <v>50</v>
      </c>
      <c r="E837" s="123" t="s">
        <v>2428</v>
      </c>
      <c r="F837" s="190">
        <f t="shared" si="26"/>
        <v>3.7770000000000001</v>
      </c>
    </row>
    <row r="838" spans="1:6" ht="18" hidden="1">
      <c r="A838" s="123">
        <v>25</v>
      </c>
      <c r="B838" s="123">
        <v>71.5</v>
      </c>
      <c r="C838" s="123">
        <v>68.5</v>
      </c>
      <c r="D838" s="154">
        <v>50</v>
      </c>
      <c r="E838" s="123" t="s">
        <v>2429</v>
      </c>
      <c r="F838" s="190">
        <f t="shared" si="26"/>
        <v>3.95</v>
      </c>
    </row>
    <row r="839" spans="1:6" ht="18" hidden="1">
      <c r="A839" s="123">
        <v>25</v>
      </c>
      <c r="B839" s="123">
        <v>71.5</v>
      </c>
      <c r="C839" s="123">
        <v>71.5</v>
      </c>
      <c r="D839" s="154">
        <v>50</v>
      </c>
      <c r="E839" s="123" t="s">
        <v>2430</v>
      </c>
      <c r="F839" s="190">
        <f t="shared" si="26"/>
        <v>4.1230000000000002</v>
      </c>
    </row>
    <row r="840" spans="1:6" ht="18" hidden="1">
      <c r="A840" s="123">
        <v>25</v>
      </c>
      <c r="B840" s="123">
        <v>74.5</v>
      </c>
      <c r="C840" s="123">
        <v>29.5</v>
      </c>
      <c r="D840" s="154">
        <v>50</v>
      </c>
      <c r="E840" s="123" t="s">
        <v>2431</v>
      </c>
      <c r="F840" s="190">
        <f t="shared" si="26"/>
        <v>1.772</v>
      </c>
    </row>
    <row r="841" spans="1:6" ht="18" hidden="1">
      <c r="A841" s="123">
        <v>25</v>
      </c>
      <c r="B841" s="123">
        <v>74.5</v>
      </c>
      <c r="C841" s="123">
        <v>32.5</v>
      </c>
      <c r="D841" s="154">
        <v>50</v>
      </c>
      <c r="E841" s="123" t="s">
        <v>2432</v>
      </c>
      <c r="F841" s="190">
        <f t="shared" si="26"/>
        <v>1.9530000000000001</v>
      </c>
    </row>
    <row r="842" spans="1:6" ht="18" hidden="1">
      <c r="A842" s="123">
        <v>25</v>
      </c>
      <c r="B842" s="123">
        <v>74.5</v>
      </c>
      <c r="C842" s="123">
        <v>35.5</v>
      </c>
      <c r="D842" s="154">
        <v>50</v>
      </c>
      <c r="E842" s="123" t="s">
        <v>2433</v>
      </c>
      <c r="F842" s="190">
        <f t="shared" si="26"/>
        <v>2.133</v>
      </c>
    </row>
    <row r="843" spans="1:6" ht="18" hidden="1">
      <c r="A843" s="123">
        <v>25</v>
      </c>
      <c r="B843" s="123">
        <v>74.5</v>
      </c>
      <c r="C843" s="123">
        <v>38.5</v>
      </c>
      <c r="D843" s="154">
        <v>50</v>
      </c>
      <c r="E843" s="123" t="s">
        <v>2434</v>
      </c>
      <c r="F843" s="190">
        <f t="shared" si="26"/>
        <v>2.3130000000000002</v>
      </c>
    </row>
    <row r="844" spans="1:6" ht="18" hidden="1">
      <c r="A844" s="123">
        <v>25</v>
      </c>
      <c r="B844" s="123">
        <v>74.5</v>
      </c>
      <c r="C844" s="123">
        <v>41.5</v>
      </c>
      <c r="D844" s="154">
        <v>50</v>
      </c>
      <c r="E844" s="123" t="s">
        <v>2435</v>
      </c>
      <c r="F844" s="190">
        <f t="shared" si="26"/>
        <v>2.4929999999999999</v>
      </c>
    </row>
    <row r="845" spans="1:6" ht="18" hidden="1">
      <c r="A845" s="123">
        <v>25</v>
      </c>
      <c r="B845" s="123">
        <v>74.5</v>
      </c>
      <c r="C845" s="123">
        <v>44.5</v>
      </c>
      <c r="D845" s="154">
        <v>50</v>
      </c>
      <c r="E845" s="123" t="s">
        <v>2436</v>
      </c>
      <c r="F845" s="190">
        <f t="shared" si="26"/>
        <v>2.6739999999999999</v>
      </c>
    </row>
    <row r="846" spans="1:6" ht="18" hidden="1">
      <c r="A846" s="123">
        <v>25</v>
      </c>
      <c r="B846" s="123">
        <v>74.5</v>
      </c>
      <c r="C846" s="123">
        <v>47.5</v>
      </c>
      <c r="D846" s="154">
        <v>50</v>
      </c>
      <c r="E846" s="123" t="s">
        <v>2437</v>
      </c>
      <c r="F846" s="190">
        <f t="shared" si="26"/>
        <v>2.8540000000000001</v>
      </c>
    </row>
    <row r="847" spans="1:6" ht="18" hidden="1">
      <c r="A847" s="123">
        <v>25</v>
      </c>
      <c r="B847" s="123">
        <v>74.5</v>
      </c>
      <c r="C847" s="123">
        <v>50.5</v>
      </c>
      <c r="D847" s="154">
        <v>50</v>
      </c>
      <c r="E847" s="123" t="s">
        <v>2438</v>
      </c>
      <c r="F847" s="190">
        <f t="shared" si="26"/>
        <v>3.0339999999999998</v>
      </c>
    </row>
    <row r="848" spans="1:6" ht="18" hidden="1">
      <c r="A848" s="123">
        <v>25</v>
      </c>
      <c r="B848" s="123">
        <v>74.5</v>
      </c>
      <c r="C848" s="123">
        <v>53.5</v>
      </c>
      <c r="D848" s="154">
        <v>50</v>
      </c>
      <c r="E848" s="123" t="s">
        <v>2439</v>
      </c>
      <c r="F848" s="190">
        <f t="shared" si="26"/>
        <v>3.214</v>
      </c>
    </row>
    <row r="849" spans="1:6" ht="18" hidden="1">
      <c r="A849" s="123">
        <v>25</v>
      </c>
      <c r="B849" s="123">
        <v>74.5</v>
      </c>
      <c r="C849" s="123">
        <v>56.5</v>
      </c>
      <c r="D849" s="154">
        <v>50</v>
      </c>
      <c r="E849" s="123" t="s">
        <v>2440</v>
      </c>
      <c r="F849" s="190">
        <f t="shared" si="26"/>
        <v>3.395</v>
      </c>
    </row>
    <row r="850" spans="1:6" ht="18" hidden="1">
      <c r="A850" s="123">
        <v>25</v>
      </c>
      <c r="B850" s="123">
        <v>74.5</v>
      </c>
      <c r="C850" s="123">
        <v>59.5</v>
      </c>
      <c r="D850" s="154">
        <v>50</v>
      </c>
      <c r="E850" s="123" t="s">
        <v>2441</v>
      </c>
      <c r="F850" s="190">
        <f t="shared" si="26"/>
        <v>3.5750000000000002</v>
      </c>
    </row>
    <row r="851" spans="1:6" ht="18" hidden="1">
      <c r="A851" s="123">
        <v>25</v>
      </c>
      <c r="B851" s="123">
        <v>74.5</v>
      </c>
      <c r="C851" s="123">
        <v>62.5</v>
      </c>
      <c r="D851" s="154">
        <v>50</v>
      </c>
      <c r="E851" s="123" t="s">
        <v>2442</v>
      </c>
      <c r="F851" s="190">
        <f t="shared" si="26"/>
        <v>3.7549999999999999</v>
      </c>
    </row>
    <row r="852" spans="1:6" ht="18" hidden="1">
      <c r="A852" s="123">
        <v>25</v>
      </c>
      <c r="B852" s="123">
        <v>74.5</v>
      </c>
      <c r="C852" s="123">
        <v>65.5</v>
      </c>
      <c r="D852" s="154">
        <v>50</v>
      </c>
      <c r="E852" s="123" t="s">
        <v>2443</v>
      </c>
      <c r="F852" s="190">
        <f t="shared" si="26"/>
        <v>3.9350000000000001</v>
      </c>
    </row>
    <row r="853" spans="1:6" ht="18" hidden="1">
      <c r="A853" s="123">
        <v>25</v>
      </c>
      <c r="B853" s="123">
        <v>74.5</v>
      </c>
      <c r="C853" s="123">
        <v>68.5</v>
      </c>
      <c r="D853" s="154">
        <v>50</v>
      </c>
      <c r="E853" s="123" t="s">
        <v>2444</v>
      </c>
      <c r="F853" s="190">
        <f t="shared" si="26"/>
        <v>4.1159999999999997</v>
      </c>
    </row>
    <row r="854" spans="1:6" ht="18" hidden="1">
      <c r="A854" s="123">
        <v>25</v>
      </c>
      <c r="B854" s="123">
        <v>74.5</v>
      </c>
      <c r="C854" s="123">
        <v>71.5</v>
      </c>
      <c r="D854" s="154">
        <v>50</v>
      </c>
      <c r="E854" s="123" t="s">
        <v>2445</v>
      </c>
      <c r="F854" s="190">
        <f t="shared" si="26"/>
        <v>4.2960000000000003</v>
      </c>
    </row>
    <row r="855" spans="1:6" ht="18" hidden="1">
      <c r="A855" s="123">
        <v>25</v>
      </c>
      <c r="B855" s="123">
        <v>77.5</v>
      </c>
      <c r="C855" s="123">
        <v>29.5</v>
      </c>
      <c r="D855" s="154">
        <v>50</v>
      </c>
      <c r="E855" s="123" t="s">
        <v>2446</v>
      </c>
      <c r="F855" s="190">
        <f t="shared" si="26"/>
        <v>1.8440000000000001</v>
      </c>
    </row>
    <row r="856" spans="1:6" ht="18" hidden="1">
      <c r="A856" s="123">
        <v>25</v>
      </c>
      <c r="B856" s="123">
        <v>77.5</v>
      </c>
      <c r="C856" s="123">
        <v>32.5</v>
      </c>
      <c r="D856" s="154">
        <v>50</v>
      </c>
      <c r="E856" s="123" t="s">
        <v>2447</v>
      </c>
      <c r="F856" s="190">
        <f t="shared" si="26"/>
        <v>2.0310000000000001</v>
      </c>
    </row>
    <row r="857" spans="1:6" ht="18" hidden="1">
      <c r="A857" s="123">
        <v>25</v>
      </c>
      <c r="B857" s="123">
        <v>77.5</v>
      </c>
      <c r="C857" s="123">
        <v>35.5</v>
      </c>
      <c r="D857" s="154">
        <v>50</v>
      </c>
      <c r="E857" s="123" t="s">
        <v>2448</v>
      </c>
      <c r="F857" s="190">
        <f t="shared" si="26"/>
        <v>2.2189999999999999</v>
      </c>
    </row>
    <row r="858" spans="1:6" ht="18" hidden="1">
      <c r="A858" s="123">
        <v>25</v>
      </c>
      <c r="B858" s="123">
        <v>77.5</v>
      </c>
      <c r="C858" s="123">
        <v>38.5</v>
      </c>
      <c r="D858" s="154">
        <v>50</v>
      </c>
      <c r="E858" s="123" t="s">
        <v>2449</v>
      </c>
      <c r="F858" s="190">
        <f t="shared" si="26"/>
        <v>2.4060000000000001</v>
      </c>
    </row>
    <row r="859" spans="1:6" ht="18" hidden="1">
      <c r="A859" s="123">
        <v>25</v>
      </c>
      <c r="B859" s="123">
        <v>77.5</v>
      </c>
      <c r="C859" s="123">
        <v>41.5</v>
      </c>
      <c r="D859" s="154">
        <v>50</v>
      </c>
      <c r="E859" s="123" t="s">
        <v>2450</v>
      </c>
      <c r="F859" s="190">
        <f t="shared" si="26"/>
        <v>2.5939999999999999</v>
      </c>
    </row>
    <row r="860" spans="1:6" ht="18" hidden="1">
      <c r="A860" s="123">
        <v>25</v>
      </c>
      <c r="B860" s="123">
        <v>77.5</v>
      </c>
      <c r="C860" s="123">
        <v>44.5</v>
      </c>
      <c r="D860" s="154">
        <v>50</v>
      </c>
      <c r="E860" s="123" t="s">
        <v>2451</v>
      </c>
      <c r="F860" s="190">
        <f t="shared" si="26"/>
        <v>2.7810000000000001</v>
      </c>
    </row>
    <row r="861" spans="1:6" ht="18" hidden="1">
      <c r="A861" s="123">
        <v>25</v>
      </c>
      <c r="B861" s="123">
        <v>77.5</v>
      </c>
      <c r="C861" s="123">
        <v>47.5</v>
      </c>
      <c r="D861" s="154">
        <v>50</v>
      </c>
      <c r="E861" s="123" t="s">
        <v>2452</v>
      </c>
      <c r="F861" s="190">
        <f t="shared" si="26"/>
        <v>2.9689999999999999</v>
      </c>
    </row>
    <row r="862" spans="1:6" ht="18" hidden="1">
      <c r="A862" s="123">
        <v>25</v>
      </c>
      <c r="B862" s="123">
        <v>77.5</v>
      </c>
      <c r="C862" s="123">
        <v>50.5</v>
      </c>
      <c r="D862" s="154">
        <v>50</v>
      </c>
      <c r="E862" s="123" t="s">
        <v>2453</v>
      </c>
      <c r="F862" s="190">
        <f t="shared" si="26"/>
        <v>3.1560000000000001</v>
      </c>
    </row>
    <row r="863" spans="1:6" ht="18" hidden="1">
      <c r="A863" s="123">
        <v>25</v>
      </c>
      <c r="B863" s="123">
        <v>77.5</v>
      </c>
      <c r="C863" s="123">
        <v>53.5</v>
      </c>
      <c r="D863" s="154">
        <v>50</v>
      </c>
      <c r="E863" s="123" t="s">
        <v>2454</v>
      </c>
      <c r="F863" s="190">
        <f t="shared" si="26"/>
        <v>3.3439999999999999</v>
      </c>
    </row>
    <row r="864" spans="1:6" ht="18" hidden="1">
      <c r="A864" s="123">
        <v>25</v>
      </c>
      <c r="B864" s="123">
        <v>77.5</v>
      </c>
      <c r="C864" s="123">
        <v>56.5</v>
      </c>
      <c r="D864" s="154">
        <v>50</v>
      </c>
      <c r="E864" s="123" t="s">
        <v>2455</v>
      </c>
      <c r="F864" s="190">
        <f t="shared" ref="F864:F901" si="27">+ROUND((A864*B864*0.0254*C864*0.0254*(D864/1000)),3)</f>
        <v>3.5310000000000001</v>
      </c>
    </row>
    <row r="865" spans="1:6" ht="18" hidden="1">
      <c r="A865" s="123">
        <v>25</v>
      </c>
      <c r="B865" s="123">
        <v>77.5</v>
      </c>
      <c r="C865" s="123">
        <v>59.5</v>
      </c>
      <c r="D865" s="154">
        <v>50</v>
      </c>
      <c r="E865" s="123" t="s">
        <v>2456</v>
      </c>
      <c r="F865" s="190">
        <f t="shared" si="27"/>
        <v>3.7189999999999999</v>
      </c>
    </row>
    <row r="866" spans="1:6" ht="18" hidden="1">
      <c r="A866" s="123">
        <v>25</v>
      </c>
      <c r="B866" s="123">
        <v>77.5</v>
      </c>
      <c r="C866" s="123">
        <v>62.5</v>
      </c>
      <c r="D866" s="154">
        <v>50</v>
      </c>
      <c r="E866" s="123" t="s">
        <v>2457</v>
      </c>
      <c r="F866" s="190">
        <f t="shared" si="27"/>
        <v>3.9060000000000001</v>
      </c>
    </row>
    <row r="867" spans="1:6" ht="18" hidden="1">
      <c r="A867" s="123">
        <v>25</v>
      </c>
      <c r="B867" s="123">
        <v>77.5</v>
      </c>
      <c r="C867" s="123">
        <v>65.5</v>
      </c>
      <c r="D867" s="154">
        <v>50</v>
      </c>
      <c r="E867" s="123" t="s">
        <v>2458</v>
      </c>
      <c r="F867" s="190">
        <f t="shared" si="27"/>
        <v>4.0940000000000003</v>
      </c>
    </row>
    <row r="868" spans="1:6" ht="18" hidden="1">
      <c r="A868" s="123">
        <v>25</v>
      </c>
      <c r="B868" s="123">
        <v>77.5</v>
      </c>
      <c r="C868" s="123">
        <v>68.5</v>
      </c>
      <c r="D868" s="154">
        <v>50</v>
      </c>
      <c r="E868" s="123" t="s">
        <v>2459</v>
      </c>
      <c r="F868" s="190">
        <f t="shared" si="27"/>
        <v>4.2809999999999997</v>
      </c>
    </row>
    <row r="869" spans="1:6" ht="18" hidden="1">
      <c r="A869" s="123">
        <v>25</v>
      </c>
      <c r="B869" s="123">
        <v>77.5</v>
      </c>
      <c r="C869" s="123">
        <v>71.5</v>
      </c>
      <c r="D869" s="154">
        <v>50</v>
      </c>
      <c r="E869" s="123" t="s">
        <v>2460</v>
      </c>
      <c r="F869" s="190">
        <f t="shared" si="27"/>
        <v>4.4690000000000003</v>
      </c>
    </row>
    <row r="870" spans="1:6" ht="18" hidden="1">
      <c r="A870" s="123">
        <v>25</v>
      </c>
      <c r="B870" s="123">
        <v>79.5</v>
      </c>
      <c r="C870" s="123">
        <v>29.5</v>
      </c>
      <c r="D870" s="154">
        <v>50</v>
      </c>
      <c r="E870" s="123" t="s">
        <v>2461</v>
      </c>
      <c r="F870" s="190">
        <f t="shared" si="27"/>
        <v>1.891</v>
      </c>
    </row>
    <row r="871" spans="1:6" ht="18" hidden="1">
      <c r="A871" s="123">
        <v>25</v>
      </c>
      <c r="B871" s="123">
        <v>79.5</v>
      </c>
      <c r="C871" s="123">
        <v>32.5</v>
      </c>
      <c r="D871" s="154">
        <v>50</v>
      </c>
      <c r="E871" s="123" t="s">
        <v>2462</v>
      </c>
      <c r="F871" s="190">
        <f t="shared" si="27"/>
        <v>2.0840000000000001</v>
      </c>
    </row>
    <row r="872" spans="1:6" ht="18" hidden="1">
      <c r="A872" s="123">
        <v>25</v>
      </c>
      <c r="B872" s="123">
        <v>79.5</v>
      </c>
      <c r="C872" s="123">
        <v>35.5</v>
      </c>
      <c r="D872" s="154">
        <v>50</v>
      </c>
      <c r="E872" s="123" t="s">
        <v>2463</v>
      </c>
      <c r="F872" s="190">
        <f t="shared" si="27"/>
        <v>2.2759999999999998</v>
      </c>
    </row>
    <row r="873" spans="1:6" ht="18" hidden="1">
      <c r="A873" s="123">
        <v>25</v>
      </c>
      <c r="B873" s="123">
        <v>79.5</v>
      </c>
      <c r="C873" s="123">
        <v>38.5</v>
      </c>
      <c r="D873" s="154">
        <v>50</v>
      </c>
      <c r="E873" s="123" t="s">
        <v>2464</v>
      </c>
      <c r="F873" s="190">
        <f t="shared" si="27"/>
        <v>2.468</v>
      </c>
    </row>
    <row r="874" spans="1:6" ht="18" hidden="1">
      <c r="A874" s="123">
        <v>25</v>
      </c>
      <c r="B874" s="123">
        <v>79.5</v>
      </c>
      <c r="C874" s="123">
        <v>41.5</v>
      </c>
      <c r="D874" s="154">
        <v>50</v>
      </c>
      <c r="E874" s="123" t="s">
        <v>2465</v>
      </c>
      <c r="F874" s="190">
        <f t="shared" si="27"/>
        <v>2.661</v>
      </c>
    </row>
    <row r="875" spans="1:6" ht="18" hidden="1">
      <c r="A875" s="123">
        <v>25</v>
      </c>
      <c r="B875" s="123">
        <v>79.5</v>
      </c>
      <c r="C875" s="123">
        <v>44.5</v>
      </c>
      <c r="D875" s="154">
        <v>50</v>
      </c>
      <c r="E875" s="123" t="s">
        <v>2466</v>
      </c>
      <c r="F875" s="190">
        <f t="shared" si="27"/>
        <v>2.8530000000000002</v>
      </c>
    </row>
    <row r="876" spans="1:6" ht="18" hidden="1">
      <c r="A876" s="123">
        <v>25</v>
      </c>
      <c r="B876" s="123">
        <v>79.5</v>
      </c>
      <c r="C876" s="123">
        <v>47.5</v>
      </c>
      <c r="D876" s="154">
        <v>50</v>
      </c>
      <c r="E876" s="123" t="s">
        <v>2467</v>
      </c>
      <c r="F876" s="190">
        <f t="shared" si="27"/>
        <v>3.0449999999999999</v>
      </c>
    </row>
    <row r="877" spans="1:6" ht="18" hidden="1">
      <c r="A877" s="123">
        <v>25</v>
      </c>
      <c r="B877" s="123">
        <v>79.5</v>
      </c>
      <c r="C877" s="123">
        <v>50.5</v>
      </c>
      <c r="D877" s="154">
        <v>50</v>
      </c>
      <c r="E877" s="123" t="s">
        <v>2468</v>
      </c>
      <c r="F877" s="190">
        <f t="shared" si="27"/>
        <v>3.238</v>
      </c>
    </row>
    <row r="878" spans="1:6" ht="18" hidden="1">
      <c r="A878" s="123">
        <v>25</v>
      </c>
      <c r="B878" s="123">
        <v>79.5</v>
      </c>
      <c r="C878" s="123">
        <v>53.5</v>
      </c>
      <c r="D878" s="154">
        <v>50</v>
      </c>
      <c r="E878" s="123" t="s">
        <v>2469</v>
      </c>
      <c r="F878" s="190">
        <f t="shared" si="27"/>
        <v>3.43</v>
      </c>
    </row>
    <row r="879" spans="1:6" ht="18" hidden="1">
      <c r="A879" s="123">
        <v>25</v>
      </c>
      <c r="B879" s="123">
        <v>79.5</v>
      </c>
      <c r="C879" s="123">
        <v>56.5</v>
      </c>
      <c r="D879" s="154">
        <v>50</v>
      </c>
      <c r="E879" s="123" t="s">
        <v>2470</v>
      </c>
      <c r="F879" s="190">
        <f t="shared" si="27"/>
        <v>3.6219999999999999</v>
      </c>
    </row>
    <row r="880" spans="1:6" ht="18" hidden="1">
      <c r="A880" s="123">
        <v>25</v>
      </c>
      <c r="B880" s="123">
        <v>79.5</v>
      </c>
      <c r="C880" s="123">
        <v>59.5</v>
      </c>
      <c r="D880" s="154">
        <v>50</v>
      </c>
      <c r="E880" s="123" t="s">
        <v>2471</v>
      </c>
      <c r="F880" s="190">
        <f t="shared" si="27"/>
        <v>3.8149999999999999</v>
      </c>
    </row>
    <row r="881" spans="1:6" ht="18" hidden="1">
      <c r="A881" s="123">
        <v>25</v>
      </c>
      <c r="B881" s="123">
        <v>79.5</v>
      </c>
      <c r="C881" s="123">
        <v>62.5</v>
      </c>
      <c r="D881" s="154">
        <v>50</v>
      </c>
      <c r="E881" s="123" t="s">
        <v>2472</v>
      </c>
      <c r="F881" s="190">
        <f t="shared" si="27"/>
        <v>4.0069999999999997</v>
      </c>
    </row>
    <row r="882" spans="1:6" ht="18" hidden="1">
      <c r="A882" s="123">
        <v>25</v>
      </c>
      <c r="B882" s="123">
        <v>79.5</v>
      </c>
      <c r="C882" s="123">
        <v>65.5</v>
      </c>
      <c r="D882" s="154">
        <v>50</v>
      </c>
      <c r="E882" s="123" t="s">
        <v>2473</v>
      </c>
      <c r="F882" s="190">
        <f t="shared" si="27"/>
        <v>4.1989999999999998</v>
      </c>
    </row>
    <row r="883" spans="1:6" ht="18" hidden="1">
      <c r="A883" s="123">
        <v>25</v>
      </c>
      <c r="B883" s="123">
        <v>79.5</v>
      </c>
      <c r="C883" s="123">
        <v>68.5</v>
      </c>
      <c r="D883" s="154">
        <v>50</v>
      </c>
      <c r="E883" s="123" t="s">
        <v>2474</v>
      </c>
      <c r="F883" s="190">
        <f t="shared" si="27"/>
        <v>4.3920000000000003</v>
      </c>
    </row>
    <row r="884" spans="1:6" ht="18" hidden="1">
      <c r="A884" s="123">
        <v>25</v>
      </c>
      <c r="B884" s="123">
        <v>79.5</v>
      </c>
      <c r="C884" s="123">
        <v>71.5</v>
      </c>
      <c r="D884" s="154">
        <v>50</v>
      </c>
      <c r="E884" s="123" t="s">
        <v>2475</v>
      </c>
      <c r="F884" s="190">
        <f t="shared" si="27"/>
        <v>4.5839999999999996</v>
      </c>
    </row>
    <row r="885" spans="1:6" ht="18" hidden="1">
      <c r="A885" s="123">
        <v>25</v>
      </c>
      <c r="B885" s="123">
        <v>83.5</v>
      </c>
      <c r="C885" s="123">
        <v>29.5</v>
      </c>
      <c r="D885" s="154">
        <v>50</v>
      </c>
      <c r="E885" s="123" t="s">
        <v>2476</v>
      </c>
      <c r="F885" s="190">
        <f t="shared" si="27"/>
        <v>1.986</v>
      </c>
    </row>
    <row r="886" spans="1:6" ht="18" hidden="1">
      <c r="A886" s="123">
        <v>25</v>
      </c>
      <c r="B886" s="123">
        <v>83.5</v>
      </c>
      <c r="C886" s="123">
        <v>32.5</v>
      </c>
      <c r="D886" s="154">
        <v>50</v>
      </c>
      <c r="E886" s="123" t="s">
        <v>2477</v>
      </c>
      <c r="F886" s="190">
        <f t="shared" si="27"/>
        <v>2.1890000000000001</v>
      </c>
    </row>
    <row r="887" spans="1:6" ht="18" hidden="1">
      <c r="A887" s="123">
        <v>25</v>
      </c>
      <c r="B887" s="123">
        <v>83.5</v>
      </c>
      <c r="C887" s="123">
        <v>35.5</v>
      </c>
      <c r="D887" s="154">
        <v>50</v>
      </c>
      <c r="E887" s="123" t="s">
        <v>2478</v>
      </c>
      <c r="F887" s="190">
        <f t="shared" si="27"/>
        <v>2.391</v>
      </c>
    </row>
    <row r="888" spans="1:6" ht="18" hidden="1">
      <c r="A888" s="123">
        <v>25</v>
      </c>
      <c r="B888" s="123">
        <v>83.5</v>
      </c>
      <c r="C888" s="123">
        <v>38.5</v>
      </c>
      <c r="D888" s="154">
        <v>50</v>
      </c>
      <c r="E888" s="123" t="s">
        <v>2479</v>
      </c>
      <c r="F888" s="190">
        <f t="shared" si="27"/>
        <v>2.593</v>
      </c>
    </row>
    <row r="889" spans="1:6" ht="18" hidden="1">
      <c r="A889" s="123">
        <v>25</v>
      </c>
      <c r="B889" s="123">
        <v>83.5</v>
      </c>
      <c r="C889" s="123">
        <v>41.5</v>
      </c>
      <c r="D889" s="154">
        <v>50</v>
      </c>
      <c r="E889" s="123" t="s">
        <v>2480</v>
      </c>
      <c r="F889" s="190">
        <f t="shared" si="27"/>
        <v>2.7949999999999999</v>
      </c>
    </row>
    <row r="890" spans="1:6" ht="18" hidden="1">
      <c r="A890" s="123">
        <v>25</v>
      </c>
      <c r="B890" s="123">
        <v>83.5</v>
      </c>
      <c r="C890" s="123">
        <v>44.5</v>
      </c>
      <c r="D890" s="154">
        <v>50</v>
      </c>
      <c r="E890" s="123" t="s">
        <v>2481</v>
      </c>
      <c r="F890" s="190">
        <f t="shared" si="27"/>
        <v>2.9969999999999999</v>
      </c>
    </row>
    <row r="891" spans="1:6" ht="18" hidden="1">
      <c r="A891" s="123">
        <v>25</v>
      </c>
      <c r="B891" s="123">
        <v>83.5</v>
      </c>
      <c r="C891" s="123">
        <v>47.5</v>
      </c>
      <c r="D891" s="154">
        <v>50</v>
      </c>
      <c r="E891" s="123" t="s">
        <v>2482</v>
      </c>
      <c r="F891" s="190">
        <f t="shared" si="27"/>
        <v>3.1989999999999998</v>
      </c>
    </row>
    <row r="892" spans="1:6" ht="18" hidden="1">
      <c r="A892" s="123">
        <v>25</v>
      </c>
      <c r="B892" s="123">
        <v>83.5</v>
      </c>
      <c r="C892" s="123">
        <v>50.5</v>
      </c>
      <c r="D892" s="154">
        <v>50</v>
      </c>
      <c r="E892" s="123" t="s">
        <v>2483</v>
      </c>
      <c r="F892" s="190">
        <f t="shared" si="27"/>
        <v>3.4009999999999998</v>
      </c>
    </row>
    <row r="893" spans="1:6" ht="18" hidden="1">
      <c r="A893" s="123">
        <v>25</v>
      </c>
      <c r="B893" s="123">
        <v>83.5</v>
      </c>
      <c r="C893" s="123">
        <v>53.5</v>
      </c>
      <c r="D893" s="154">
        <v>50</v>
      </c>
      <c r="E893" s="123" t="s">
        <v>2484</v>
      </c>
      <c r="F893" s="190">
        <f t="shared" si="27"/>
        <v>3.6030000000000002</v>
      </c>
    </row>
    <row r="894" spans="1:6" ht="18" hidden="1">
      <c r="A894" s="123">
        <v>25</v>
      </c>
      <c r="B894" s="123">
        <v>83.5</v>
      </c>
      <c r="C894" s="123">
        <v>56.5</v>
      </c>
      <c r="D894" s="154">
        <v>50</v>
      </c>
      <c r="E894" s="123" t="s">
        <v>2485</v>
      </c>
      <c r="F894" s="190">
        <f t="shared" si="27"/>
        <v>3.8050000000000002</v>
      </c>
    </row>
    <row r="895" spans="1:6" ht="18" hidden="1">
      <c r="A895" s="123">
        <v>25</v>
      </c>
      <c r="B895" s="123">
        <v>83.5</v>
      </c>
      <c r="C895" s="123">
        <v>59.5</v>
      </c>
      <c r="D895" s="154">
        <v>50</v>
      </c>
      <c r="E895" s="123" t="s">
        <v>2486</v>
      </c>
      <c r="F895" s="190">
        <f t="shared" si="27"/>
        <v>4.0069999999999997</v>
      </c>
    </row>
    <row r="896" spans="1:6" ht="18" hidden="1">
      <c r="A896" s="123">
        <v>25</v>
      </c>
      <c r="B896" s="123">
        <v>83.5</v>
      </c>
      <c r="C896" s="123">
        <v>62.5</v>
      </c>
      <c r="D896" s="154">
        <v>50</v>
      </c>
      <c r="E896" s="123" t="s">
        <v>2487</v>
      </c>
      <c r="F896" s="190">
        <f t="shared" si="27"/>
        <v>4.2089999999999996</v>
      </c>
    </row>
    <row r="897" spans="1:6" ht="18" hidden="1">
      <c r="A897" s="123">
        <v>25</v>
      </c>
      <c r="B897" s="123">
        <v>83.5</v>
      </c>
      <c r="C897" s="123">
        <v>65.5</v>
      </c>
      <c r="D897" s="154">
        <v>50</v>
      </c>
      <c r="E897" s="123" t="s">
        <v>2488</v>
      </c>
      <c r="F897" s="190">
        <f t="shared" si="27"/>
        <v>4.4109999999999996</v>
      </c>
    </row>
    <row r="898" spans="1:6" ht="18" hidden="1">
      <c r="A898" s="123">
        <v>25</v>
      </c>
      <c r="B898" s="123">
        <v>83.5</v>
      </c>
      <c r="C898" s="123">
        <v>68.5</v>
      </c>
      <c r="D898" s="154">
        <v>50</v>
      </c>
      <c r="E898" s="123" t="s">
        <v>2489</v>
      </c>
      <c r="F898" s="190">
        <f t="shared" si="27"/>
        <v>4.6130000000000004</v>
      </c>
    </row>
    <row r="899" spans="1:6" ht="18" hidden="1">
      <c r="A899" s="123">
        <v>25</v>
      </c>
      <c r="B899" s="123">
        <v>83.5</v>
      </c>
      <c r="C899" s="123">
        <v>71.5</v>
      </c>
      <c r="D899" s="154">
        <v>50</v>
      </c>
      <c r="E899" s="123" t="s">
        <v>2490</v>
      </c>
      <c r="F899" s="190">
        <f t="shared" si="27"/>
        <v>4.8150000000000004</v>
      </c>
    </row>
    <row r="900" spans="1:6" ht="18" hidden="1">
      <c r="A900" s="123">
        <v>25</v>
      </c>
      <c r="B900" s="123">
        <v>12.5</v>
      </c>
      <c r="C900" s="123">
        <v>12.5</v>
      </c>
      <c r="D900" s="154">
        <v>50</v>
      </c>
      <c r="E900" s="123" t="s">
        <v>2491</v>
      </c>
      <c r="F900" s="190">
        <f t="shared" si="27"/>
        <v>0.126</v>
      </c>
    </row>
    <row r="901" spans="1:6" ht="18.75" hidden="1" thickBot="1">
      <c r="A901" s="159">
        <v>25</v>
      </c>
      <c r="B901" s="159">
        <v>19.5</v>
      </c>
      <c r="C901" s="159">
        <v>17.5</v>
      </c>
      <c r="D901" s="154">
        <v>50</v>
      </c>
      <c r="E901" s="159" t="s">
        <v>2492</v>
      </c>
      <c r="F901" s="190">
        <f t="shared" si="27"/>
        <v>0.27500000000000002</v>
      </c>
    </row>
    <row r="902" spans="1:6" ht="18" hidden="1">
      <c r="A902" s="123">
        <v>32</v>
      </c>
      <c r="B902" s="123">
        <v>71.5</v>
      </c>
      <c r="C902" s="123">
        <v>175</v>
      </c>
      <c r="D902" s="154">
        <v>75</v>
      </c>
      <c r="E902" s="123" t="s">
        <v>2493</v>
      </c>
      <c r="F902" s="261">
        <f t="shared" ref="F902:F956" si="28">ROUND(A902*B902*0.0254*C902/1000*D902/1000,3)</f>
        <v>0.76300000000000001</v>
      </c>
    </row>
    <row r="903" spans="1:6" ht="18" hidden="1">
      <c r="A903" s="123">
        <v>32</v>
      </c>
      <c r="B903" s="123">
        <v>74.5</v>
      </c>
      <c r="C903" s="123">
        <v>175</v>
      </c>
      <c r="D903" s="154">
        <v>75</v>
      </c>
      <c r="E903" s="123" t="s">
        <v>2494</v>
      </c>
      <c r="F903" s="261">
        <f t="shared" si="28"/>
        <v>0.79500000000000004</v>
      </c>
    </row>
    <row r="904" spans="1:6" ht="18" hidden="1">
      <c r="A904" s="123">
        <v>32</v>
      </c>
      <c r="B904" s="123">
        <v>77.5</v>
      </c>
      <c r="C904" s="123">
        <v>175</v>
      </c>
      <c r="D904" s="154">
        <v>75</v>
      </c>
      <c r="E904" s="123" t="s">
        <v>2495</v>
      </c>
      <c r="F904" s="261">
        <f t="shared" si="28"/>
        <v>0.82699999999999996</v>
      </c>
    </row>
    <row r="905" spans="1:6" ht="18" hidden="1">
      <c r="A905" s="123">
        <v>32</v>
      </c>
      <c r="B905" s="123">
        <v>79.5</v>
      </c>
      <c r="C905" s="123">
        <v>175</v>
      </c>
      <c r="D905" s="154">
        <v>75</v>
      </c>
      <c r="E905" s="123" t="s">
        <v>2496</v>
      </c>
      <c r="F905" s="261">
        <f t="shared" si="28"/>
        <v>0.84799999999999998</v>
      </c>
    </row>
    <row r="906" spans="1:6" ht="18" hidden="1">
      <c r="A906" s="123">
        <v>32</v>
      </c>
      <c r="B906" s="123">
        <v>83.5</v>
      </c>
      <c r="C906" s="123">
        <v>175</v>
      </c>
      <c r="D906" s="154">
        <v>75</v>
      </c>
      <c r="E906" s="123" t="s">
        <v>2497</v>
      </c>
      <c r="F906" s="261">
        <f t="shared" si="28"/>
        <v>0.89100000000000001</v>
      </c>
    </row>
    <row r="907" spans="1:6" ht="18" hidden="1">
      <c r="A907" s="123">
        <v>32</v>
      </c>
      <c r="B907" s="123">
        <v>24</v>
      </c>
      <c r="C907" s="123">
        <v>175</v>
      </c>
      <c r="D907" s="154">
        <v>75</v>
      </c>
      <c r="E907" s="123" t="s">
        <v>2498</v>
      </c>
      <c r="F907" s="261">
        <f t="shared" si="28"/>
        <v>0.25600000000000001</v>
      </c>
    </row>
    <row r="908" spans="1:6" ht="18" hidden="1">
      <c r="A908" s="123">
        <v>32</v>
      </c>
      <c r="B908" s="123">
        <v>27</v>
      </c>
      <c r="C908" s="123">
        <v>175</v>
      </c>
      <c r="D908" s="154">
        <v>75</v>
      </c>
      <c r="E908" s="123" t="s">
        <v>2499</v>
      </c>
      <c r="F908" s="261">
        <f t="shared" si="28"/>
        <v>0.28799999999999998</v>
      </c>
    </row>
    <row r="909" spans="1:6" ht="18" hidden="1">
      <c r="A909" s="123">
        <v>32</v>
      </c>
      <c r="B909" s="123">
        <v>30</v>
      </c>
      <c r="C909" s="123">
        <v>175</v>
      </c>
      <c r="D909" s="154">
        <v>75</v>
      </c>
      <c r="E909" s="123" t="s">
        <v>2500</v>
      </c>
      <c r="F909" s="261">
        <f t="shared" si="28"/>
        <v>0.32</v>
      </c>
    </row>
    <row r="910" spans="1:6" ht="18" hidden="1">
      <c r="A910" s="123">
        <v>32</v>
      </c>
      <c r="B910" s="123">
        <v>33</v>
      </c>
      <c r="C910" s="123">
        <v>175</v>
      </c>
      <c r="D910" s="154">
        <v>75</v>
      </c>
      <c r="E910" s="123" t="s">
        <v>2501</v>
      </c>
      <c r="F910" s="261">
        <f t="shared" si="28"/>
        <v>0.35199999999999998</v>
      </c>
    </row>
    <row r="911" spans="1:6" ht="18" hidden="1">
      <c r="A911" s="123">
        <v>32</v>
      </c>
      <c r="B911" s="123">
        <v>36</v>
      </c>
      <c r="C911" s="123">
        <v>175</v>
      </c>
      <c r="D911" s="154">
        <v>75</v>
      </c>
      <c r="E911" s="123" t="s">
        <v>2502</v>
      </c>
      <c r="F911" s="261">
        <f t="shared" si="28"/>
        <v>0.38400000000000001</v>
      </c>
    </row>
    <row r="912" spans="1:6" ht="18" hidden="1">
      <c r="A912" s="123">
        <v>32</v>
      </c>
      <c r="B912" s="123">
        <v>39</v>
      </c>
      <c r="C912" s="123">
        <v>175</v>
      </c>
      <c r="D912" s="154">
        <v>75</v>
      </c>
      <c r="E912" s="123" t="s">
        <v>2503</v>
      </c>
      <c r="F912" s="261">
        <f t="shared" si="28"/>
        <v>0.41599999999999998</v>
      </c>
    </row>
    <row r="913" spans="1:6" ht="18" hidden="1">
      <c r="A913" s="123">
        <v>32</v>
      </c>
      <c r="B913" s="123">
        <v>42</v>
      </c>
      <c r="C913" s="123">
        <v>175</v>
      </c>
      <c r="D913" s="154">
        <v>75</v>
      </c>
      <c r="E913" s="123" t="s">
        <v>2504</v>
      </c>
      <c r="F913" s="261">
        <f t="shared" si="28"/>
        <v>0.44800000000000001</v>
      </c>
    </row>
    <row r="914" spans="1:6" ht="18" hidden="1">
      <c r="A914" s="123">
        <v>32</v>
      </c>
      <c r="B914" s="123">
        <v>45</v>
      </c>
      <c r="C914" s="123">
        <v>175</v>
      </c>
      <c r="D914" s="154">
        <v>75</v>
      </c>
      <c r="E914" s="123" t="s">
        <v>2505</v>
      </c>
      <c r="F914" s="261">
        <f t="shared" si="28"/>
        <v>0.48</v>
      </c>
    </row>
    <row r="915" spans="1:6" ht="18" hidden="1">
      <c r="A915" s="123">
        <v>32</v>
      </c>
      <c r="B915" s="123">
        <v>48</v>
      </c>
      <c r="C915" s="123">
        <v>175</v>
      </c>
      <c r="D915" s="154">
        <v>75</v>
      </c>
      <c r="E915" s="123" t="s">
        <v>2506</v>
      </c>
      <c r="F915" s="261">
        <f t="shared" si="28"/>
        <v>0.51200000000000001</v>
      </c>
    </row>
    <row r="916" spans="1:6" ht="18" hidden="1">
      <c r="A916" s="123">
        <v>32</v>
      </c>
      <c r="B916" s="123">
        <v>51</v>
      </c>
      <c r="C916" s="123">
        <v>175</v>
      </c>
      <c r="D916" s="154">
        <v>75</v>
      </c>
      <c r="E916" s="123" t="s">
        <v>2507</v>
      </c>
      <c r="F916" s="261">
        <f t="shared" si="28"/>
        <v>0.54400000000000004</v>
      </c>
    </row>
    <row r="917" spans="1:6" ht="18" hidden="1">
      <c r="A917" s="123">
        <v>32</v>
      </c>
      <c r="B917" s="123">
        <v>54</v>
      </c>
      <c r="C917" s="123">
        <v>175</v>
      </c>
      <c r="D917" s="154">
        <v>75</v>
      </c>
      <c r="E917" s="123" t="s">
        <v>2508</v>
      </c>
      <c r="F917" s="261">
        <f t="shared" si="28"/>
        <v>0.57599999999999996</v>
      </c>
    </row>
    <row r="918" spans="1:6" ht="18" hidden="1">
      <c r="A918" s="123">
        <v>32</v>
      </c>
      <c r="B918" s="123">
        <v>57</v>
      </c>
      <c r="C918" s="123">
        <v>175</v>
      </c>
      <c r="D918" s="154">
        <v>75</v>
      </c>
      <c r="E918" s="123" t="s">
        <v>2509</v>
      </c>
      <c r="F918" s="261">
        <f t="shared" si="28"/>
        <v>0.60799999999999998</v>
      </c>
    </row>
    <row r="919" spans="1:6" ht="18" hidden="1">
      <c r="A919" s="123">
        <v>32</v>
      </c>
      <c r="B919" s="123">
        <v>60</v>
      </c>
      <c r="C919" s="123">
        <v>175</v>
      </c>
      <c r="D919" s="154">
        <v>75</v>
      </c>
      <c r="E919" s="123" t="s">
        <v>2510</v>
      </c>
      <c r="F919" s="261">
        <f t="shared" si="28"/>
        <v>0.64</v>
      </c>
    </row>
    <row r="920" spans="1:6" ht="18" hidden="1">
      <c r="A920" s="123">
        <v>32</v>
      </c>
      <c r="B920" s="123">
        <v>63</v>
      </c>
      <c r="C920" s="123">
        <v>175</v>
      </c>
      <c r="D920" s="154">
        <v>75</v>
      </c>
      <c r="E920" s="123" t="s">
        <v>2511</v>
      </c>
      <c r="F920" s="261">
        <f t="shared" si="28"/>
        <v>0.67200000000000004</v>
      </c>
    </row>
    <row r="921" spans="1:6" ht="18" hidden="1">
      <c r="A921" s="123">
        <v>32</v>
      </c>
      <c r="B921" s="123">
        <v>66</v>
      </c>
      <c r="C921" s="123">
        <v>175</v>
      </c>
      <c r="D921" s="154">
        <v>75</v>
      </c>
      <c r="E921" s="123" t="s">
        <v>2512</v>
      </c>
      <c r="F921" s="261">
        <f t="shared" si="28"/>
        <v>0.70399999999999996</v>
      </c>
    </row>
    <row r="922" spans="1:6" ht="18" hidden="1">
      <c r="A922" s="123">
        <v>32</v>
      </c>
      <c r="B922" s="123">
        <v>12.5</v>
      </c>
      <c r="C922" s="123">
        <v>175</v>
      </c>
      <c r="D922" s="154">
        <v>75</v>
      </c>
      <c r="E922" s="123" t="s">
        <v>2513</v>
      </c>
      <c r="F922" s="261">
        <f t="shared" si="28"/>
        <v>0.13300000000000001</v>
      </c>
    </row>
    <row r="923" spans="1:6" ht="18" hidden="1">
      <c r="A923" s="123">
        <v>32</v>
      </c>
      <c r="B923" s="123">
        <v>19.5</v>
      </c>
      <c r="C923" s="123">
        <v>175</v>
      </c>
      <c r="D923" s="154">
        <v>75</v>
      </c>
      <c r="E923" s="123" t="s">
        <v>2514</v>
      </c>
      <c r="F923" s="261">
        <f t="shared" si="28"/>
        <v>0.20799999999999999</v>
      </c>
    </row>
    <row r="924" spans="1:6" ht="18" hidden="1">
      <c r="A924" s="123">
        <v>32</v>
      </c>
      <c r="B924" s="123">
        <v>12</v>
      </c>
      <c r="C924" s="123">
        <v>175</v>
      </c>
      <c r="D924" s="154">
        <v>75</v>
      </c>
      <c r="E924" s="123" t="s">
        <v>2515</v>
      </c>
      <c r="F924" s="261">
        <f t="shared" si="28"/>
        <v>0.128</v>
      </c>
    </row>
    <row r="925" spans="1:6" ht="18" hidden="1">
      <c r="A925" s="123">
        <v>32</v>
      </c>
      <c r="B925" s="123">
        <v>7</v>
      </c>
      <c r="C925" s="123">
        <v>175</v>
      </c>
      <c r="D925" s="154">
        <v>75</v>
      </c>
      <c r="E925" s="123" t="s">
        <v>2516</v>
      </c>
      <c r="F925" s="261">
        <f t="shared" si="28"/>
        <v>7.4999999999999997E-2</v>
      </c>
    </row>
    <row r="926" spans="1:6" ht="18" hidden="1">
      <c r="A926" s="362">
        <v>32</v>
      </c>
      <c r="B926" s="362">
        <v>71.5</v>
      </c>
      <c r="C926" s="362">
        <v>225</v>
      </c>
      <c r="D926" s="362">
        <v>40</v>
      </c>
      <c r="E926" s="204" t="s">
        <v>3243</v>
      </c>
      <c r="F926" s="261">
        <f t="shared" si="28"/>
        <v>0.52300000000000002</v>
      </c>
    </row>
    <row r="927" spans="1:6" ht="18" hidden="1">
      <c r="A927" s="362">
        <v>32</v>
      </c>
      <c r="B927" s="130">
        <v>74.5</v>
      </c>
      <c r="C927" s="130">
        <v>225</v>
      </c>
      <c r="D927" s="130">
        <v>40</v>
      </c>
      <c r="E927" s="204" t="s">
        <v>3244</v>
      </c>
      <c r="F927" s="261">
        <f t="shared" si="28"/>
        <v>0.54500000000000004</v>
      </c>
    </row>
    <row r="928" spans="1:6" ht="18" hidden="1">
      <c r="A928" s="362">
        <v>32</v>
      </c>
      <c r="B928" s="130">
        <v>77.5</v>
      </c>
      <c r="C928" s="130">
        <v>225</v>
      </c>
      <c r="D928" s="130">
        <v>40</v>
      </c>
      <c r="E928" s="204" t="s">
        <v>3245</v>
      </c>
      <c r="F928" s="261">
        <f t="shared" si="28"/>
        <v>0.56699999999999995</v>
      </c>
    </row>
    <row r="929" spans="1:6" ht="18" hidden="1">
      <c r="A929" s="362">
        <v>32</v>
      </c>
      <c r="B929" s="130">
        <v>79.5</v>
      </c>
      <c r="C929" s="130">
        <v>225</v>
      </c>
      <c r="D929" s="130">
        <v>40</v>
      </c>
      <c r="E929" s="204" t="s">
        <v>3246</v>
      </c>
      <c r="F929" s="261">
        <f t="shared" si="28"/>
        <v>0.58199999999999996</v>
      </c>
    </row>
    <row r="930" spans="1:6" ht="18" hidden="1">
      <c r="A930" s="362">
        <v>32</v>
      </c>
      <c r="B930" s="130">
        <v>83.5</v>
      </c>
      <c r="C930" s="130">
        <v>225</v>
      </c>
      <c r="D930" s="130">
        <v>40</v>
      </c>
      <c r="E930" s="204" t="s">
        <v>3247</v>
      </c>
      <c r="F930" s="261">
        <f t="shared" si="28"/>
        <v>0.61099999999999999</v>
      </c>
    </row>
    <row r="931" spans="1:6" ht="18" hidden="1">
      <c r="A931" s="362">
        <v>32</v>
      </c>
      <c r="B931" s="130">
        <v>12.5</v>
      </c>
      <c r="C931" s="130">
        <v>225</v>
      </c>
      <c r="D931" s="130">
        <v>40</v>
      </c>
      <c r="E931" s="204" t="s">
        <v>3248</v>
      </c>
      <c r="F931" s="261">
        <f t="shared" si="28"/>
        <v>9.0999999999999998E-2</v>
      </c>
    </row>
    <row r="932" spans="1:6" ht="18" hidden="1">
      <c r="A932" s="362">
        <v>32</v>
      </c>
      <c r="B932" s="130">
        <v>19.5</v>
      </c>
      <c r="C932" s="130">
        <v>225</v>
      </c>
      <c r="D932" s="130">
        <v>40</v>
      </c>
      <c r="E932" s="204" t="s">
        <v>3249</v>
      </c>
      <c r="F932" s="261">
        <f t="shared" si="28"/>
        <v>0.14299999999999999</v>
      </c>
    </row>
    <row r="933" spans="1:6" ht="18" hidden="1">
      <c r="A933" s="126">
        <v>32</v>
      </c>
      <c r="B933" s="224">
        <v>26.5</v>
      </c>
      <c r="C933" s="224">
        <v>225</v>
      </c>
      <c r="D933" s="224">
        <v>40</v>
      </c>
      <c r="E933" s="224" t="s">
        <v>3250</v>
      </c>
      <c r="F933" s="271">
        <f t="shared" si="28"/>
        <v>0.19400000000000001</v>
      </c>
    </row>
    <row r="934" spans="1:6" ht="18" hidden="1">
      <c r="A934" s="126">
        <v>32</v>
      </c>
      <c r="B934" s="226">
        <v>29.5</v>
      </c>
      <c r="C934" s="224">
        <v>225</v>
      </c>
      <c r="D934" s="226">
        <v>40</v>
      </c>
      <c r="E934" s="226" t="s">
        <v>3251</v>
      </c>
      <c r="F934" s="272">
        <f t="shared" si="28"/>
        <v>0.216</v>
      </c>
    </row>
    <row r="935" spans="1:6" ht="18" hidden="1">
      <c r="A935" s="126">
        <v>32</v>
      </c>
      <c r="B935" s="226">
        <v>32.5</v>
      </c>
      <c r="C935" s="224">
        <v>225</v>
      </c>
      <c r="D935" s="226">
        <v>40</v>
      </c>
      <c r="E935" s="226" t="s">
        <v>3252</v>
      </c>
      <c r="F935" s="272">
        <f t="shared" si="28"/>
        <v>0.23799999999999999</v>
      </c>
    </row>
    <row r="936" spans="1:6" ht="18" hidden="1">
      <c r="A936" s="126">
        <v>32</v>
      </c>
      <c r="B936" s="226">
        <v>35.5</v>
      </c>
      <c r="C936" s="224">
        <v>225</v>
      </c>
      <c r="D936" s="226">
        <v>40</v>
      </c>
      <c r="E936" s="226" t="s">
        <v>3253</v>
      </c>
      <c r="F936" s="272">
        <f t="shared" si="28"/>
        <v>0.26</v>
      </c>
    </row>
    <row r="937" spans="1:6" ht="18" hidden="1">
      <c r="A937" s="126">
        <v>32</v>
      </c>
      <c r="B937" s="226">
        <v>38.5</v>
      </c>
      <c r="C937" s="224">
        <v>225</v>
      </c>
      <c r="D937" s="226">
        <v>40</v>
      </c>
      <c r="E937" s="226" t="s">
        <v>3254</v>
      </c>
      <c r="F937" s="272">
        <f t="shared" si="28"/>
        <v>0.28199999999999997</v>
      </c>
    </row>
    <row r="938" spans="1:6" ht="18" hidden="1">
      <c r="A938" s="126">
        <v>32</v>
      </c>
      <c r="B938" s="226">
        <v>41.5</v>
      </c>
      <c r="C938" s="224">
        <v>225</v>
      </c>
      <c r="D938" s="226">
        <v>40</v>
      </c>
      <c r="E938" s="226" t="s">
        <v>3255</v>
      </c>
      <c r="F938" s="272">
        <f t="shared" si="28"/>
        <v>0.30399999999999999</v>
      </c>
    </row>
    <row r="939" spans="1:6" ht="18" hidden="1">
      <c r="A939" s="126">
        <v>32</v>
      </c>
      <c r="B939" s="226">
        <v>44.5</v>
      </c>
      <c r="C939" s="224">
        <v>225</v>
      </c>
      <c r="D939" s="226">
        <v>40</v>
      </c>
      <c r="E939" s="226" t="s">
        <v>3256</v>
      </c>
      <c r="F939" s="272">
        <f t="shared" si="28"/>
        <v>0.32600000000000001</v>
      </c>
    </row>
    <row r="940" spans="1:6" ht="18" hidden="1">
      <c r="A940" s="126">
        <v>32</v>
      </c>
      <c r="B940" s="226">
        <v>47.5</v>
      </c>
      <c r="C940" s="224">
        <v>225</v>
      </c>
      <c r="D940" s="226">
        <v>40</v>
      </c>
      <c r="E940" s="226" t="s">
        <v>3257</v>
      </c>
      <c r="F940" s="272">
        <f t="shared" si="28"/>
        <v>0.34699999999999998</v>
      </c>
    </row>
    <row r="941" spans="1:6" ht="18" hidden="1">
      <c r="A941" s="126">
        <v>32</v>
      </c>
      <c r="B941" s="226">
        <v>50.5</v>
      </c>
      <c r="C941" s="224">
        <v>225</v>
      </c>
      <c r="D941" s="226">
        <v>40</v>
      </c>
      <c r="E941" s="226" t="s">
        <v>3258</v>
      </c>
      <c r="F941" s="272">
        <f t="shared" si="28"/>
        <v>0.36899999999999999</v>
      </c>
    </row>
    <row r="942" spans="1:6" ht="18" hidden="1">
      <c r="A942" s="126">
        <v>32</v>
      </c>
      <c r="B942" s="226">
        <v>53.5</v>
      </c>
      <c r="C942" s="224">
        <v>225</v>
      </c>
      <c r="D942" s="226">
        <v>40</v>
      </c>
      <c r="E942" s="226" t="s">
        <v>3259</v>
      </c>
      <c r="F942" s="272">
        <f t="shared" si="28"/>
        <v>0.39100000000000001</v>
      </c>
    </row>
    <row r="943" spans="1:6" ht="18" hidden="1">
      <c r="A943" s="126">
        <v>32</v>
      </c>
      <c r="B943" s="226">
        <v>56.5</v>
      </c>
      <c r="C943" s="224">
        <v>225</v>
      </c>
      <c r="D943" s="226">
        <v>40</v>
      </c>
      <c r="E943" s="226" t="s">
        <v>3260</v>
      </c>
      <c r="F943" s="272">
        <f t="shared" si="28"/>
        <v>0.41299999999999998</v>
      </c>
    </row>
    <row r="944" spans="1:6" ht="18" hidden="1">
      <c r="A944" s="126">
        <v>32</v>
      </c>
      <c r="B944" s="226">
        <v>59.5</v>
      </c>
      <c r="C944" s="224">
        <v>225</v>
      </c>
      <c r="D944" s="226">
        <v>40</v>
      </c>
      <c r="E944" s="226" t="s">
        <v>3261</v>
      </c>
      <c r="F944" s="272">
        <f t="shared" si="28"/>
        <v>0.435</v>
      </c>
    </row>
    <row r="945" spans="1:6" ht="18" hidden="1">
      <c r="A945" s="126">
        <v>32</v>
      </c>
      <c r="B945" s="226">
        <v>62.5</v>
      </c>
      <c r="C945" s="224">
        <v>225</v>
      </c>
      <c r="D945" s="226">
        <v>40</v>
      </c>
      <c r="E945" s="226" t="s">
        <v>3262</v>
      </c>
      <c r="F945" s="272">
        <f t="shared" si="28"/>
        <v>0.45700000000000002</v>
      </c>
    </row>
    <row r="946" spans="1:6" ht="18" hidden="1">
      <c r="A946" s="126">
        <v>32</v>
      </c>
      <c r="B946" s="226">
        <v>65.5</v>
      </c>
      <c r="C946" s="224">
        <v>225</v>
      </c>
      <c r="D946" s="226">
        <v>40</v>
      </c>
      <c r="E946" s="226" t="s">
        <v>3263</v>
      </c>
      <c r="F946" s="272">
        <f t="shared" si="28"/>
        <v>0.47899999999999998</v>
      </c>
    </row>
    <row r="947" spans="1:6" ht="18" hidden="1">
      <c r="A947" s="126">
        <v>32</v>
      </c>
      <c r="B947" s="226">
        <v>68.5</v>
      </c>
      <c r="C947" s="224">
        <v>225</v>
      </c>
      <c r="D947" s="226">
        <v>40</v>
      </c>
      <c r="E947" s="226" t="s">
        <v>3264</v>
      </c>
      <c r="F947" s="272">
        <f t="shared" si="28"/>
        <v>0.501</v>
      </c>
    </row>
    <row r="948" spans="1:6" ht="18" hidden="1">
      <c r="A948" s="126">
        <v>32</v>
      </c>
      <c r="B948" s="226">
        <v>9.5</v>
      </c>
      <c r="C948" s="224">
        <v>225</v>
      </c>
      <c r="D948" s="226">
        <v>40</v>
      </c>
      <c r="E948" s="226" t="s">
        <v>3265</v>
      </c>
      <c r="F948" s="272">
        <f t="shared" si="28"/>
        <v>6.9000000000000006E-2</v>
      </c>
    </row>
    <row r="949" spans="1:6" ht="18.75" hidden="1" thickBot="1">
      <c r="A949" s="126">
        <v>32</v>
      </c>
      <c r="B949" s="228">
        <v>14.5</v>
      </c>
      <c r="C949" s="224">
        <v>225</v>
      </c>
      <c r="D949" s="228">
        <v>40</v>
      </c>
      <c r="E949" s="228" t="s">
        <v>3266</v>
      </c>
      <c r="F949" s="273">
        <f t="shared" si="28"/>
        <v>0.106</v>
      </c>
    </row>
    <row r="950" spans="1:6" ht="18" hidden="1">
      <c r="A950" s="126">
        <v>32</v>
      </c>
      <c r="B950" s="154">
        <v>71.5</v>
      </c>
      <c r="C950" s="154">
        <v>225</v>
      </c>
      <c r="D950" s="154">
        <v>75</v>
      </c>
      <c r="E950" s="155" t="s">
        <v>3267</v>
      </c>
      <c r="F950" s="259">
        <f t="shared" si="28"/>
        <v>0.98099999999999998</v>
      </c>
    </row>
    <row r="951" spans="1:6" ht="18" hidden="1">
      <c r="A951" s="126">
        <v>32</v>
      </c>
      <c r="B951" s="123">
        <v>74.5</v>
      </c>
      <c r="C951" s="123">
        <v>225</v>
      </c>
      <c r="D951" s="123">
        <v>75</v>
      </c>
      <c r="E951" s="156" t="s">
        <v>3268</v>
      </c>
      <c r="F951" s="251">
        <f t="shared" si="28"/>
        <v>1.022</v>
      </c>
    </row>
    <row r="952" spans="1:6" ht="18" hidden="1">
      <c r="A952" s="126">
        <v>32</v>
      </c>
      <c r="B952" s="123">
        <v>77.5</v>
      </c>
      <c r="C952" s="123">
        <v>225</v>
      </c>
      <c r="D952" s="123">
        <v>75</v>
      </c>
      <c r="E952" s="156" t="s">
        <v>3269</v>
      </c>
      <c r="F952" s="251">
        <f t="shared" si="28"/>
        <v>1.0629999999999999</v>
      </c>
    </row>
    <row r="953" spans="1:6" ht="18" hidden="1">
      <c r="A953" s="126">
        <v>32</v>
      </c>
      <c r="B953" s="123">
        <v>79.5</v>
      </c>
      <c r="C953" s="123">
        <v>225</v>
      </c>
      <c r="D953" s="123">
        <v>75</v>
      </c>
      <c r="E953" s="156" t="s">
        <v>3270</v>
      </c>
      <c r="F953" s="251">
        <f t="shared" si="28"/>
        <v>1.0900000000000001</v>
      </c>
    </row>
    <row r="954" spans="1:6" ht="18" hidden="1">
      <c r="A954" s="126">
        <v>32</v>
      </c>
      <c r="B954" s="123">
        <v>83.5</v>
      </c>
      <c r="C954" s="123">
        <v>225</v>
      </c>
      <c r="D954" s="123">
        <v>75</v>
      </c>
      <c r="E954" s="156" t="s">
        <v>3271</v>
      </c>
      <c r="F954" s="251">
        <f t="shared" si="28"/>
        <v>1.145</v>
      </c>
    </row>
    <row r="955" spans="1:6" ht="18" hidden="1">
      <c r="A955" s="126">
        <v>32</v>
      </c>
      <c r="B955" s="123">
        <v>12.5</v>
      </c>
      <c r="C955" s="123">
        <v>225</v>
      </c>
      <c r="D955" s="123">
        <v>75</v>
      </c>
      <c r="E955" s="156" t="s">
        <v>3272</v>
      </c>
      <c r="F955" s="251">
        <f t="shared" si="28"/>
        <v>0.17100000000000001</v>
      </c>
    </row>
    <row r="956" spans="1:6" ht="18.75" hidden="1" thickBot="1">
      <c r="A956" s="126">
        <v>32</v>
      </c>
      <c r="B956" s="159">
        <v>19.5</v>
      </c>
      <c r="C956" s="159">
        <v>225</v>
      </c>
      <c r="D956" s="159">
        <v>75</v>
      </c>
      <c r="E956" s="160" t="s">
        <v>3273</v>
      </c>
      <c r="F956" s="260">
        <f t="shared" si="28"/>
        <v>0.26700000000000002</v>
      </c>
    </row>
    <row r="957" spans="1:6" ht="18" hidden="1">
      <c r="A957" s="123">
        <v>32</v>
      </c>
      <c r="B957" s="123">
        <v>71.5</v>
      </c>
      <c r="C957" s="123">
        <v>225</v>
      </c>
      <c r="D957" s="154">
        <v>75</v>
      </c>
      <c r="E957" s="123" t="s">
        <v>3129</v>
      </c>
      <c r="F957" s="261">
        <f t="shared" ref="F957:F980" si="29">ROUND(A957*B957*0.0254*C957/1000*D957/1000,3)</f>
        <v>0.98099999999999998</v>
      </c>
    </row>
    <row r="958" spans="1:6" ht="18" hidden="1">
      <c r="A958" s="123">
        <v>32</v>
      </c>
      <c r="B958" s="123">
        <v>74.5</v>
      </c>
      <c r="C958" s="123">
        <v>225</v>
      </c>
      <c r="D958" s="154">
        <v>75</v>
      </c>
      <c r="E958" s="123" t="s">
        <v>3130</v>
      </c>
      <c r="F958" s="261">
        <f t="shared" si="29"/>
        <v>1.022</v>
      </c>
    </row>
    <row r="959" spans="1:6" ht="18" hidden="1">
      <c r="A959" s="123">
        <v>32</v>
      </c>
      <c r="B959" s="123">
        <v>77.5</v>
      </c>
      <c r="C959" s="123">
        <v>225</v>
      </c>
      <c r="D959" s="154">
        <v>75</v>
      </c>
      <c r="E959" s="123" t="s">
        <v>3131</v>
      </c>
      <c r="F959" s="261">
        <f t="shared" si="29"/>
        <v>1.0629999999999999</v>
      </c>
    </row>
    <row r="960" spans="1:6" ht="18" hidden="1">
      <c r="A960" s="123">
        <v>32</v>
      </c>
      <c r="B960" s="123">
        <v>79.5</v>
      </c>
      <c r="C960" s="123">
        <v>225</v>
      </c>
      <c r="D960" s="154">
        <v>75</v>
      </c>
      <c r="E960" s="123" t="s">
        <v>3132</v>
      </c>
      <c r="F960" s="261">
        <f t="shared" si="29"/>
        <v>1.0900000000000001</v>
      </c>
    </row>
    <row r="961" spans="1:6" ht="18" hidden="1">
      <c r="A961" s="123">
        <v>32</v>
      </c>
      <c r="B961" s="123">
        <v>83.5</v>
      </c>
      <c r="C961" s="123">
        <v>225</v>
      </c>
      <c r="D961" s="154">
        <v>75</v>
      </c>
      <c r="E961" s="123" t="s">
        <v>3133</v>
      </c>
      <c r="F961" s="261">
        <f t="shared" si="29"/>
        <v>1.145</v>
      </c>
    </row>
    <row r="962" spans="1:6" ht="18" hidden="1">
      <c r="A962" s="130">
        <v>32</v>
      </c>
      <c r="B962" s="130">
        <v>24</v>
      </c>
      <c r="C962" s="130">
        <v>225</v>
      </c>
      <c r="D962" s="171">
        <v>75</v>
      </c>
      <c r="E962" s="130" t="s">
        <v>3216</v>
      </c>
      <c r="F962" s="263">
        <f t="shared" si="29"/>
        <v>0.32900000000000001</v>
      </c>
    </row>
    <row r="963" spans="1:6" ht="18" hidden="1">
      <c r="A963" s="130">
        <v>32</v>
      </c>
      <c r="B963" s="130">
        <v>27</v>
      </c>
      <c r="C963" s="130">
        <v>225</v>
      </c>
      <c r="D963" s="171">
        <v>75</v>
      </c>
      <c r="E963" s="130" t="s">
        <v>3217</v>
      </c>
      <c r="F963" s="263">
        <f t="shared" si="29"/>
        <v>0.37</v>
      </c>
    </row>
    <row r="964" spans="1:6" ht="18" hidden="1">
      <c r="A964" s="130">
        <v>32</v>
      </c>
      <c r="B964" s="130">
        <v>30</v>
      </c>
      <c r="C964" s="130">
        <v>225</v>
      </c>
      <c r="D964" s="171">
        <v>75</v>
      </c>
      <c r="E964" s="130" t="s">
        <v>3218</v>
      </c>
      <c r="F964" s="263">
        <f t="shared" si="29"/>
        <v>0.41099999999999998</v>
      </c>
    </row>
    <row r="965" spans="1:6" ht="18" hidden="1">
      <c r="A965" s="130">
        <v>32</v>
      </c>
      <c r="B965" s="130">
        <v>33</v>
      </c>
      <c r="C965" s="130">
        <v>225</v>
      </c>
      <c r="D965" s="171">
        <v>75</v>
      </c>
      <c r="E965" s="130" t="s">
        <v>3219</v>
      </c>
      <c r="F965" s="263">
        <f t="shared" si="29"/>
        <v>0.45300000000000001</v>
      </c>
    </row>
    <row r="966" spans="1:6" ht="18" hidden="1">
      <c r="A966" s="130">
        <v>32</v>
      </c>
      <c r="B966" s="130">
        <v>36</v>
      </c>
      <c r="C966" s="130">
        <v>225</v>
      </c>
      <c r="D966" s="171">
        <v>75</v>
      </c>
      <c r="E966" s="130" t="s">
        <v>3220</v>
      </c>
      <c r="F966" s="263">
        <f t="shared" si="29"/>
        <v>0.49399999999999999</v>
      </c>
    </row>
    <row r="967" spans="1:6" ht="18" hidden="1">
      <c r="A967" s="130">
        <v>32</v>
      </c>
      <c r="B967" s="130">
        <v>39</v>
      </c>
      <c r="C967" s="130">
        <v>225</v>
      </c>
      <c r="D967" s="171">
        <v>75</v>
      </c>
      <c r="E967" s="130" t="s">
        <v>3221</v>
      </c>
      <c r="F967" s="263">
        <f t="shared" si="29"/>
        <v>0.53500000000000003</v>
      </c>
    </row>
    <row r="968" spans="1:6" ht="18" hidden="1">
      <c r="A968" s="130">
        <v>32</v>
      </c>
      <c r="B968" s="130">
        <v>42</v>
      </c>
      <c r="C968" s="130">
        <v>225</v>
      </c>
      <c r="D968" s="171">
        <v>75</v>
      </c>
      <c r="E968" s="130" t="s">
        <v>3222</v>
      </c>
      <c r="F968" s="263">
        <f t="shared" si="29"/>
        <v>0.57599999999999996</v>
      </c>
    </row>
    <row r="969" spans="1:6" ht="18" hidden="1">
      <c r="A969" s="130">
        <v>32</v>
      </c>
      <c r="B969" s="130">
        <v>45</v>
      </c>
      <c r="C969" s="130">
        <v>225</v>
      </c>
      <c r="D969" s="171">
        <v>75</v>
      </c>
      <c r="E969" s="130" t="s">
        <v>3223</v>
      </c>
      <c r="F969" s="263">
        <f t="shared" si="29"/>
        <v>0.61699999999999999</v>
      </c>
    </row>
    <row r="970" spans="1:6" ht="18" hidden="1">
      <c r="A970" s="130">
        <v>32</v>
      </c>
      <c r="B970" s="130">
        <v>48</v>
      </c>
      <c r="C970" s="130">
        <v>225</v>
      </c>
      <c r="D970" s="171">
        <v>75</v>
      </c>
      <c r="E970" s="130" t="s">
        <v>3224</v>
      </c>
      <c r="F970" s="263">
        <f t="shared" si="29"/>
        <v>0.65800000000000003</v>
      </c>
    </row>
    <row r="971" spans="1:6" ht="18" hidden="1">
      <c r="A971" s="130">
        <v>32</v>
      </c>
      <c r="B971" s="130">
        <v>51</v>
      </c>
      <c r="C971" s="130">
        <v>225</v>
      </c>
      <c r="D971" s="171">
        <v>75</v>
      </c>
      <c r="E971" s="130" t="s">
        <v>3225</v>
      </c>
      <c r="F971" s="263">
        <f t="shared" si="29"/>
        <v>0.7</v>
      </c>
    </row>
    <row r="972" spans="1:6" ht="18" hidden="1">
      <c r="A972" s="130">
        <v>32</v>
      </c>
      <c r="B972" s="130">
        <v>54</v>
      </c>
      <c r="C972" s="130">
        <v>225</v>
      </c>
      <c r="D972" s="171">
        <v>75</v>
      </c>
      <c r="E972" s="130" t="s">
        <v>3226</v>
      </c>
      <c r="F972" s="263">
        <f t="shared" si="29"/>
        <v>0.74099999999999999</v>
      </c>
    </row>
    <row r="973" spans="1:6" ht="18" hidden="1">
      <c r="A973" s="130">
        <v>32</v>
      </c>
      <c r="B973" s="130">
        <v>57</v>
      </c>
      <c r="C973" s="130">
        <v>225</v>
      </c>
      <c r="D973" s="171">
        <v>75</v>
      </c>
      <c r="E973" s="130" t="s">
        <v>3227</v>
      </c>
      <c r="F973" s="263">
        <f t="shared" si="29"/>
        <v>0.78200000000000003</v>
      </c>
    </row>
    <row r="974" spans="1:6" ht="18" hidden="1">
      <c r="A974" s="130">
        <v>32</v>
      </c>
      <c r="B974" s="130">
        <v>60</v>
      </c>
      <c r="C974" s="130">
        <v>225</v>
      </c>
      <c r="D974" s="171">
        <v>75</v>
      </c>
      <c r="E974" s="130" t="s">
        <v>3228</v>
      </c>
      <c r="F974" s="263">
        <f t="shared" si="29"/>
        <v>0.82299999999999995</v>
      </c>
    </row>
    <row r="975" spans="1:6" ht="18" hidden="1">
      <c r="A975" s="130">
        <v>32</v>
      </c>
      <c r="B975" s="130">
        <v>63</v>
      </c>
      <c r="C975" s="130">
        <v>225</v>
      </c>
      <c r="D975" s="171">
        <v>75</v>
      </c>
      <c r="E975" s="130" t="s">
        <v>3229</v>
      </c>
      <c r="F975" s="263">
        <f t="shared" si="29"/>
        <v>0.86399999999999999</v>
      </c>
    </row>
    <row r="976" spans="1:6" ht="18" hidden="1">
      <c r="A976" s="130">
        <v>32</v>
      </c>
      <c r="B976" s="130">
        <v>66</v>
      </c>
      <c r="C976" s="130">
        <v>225</v>
      </c>
      <c r="D976" s="171">
        <v>75</v>
      </c>
      <c r="E976" s="130" t="s">
        <v>3230</v>
      </c>
      <c r="F976" s="263">
        <f t="shared" si="29"/>
        <v>0.90500000000000003</v>
      </c>
    </row>
    <row r="977" spans="1:6" ht="18" hidden="1">
      <c r="A977" s="130">
        <v>32</v>
      </c>
      <c r="B977" s="130">
        <v>12.5</v>
      </c>
      <c r="C977" s="130">
        <v>225</v>
      </c>
      <c r="D977" s="171">
        <v>75</v>
      </c>
      <c r="E977" s="130" t="s">
        <v>3134</v>
      </c>
      <c r="F977" s="263">
        <f t="shared" si="29"/>
        <v>0.17100000000000001</v>
      </c>
    </row>
    <row r="978" spans="1:6" ht="18" hidden="1">
      <c r="A978" s="130">
        <v>32</v>
      </c>
      <c r="B978" s="130">
        <v>19.5</v>
      </c>
      <c r="C978" s="130">
        <v>225</v>
      </c>
      <c r="D978" s="171">
        <v>75</v>
      </c>
      <c r="E978" s="130" t="s">
        <v>3135</v>
      </c>
      <c r="F978" s="263">
        <f t="shared" si="29"/>
        <v>0.26700000000000002</v>
      </c>
    </row>
    <row r="979" spans="1:6" ht="18" hidden="1">
      <c r="A979" s="130">
        <v>32</v>
      </c>
      <c r="B979" s="130">
        <v>12</v>
      </c>
      <c r="C979" s="130">
        <v>225</v>
      </c>
      <c r="D979" s="171">
        <v>75</v>
      </c>
      <c r="E979" s="130" t="s">
        <v>3231</v>
      </c>
      <c r="F979" s="263">
        <f t="shared" si="29"/>
        <v>0.16500000000000001</v>
      </c>
    </row>
    <row r="980" spans="1:6" ht="18" hidden="1">
      <c r="A980" s="130">
        <v>32</v>
      </c>
      <c r="B980" s="130">
        <v>7</v>
      </c>
      <c r="C980" s="130">
        <v>225</v>
      </c>
      <c r="D980" s="171">
        <v>75</v>
      </c>
      <c r="E980" s="130" t="s">
        <v>3237</v>
      </c>
      <c r="F980" s="263">
        <f t="shared" si="29"/>
        <v>9.6000000000000002E-2</v>
      </c>
    </row>
  </sheetData>
  <autoFilter ref="A2:F980">
    <filterColumn colId="4">
      <filters>
        <filter val="32D-HARD-FOAM-07X155MMX75MM"/>
        <filter val="32D-HARD-FOAM-12X155MMX75MM"/>
        <filter val="32D-HARD-FOAM-24X155MMX75MM"/>
        <filter val="32D-HARD-FOAM-27X155MMX75MM"/>
        <filter val="32D-HARD-FOAM-30X155MMX75MM"/>
        <filter val="32D-HARD-FOAM-33X155MMX75MM"/>
        <filter val="32D-HARD-FOAM-36X155MMX75MM"/>
        <filter val="32D-HARD-FOAM-39X155MMX75MM"/>
        <filter val="32D-HARD-FOAM-42X155MMX75MM"/>
        <filter val="32D-HARD-FOAM-45X155MMX75MM"/>
        <filter val="32D-HARD-FOAM-48X155MMX75MM"/>
        <filter val="32D-HARD-FOAM-51X155MMX75MM"/>
        <filter val="32D-HARD-FOAM-54X155MMX75MM"/>
        <filter val="32D-HARD-FOAM-57X155MMX75MM"/>
        <filter val="32D-HARD-FOAM-60X155MMX75MM"/>
        <filter val="32D-HARD-FOAM-63X155MMX75MM"/>
        <filter val="32D-HARD-FOAM-66X155MMX75MM"/>
        <filter val="32D-PU-FOAM-12.50X155MMX75MM"/>
        <filter val="32D-PU-FOAM-19.50X155MMX75MM"/>
        <filter val="32D-PU-FOAM-71.50X155MMX75MM"/>
        <filter val="32D-PU-FOAM-74.50X155MMX75MM"/>
        <filter val="32D-PU-FOAM-77.50X155MMX75MM"/>
        <filter val="32D-PU-FOAM-79.50X155MMX75MM"/>
        <filter val="32D-PU-FOAM-83.50X155MMX75MM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topLeftCell="A5" workbookViewId="0">
      <selection activeCell="C18" sqref="C18"/>
    </sheetView>
  </sheetViews>
  <sheetFormatPr defaultColWidth="9" defaultRowHeight="15"/>
  <cols>
    <col min="2" max="2" width="51.7109375" customWidth="1"/>
  </cols>
  <sheetData>
    <row r="2" spans="2:2">
      <c r="B2" s="244" t="s">
        <v>2517</v>
      </c>
    </row>
    <row r="3" spans="2:2">
      <c r="B3" s="245"/>
    </row>
    <row r="4" spans="2:2" ht="30">
      <c r="B4" s="246" t="s">
        <v>2518</v>
      </c>
    </row>
    <row r="5" spans="2:2">
      <c r="B5" s="245"/>
    </row>
    <row r="6" spans="2:2">
      <c r="B6" s="247" t="s">
        <v>2519</v>
      </c>
    </row>
    <row r="7" spans="2:2" ht="30">
      <c r="B7" s="246" t="s">
        <v>2520</v>
      </c>
    </row>
    <row r="8" spans="2:2">
      <c r="B8" s="245"/>
    </row>
    <row r="9" spans="2:2">
      <c r="B9" s="248" t="s">
        <v>2521</v>
      </c>
    </row>
    <row r="10" spans="2:2">
      <c r="B10" s="56"/>
    </row>
    <row r="11" spans="2:2">
      <c r="B11" s="56"/>
    </row>
    <row r="12" spans="2:2">
      <c r="B12" s="244" t="s">
        <v>2522</v>
      </c>
    </row>
    <row r="13" spans="2:2">
      <c r="B13" s="245"/>
    </row>
    <row r="14" spans="2:2" ht="30">
      <c r="B14" s="246" t="s">
        <v>2523</v>
      </c>
    </row>
    <row r="15" spans="2:2">
      <c r="B15" s="245"/>
    </row>
    <row r="16" spans="2:2">
      <c r="B16" s="247" t="s">
        <v>2519</v>
      </c>
    </row>
    <row r="17" spans="2:2" ht="30">
      <c r="B17" s="246" t="s">
        <v>2524</v>
      </c>
    </row>
    <row r="18" spans="2:2">
      <c r="B18" s="245"/>
    </row>
    <row r="19" spans="2:2">
      <c r="B19" s="248" t="s">
        <v>2525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3"/>
  <sheetViews>
    <sheetView zoomScale="70" zoomScaleNormal="70" workbookViewId="0">
      <pane xSplit="2" ySplit="1" topLeftCell="G2" activePane="bottomRight" state="frozen"/>
      <selection pane="topRight"/>
      <selection pane="bottomLeft"/>
      <selection pane="bottomRight" activeCell="B8" sqref="B8"/>
    </sheetView>
  </sheetViews>
  <sheetFormatPr defaultColWidth="9" defaultRowHeight="15"/>
  <cols>
    <col min="1" max="1" width="8.42578125" customWidth="1"/>
    <col min="2" max="2" width="72.85546875" customWidth="1"/>
    <col min="3" max="3" width="14.42578125" customWidth="1"/>
    <col min="4" max="4" width="63.140625" customWidth="1"/>
    <col min="5" max="5" width="13.7109375" customWidth="1"/>
    <col min="6" max="6" width="11.42578125" customWidth="1"/>
    <col min="7" max="7" width="13.5703125" customWidth="1"/>
    <col min="8" max="8" width="36.140625" customWidth="1"/>
    <col min="9" max="9" width="18.5703125" customWidth="1"/>
    <col min="10" max="10" width="28" style="56" customWidth="1"/>
    <col min="11" max="11" width="18.28515625" customWidth="1"/>
    <col min="12" max="12" width="18.42578125" customWidth="1"/>
    <col min="13" max="13" width="16.140625" customWidth="1"/>
    <col min="14" max="14" width="18" customWidth="1"/>
  </cols>
  <sheetData>
    <row r="1" spans="1:14" ht="72">
      <c r="A1" s="80" t="s">
        <v>2526</v>
      </c>
      <c r="B1" s="80" t="s">
        <v>2527</v>
      </c>
      <c r="C1" s="80" t="s">
        <v>1390</v>
      </c>
      <c r="D1" s="80" t="s">
        <v>2528</v>
      </c>
      <c r="E1" s="80" t="s">
        <v>1729</v>
      </c>
      <c r="F1" s="80" t="s">
        <v>1397</v>
      </c>
      <c r="G1" s="80" t="s">
        <v>2529</v>
      </c>
      <c r="H1" s="80" t="s">
        <v>1394</v>
      </c>
      <c r="I1" s="80" t="s">
        <v>2530</v>
      </c>
      <c r="J1" s="80" t="s">
        <v>2531</v>
      </c>
      <c r="K1" s="80" t="s">
        <v>2532</v>
      </c>
      <c r="L1" s="80" t="s">
        <v>2533</v>
      </c>
      <c r="M1" s="80" t="s">
        <v>2534</v>
      </c>
      <c r="N1" s="80" t="s">
        <v>2534</v>
      </c>
    </row>
    <row r="2" spans="1:14" ht="18">
      <c r="A2" s="239">
        <v>1</v>
      </c>
      <c r="B2" s="239" t="s">
        <v>2535</v>
      </c>
      <c r="C2" s="239">
        <v>130</v>
      </c>
      <c r="D2" s="239" t="s">
        <v>2536</v>
      </c>
      <c r="E2" s="240">
        <v>0.5</v>
      </c>
      <c r="F2" s="239">
        <v>6</v>
      </c>
      <c r="G2" s="239" t="s">
        <v>2537</v>
      </c>
      <c r="H2" s="239" t="s">
        <v>3232</v>
      </c>
      <c r="I2" s="239" t="s">
        <v>1410</v>
      </c>
      <c r="J2" s="239" t="s">
        <v>2538</v>
      </c>
      <c r="K2" s="239" t="s">
        <v>1408</v>
      </c>
      <c r="L2" s="239" t="s">
        <v>1408</v>
      </c>
      <c r="M2" s="239">
        <v>0.5</v>
      </c>
      <c r="N2" s="239">
        <v>0.5</v>
      </c>
    </row>
    <row r="3" spans="1:14" ht="18">
      <c r="A3" s="239">
        <v>2</v>
      </c>
      <c r="B3" s="239" t="s">
        <v>2539</v>
      </c>
      <c r="C3" s="239">
        <v>150</v>
      </c>
      <c r="D3" s="239" t="s">
        <v>2536</v>
      </c>
      <c r="E3" s="240">
        <v>0.5</v>
      </c>
      <c r="F3" s="239">
        <v>6</v>
      </c>
      <c r="G3" s="239" t="s">
        <v>2540</v>
      </c>
      <c r="H3" s="239" t="s">
        <v>3232</v>
      </c>
      <c r="I3" s="239" t="s">
        <v>1410</v>
      </c>
      <c r="J3" s="239" t="s">
        <v>2538</v>
      </c>
      <c r="K3" s="239" t="s">
        <v>2541</v>
      </c>
      <c r="L3" s="239" t="s">
        <v>1408</v>
      </c>
      <c r="M3" s="239">
        <v>0.5</v>
      </c>
      <c r="N3" s="239">
        <v>0.5</v>
      </c>
    </row>
    <row r="4" spans="1:14" ht="18">
      <c r="A4" s="239">
        <v>3</v>
      </c>
      <c r="B4" s="239" t="s">
        <v>2542</v>
      </c>
      <c r="C4" s="239">
        <v>130</v>
      </c>
      <c r="D4" s="239" t="s">
        <v>2536</v>
      </c>
      <c r="E4" s="240">
        <v>0.5</v>
      </c>
      <c r="F4" s="239">
        <v>6</v>
      </c>
      <c r="G4" s="239" t="s">
        <v>2537</v>
      </c>
      <c r="H4" s="239" t="s">
        <v>3232</v>
      </c>
      <c r="I4" s="239" t="s">
        <v>1410</v>
      </c>
      <c r="J4" s="239" t="s">
        <v>2538</v>
      </c>
      <c r="K4" s="239" t="s">
        <v>1408</v>
      </c>
      <c r="L4" s="239" t="s">
        <v>1408</v>
      </c>
      <c r="M4" s="239">
        <v>0.5</v>
      </c>
      <c r="N4" s="239">
        <v>0.5</v>
      </c>
    </row>
    <row r="5" spans="1:14" ht="18">
      <c r="A5" s="239">
        <v>4</v>
      </c>
      <c r="B5" s="239" t="s">
        <v>2543</v>
      </c>
      <c r="C5" s="239">
        <v>150</v>
      </c>
      <c r="D5" s="239" t="s">
        <v>2536</v>
      </c>
      <c r="E5" s="240">
        <v>0.5</v>
      </c>
      <c r="F5" s="239">
        <v>6</v>
      </c>
      <c r="G5" s="239" t="s">
        <v>2540</v>
      </c>
      <c r="H5" s="239" t="s">
        <v>3232</v>
      </c>
      <c r="I5" s="239" t="s">
        <v>1410</v>
      </c>
      <c r="J5" s="239" t="s">
        <v>2538</v>
      </c>
      <c r="K5" s="239" t="s">
        <v>2541</v>
      </c>
      <c r="L5" s="239" t="s">
        <v>1408</v>
      </c>
      <c r="M5" s="239">
        <v>0.5</v>
      </c>
      <c r="N5" s="239">
        <v>0.5</v>
      </c>
    </row>
    <row r="6" spans="1:14" ht="18">
      <c r="A6" s="239">
        <v>5</v>
      </c>
      <c r="B6" s="239" t="s">
        <v>2544</v>
      </c>
      <c r="C6" s="239">
        <v>170</v>
      </c>
      <c r="D6" s="239" t="s">
        <v>2536</v>
      </c>
      <c r="E6" s="240">
        <v>0.5</v>
      </c>
      <c r="F6" s="239">
        <v>6</v>
      </c>
      <c r="G6" s="239" t="s">
        <v>2545</v>
      </c>
      <c r="H6" s="239" t="s">
        <v>3232</v>
      </c>
      <c r="I6" s="239" t="s">
        <v>1410</v>
      </c>
      <c r="J6" s="239" t="s">
        <v>2538</v>
      </c>
      <c r="K6" s="239" t="s">
        <v>2546</v>
      </c>
      <c r="L6" s="239" t="s">
        <v>2541</v>
      </c>
      <c r="M6" s="239">
        <v>0.5</v>
      </c>
      <c r="N6" s="239">
        <v>0.5</v>
      </c>
    </row>
    <row r="7" spans="1:14" ht="18">
      <c r="A7" s="239">
        <v>6</v>
      </c>
      <c r="B7" s="239" t="s">
        <v>2547</v>
      </c>
      <c r="C7" s="239">
        <v>170</v>
      </c>
      <c r="D7" s="239" t="s">
        <v>2536</v>
      </c>
      <c r="E7" s="240">
        <v>0.5</v>
      </c>
      <c r="F7" s="239">
        <v>6</v>
      </c>
      <c r="G7" s="239" t="s">
        <v>2545</v>
      </c>
      <c r="H7" s="239" t="s">
        <v>3232</v>
      </c>
      <c r="I7" s="239" t="s">
        <v>1410</v>
      </c>
      <c r="J7" s="239" t="s">
        <v>2538</v>
      </c>
      <c r="K7" s="239" t="s">
        <v>2546</v>
      </c>
      <c r="L7" s="239" t="s">
        <v>2541</v>
      </c>
      <c r="M7" s="239">
        <v>0.5</v>
      </c>
      <c r="N7" s="239">
        <v>0.5</v>
      </c>
    </row>
    <row r="8" spans="1:14" s="79" customFormat="1" ht="18">
      <c r="A8" s="241">
        <v>7</v>
      </c>
      <c r="B8" s="241" t="s">
        <v>2548</v>
      </c>
      <c r="C8" s="241">
        <v>130</v>
      </c>
      <c r="D8" s="239" t="s">
        <v>2549</v>
      </c>
      <c r="E8" s="242">
        <v>0.5</v>
      </c>
      <c r="F8" s="241">
        <v>6</v>
      </c>
      <c r="G8" s="241" t="s">
        <v>2537</v>
      </c>
      <c r="H8" s="239" t="s">
        <v>3232</v>
      </c>
      <c r="I8" s="241" t="s">
        <v>1410</v>
      </c>
      <c r="J8" s="241" t="s">
        <v>2538</v>
      </c>
      <c r="K8" s="241" t="s">
        <v>1408</v>
      </c>
      <c r="L8" s="241" t="s">
        <v>1408</v>
      </c>
      <c r="M8" s="241">
        <v>0.5</v>
      </c>
      <c r="N8" s="241">
        <v>0.5</v>
      </c>
    </row>
    <row r="9" spans="1:14" s="79" customFormat="1" ht="18">
      <c r="A9" s="239">
        <v>8</v>
      </c>
      <c r="B9" s="241" t="s">
        <v>2550</v>
      </c>
      <c r="C9" s="241">
        <v>150</v>
      </c>
      <c r="D9" s="239" t="s">
        <v>2549</v>
      </c>
      <c r="E9" s="242">
        <v>0.5</v>
      </c>
      <c r="F9" s="241">
        <v>6</v>
      </c>
      <c r="G9" s="241" t="s">
        <v>2540</v>
      </c>
      <c r="H9" s="239" t="s">
        <v>3232</v>
      </c>
      <c r="I9" s="241" t="s">
        <v>1410</v>
      </c>
      <c r="J9" s="241" t="s">
        <v>2538</v>
      </c>
      <c r="K9" s="241" t="s">
        <v>2541</v>
      </c>
      <c r="L9" s="241" t="s">
        <v>1408</v>
      </c>
      <c r="M9" s="241">
        <v>0.5</v>
      </c>
      <c r="N9" s="241">
        <v>0.5</v>
      </c>
    </row>
    <row r="10" spans="1:14" s="79" customFormat="1" ht="18">
      <c r="A10" s="241">
        <v>9</v>
      </c>
      <c r="B10" s="241" t="s">
        <v>2551</v>
      </c>
      <c r="C10" s="241">
        <v>170</v>
      </c>
      <c r="D10" s="239" t="s">
        <v>2549</v>
      </c>
      <c r="E10" s="242">
        <v>0.5</v>
      </c>
      <c r="F10" s="241">
        <v>6</v>
      </c>
      <c r="G10" s="241" t="s">
        <v>2545</v>
      </c>
      <c r="H10" s="239" t="s">
        <v>3232</v>
      </c>
      <c r="I10" s="241" t="s">
        <v>1410</v>
      </c>
      <c r="J10" s="241" t="s">
        <v>2538</v>
      </c>
      <c r="K10" s="241" t="s">
        <v>2546</v>
      </c>
      <c r="L10" s="241" t="s">
        <v>2541</v>
      </c>
      <c r="M10" s="241">
        <v>0.5</v>
      </c>
      <c r="N10" s="241">
        <v>0.5</v>
      </c>
    </row>
    <row r="11" spans="1:14" ht="18">
      <c r="A11" s="239">
        <v>10</v>
      </c>
      <c r="B11" s="239" t="s">
        <v>2552</v>
      </c>
      <c r="C11" s="239">
        <v>130</v>
      </c>
      <c r="D11" s="239" t="s">
        <v>2553</v>
      </c>
      <c r="E11" s="240">
        <v>0.5</v>
      </c>
      <c r="F11" s="239">
        <v>6</v>
      </c>
      <c r="G11" s="239" t="s">
        <v>2537</v>
      </c>
      <c r="H11" s="239" t="s">
        <v>3232</v>
      </c>
      <c r="I11" s="239" t="s">
        <v>1410</v>
      </c>
      <c r="J11" s="239" t="s">
        <v>2538</v>
      </c>
      <c r="K11" s="239" t="s">
        <v>1408</v>
      </c>
      <c r="L11" s="239" t="s">
        <v>1408</v>
      </c>
      <c r="M11" s="239">
        <v>0.5</v>
      </c>
      <c r="N11" s="239">
        <v>0.5</v>
      </c>
    </row>
    <row r="12" spans="1:14" ht="18">
      <c r="A12" s="241">
        <v>11</v>
      </c>
      <c r="B12" s="239" t="s">
        <v>2554</v>
      </c>
      <c r="C12" s="239">
        <v>150</v>
      </c>
      <c r="D12" s="239" t="s">
        <v>2553</v>
      </c>
      <c r="E12" s="240">
        <v>0.5</v>
      </c>
      <c r="F12" s="239">
        <v>6</v>
      </c>
      <c r="G12" s="239" t="s">
        <v>2540</v>
      </c>
      <c r="H12" s="239" t="s">
        <v>3232</v>
      </c>
      <c r="I12" s="239" t="s">
        <v>1410</v>
      </c>
      <c r="J12" s="239" t="s">
        <v>2538</v>
      </c>
      <c r="K12" s="239" t="s">
        <v>2541</v>
      </c>
      <c r="L12" s="239" t="s">
        <v>1408</v>
      </c>
      <c r="M12" s="239">
        <v>0.5</v>
      </c>
      <c r="N12" s="239">
        <v>0.5</v>
      </c>
    </row>
    <row r="13" spans="1:14" ht="18">
      <c r="A13" s="239">
        <v>12</v>
      </c>
      <c r="B13" s="239" t="s">
        <v>2555</v>
      </c>
      <c r="C13" s="239">
        <v>170</v>
      </c>
      <c r="D13" s="239" t="s">
        <v>2553</v>
      </c>
      <c r="E13" s="240">
        <v>0.5</v>
      </c>
      <c r="F13" s="239">
        <v>6</v>
      </c>
      <c r="G13" s="239" t="s">
        <v>2545</v>
      </c>
      <c r="H13" s="239" t="s">
        <v>3232</v>
      </c>
      <c r="I13" s="239" t="s">
        <v>1410</v>
      </c>
      <c r="J13" s="239" t="s">
        <v>2538</v>
      </c>
      <c r="K13" s="239" t="s">
        <v>2546</v>
      </c>
      <c r="L13" s="239" t="s">
        <v>2541</v>
      </c>
      <c r="M13" s="239">
        <v>0.5</v>
      </c>
      <c r="N13" s="239">
        <v>0.5</v>
      </c>
    </row>
    <row r="14" spans="1:14" ht="18">
      <c r="A14" s="239">
        <v>13</v>
      </c>
      <c r="B14" s="239" t="s">
        <v>2556</v>
      </c>
      <c r="C14" s="239">
        <v>110</v>
      </c>
      <c r="D14" s="239" t="s">
        <v>1409</v>
      </c>
      <c r="E14" s="240">
        <v>0.5</v>
      </c>
      <c r="F14" s="239">
        <v>6</v>
      </c>
      <c r="G14" s="239" t="s">
        <v>2557</v>
      </c>
      <c r="H14" s="239" t="s">
        <v>3232</v>
      </c>
      <c r="I14" s="239" t="s">
        <v>3395</v>
      </c>
      <c r="J14" s="239">
        <v>0</v>
      </c>
      <c r="K14" s="239">
        <v>0</v>
      </c>
      <c r="L14" s="239">
        <v>0</v>
      </c>
      <c r="M14" s="239">
        <v>0</v>
      </c>
      <c r="N14" s="239">
        <v>0</v>
      </c>
    </row>
    <row r="15" spans="1:14" ht="18">
      <c r="A15" s="239">
        <v>14</v>
      </c>
      <c r="B15" s="239" t="s">
        <v>2558</v>
      </c>
      <c r="C15" s="239">
        <v>130</v>
      </c>
      <c r="D15" s="239" t="s">
        <v>1409</v>
      </c>
      <c r="E15" s="240">
        <v>0.5</v>
      </c>
      <c r="F15" s="239">
        <v>6</v>
      </c>
      <c r="G15" s="239" t="s">
        <v>2537</v>
      </c>
      <c r="H15" s="239" t="s">
        <v>3232</v>
      </c>
      <c r="I15" s="239" t="s">
        <v>3395</v>
      </c>
      <c r="J15" s="239">
        <v>0</v>
      </c>
      <c r="K15" s="239">
        <v>0</v>
      </c>
      <c r="L15" s="239">
        <v>0</v>
      </c>
      <c r="M15" s="239">
        <v>0</v>
      </c>
      <c r="N15" s="239">
        <v>0</v>
      </c>
    </row>
    <row r="16" spans="1:14" ht="18">
      <c r="A16" s="239">
        <v>15</v>
      </c>
      <c r="B16" s="239" t="s">
        <v>2559</v>
      </c>
      <c r="C16" s="239">
        <v>150</v>
      </c>
      <c r="D16" s="239" t="s">
        <v>1409</v>
      </c>
      <c r="E16" s="240">
        <v>0.5</v>
      </c>
      <c r="F16" s="239">
        <v>6</v>
      </c>
      <c r="G16" s="239" t="s">
        <v>2540</v>
      </c>
      <c r="H16" s="239" t="s">
        <v>3232</v>
      </c>
      <c r="I16" s="239" t="s">
        <v>3395</v>
      </c>
      <c r="J16" s="239">
        <v>0</v>
      </c>
      <c r="K16" s="239">
        <v>0</v>
      </c>
      <c r="L16" s="239">
        <v>0</v>
      </c>
      <c r="M16" s="239">
        <v>0</v>
      </c>
      <c r="N16" s="239">
        <v>0</v>
      </c>
    </row>
    <row r="17" spans="1:14" ht="18">
      <c r="A17" s="239">
        <v>16</v>
      </c>
      <c r="B17" s="239" t="s">
        <v>2560</v>
      </c>
      <c r="C17" s="239">
        <v>110</v>
      </c>
      <c r="D17" s="239" t="s">
        <v>2561</v>
      </c>
      <c r="E17" s="240">
        <v>0.5</v>
      </c>
      <c r="F17" s="239">
        <v>6</v>
      </c>
      <c r="G17" s="239" t="s">
        <v>2557</v>
      </c>
      <c r="H17" s="239" t="s">
        <v>3232</v>
      </c>
      <c r="I17" s="239" t="s">
        <v>3395</v>
      </c>
      <c r="J17" s="239">
        <v>0</v>
      </c>
      <c r="K17" s="239">
        <v>0</v>
      </c>
      <c r="L17" s="239">
        <v>0</v>
      </c>
      <c r="M17" s="239">
        <v>0</v>
      </c>
      <c r="N17" s="239">
        <v>0</v>
      </c>
    </row>
    <row r="18" spans="1:14" ht="18">
      <c r="A18" s="239">
        <v>17</v>
      </c>
      <c r="B18" s="239" t="s">
        <v>2562</v>
      </c>
      <c r="C18" s="239">
        <v>130</v>
      </c>
      <c r="D18" s="239" t="s">
        <v>2561</v>
      </c>
      <c r="E18" s="240">
        <v>0.5</v>
      </c>
      <c r="F18" s="239">
        <v>6</v>
      </c>
      <c r="G18" s="239" t="s">
        <v>2537</v>
      </c>
      <c r="H18" s="239" t="s">
        <v>3232</v>
      </c>
      <c r="I18" s="239" t="s">
        <v>3395</v>
      </c>
      <c r="J18" s="239">
        <v>0</v>
      </c>
      <c r="K18" s="239">
        <v>0</v>
      </c>
      <c r="L18" s="239">
        <v>0</v>
      </c>
      <c r="M18" s="239">
        <v>0</v>
      </c>
      <c r="N18" s="239">
        <v>0</v>
      </c>
    </row>
    <row r="19" spans="1:14" ht="18">
      <c r="A19" s="239">
        <v>20</v>
      </c>
      <c r="B19" s="239" t="s">
        <v>2563</v>
      </c>
      <c r="C19" s="239">
        <v>110</v>
      </c>
      <c r="D19" s="239" t="s">
        <v>2564</v>
      </c>
      <c r="E19" s="240">
        <v>0.5</v>
      </c>
      <c r="F19" s="239">
        <v>6</v>
      </c>
      <c r="G19" s="239" t="s">
        <v>2557</v>
      </c>
      <c r="H19" s="239" t="s">
        <v>3232</v>
      </c>
      <c r="I19" s="239" t="s">
        <v>3395</v>
      </c>
      <c r="J19" s="239">
        <v>0</v>
      </c>
      <c r="K19" s="239">
        <v>0</v>
      </c>
      <c r="L19" s="239">
        <v>0</v>
      </c>
      <c r="M19" s="239">
        <v>0</v>
      </c>
      <c r="N19" s="239">
        <v>0</v>
      </c>
    </row>
    <row r="20" spans="1:14" ht="18">
      <c r="A20" s="239">
        <v>21</v>
      </c>
      <c r="B20" s="239" t="s">
        <v>2565</v>
      </c>
      <c r="C20" s="239">
        <v>150</v>
      </c>
      <c r="D20" s="239" t="s">
        <v>2564</v>
      </c>
      <c r="E20" s="240">
        <v>0.5</v>
      </c>
      <c r="F20" s="239">
        <v>6</v>
      </c>
      <c r="G20" s="239" t="s">
        <v>2540</v>
      </c>
      <c r="H20" s="239" t="s">
        <v>3232</v>
      </c>
      <c r="I20" s="239" t="s">
        <v>3395</v>
      </c>
      <c r="J20" s="239">
        <v>0</v>
      </c>
      <c r="K20" s="239">
        <v>0</v>
      </c>
      <c r="L20" s="239">
        <v>0</v>
      </c>
      <c r="M20" s="239">
        <v>0</v>
      </c>
      <c r="N20" s="239">
        <v>0</v>
      </c>
    </row>
    <row r="21" spans="1:14" ht="18">
      <c r="A21" s="239">
        <v>18</v>
      </c>
      <c r="B21" s="239" t="s">
        <v>2566</v>
      </c>
      <c r="C21" s="239">
        <v>170</v>
      </c>
      <c r="D21" s="239" t="s">
        <v>2564</v>
      </c>
      <c r="E21" s="240">
        <v>0.5</v>
      </c>
      <c r="F21" s="239">
        <v>6</v>
      </c>
      <c r="G21" s="239" t="s">
        <v>2545</v>
      </c>
      <c r="H21" s="239" t="s">
        <v>3232</v>
      </c>
      <c r="I21" s="239" t="s">
        <v>3395</v>
      </c>
      <c r="J21" s="239">
        <v>0</v>
      </c>
      <c r="K21" s="239">
        <v>0</v>
      </c>
      <c r="L21" s="239">
        <v>0</v>
      </c>
      <c r="M21" s="239">
        <v>0</v>
      </c>
      <c r="N21" s="239">
        <v>0</v>
      </c>
    </row>
    <row r="22" spans="1:14" ht="18">
      <c r="A22" s="239">
        <v>19</v>
      </c>
      <c r="B22" s="239" t="s">
        <v>2567</v>
      </c>
      <c r="C22" s="239">
        <v>170</v>
      </c>
      <c r="D22" s="239" t="s">
        <v>2564</v>
      </c>
      <c r="E22" s="240">
        <v>0.5</v>
      </c>
      <c r="F22" s="239">
        <v>6</v>
      </c>
      <c r="G22" s="239" t="s">
        <v>2545</v>
      </c>
      <c r="H22" s="239" t="s">
        <v>3232</v>
      </c>
      <c r="I22" s="239" t="s">
        <v>3395</v>
      </c>
      <c r="J22" s="239">
        <v>0</v>
      </c>
      <c r="K22" s="239">
        <v>0</v>
      </c>
      <c r="L22" s="239">
        <v>0</v>
      </c>
      <c r="M22" s="239">
        <v>0</v>
      </c>
      <c r="N22" s="239">
        <v>0</v>
      </c>
    </row>
    <row r="23" spans="1:14" ht="18">
      <c r="A23" s="239">
        <v>24</v>
      </c>
      <c r="B23" s="239" t="s">
        <v>2568</v>
      </c>
      <c r="C23" s="239">
        <v>110</v>
      </c>
      <c r="D23" s="239" t="s">
        <v>2569</v>
      </c>
      <c r="E23" s="240">
        <v>0.5</v>
      </c>
      <c r="F23" s="239">
        <v>6</v>
      </c>
      <c r="G23" s="239" t="s">
        <v>2557</v>
      </c>
      <c r="H23" s="239" t="s">
        <v>3232</v>
      </c>
      <c r="I23" s="239" t="s">
        <v>3395</v>
      </c>
      <c r="J23" s="239">
        <v>0</v>
      </c>
      <c r="K23" s="239">
        <v>0</v>
      </c>
      <c r="L23" s="239">
        <v>0</v>
      </c>
      <c r="M23" s="239">
        <v>0</v>
      </c>
      <c r="N23" s="239">
        <v>0</v>
      </c>
    </row>
    <row r="24" spans="1:14" ht="18">
      <c r="A24" s="239">
        <v>25</v>
      </c>
      <c r="B24" s="239" t="s">
        <v>2570</v>
      </c>
      <c r="C24" s="239">
        <v>130</v>
      </c>
      <c r="D24" s="239" t="s">
        <v>2569</v>
      </c>
      <c r="E24" s="240">
        <v>0.5</v>
      </c>
      <c r="F24" s="239">
        <v>6</v>
      </c>
      <c r="G24" s="239" t="s">
        <v>2537</v>
      </c>
      <c r="H24" s="239" t="s">
        <v>3232</v>
      </c>
      <c r="I24" s="239" t="s">
        <v>3395</v>
      </c>
      <c r="J24" s="239">
        <v>0</v>
      </c>
      <c r="K24" s="239">
        <v>0</v>
      </c>
      <c r="L24" s="239">
        <v>0</v>
      </c>
      <c r="M24" s="239">
        <v>0</v>
      </c>
      <c r="N24" s="239">
        <v>0</v>
      </c>
    </row>
    <row r="25" spans="1:14" ht="18">
      <c r="A25" s="239">
        <v>22</v>
      </c>
      <c r="B25" s="239" t="s">
        <v>2571</v>
      </c>
      <c r="C25" s="239">
        <v>150</v>
      </c>
      <c r="D25" s="239" t="s">
        <v>2569</v>
      </c>
      <c r="E25" s="240">
        <v>0.5</v>
      </c>
      <c r="F25" s="239">
        <v>6</v>
      </c>
      <c r="G25" s="239" t="s">
        <v>2540</v>
      </c>
      <c r="H25" s="239" t="s">
        <v>3232</v>
      </c>
      <c r="I25" s="239" t="s">
        <v>3395</v>
      </c>
      <c r="J25" s="239">
        <v>0</v>
      </c>
      <c r="K25" s="239">
        <v>0</v>
      </c>
      <c r="L25" s="239">
        <v>0</v>
      </c>
      <c r="M25" s="239">
        <v>0</v>
      </c>
      <c r="N25" s="239">
        <v>0</v>
      </c>
    </row>
    <row r="26" spans="1:14" ht="18">
      <c r="A26" s="239">
        <v>23</v>
      </c>
      <c r="B26" s="239" t="s">
        <v>2572</v>
      </c>
      <c r="C26" s="239">
        <v>170</v>
      </c>
      <c r="D26" s="239" t="s">
        <v>2569</v>
      </c>
      <c r="E26" s="240">
        <v>0.5</v>
      </c>
      <c r="F26" s="239">
        <v>6</v>
      </c>
      <c r="G26" s="239" t="s">
        <v>2545</v>
      </c>
      <c r="H26" s="239" t="s">
        <v>3232</v>
      </c>
      <c r="I26" s="239" t="s">
        <v>3395</v>
      </c>
      <c r="J26" s="239">
        <v>0</v>
      </c>
      <c r="K26" s="239">
        <v>0</v>
      </c>
      <c r="L26" s="239">
        <v>0</v>
      </c>
      <c r="M26" s="239">
        <v>0</v>
      </c>
      <c r="N26" s="239">
        <v>0</v>
      </c>
    </row>
    <row r="27" spans="1:14" ht="18">
      <c r="A27" s="239">
        <v>26</v>
      </c>
      <c r="B27" s="239" t="s">
        <v>2573</v>
      </c>
      <c r="C27" s="239">
        <v>130</v>
      </c>
      <c r="D27" s="239" t="s">
        <v>2574</v>
      </c>
      <c r="E27" s="240">
        <v>0.5</v>
      </c>
      <c r="F27" s="239">
        <v>6</v>
      </c>
      <c r="G27" s="239" t="s">
        <v>2537</v>
      </c>
      <c r="H27" s="239" t="s">
        <v>3232</v>
      </c>
      <c r="I27" s="239" t="s">
        <v>3395</v>
      </c>
      <c r="J27" s="239">
        <v>0</v>
      </c>
      <c r="K27" s="239">
        <v>0</v>
      </c>
      <c r="L27" s="239">
        <v>0</v>
      </c>
      <c r="M27" s="239">
        <v>0</v>
      </c>
      <c r="N27" s="239">
        <v>0</v>
      </c>
    </row>
    <row r="28" spans="1:14" ht="18">
      <c r="A28" s="239">
        <v>27</v>
      </c>
      <c r="B28" s="239" t="s">
        <v>2575</v>
      </c>
      <c r="C28" s="239">
        <v>110</v>
      </c>
      <c r="D28" s="239" t="s">
        <v>2574</v>
      </c>
      <c r="E28" s="240">
        <v>0.5</v>
      </c>
      <c r="F28" s="239">
        <v>6</v>
      </c>
      <c r="G28" s="239" t="s">
        <v>2557</v>
      </c>
      <c r="H28" s="239" t="s">
        <v>3232</v>
      </c>
      <c r="I28" s="239" t="s">
        <v>3395</v>
      </c>
      <c r="J28" s="239">
        <v>0</v>
      </c>
      <c r="K28" s="239">
        <v>0</v>
      </c>
      <c r="L28" s="239">
        <v>0</v>
      </c>
      <c r="M28" s="239">
        <v>0</v>
      </c>
      <c r="N28" s="239">
        <v>0</v>
      </c>
    </row>
    <row r="29" spans="1:14" ht="18">
      <c r="A29" s="357"/>
      <c r="B29" s="357" t="s">
        <v>3087</v>
      </c>
      <c r="C29" s="357">
        <v>130</v>
      </c>
      <c r="D29" s="357" t="s">
        <v>2577</v>
      </c>
      <c r="E29" s="240">
        <v>0.5</v>
      </c>
      <c r="F29" s="239">
        <v>6</v>
      </c>
      <c r="G29" s="239" t="s">
        <v>2537</v>
      </c>
      <c r="H29" s="239" t="s">
        <v>3232</v>
      </c>
      <c r="I29" s="239" t="s">
        <v>3395</v>
      </c>
      <c r="J29" s="239">
        <v>0</v>
      </c>
      <c r="K29" s="239">
        <v>0</v>
      </c>
      <c r="L29" s="239">
        <v>0</v>
      </c>
      <c r="M29" s="239">
        <v>0</v>
      </c>
      <c r="N29" s="239">
        <v>0</v>
      </c>
    </row>
    <row r="30" spans="1:14" ht="18">
      <c r="A30" s="357"/>
      <c r="B30" s="357" t="s">
        <v>3088</v>
      </c>
      <c r="C30" s="357">
        <v>150</v>
      </c>
      <c r="D30" s="357" t="s">
        <v>2577</v>
      </c>
      <c r="E30" s="240">
        <v>0.5</v>
      </c>
      <c r="F30" s="357">
        <v>6</v>
      </c>
      <c r="G30" s="357" t="s">
        <v>2540</v>
      </c>
      <c r="H30" s="239" t="s">
        <v>3232</v>
      </c>
      <c r="I30" s="239" t="s">
        <v>3395</v>
      </c>
      <c r="J30" s="239">
        <v>0</v>
      </c>
      <c r="K30" s="239">
        <v>0</v>
      </c>
      <c r="L30" s="239">
        <v>0</v>
      </c>
      <c r="M30" s="239">
        <v>0</v>
      </c>
      <c r="N30" s="239">
        <v>0</v>
      </c>
    </row>
    <row r="31" spans="1:14" ht="18">
      <c r="A31" s="357"/>
      <c r="B31" s="357" t="s">
        <v>3089</v>
      </c>
      <c r="C31" s="357">
        <v>170</v>
      </c>
      <c r="D31" s="357" t="s">
        <v>2577</v>
      </c>
      <c r="E31" s="240">
        <v>0.5</v>
      </c>
      <c r="F31" s="357">
        <v>6</v>
      </c>
      <c r="G31" s="357" t="s">
        <v>2545</v>
      </c>
      <c r="H31" s="239" t="s">
        <v>3232</v>
      </c>
      <c r="I31" s="239" t="s">
        <v>3395</v>
      </c>
      <c r="J31" s="239">
        <v>0</v>
      </c>
      <c r="K31" s="239">
        <v>0</v>
      </c>
      <c r="L31" s="239">
        <v>0</v>
      </c>
      <c r="M31" s="239">
        <v>0</v>
      </c>
      <c r="N31" s="239">
        <v>0</v>
      </c>
    </row>
    <row r="32" spans="1:14" ht="18">
      <c r="A32" s="239">
        <v>28</v>
      </c>
      <c r="B32" s="239" t="s">
        <v>2576</v>
      </c>
      <c r="C32" s="239">
        <v>130</v>
      </c>
      <c r="D32" s="239" t="s">
        <v>2577</v>
      </c>
      <c r="E32" s="240">
        <v>0.5</v>
      </c>
      <c r="F32" s="239">
        <v>6</v>
      </c>
      <c r="G32" s="239" t="s">
        <v>2537</v>
      </c>
      <c r="H32" s="239" t="s">
        <v>3232</v>
      </c>
      <c r="I32" s="239" t="s">
        <v>3395</v>
      </c>
      <c r="J32" s="239">
        <v>0</v>
      </c>
      <c r="K32" s="239">
        <v>0</v>
      </c>
      <c r="L32" s="239">
        <v>0</v>
      </c>
      <c r="M32" s="239">
        <v>0</v>
      </c>
      <c r="N32" s="239">
        <v>0</v>
      </c>
    </row>
    <row r="33" spans="1:14" ht="18">
      <c r="A33" s="239">
        <v>29</v>
      </c>
      <c r="B33" s="239" t="s">
        <v>2578</v>
      </c>
      <c r="C33" s="239">
        <v>150</v>
      </c>
      <c r="D33" s="239" t="s">
        <v>2577</v>
      </c>
      <c r="E33" s="240">
        <v>0.5</v>
      </c>
      <c r="F33" s="239">
        <v>6</v>
      </c>
      <c r="G33" s="239" t="s">
        <v>2540</v>
      </c>
      <c r="H33" s="239" t="s">
        <v>3232</v>
      </c>
      <c r="I33" s="239" t="s">
        <v>3395</v>
      </c>
      <c r="J33" s="239">
        <v>0</v>
      </c>
      <c r="K33" s="239">
        <v>0</v>
      </c>
      <c r="L33" s="239">
        <v>0</v>
      </c>
      <c r="M33" s="239">
        <v>0</v>
      </c>
      <c r="N33" s="239">
        <v>0</v>
      </c>
    </row>
    <row r="34" spans="1:14" ht="18">
      <c r="A34" s="239">
        <v>30</v>
      </c>
      <c r="B34" s="239" t="s">
        <v>2579</v>
      </c>
      <c r="C34" s="239">
        <v>170</v>
      </c>
      <c r="D34" s="239" t="s">
        <v>2577</v>
      </c>
      <c r="E34" s="240">
        <v>0.5</v>
      </c>
      <c r="F34" s="239">
        <v>6</v>
      </c>
      <c r="G34" s="239" t="s">
        <v>2545</v>
      </c>
      <c r="H34" s="239" t="s">
        <v>3232</v>
      </c>
      <c r="I34" s="239" t="s">
        <v>3395</v>
      </c>
      <c r="J34" s="239">
        <v>0</v>
      </c>
      <c r="K34" s="239">
        <v>0</v>
      </c>
      <c r="L34" s="239">
        <v>0</v>
      </c>
      <c r="M34" s="239">
        <v>0</v>
      </c>
      <c r="N34" s="239">
        <v>0</v>
      </c>
    </row>
    <row r="35" spans="1:14" ht="18">
      <c r="A35" s="239">
        <v>31</v>
      </c>
      <c r="B35" s="239" t="s">
        <v>2580</v>
      </c>
      <c r="C35" s="239">
        <v>130</v>
      </c>
      <c r="D35" s="239" t="s">
        <v>2577</v>
      </c>
      <c r="E35" s="240">
        <v>0.5</v>
      </c>
      <c r="F35" s="239">
        <v>6</v>
      </c>
      <c r="G35" s="239" t="s">
        <v>2537</v>
      </c>
      <c r="H35" s="239" t="s">
        <v>3232</v>
      </c>
      <c r="I35" s="239" t="s">
        <v>3395</v>
      </c>
      <c r="J35" s="239">
        <v>0</v>
      </c>
      <c r="K35" s="239">
        <v>0</v>
      </c>
      <c r="L35" s="239">
        <v>0</v>
      </c>
      <c r="M35" s="239">
        <v>0</v>
      </c>
      <c r="N35" s="239">
        <v>0</v>
      </c>
    </row>
    <row r="36" spans="1:14" ht="18">
      <c r="A36" s="239">
        <v>32</v>
      </c>
      <c r="B36" s="239" t="s">
        <v>2581</v>
      </c>
      <c r="C36" s="239">
        <v>150</v>
      </c>
      <c r="D36" s="239" t="s">
        <v>2577</v>
      </c>
      <c r="E36" s="240">
        <v>0.5</v>
      </c>
      <c r="F36" s="239">
        <v>6</v>
      </c>
      <c r="G36" s="239" t="s">
        <v>2540</v>
      </c>
      <c r="H36" s="239" t="s">
        <v>3232</v>
      </c>
      <c r="I36" s="239" t="s">
        <v>3395</v>
      </c>
      <c r="J36" s="239">
        <v>0</v>
      </c>
      <c r="K36" s="239">
        <v>0</v>
      </c>
      <c r="L36" s="239">
        <v>0</v>
      </c>
      <c r="M36" s="239">
        <v>0</v>
      </c>
      <c r="N36" s="239">
        <v>0</v>
      </c>
    </row>
    <row r="37" spans="1:14" ht="18">
      <c r="A37" s="239">
        <v>33</v>
      </c>
      <c r="B37" s="239" t="s">
        <v>2582</v>
      </c>
      <c r="C37" s="239">
        <v>170</v>
      </c>
      <c r="D37" s="239" t="s">
        <v>2577</v>
      </c>
      <c r="E37" s="240">
        <v>0.5</v>
      </c>
      <c r="F37" s="239">
        <v>6</v>
      </c>
      <c r="G37" s="239" t="s">
        <v>2545</v>
      </c>
      <c r="H37" s="239" t="s">
        <v>3232</v>
      </c>
      <c r="I37" s="239" t="s">
        <v>3395</v>
      </c>
      <c r="J37" s="239">
        <v>0</v>
      </c>
      <c r="K37" s="239">
        <v>0</v>
      </c>
      <c r="L37" s="239">
        <v>0</v>
      </c>
      <c r="M37" s="239">
        <v>0</v>
      </c>
      <c r="N37" s="239">
        <v>0</v>
      </c>
    </row>
    <row r="38" spans="1:14" ht="18">
      <c r="A38" s="239">
        <v>34</v>
      </c>
      <c r="B38" s="239" t="s">
        <v>2583</v>
      </c>
      <c r="C38" s="239">
        <v>130</v>
      </c>
      <c r="D38" s="239" t="s">
        <v>2584</v>
      </c>
      <c r="E38" s="240">
        <v>0.5</v>
      </c>
      <c r="F38" s="239">
        <v>6</v>
      </c>
      <c r="G38" s="239" t="s">
        <v>2537</v>
      </c>
      <c r="H38" s="239" t="s">
        <v>3232</v>
      </c>
      <c r="I38" s="239" t="s">
        <v>3395</v>
      </c>
      <c r="J38" s="239">
        <v>0</v>
      </c>
      <c r="K38" s="239">
        <v>0</v>
      </c>
      <c r="L38" s="239">
        <v>0</v>
      </c>
      <c r="M38" s="239">
        <v>0</v>
      </c>
      <c r="N38" s="239">
        <v>0</v>
      </c>
    </row>
    <row r="39" spans="1:14" ht="18">
      <c r="A39" s="239">
        <v>35</v>
      </c>
      <c r="B39" s="239" t="s">
        <v>2585</v>
      </c>
      <c r="C39" s="239">
        <v>150</v>
      </c>
      <c r="D39" s="239" t="s">
        <v>2584</v>
      </c>
      <c r="E39" s="240">
        <v>0.5</v>
      </c>
      <c r="F39" s="239">
        <v>6</v>
      </c>
      <c r="G39" s="239" t="s">
        <v>2540</v>
      </c>
      <c r="H39" s="239" t="s">
        <v>3232</v>
      </c>
      <c r="I39" s="239" t="s">
        <v>3395</v>
      </c>
      <c r="J39" s="239">
        <v>0</v>
      </c>
      <c r="K39" s="239">
        <v>0</v>
      </c>
      <c r="L39" s="239">
        <v>0</v>
      </c>
      <c r="M39" s="239">
        <v>0</v>
      </c>
      <c r="N39" s="239">
        <v>0</v>
      </c>
    </row>
    <row r="40" spans="1:14" ht="18">
      <c r="A40" s="239">
        <v>36</v>
      </c>
      <c r="B40" s="239" t="s">
        <v>2586</v>
      </c>
      <c r="C40" s="239">
        <v>170</v>
      </c>
      <c r="D40" s="239" t="s">
        <v>2584</v>
      </c>
      <c r="E40" s="240">
        <v>0.5</v>
      </c>
      <c r="F40" s="239">
        <v>6</v>
      </c>
      <c r="G40" s="239" t="s">
        <v>2545</v>
      </c>
      <c r="H40" s="239" t="s">
        <v>3232</v>
      </c>
      <c r="I40" s="239" t="s">
        <v>3395</v>
      </c>
      <c r="J40" s="239">
        <v>0</v>
      </c>
      <c r="K40" s="239">
        <v>0</v>
      </c>
      <c r="L40" s="239">
        <v>0</v>
      </c>
      <c r="M40" s="239">
        <v>0</v>
      </c>
      <c r="N40" s="239">
        <v>0</v>
      </c>
    </row>
    <row r="41" spans="1:14" ht="18">
      <c r="A41" s="239">
        <v>37</v>
      </c>
      <c r="B41" s="239" t="s">
        <v>2587</v>
      </c>
      <c r="C41" s="239">
        <v>130</v>
      </c>
      <c r="D41" s="239" t="s">
        <v>2584</v>
      </c>
      <c r="E41" s="240">
        <v>0.5</v>
      </c>
      <c r="F41" s="239">
        <v>6</v>
      </c>
      <c r="G41" s="239" t="s">
        <v>2537</v>
      </c>
      <c r="H41" s="239" t="s">
        <v>3232</v>
      </c>
      <c r="I41" s="239" t="s">
        <v>3395</v>
      </c>
      <c r="J41" s="239">
        <v>0</v>
      </c>
      <c r="K41" s="239">
        <v>0</v>
      </c>
      <c r="L41" s="239">
        <v>0</v>
      </c>
      <c r="M41" s="239">
        <v>0</v>
      </c>
      <c r="N41" s="239">
        <v>0</v>
      </c>
    </row>
    <row r="42" spans="1:14" ht="18">
      <c r="A42" s="239">
        <v>38</v>
      </c>
      <c r="B42" s="239" t="s">
        <v>2588</v>
      </c>
      <c r="C42" s="239">
        <v>150</v>
      </c>
      <c r="D42" s="239" t="s">
        <v>2584</v>
      </c>
      <c r="E42" s="240">
        <v>0.5</v>
      </c>
      <c r="F42" s="239">
        <v>6</v>
      </c>
      <c r="G42" s="239" t="s">
        <v>2540</v>
      </c>
      <c r="H42" s="239" t="s">
        <v>3232</v>
      </c>
      <c r="I42" s="239" t="s">
        <v>3395</v>
      </c>
      <c r="J42" s="239">
        <v>0</v>
      </c>
      <c r="K42" s="239">
        <v>0</v>
      </c>
      <c r="L42" s="239">
        <v>0</v>
      </c>
      <c r="M42" s="239">
        <v>0</v>
      </c>
      <c r="N42" s="239">
        <v>0</v>
      </c>
    </row>
    <row r="43" spans="1:14" ht="18">
      <c r="A43" s="239">
        <v>39</v>
      </c>
      <c r="B43" s="239" t="s">
        <v>2589</v>
      </c>
      <c r="C43" s="239">
        <v>170</v>
      </c>
      <c r="D43" s="239" t="s">
        <v>2584</v>
      </c>
      <c r="E43" s="240">
        <v>0.5</v>
      </c>
      <c r="F43" s="239">
        <v>6</v>
      </c>
      <c r="G43" s="239" t="s">
        <v>2545</v>
      </c>
      <c r="H43" s="239" t="s">
        <v>3232</v>
      </c>
      <c r="I43" s="239" t="s">
        <v>3395</v>
      </c>
      <c r="J43" s="239">
        <v>0</v>
      </c>
      <c r="K43" s="239">
        <v>0</v>
      </c>
      <c r="L43" s="239">
        <v>0</v>
      </c>
      <c r="M43" s="239">
        <v>0</v>
      </c>
      <c r="N43" s="239">
        <v>0</v>
      </c>
    </row>
    <row r="44" spans="1:14" ht="18">
      <c r="A44" s="239">
        <v>40</v>
      </c>
      <c r="B44" s="239" t="s">
        <v>2590</v>
      </c>
      <c r="C44" s="239">
        <v>130</v>
      </c>
      <c r="D44" s="239" t="s">
        <v>2584</v>
      </c>
      <c r="E44" s="240">
        <v>0.5</v>
      </c>
      <c r="F44" s="239">
        <v>6</v>
      </c>
      <c r="G44" s="239" t="s">
        <v>2537</v>
      </c>
      <c r="H44" s="239" t="s">
        <v>3232</v>
      </c>
      <c r="I44" s="239" t="s">
        <v>3395</v>
      </c>
      <c r="J44" s="239">
        <v>0</v>
      </c>
      <c r="K44" s="239">
        <v>0</v>
      </c>
      <c r="L44" s="239">
        <v>0</v>
      </c>
      <c r="M44" s="239">
        <v>0</v>
      </c>
      <c r="N44" s="239">
        <v>0</v>
      </c>
    </row>
    <row r="45" spans="1:14" ht="18">
      <c r="A45" s="239">
        <v>41</v>
      </c>
      <c r="B45" s="239" t="s">
        <v>2591</v>
      </c>
      <c r="C45" s="239">
        <v>150</v>
      </c>
      <c r="D45" s="239" t="s">
        <v>2584</v>
      </c>
      <c r="E45" s="240">
        <v>0.5</v>
      </c>
      <c r="F45" s="239">
        <v>6</v>
      </c>
      <c r="G45" s="239" t="s">
        <v>2540</v>
      </c>
      <c r="H45" s="239" t="s">
        <v>3232</v>
      </c>
      <c r="I45" s="239" t="s">
        <v>3395</v>
      </c>
      <c r="J45" s="239">
        <v>0</v>
      </c>
      <c r="K45" s="239">
        <v>0</v>
      </c>
      <c r="L45" s="239">
        <v>0</v>
      </c>
      <c r="M45" s="239">
        <v>0</v>
      </c>
      <c r="N45" s="239">
        <v>0</v>
      </c>
    </row>
    <row r="46" spans="1:14" ht="18">
      <c r="A46" s="239">
        <v>42</v>
      </c>
      <c r="B46" s="239" t="s">
        <v>2592</v>
      </c>
      <c r="C46" s="239">
        <v>170</v>
      </c>
      <c r="D46" s="239" t="s">
        <v>2584</v>
      </c>
      <c r="E46" s="240">
        <v>0.5</v>
      </c>
      <c r="F46" s="239">
        <v>6</v>
      </c>
      <c r="G46" s="239" t="s">
        <v>2545</v>
      </c>
      <c r="H46" s="239" t="s">
        <v>3232</v>
      </c>
      <c r="I46" s="239" t="s">
        <v>3395</v>
      </c>
      <c r="J46" s="239">
        <v>0</v>
      </c>
      <c r="K46" s="239">
        <v>0</v>
      </c>
      <c r="L46" s="239">
        <v>0</v>
      </c>
      <c r="M46" s="239">
        <v>0</v>
      </c>
      <c r="N46" s="239">
        <v>0</v>
      </c>
    </row>
    <row r="47" spans="1:14" ht="18">
      <c r="A47" s="239">
        <v>43</v>
      </c>
      <c r="B47" s="239" t="s">
        <v>2593</v>
      </c>
      <c r="C47" s="239">
        <v>130</v>
      </c>
      <c r="D47" s="239" t="s">
        <v>2594</v>
      </c>
      <c r="E47" s="240">
        <v>0.5</v>
      </c>
      <c r="F47" s="239">
        <v>6</v>
      </c>
      <c r="G47" s="239" t="s">
        <v>2537</v>
      </c>
      <c r="H47" s="239" t="s">
        <v>3232</v>
      </c>
      <c r="I47" s="239" t="s">
        <v>3395</v>
      </c>
      <c r="J47" s="239">
        <v>0</v>
      </c>
      <c r="K47" s="239">
        <v>0</v>
      </c>
      <c r="L47" s="239">
        <v>0</v>
      </c>
      <c r="M47" s="239">
        <v>0</v>
      </c>
      <c r="N47" s="239">
        <v>0</v>
      </c>
    </row>
    <row r="48" spans="1:14" ht="18">
      <c r="A48" s="239">
        <v>44</v>
      </c>
      <c r="B48" s="239" t="s">
        <v>2595</v>
      </c>
      <c r="C48" s="239">
        <v>130</v>
      </c>
      <c r="D48" s="239" t="s">
        <v>2594</v>
      </c>
      <c r="E48" s="240">
        <v>0.5</v>
      </c>
      <c r="F48" s="239">
        <v>6</v>
      </c>
      <c r="G48" s="239" t="s">
        <v>2537</v>
      </c>
      <c r="H48" s="239" t="s">
        <v>3232</v>
      </c>
      <c r="I48" s="239" t="s">
        <v>3395</v>
      </c>
      <c r="J48" s="239">
        <v>0</v>
      </c>
      <c r="K48" s="239">
        <v>0</v>
      </c>
      <c r="L48" s="239">
        <v>0</v>
      </c>
      <c r="M48" s="239">
        <v>0</v>
      </c>
      <c r="N48" s="239">
        <v>0</v>
      </c>
    </row>
    <row r="49" spans="1:15" ht="18">
      <c r="A49" s="239">
        <v>45</v>
      </c>
      <c r="B49" s="239" t="s">
        <v>2596</v>
      </c>
      <c r="C49" s="239">
        <v>110</v>
      </c>
      <c r="D49" s="239" t="s">
        <v>2597</v>
      </c>
      <c r="E49" s="240">
        <v>0.5</v>
      </c>
      <c r="F49" s="239">
        <v>6</v>
      </c>
      <c r="G49" s="239" t="s">
        <v>2557</v>
      </c>
      <c r="H49" s="239" t="s">
        <v>3232</v>
      </c>
      <c r="I49" s="239" t="s">
        <v>3395</v>
      </c>
      <c r="J49" s="239">
        <v>0</v>
      </c>
      <c r="K49" s="239">
        <v>0</v>
      </c>
      <c r="L49" s="239">
        <v>0</v>
      </c>
      <c r="M49" s="239">
        <v>0</v>
      </c>
      <c r="N49" s="239">
        <v>0</v>
      </c>
    </row>
    <row r="50" spans="1:15" ht="18">
      <c r="A50" s="239">
        <v>46</v>
      </c>
      <c r="B50" s="239" t="s">
        <v>2598</v>
      </c>
      <c r="C50" s="239">
        <v>110</v>
      </c>
      <c r="D50" s="239" t="s">
        <v>2597</v>
      </c>
      <c r="E50" s="240">
        <v>0.5</v>
      </c>
      <c r="F50" s="239">
        <v>6</v>
      </c>
      <c r="G50" s="239" t="s">
        <v>2557</v>
      </c>
      <c r="H50" s="239" t="s">
        <v>3232</v>
      </c>
      <c r="I50" s="239" t="s">
        <v>3395</v>
      </c>
      <c r="J50" s="239">
        <v>0</v>
      </c>
      <c r="K50" s="239">
        <v>0</v>
      </c>
      <c r="L50" s="239">
        <v>0</v>
      </c>
      <c r="M50" s="239">
        <v>0</v>
      </c>
      <c r="N50" s="239">
        <v>0</v>
      </c>
    </row>
    <row r="51" spans="1:15" ht="18">
      <c r="A51" s="239">
        <v>47</v>
      </c>
      <c r="B51" s="239" t="s">
        <v>2599</v>
      </c>
      <c r="C51" s="239">
        <v>150</v>
      </c>
      <c r="D51" s="239" t="s">
        <v>2600</v>
      </c>
      <c r="E51" s="240">
        <v>0.5</v>
      </c>
      <c r="F51" s="239">
        <v>6</v>
      </c>
      <c r="G51" s="239" t="s">
        <v>2540</v>
      </c>
      <c r="H51" s="239" t="s">
        <v>3232</v>
      </c>
      <c r="I51" s="239" t="s">
        <v>3395</v>
      </c>
      <c r="J51" s="239">
        <v>0</v>
      </c>
      <c r="K51" s="239">
        <v>0</v>
      </c>
      <c r="L51" s="239">
        <v>0</v>
      </c>
      <c r="M51" s="239">
        <v>0</v>
      </c>
      <c r="N51" s="239">
        <v>0</v>
      </c>
    </row>
    <row r="52" spans="1:15" ht="18">
      <c r="A52" s="239">
        <v>48</v>
      </c>
      <c r="B52" s="239" t="s">
        <v>2601</v>
      </c>
      <c r="C52" s="239">
        <v>150</v>
      </c>
      <c r="D52" s="239" t="s">
        <v>2600</v>
      </c>
      <c r="E52" s="240">
        <v>0.5</v>
      </c>
      <c r="F52" s="239">
        <v>6</v>
      </c>
      <c r="G52" s="239" t="s">
        <v>2540</v>
      </c>
      <c r="H52" s="239" t="s">
        <v>3232</v>
      </c>
      <c r="I52" s="239" t="s">
        <v>3395</v>
      </c>
      <c r="J52" s="239">
        <v>0</v>
      </c>
      <c r="K52" s="239">
        <v>0</v>
      </c>
      <c r="L52" s="239">
        <v>0</v>
      </c>
      <c r="M52" s="239">
        <v>0</v>
      </c>
      <c r="N52" s="239">
        <v>0</v>
      </c>
    </row>
    <row r="53" spans="1:15" ht="18">
      <c r="A53" s="239">
        <v>49</v>
      </c>
      <c r="B53" s="239" t="s">
        <v>2602</v>
      </c>
      <c r="C53" s="239">
        <v>110</v>
      </c>
      <c r="D53" s="239" t="s">
        <v>2603</v>
      </c>
      <c r="E53" s="240">
        <v>0.5</v>
      </c>
      <c r="F53" s="239">
        <v>6</v>
      </c>
      <c r="G53" s="239" t="s">
        <v>2557</v>
      </c>
      <c r="H53" s="239" t="s">
        <v>3232</v>
      </c>
      <c r="I53" s="239" t="s">
        <v>3395</v>
      </c>
      <c r="J53" s="239">
        <v>0</v>
      </c>
      <c r="K53" s="239">
        <v>0</v>
      </c>
      <c r="L53" s="239">
        <v>0</v>
      </c>
      <c r="M53" s="239">
        <v>0</v>
      </c>
      <c r="N53" s="239">
        <v>0</v>
      </c>
    </row>
    <row r="54" spans="1:15" ht="18">
      <c r="A54" s="239">
        <v>50</v>
      </c>
      <c r="B54" s="239" t="s">
        <v>2604</v>
      </c>
      <c r="C54" s="239">
        <v>130</v>
      </c>
      <c r="D54" s="239" t="s">
        <v>2603</v>
      </c>
      <c r="E54" s="240">
        <v>0.5</v>
      </c>
      <c r="F54" s="239">
        <v>6</v>
      </c>
      <c r="G54" s="239" t="s">
        <v>2537</v>
      </c>
      <c r="H54" s="239" t="s">
        <v>3232</v>
      </c>
      <c r="I54" s="239" t="s">
        <v>3395</v>
      </c>
      <c r="J54" s="239">
        <v>0</v>
      </c>
      <c r="K54" s="239">
        <v>0</v>
      </c>
      <c r="L54" s="239">
        <v>0</v>
      </c>
      <c r="M54" s="239">
        <v>0</v>
      </c>
      <c r="N54" s="239">
        <v>0</v>
      </c>
    </row>
    <row r="55" spans="1:15" ht="18">
      <c r="A55" s="239">
        <v>51</v>
      </c>
      <c r="B55" s="239" t="s">
        <v>2605</v>
      </c>
      <c r="C55" s="239">
        <v>110</v>
      </c>
      <c r="D55" s="239" t="s">
        <v>2603</v>
      </c>
      <c r="E55" s="240">
        <v>0.5</v>
      </c>
      <c r="F55" s="239">
        <v>6</v>
      </c>
      <c r="G55" s="239" t="s">
        <v>2557</v>
      </c>
      <c r="H55" s="239" t="s">
        <v>3232</v>
      </c>
      <c r="I55" s="239" t="s">
        <v>3395</v>
      </c>
      <c r="J55" s="239">
        <v>0</v>
      </c>
      <c r="K55" s="239">
        <v>0</v>
      </c>
      <c r="L55" s="239">
        <v>0</v>
      </c>
      <c r="M55" s="239">
        <v>0</v>
      </c>
      <c r="N55" s="239">
        <v>0</v>
      </c>
    </row>
    <row r="56" spans="1:15" ht="18">
      <c r="A56" s="239">
        <v>52</v>
      </c>
      <c r="B56" s="239" t="s">
        <v>2606</v>
      </c>
      <c r="C56" s="239">
        <v>130</v>
      </c>
      <c r="D56" s="239" t="s">
        <v>2603</v>
      </c>
      <c r="E56" s="240">
        <v>0.5</v>
      </c>
      <c r="F56" s="239">
        <v>6</v>
      </c>
      <c r="G56" s="239" t="s">
        <v>2537</v>
      </c>
      <c r="H56" s="239" t="s">
        <v>3232</v>
      </c>
      <c r="I56" s="239" t="s">
        <v>3395</v>
      </c>
      <c r="J56" s="239">
        <v>0</v>
      </c>
      <c r="K56" s="239">
        <v>0</v>
      </c>
      <c r="L56" s="239">
        <v>0</v>
      </c>
      <c r="M56" s="239">
        <v>0</v>
      </c>
      <c r="N56" s="239">
        <v>0</v>
      </c>
    </row>
    <row r="57" spans="1:15" ht="18">
      <c r="A57" s="239">
        <v>53</v>
      </c>
      <c r="B57" s="239" t="s">
        <v>2607</v>
      </c>
      <c r="C57" s="239">
        <v>110</v>
      </c>
      <c r="D57" s="239" t="s">
        <v>2603</v>
      </c>
      <c r="E57" s="240">
        <v>0.5</v>
      </c>
      <c r="F57" s="239">
        <v>6</v>
      </c>
      <c r="G57" s="239" t="s">
        <v>2557</v>
      </c>
      <c r="H57" s="239" t="s">
        <v>3232</v>
      </c>
      <c r="I57" s="239" t="s">
        <v>3395</v>
      </c>
      <c r="J57" s="239">
        <v>0</v>
      </c>
      <c r="K57" s="239">
        <v>0</v>
      </c>
      <c r="L57" s="239">
        <v>0</v>
      </c>
      <c r="M57" s="239">
        <v>0</v>
      </c>
      <c r="N57" s="239">
        <v>0</v>
      </c>
    </row>
    <row r="58" spans="1:15" ht="18">
      <c r="A58" s="239">
        <v>54</v>
      </c>
      <c r="B58" s="239" t="s">
        <v>2608</v>
      </c>
      <c r="C58" s="239">
        <v>130</v>
      </c>
      <c r="D58" s="239" t="s">
        <v>2603</v>
      </c>
      <c r="E58" s="240">
        <v>0.5</v>
      </c>
      <c r="F58" s="239">
        <v>6</v>
      </c>
      <c r="G58" s="239" t="s">
        <v>2537</v>
      </c>
      <c r="H58" s="239" t="s">
        <v>3232</v>
      </c>
      <c r="I58" s="239" t="s">
        <v>3395</v>
      </c>
      <c r="J58" s="239">
        <v>0</v>
      </c>
      <c r="K58" s="239">
        <v>0</v>
      </c>
      <c r="L58" s="239">
        <v>0</v>
      </c>
      <c r="M58" s="239">
        <v>0</v>
      </c>
      <c r="N58" s="239">
        <v>0</v>
      </c>
    </row>
    <row r="59" spans="1:15" ht="18">
      <c r="A59" s="239">
        <v>55</v>
      </c>
      <c r="B59" s="239" t="s">
        <v>2609</v>
      </c>
      <c r="C59" s="239">
        <v>110</v>
      </c>
      <c r="D59" s="239" t="s">
        <v>2594</v>
      </c>
      <c r="E59" s="240">
        <v>0.5</v>
      </c>
      <c r="F59" s="239">
        <v>6</v>
      </c>
      <c r="G59" s="239" t="s">
        <v>2557</v>
      </c>
      <c r="H59" s="239" t="s">
        <v>3232</v>
      </c>
      <c r="I59" s="239" t="s">
        <v>3395</v>
      </c>
      <c r="J59" s="239">
        <v>0</v>
      </c>
      <c r="K59" s="239">
        <v>0</v>
      </c>
      <c r="L59" s="239">
        <v>0</v>
      </c>
      <c r="M59" s="239">
        <v>0</v>
      </c>
      <c r="N59" s="239">
        <v>0</v>
      </c>
    </row>
    <row r="60" spans="1:15" ht="18">
      <c r="A60" s="239">
        <v>56</v>
      </c>
      <c r="B60" s="239" t="s">
        <v>2610</v>
      </c>
      <c r="C60" s="239">
        <v>110</v>
      </c>
      <c r="D60" s="239" t="s">
        <v>2594</v>
      </c>
      <c r="E60" s="240">
        <v>0.5</v>
      </c>
      <c r="F60" s="239">
        <v>6</v>
      </c>
      <c r="G60" s="239" t="s">
        <v>2557</v>
      </c>
      <c r="H60" s="239" t="s">
        <v>3232</v>
      </c>
      <c r="I60" s="239" t="s">
        <v>3395</v>
      </c>
      <c r="J60" s="239">
        <v>0</v>
      </c>
      <c r="K60" s="239">
        <v>0</v>
      </c>
      <c r="L60" s="239">
        <v>0</v>
      </c>
      <c r="M60" s="239">
        <v>0</v>
      </c>
      <c r="N60" s="239">
        <v>0</v>
      </c>
      <c r="O60" t="s">
        <v>2611</v>
      </c>
    </row>
    <row r="61" spans="1:15" ht="18">
      <c r="A61" s="239">
        <v>57</v>
      </c>
      <c r="B61" s="243" t="s">
        <v>2612</v>
      </c>
      <c r="C61" s="243">
        <v>150</v>
      </c>
      <c r="D61" s="239" t="s">
        <v>2613</v>
      </c>
      <c r="E61" s="240">
        <v>0.5</v>
      </c>
      <c r="F61" s="239">
        <v>3.5</v>
      </c>
      <c r="G61" s="239" t="s">
        <v>2540</v>
      </c>
      <c r="H61" s="239" t="s">
        <v>3232</v>
      </c>
      <c r="I61" s="239" t="s">
        <v>1400</v>
      </c>
      <c r="J61" s="239">
        <v>0</v>
      </c>
      <c r="K61" s="239">
        <v>0</v>
      </c>
      <c r="L61" s="239">
        <v>0</v>
      </c>
      <c r="M61" s="239">
        <v>0</v>
      </c>
      <c r="N61" s="239">
        <v>0</v>
      </c>
    </row>
    <row r="62" spans="1:15" ht="18">
      <c r="A62" s="239">
        <v>58</v>
      </c>
      <c r="B62" s="239" t="s">
        <v>2614</v>
      </c>
      <c r="C62" s="239">
        <v>150</v>
      </c>
      <c r="D62" s="239" t="s">
        <v>2613</v>
      </c>
      <c r="E62" s="240">
        <v>0.5</v>
      </c>
      <c r="F62" s="239">
        <v>3.5</v>
      </c>
      <c r="G62" s="239" t="s">
        <v>2540</v>
      </c>
      <c r="H62" s="239" t="s">
        <v>3232</v>
      </c>
      <c r="I62" s="239" t="s">
        <v>1400</v>
      </c>
      <c r="J62" s="239">
        <v>0</v>
      </c>
      <c r="K62" s="239">
        <v>0</v>
      </c>
      <c r="L62" s="239">
        <v>0</v>
      </c>
      <c r="M62" s="239">
        <v>0</v>
      </c>
      <c r="N62" s="239">
        <v>0</v>
      </c>
    </row>
    <row r="63" spans="1:15" ht="18">
      <c r="A63" s="239">
        <v>59</v>
      </c>
      <c r="B63" s="239" t="s">
        <v>2615</v>
      </c>
      <c r="C63" s="239">
        <v>110</v>
      </c>
      <c r="D63" s="239" t="s">
        <v>2616</v>
      </c>
      <c r="E63" s="240">
        <v>0.5</v>
      </c>
      <c r="F63" s="239">
        <v>3.5</v>
      </c>
      <c r="G63" s="239" t="s">
        <v>2557</v>
      </c>
      <c r="H63" s="239" t="s">
        <v>3232</v>
      </c>
      <c r="I63" s="239" t="s">
        <v>1400</v>
      </c>
      <c r="J63" s="239">
        <v>0</v>
      </c>
      <c r="K63" s="239">
        <v>0</v>
      </c>
      <c r="L63" s="239">
        <v>0</v>
      </c>
      <c r="M63" s="239">
        <v>0</v>
      </c>
      <c r="N63" s="239">
        <v>0</v>
      </c>
    </row>
    <row r="64" spans="1:15" ht="18">
      <c r="A64" s="239">
        <v>60</v>
      </c>
      <c r="B64" s="239" t="s">
        <v>2617</v>
      </c>
      <c r="C64" s="239">
        <v>110</v>
      </c>
      <c r="D64" s="239" t="s">
        <v>2616</v>
      </c>
      <c r="E64" s="240">
        <v>0.5</v>
      </c>
      <c r="F64" s="239">
        <v>3.5</v>
      </c>
      <c r="G64" s="239" t="s">
        <v>2557</v>
      </c>
      <c r="H64" s="239" t="s">
        <v>3232</v>
      </c>
      <c r="I64" s="239" t="s">
        <v>1400</v>
      </c>
      <c r="J64" s="239">
        <v>0</v>
      </c>
      <c r="K64" s="239">
        <v>0</v>
      </c>
      <c r="L64" s="239">
        <v>0</v>
      </c>
      <c r="M64" s="239">
        <v>0</v>
      </c>
      <c r="N64" s="239">
        <v>0</v>
      </c>
    </row>
    <row r="65" spans="1:14" ht="18">
      <c r="A65" s="239">
        <v>61</v>
      </c>
      <c r="B65" s="239" t="s">
        <v>2618</v>
      </c>
      <c r="C65" s="239">
        <v>130</v>
      </c>
      <c r="D65" s="239" t="s">
        <v>2619</v>
      </c>
      <c r="E65" s="240">
        <v>0.5</v>
      </c>
      <c r="F65" s="239">
        <v>3.5</v>
      </c>
      <c r="G65" s="239" t="s">
        <v>2537</v>
      </c>
      <c r="H65" s="239" t="s">
        <v>3232</v>
      </c>
      <c r="I65" s="239" t="s">
        <v>1400</v>
      </c>
      <c r="J65" s="239">
        <v>0</v>
      </c>
      <c r="K65" s="239">
        <v>0</v>
      </c>
      <c r="L65" s="239">
        <v>0</v>
      </c>
      <c r="M65" s="239">
        <v>0</v>
      </c>
      <c r="N65" s="239">
        <v>0</v>
      </c>
    </row>
    <row r="66" spans="1:14" ht="18">
      <c r="A66" s="239">
        <v>62</v>
      </c>
      <c r="B66" s="239" t="s">
        <v>2620</v>
      </c>
      <c r="C66" s="239">
        <v>130</v>
      </c>
      <c r="D66" s="239" t="s">
        <v>2619</v>
      </c>
      <c r="E66" s="240">
        <v>0.5</v>
      </c>
      <c r="F66" s="239">
        <v>3.5</v>
      </c>
      <c r="G66" s="239" t="s">
        <v>2537</v>
      </c>
      <c r="H66" s="239" t="s">
        <v>3232</v>
      </c>
      <c r="I66" s="239" t="s">
        <v>1400</v>
      </c>
      <c r="J66" s="239">
        <v>0</v>
      </c>
      <c r="K66" s="239">
        <v>0</v>
      </c>
      <c r="L66" s="239">
        <v>0</v>
      </c>
      <c r="M66" s="239">
        <v>0</v>
      </c>
      <c r="N66" s="239">
        <v>0</v>
      </c>
    </row>
    <row r="67" spans="1:14" ht="18">
      <c r="A67" s="239">
        <v>65</v>
      </c>
      <c r="B67" s="239" t="s">
        <v>2621</v>
      </c>
      <c r="C67" s="239">
        <v>110</v>
      </c>
      <c r="D67" s="239" t="s">
        <v>2622</v>
      </c>
      <c r="E67" s="240">
        <v>0.5</v>
      </c>
      <c r="F67" s="240">
        <v>3.5</v>
      </c>
      <c r="G67" s="239" t="s">
        <v>2557</v>
      </c>
      <c r="H67" s="239" t="s">
        <v>3232</v>
      </c>
      <c r="I67" s="239" t="s">
        <v>1400</v>
      </c>
      <c r="J67" s="239">
        <v>0</v>
      </c>
      <c r="K67" s="239">
        <v>0</v>
      </c>
      <c r="L67" s="239">
        <v>0</v>
      </c>
      <c r="M67" s="239">
        <v>0</v>
      </c>
      <c r="N67" s="239">
        <v>0</v>
      </c>
    </row>
    <row r="68" spans="1:14" ht="18">
      <c r="A68" s="239">
        <v>66</v>
      </c>
      <c r="B68" s="239" t="s">
        <v>2623</v>
      </c>
      <c r="C68" s="239">
        <v>130</v>
      </c>
      <c r="D68" s="239" t="s">
        <v>2622</v>
      </c>
      <c r="E68" s="240">
        <v>0.5</v>
      </c>
      <c r="F68" s="240">
        <v>3.5</v>
      </c>
      <c r="G68" s="239" t="s">
        <v>2537</v>
      </c>
      <c r="H68" s="239" t="s">
        <v>3232</v>
      </c>
      <c r="I68" s="239" t="s">
        <v>1400</v>
      </c>
      <c r="J68" s="239">
        <v>0</v>
      </c>
      <c r="K68" s="239">
        <v>0</v>
      </c>
      <c r="L68" s="239">
        <v>0</v>
      </c>
      <c r="M68" s="239">
        <v>0</v>
      </c>
      <c r="N68" s="239">
        <v>0</v>
      </c>
    </row>
    <row r="69" spans="1:14" ht="18">
      <c r="A69" s="239">
        <v>63</v>
      </c>
      <c r="B69" s="239" t="s">
        <v>2624</v>
      </c>
      <c r="C69" s="239">
        <v>150</v>
      </c>
      <c r="D69" s="239" t="s">
        <v>2622</v>
      </c>
      <c r="E69" s="240">
        <v>0.5</v>
      </c>
      <c r="F69" s="240">
        <v>3.5</v>
      </c>
      <c r="G69" s="239" t="s">
        <v>2540</v>
      </c>
      <c r="H69" s="239" t="s">
        <v>3232</v>
      </c>
      <c r="I69" s="239" t="s">
        <v>1400</v>
      </c>
      <c r="J69" s="239">
        <v>0</v>
      </c>
      <c r="K69" s="239">
        <v>0</v>
      </c>
      <c r="L69" s="239">
        <v>0</v>
      </c>
      <c r="M69" s="239">
        <v>0</v>
      </c>
      <c r="N69" s="239">
        <v>0</v>
      </c>
    </row>
    <row r="70" spans="1:14" ht="18">
      <c r="A70" s="239">
        <v>64</v>
      </c>
      <c r="B70" s="239" t="s">
        <v>2625</v>
      </c>
      <c r="C70" s="239">
        <v>170</v>
      </c>
      <c r="D70" s="239" t="s">
        <v>2622</v>
      </c>
      <c r="E70" s="240">
        <v>0.5</v>
      </c>
      <c r="F70" s="240">
        <v>3.5</v>
      </c>
      <c r="G70" s="239" t="s">
        <v>2545</v>
      </c>
      <c r="H70" s="239" t="s">
        <v>3232</v>
      </c>
      <c r="I70" s="239" t="s">
        <v>1400</v>
      </c>
      <c r="J70" s="239">
        <v>0</v>
      </c>
      <c r="K70" s="239">
        <v>0</v>
      </c>
      <c r="L70" s="239">
        <v>0</v>
      </c>
      <c r="M70" s="239">
        <v>0</v>
      </c>
      <c r="N70" s="239">
        <v>0</v>
      </c>
    </row>
    <row r="71" spans="1:14" ht="18">
      <c r="A71" s="239">
        <v>69</v>
      </c>
      <c r="B71" s="239" t="s">
        <v>2626</v>
      </c>
      <c r="C71" s="239">
        <v>130</v>
      </c>
      <c r="D71" s="239" t="s">
        <v>2627</v>
      </c>
      <c r="E71" s="240">
        <v>0.5</v>
      </c>
      <c r="F71" s="240">
        <v>3.5</v>
      </c>
      <c r="G71" s="239" t="s">
        <v>2537</v>
      </c>
      <c r="H71" s="239" t="s">
        <v>3232</v>
      </c>
      <c r="I71" s="239" t="s">
        <v>3395</v>
      </c>
      <c r="J71" s="239">
        <v>0</v>
      </c>
      <c r="K71" s="239">
        <v>0</v>
      </c>
      <c r="L71" s="239">
        <v>0</v>
      </c>
      <c r="M71" s="239">
        <v>0</v>
      </c>
      <c r="N71" s="239">
        <v>0</v>
      </c>
    </row>
    <row r="72" spans="1:14" ht="18">
      <c r="A72" s="239">
        <v>70</v>
      </c>
      <c r="B72" s="239" t="s">
        <v>2628</v>
      </c>
      <c r="C72" s="239">
        <v>150</v>
      </c>
      <c r="D72" s="239" t="s">
        <v>2627</v>
      </c>
      <c r="E72" s="240">
        <v>0.5</v>
      </c>
      <c r="F72" s="240">
        <v>3.5</v>
      </c>
      <c r="G72" s="239" t="s">
        <v>2540</v>
      </c>
      <c r="H72" s="239" t="s">
        <v>3232</v>
      </c>
      <c r="I72" s="239" t="s">
        <v>3395</v>
      </c>
      <c r="J72" s="239">
        <v>0</v>
      </c>
      <c r="K72" s="239">
        <v>0</v>
      </c>
      <c r="L72" s="239">
        <v>0</v>
      </c>
      <c r="M72" s="239">
        <v>0</v>
      </c>
      <c r="N72" s="239">
        <v>0</v>
      </c>
    </row>
    <row r="73" spans="1:14" ht="18">
      <c r="A73" s="239">
        <v>67</v>
      </c>
      <c r="B73" s="239" t="s">
        <v>2629</v>
      </c>
      <c r="C73" s="239">
        <v>170</v>
      </c>
      <c r="D73" s="239" t="s">
        <v>2627</v>
      </c>
      <c r="E73" s="240">
        <v>0.5</v>
      </c>
      <c r="F73" s="240">
        <v>3.5</v>
      </c>
      <c r="G73" s="239" t="s">
        <v>2545</v>
      </c>
      <c r="H73" s="239" t="s">
        <v>3232</v>
      </c>
      <c r="I73" s="239" t="s">
        <v>3395</v>
      </c>
      <c r="J73" s="239">
        <v>0</v>
      </c>
      <c r="K73" s="239">
        <v>0</v>
      </c>
      <c r="L73" s="239">
        <v>0</v>
      </c>
      <c r="M73" s="239">
        <v>0</v>
      </c>
      <c r="N73" s="239">
        <v>0</v>
      </c>
    </row>
    <row r="74" spans="1:14" ht="18">
      <c r="A74" s="239">
        <v>68</v>
      </c>
      <c r="B74" s="239" t="s">
        <v>2630</v>
      </c>
      <c r="C74" s="239">
        <v>170</v>
      </c>
      <c r="D74" s="239" t="s">
        <v>2627</v>
      </c>
      <c r="E74" s="240">
        <v>0.5</v>
      </c>
      <c r="F74" s="240">
        <v>3.5</v>
      </c>
      <c r="G74" s="239" t="s">
        <v>2545</v>
      </c>
      <c r="H74" s="239" t="s">
        <v>3232</v>
      </c>
      <c r="I74" s="239" t="s">
        <v>3395</v>
      </c>
      <c r="J74" s="239">
        <v>0</v>
      </c>
      <c r="K74" s="239">
        <v>0</v>
      </c>
      <c r="L74" s="239">
        <v>0</v>
      </c>
      <c r="M74" s="239">
        <v>0</v>
      </c>
      <c r="N74" s="239">
        <v>0</v>
      </c>
    </row>
    <row r="75" spans="1:14" ht="18">
      <c r="A75" s="239">
        <v>73</v>
      </c>
      <c r="B75" s="239" t="s">
        <v>2631</v>
      </c>
      <c r="C75" s="239">
        <v>110</v>
      </c>
      <c r="D75" s="239" t="s">
        <v>2632</v>
      </c>
      <c r="E75" s="240">
        <v>0.5</v>
      </c>
      <c r="F75" s="240">
        <v>3.5</v>
      </c>
      <c r="G75" s="239" t="s">
        <v>2557</v>
      </c>
      <c r="H75" s="239" t="s">
        <v>3232</v>
      </c>
      <c r="I75" s="239" t="s">
        <v>1400</v>
      </c>
      <c r="J75" s="239">
        <v>0</v>
      </c>
      <c r="K75" s="239">
        <v>0</v>
      </c>
      <c r="L75" s="239">
        <v>0</v>
      </c>
      <c r="M75" s="239">
        <v>0</v>
      </c>
      <c r="N75" s="239">
        <v>0</v>
      </c>
    </row>
    <row r="76" spans="1:14" ht="18">
      <c r="A76" s="239">
        <v>74</v>
      </c>
      <c r="B76" s="239" t="s">
        <v>2633</v>
      </c>
      <c r="C76" s="239">
        <v>150</v>
      </c>
      <c r="D76" s="239" t="s">
        <v>2632</v>
      </c>
      <c r="E76" s="240">
        <v>0.5</v>
      </c>
      <c r="F76" s="240">
        <v>3.5</v>
      </c>
      <c r="G76" s="239" t="s">
        <v>2540</v>
      </c>
      <c r="H76" s="239" t="s">
        <v>3232</v>
      </c>
      <c r="I76" s="239" t="s">
        <v>1400</v>
      </c>
      <c r="J76" s="239">
        <v>0</v>
      </c>
      <c r="K76" s="239">
        <v>0</v>
      </c>
      <c r="L76" s="239">
        <v>0</v>
      </c>
      <c r="M76" s="239">
        <v>0</v>
      </c>
      <c r="N76" s="239">
        <v>0</v>
      </c>
    </row>
    <row r="77" spans="1:14" ht="18">
      <c r="A77" s="239">
        <v>71</v>
      </c>
      <c r="B77" s="239" t="s">
        <v>2634</v>
      </c>
      <c r="C77" s="239">
        <v>170</v>
      </c>
      <c r="D77" s="239" t="s">
        <v>2632</v>
      </c>
      <c r="E77" s="240">
        <v>0.5</v>
      </c>
      <c r="F77" s="240">
        <v>3.5</v>
      </c>
      <c r="G77" s="239" t="s">
        <v>2545</v>
      </c>
      <c r="H77" s="239" t="s">
        <v>3232</v>
      </c>
      <c r="I77" s="239" t="s">
        <v>1400</v>
      </c>
      <c r="J77" s="239">
        <v>0</v>
      </c>
      <c r="K77" s="239">
        <v>0</v>
      </c>
      <c r="L77" s="239">
        <v>0</v>
      </c>
      <c r="M77" s="239">
        <v>0</v>
      </c>
      <c r="N77" s="239">
        <v>0</v>
      </c>
    </row>
    <row r="78" spans="1:14" ht="18">
      <c r="A78" s="239">
        <v>72</v>
      </c>
      <c r="B78" s="239" t="s">
        <v>2635</v>
      </c>
      <c r="C78" s="239">
        <v>170</v>
      </c>
      <c r="D78" s="239" t="s">
        <v>2632</v>
      </c>
      <c r="E78" s="240">
        <v>0.5</v>
      </c>
      <c r="F78" s="240">
        <v>3.5</v>
      </c>
      <c r="G78" s="239" t="s">
        <v>2545</v>
      </c>
      <c r="H78" s="239" t="s">
        <v>3232</v>
      </c>
      <c r="I78" s="239" t="s">
        <v>1400</v>
      </c>
      <c r="J78" s="239">
        <v>0</v>
      </c>
      <c r="K78" s="239">
        <v>0</v>
      </c>
      <c r="L78" s="239">
        <v>0</v>
      </c>
      <c r="M78" s="239">
        <v>0</v>
      </c>
      <c r="N78" s="239">
        <v>0</v>
      </c>
    </row>
    <row r="79" spans="1:14" ht="18">
      <c r="A79" s="239">
        <v>75</v>
      </c>
      <c r="B79" s="239" t="s">
        <v>2636</v>
      </c>
      <c r="C79" s="239">
        <v>110</v>
      </c>
      <c r="D79" s="239" t="s">
        <v>2637</v>
      </c>
      <c r="E79" s="240">
        <v>0.5</v>
      </c>
      <c r="F79" s="240">
        <v>3.5</v>
      </c>
      <c r="G79" s="239" t="s">
        <v>2557</v>
      </c>
      <c r="H79" s="239" t="s">
        <v>3232</v>
      </c>
      <c r="I79" s="239" t="s">
        <v>1400</v>
      </c>
      <c r="J79" s="239">
        <v>0</v>
      </c>
      <c r="K79" s="239">
        <v>0</v>
      </c>
      <c r="L79" s="239">
        <v>0</v>
      </c>
      <c r="M79" s="239">
        <v>0</v>
      </c>
      <c r="N79" s="239">
        <v>0</v>
      </c>
    </row>
    <row r="80" spans="1:14" ht="18">
      <c r="A80" s="239">
        <v>76</v>
      </c>
      <c r="B80" s="239" t="s">
        <v>2638</v>
      </c>
      <c r="C80" s="239">
        <v>110</v>
      </c>
      <c r="D80" s="239" t="s">
        <v>2639</v>
      </c>
      <c r="E80" s="240">
        <v>0.5</v>
      </c>
      <c r="F80" s="240">
        <v>3.5</v>
      </c>
      <c r="G80" s="239" t="s">
        <v>2557</v>
      </c>
      <c r="H80" s="239" t="s">
        <v>3232</v>
      </c>
      <c r="I80" s="239" t="s">
        <v>1400</v>
      </c>
      <c r="J80" s="239">
        <v>0</v>
      </c>
      <c r="K80" s="239">
        <v>0</v>
      </c>
      <c r="L80" s="239">
        <v>0</v>
      </c>
      <c r="M80" s="239">
        <v>0</v>
      </c>
      <c r="N80" s="239">
        <v>0</v>
      </c>
    </row>
    <row r="81" spans="1:14" ht="18">
      <c r="A81" s="239"/>
      <c r="B81" s="239" t="s">
        <v>2640</v>
      </c>
      <c r="C81" s="239">
        <v>130</v>
      </c>
      <c r="D81" s="239" t="s">
        <v>2639</v>
      </c>
      <c r="E81" s="240">
        <v>0.5</v>
      </c>
      <c r="F81" s="240">
        <v>3.5</v>
      </c>
      <c r="G81" s="239" t="s">
        <v>2537</v>
      </c>
      <c r="H81" s="239" t="s">
        <v>3232</v>
      </c>
      <c r="I81" s="239" t="s">
        <v>1400</v>
      </c>
      <c r="J81" s="239">
        <v>0</v>
      </c>
      <c r="K81" s="239">
        <v>0</v>
      </c>
      <c r="L81" s="239">
        <v>0</v>
      </c>
      <c r="M81" s="239">
        <v>0</v>
      </c>
      <c r="N81" s="239">
        <v>0</v>
      </c>
    </row>
    <row r="82" spans="1:14" ht="18">
      <c r="A82" s="239">
        <v>77</v>
      </c>
      <c r="B82" s="239" t="s">
        <v>2641</v>
      </c>
      <c r="C82" s="239">
        <v>130</v>
      </c>
      <c r="D82" s="239" t="s">
        <v>2642</v>
      </c>
      <c r="E82" s="240">
        <v>0.5</v>
      </c>
      <c r="F82" s="240">
        <v>3.5</v>
      </c>
      <c r="G82" s="239" t="s">
        <v>2537</v>
      </c>
      <c r="H82" s="239" t="s">
        <v>3232</v>
      </c>
      <c r="I82" s="239" t="s">
        <v>1400</v>
      </c>
      <c r="J82" s="239">
        <v>0</v>
      </c>
      <c r="K82" s="239">
        <v>0</v>
      </c>
      <c r="L82" s="239">
        <v>0</v>
      </c>
      <c r="M82" s="239">
        <v>0</v>
      </c>
      <c r="N82" s="239">
        <v>0</v>
      </c>
    </row>
    <row r="83" spans="1:14" ht="18">
      <c r="A83" s="239">
        <v>78</v>
      </c>
      <c r="B83" s="239" t="s">
        <v>2643</v>
      </c>
      <c r="C83" s="239">
        <v>130</v>
      </c>
      <c r="D83" s="239" t="s">
        <v>2642</v>
      </c>
      <c r="E83" s="240">
        <v>0.5</v>
      </c>
      <c r="F83" s="240">
        <v>3.5</v>
      </c>
      <c r="G83" s="239" t="s">
        <v>2537</v>
      </c>
      <c r="H83" s="239" t="s">
        <v>3232</v>
      </c>
      <c r="I83" s="239" t="s">
        <v>1400</v>
      </c>
      <c r="J83" s="239">
        <v>0</v>
      </c>
      <c r="K83" s="239">
        <v>0</v>
      </c>
      <c r="L83" s="239">
        <v>0</v>
      </c>
      <c r="M83" s="239">
        <v>0</v>
      </c>
      <c r="N83" s="239">
        <v>0</v>
      </c>
    </row>
    <row r="84" spans="1:14" ht="18">
      <c r="A84" s="239">
        <v>79</v>
      </c>
      <c r="B84" s="239" t="s">
        <v>2644</v>
      </c>
      <c r="C84" s="239">
        <v>110</v>
      </c>
      <c r="D84" s="239" t="s">
        <v>2642</v>
      </c>
      <c r="E84" s="240">
        <v>0.5</v>
      </c>
      <c r="F84" s="240">
        <v>3.5</v>
      </c>
      <c r="G84" s="239" t="s">
        <v>2557</v>
      </c>
      <c r="H84" s="239" t="s">
        <v>3232</v>
      </c>
      <c r="I84" s="239" t="s">
        <v>1400</v>
      </c>
      <c r="J84" s="239">
        <v>0</v>
      </c>
      <c r="K84" s="239">
        <v>0</v>
      </c>
      <c r="L84" s="239">
        <v>0</v>
      </c>
      <c r="M84" s="239">
        <v>0</v>
      </c>
      <c r="N84" s="239">
        <v>0</v>
      </c>
    </row>
    <row r="85" spans="1:14" ht="18">
      <c r="A85" s="239">
        <v>80</v>
      </c>
      <c r="B85" s="239" t="s">
        <v>2645</v>
      </c>
      <c r="C85" s="239">
        <v>110</v>
      </c>
      <c r="D85" s="239" t="s">
        <v>2642</v>
      </c>
      <c r="E85" s="240">
        <v>0.5</v>
      </c>
      <c r="F85" s="240">
        <v>3.5</v>
      </c>
      <c r="G85" s="239" t="s">
        <v>2557</v>
      </c>
      <c r="H85" s="239" t="s">
        <v>3232</v>
      </c>
      <c r="I85" s="239" t="s">
        <v>1400</v>
      </c>
      <c r="J85" s="239">
        <v>0</v>
      </c>
      <c r="K85" s="239">
        <v>0</v>
      </c>
      <c r="L85" s="239">
        <v>0</v>
      </c>
      <c r="M85" s="239">
        <v>0</v>
      </c>
      <c r="N85" s="239">
        <v>0</v>
      </c>
    </row>
    <row r="86" spans="1:14" ht="18">
      <c r="A86" s="239">
        <v>81</v>
      </c>
      <c r="B86" s="239" t="s">
        <v>2646</v>
      </c>
      <c r="C86" s="239">
        <v>150</v>
      </c>
      <c r="D86" s="239" t="s">
        <v>2642</v>
      </c>
      <c r="E86" s="240">
        <v>0.5</v>
      </c>
      <c r="F86" s="240">
        <v>3.5</v>
      </c>
      <c r="G86" s="239" t="s">
        <v>2540</v>
      </c>
      <c r="H86" s="239" t="s">
        <v>3232</v>
      </c>
      <c r="I86" s="239" t="s">
        <v>1400</v>
      </c>
      <c r="J86" s="239">
        <v>0</v>
      </c>
      <c r="K86" s="239">
        <v>0</v>
      </c>
      <c r="L86" s="239">
        <v>0</v>
      </c>
      <c r="M86" s="239">
        <v>0</v>
      </c>
      <c r="N86" s="239">
        <v>0</v>
      </c>
    </row>
    <row r="87" spans="1:14" ht="18">
      <c r="A87" s="239">
        <v>82</v>
      </c>
      <c r="B87" s="239" t="s">
        <v>2647</v>
      </c>
      <c r="C87" s="239">
        <v>150</v>
      </c>
      <c r="D87" s="239" t="s">
        <v>2642</v>
      </c>
      <c r="E87" s="240">
        <v>0.5</v>
      </c>
      <c r="F87" s="240">
        <v>3.5</v>
      </c>
      <c r="G87" s="239" t="s">
        <v>2540</v>
      </c>
      <c r="H87" s="239" t="s">
        <v>3232</v>
      </c>
      <c r="I87" s="239" t="s">
        <v>1400</v>
      </c>
      <c r="J87" s="239">
        <v>0</v>
      </c>
      <c r="K87" s="239">
        <v>0</v>
      </c>
      <c r="L87" s="239">
        <v>0</v>
      </c>
      <c r="M87" s="239">
        <v>0</v>
      </c>
      <c r="N87" s="239">
        <v>0</v>
      </c>
    </row>
    <row r="88" spans="1:14" ht="18">
      <c r="A88" s="239">
        <v>83</v>
      </c>
      <c r="B88" s="239" t="s">
        <v>2648</v>
      </c>
      <c r="C88" s="239">
        <v>130</v>
      </c>
      <c r="D88" s="239" t="s">
        <v>2649</v>
      </c>
      <c r="E88" s="240">
        <v>0.5</v>
      </c>
      <c r="F88" s="240">
        <v>3.5</v>
      </c>
      <c r="G88" s="239" t="s">
        <v>2537</v>
      </c>
      <c r="H88" s="239" t="s">
        <v>3232</v>
      </c>
      <c r="I88" s="239" t="s">
        <v>1400</v>
      </c>
      <c r="J88" s="239">
        <v>0</v>
      </c>
      <c r="K88" s="239">
        <v>0</v>
      </c>
      <c r="L88" s="239">
        <v>0</v>
      </c>
      <c r="M88" s="239">
        <v>0</v>
      </c>
      <c r="N88" s="239">
        <v>0</v>
      </c>
    </row>
    <row r="89" spans="1:14" ht="18">
      <c r="A89" s="239">
        <v>84</v>
      </c>
      <c r="B89" s="239" t="s">
        <v>2650</v>
      </c>
      <c r="C89" s="239">
        <v>110</v>
      </c>
      <c r="D89" s="239" t="s">
        <v>2651</v>
      </c>
      <c r="E89" s="240">
        <v>0.5</v>
      </c>
      <c r="F89" s="240">
        <v>3.5</v>
      </c>
      <c r="G89" s="239" t="s">
        <v>2557</v>
      </c>
      <c r="H89" s="239" t="s">
        <v>3232</v>
      </c>
      <c r="I89" s="239" t="s">
        <v>1400</v>
      </c>
      <c r="J89" s="239">
        <v>0</v>
      </c>
      <c r="K89" s="239">
        <v>0</v>
      </c>
      <c r="L89" s="239">
        <v>0</v>
      </c>
      <c r="M89" s="239">
        <v>0</v>
      </c>
      <c r="N89" s="239">
        <v>0</v>
      </c>
    </row>
    <row r="90" spans="1:14" ht="18">
      <c r="A90" s="239">
        <v>85</v>
      </c>
      <c r="B90" s="239" t="s">
        <v>2652</v>
      </c>
      <c r="C90" s="239">
        <v>110</v>
      </c>
      <c r="D90" s="239" t="s">
        <v>2651</v>
      </c>
      <c r="E90" s="240">
        <v>0.5</v>
      </c>
      <c r="F90" s="240">
        <v>3.5</v>
      </c>
      <c r="G90" s="239" t="s">
        <v>2557</v>
      </c>
      <c r="H90" s="239" t="s">
        <v>3232</v>
      </c>
      <c r="I90" s="239" t="s">
        <v>1400</v>
      </c>
      <c r="J90" s="239">
        <v>0</v>
      </c>
      <c r="K90" s="239">
        <v>0</v>
      </c>
      <c r="L90" s="239">
        <v>0</v>
      </c>
      <c r="M90" s="239">
        <v>0</v>
      </c>
      <c r="N90" s="239">
        <v>0</v>
      </c>
    </row>
    <row r="91" spans="1:14" ht="18">
      <c r="A91" s="239">
        <v>86</v>
      </c>
      <c r="B91" s="239" t="s">
        <v>2653</v>
      </c>
      <c r="C91" s="239">
        <v>110</v>
      </c>
      <c r="D91" s="239" t="s">
        <v>2651</v>
      </c>
      <c r="E91" s="240">
        <v>0.5</v>
      </c>
      <c r="F91" s="240">
        <v>3.5</v>
      </c>
      <c r="G91" s="239" t="s">
        <v>2557</v>
      </c>
      <c r="H91" s="239" t="s">
        <v>3232</v>
      </c>
      <c r="I91" s="239" t="s">
        <v>1400</v>
      </c>
      <c r="J91" s="239">
        <v>0</v>
      </c>
      <c r="K91" s="239">
        <v>0</v>
      </c>
      <c r="L91" s="239">
        <v>0</v>
      </c>
      <c r="M91" s="239">
        <v>0</v>
      </c>
      <c r="N91" s="239">
        <v>0</v>
      </c>
    </row>
    <row r="92" spans="1:14" ht="18">
      <c r="A92" s="239">
        <v>87</v>
      </c>
      <c r="B92" s="239" t="s">
        <v>2654</v>
      </c>
      <c r="C92" s="239">
        <v>110</v>
      </c>
      <c r="D92" s="239" t="s">
        <v>2651</v>
      </c>
      <c r="E92" s="240">
        <v>0.5</v>
      </c>
      <c r="F92" s="240">
        <v>3.5</v>
      </c>
      <c r="G92" s="239" t="s">
        <v>2557</v>
      </c>
      <c r="H92" s="239" t="s">
        <v>3232</v>
      </c>
      <c r="I92" s="239" t="s">
        <v>1400</v>
      </c>
      <c r="J92" s="239">
        <v>0</v>
      </c>
      <c r="K92" s="239">
        <v>0</v>
      </c>
      <c r="L92" s="239">
        <v>0</v>
      </c>
      <c r="M92" s="239">
        <v>0</v>
      </c>
      <c r="N92" s="239">
        <v>0</v>
      </c>
    </row>
    <row r="93" spans="1:14" ht="18">
      <c r="A93" s="239">
        <v>88</v>
      </c>
      <c r="B93" s="239" t="s">
        <v>2655</v>
      </c>
      <c r="C93" s="239">
        <v>130</v>
      </c>
      <c r="D93" s="239" t="s">
        <v>47</v>
      </c>
      <c r="E93" s="240">
        <v>0.5</v>
      </c>
      <c r="F93" s="240">
        <v>3.5</v>
      </c>
      <c r="G93" s="239" t="s">
        <v>2537</v>
      </c>
      <c r="H93" s="239" t="s">
        <v>3232</v>
      </c>
      <c r="I93" s="239" t="s">
        <v>1400</v>
      </c>
      <c r="J93" s="239" t="s">
        <v>2656</v>
      </c>
      <c r="K93" s="239" t="s">
        <v>1413</v>
      </c>
      <c r="L93" s="239">
        <v>0</v>
      </c>
      <c r="M93" s="239">
        <v>0.5</v>
      </c>
      <c r="N93" s="239">
        <v>0.5</v>
      </c>
    </row>
    <row r="94" spans="1:14" ht="18">
      <c r="A94" s="239">
        <v>89</v>
      </c>
      <c r="B94" s="239" t="s">
        <v>2657</v>
      </c>
      <c r="C94" s="239">
        <v>130</v>
      </c>
      <c r="D94" s="239" t="s">
        <v>47</v>
      </c>
      <c r="E94" s="240">
        <v>0.5</v>
      </c>
      <c r="F94" s="240">
        <v>3.5</v>
      </c>
      <c r="G94" s="239" t="s">
        <v>2537</v>
      </c>
      <c r="H94" s="239" t="s">
        <v>3232</v>
      </c>
      <c r="I94" s="239" t="s">
        <v>1400</v>
      </c>
      <c r="J94" s="239" t="s">
        <v>2656</v>
      </c>
      <c r="K94" s="239" t="s">
        <v>1413</v>
      </c>
      <c r="L94" s="239">
        <v>0</v>
      </c>
      <c r="M94" s="239">
        <v>0.5</v>
      </c>
      <c r="N94" s="239">
        <v>0.5</v>
      </c>
    </row>
    <row r="95" spans="1:14" ht="18">
      <c r="A95" s="239">
        <v>90</v>
      </c>
      <c r="B95" s="239" t="s">
        <v>2658</v>
      </c>
      <c r="C95" s="239">
        <v>150</v>
      </c>
      <c r="D95" s="239" t="s">
        <v>2659</v>
      </c>
      <c r="E95" s="240">
        <v>0.5</v>
      </c>
      <c r="F95" s="240">
        <v>3.5</v>
      </c>
      <c r="G95" s="239" t="s">
        <v>2540</v>
      </c>
      <c r="H95" s="239" t="s">
        <v>3232</v>
      </c>
      <c r="I95" s="239" t="s">
        <v>1400</v>
      </c>
      <c r="J95" s="239">
        <v>0</v>
      </c>
      <c r="K95" s="239">
        <v>0</v>
      </c>
      <c r="L95" s="239">
        <v>0</v>
      </c>
      <c r="M95" s="239">
        <v>0</v>
      </c>
      <c r="N95" s="239">
        <v>0</v>
      </c>
    </row>
    <row r="96" spans="1:14" ht="18">
      <c r="A96" s="239">
        <v>91</v>
      </c>
      <c r="B96" s="239" t="s">
        <v>2660</v>
      </c>
      <c r="C96" s="239">
        <v>150</v>
      </c>
      <c r="D96" s="239" t="s">
        <v>2659</v>
      </c>
      <c r="E96" s="240">
        <v>0.5</v>
      </c>
      <c r="F96" s="240">
        <v>3.5</v>
      </c>
      <c r="G96" s="239" t="s">
        <v>2540</v>
      </c>
      <c r="H96" s="239" t="s">
        <v>3232</v>
      </c>
      <c r="I96" s="239" t="s">
        <v>1400</v>
      </c>
      <c r="J96" s="239">
        <v>0</v>
      </c>
      <c r="K96" s="239">
        <v>0</v>
      </c>
      <c r="L96" s="239">
        <v>0</v>
      </c>
      <c r="M96" s="239">
        <v>0</v>
      </c>
      <c r="N96" s="239">
        <v>0</v>
      </c>
    </row>
    <row r="97" spans="1:14" ht="18">
      <c r="A97" s="239">
        <v>92</v>
      </c>
      <c r="B97" s="239" t="s">
        <v>2661</v>
      </c>
      <c r="C97" s="239">
        <v>130</v>
      </c>
      <c r="D97" s="239" t="s">
        <v>2659</v>
      </c>
      <c r="E97" s="240">
        <v>0.5</v>
      </c>
      <c r="F97" s="240">
        <v>3.5</v>
      </c>
      <c r="G97" s="239" t="s">
        <v>2537</v>
      </c>
      <c r="H97" s="239" t="s">
        <v>3232</v>
      </c>
      <c r="I97" s="239" t="s">
        <v>1400</v>
      </c>
      <c r="J97" s="239">
        <v>0</v>
      </c>
      <c r="K97" s="239">
        <v>0</v>
      </c>
      <c r="L97" s="239">
        <v>0</v>
      </c>
      <c r="M97" s="239">
        <v>0</v>
      </c>
      <c r="N97" s="239">
        <v>0</v>
      </c>
    </row>
    <row r="98" spans="1:14" ht="18">
      <c r="A98" s="239">
        <v>93</v>
      </c>
      <c r="B98" s="239" t="s">
        <v>2662</v>
      </c>
      <c r="C98" s="239">
        <v>130</v>
      </c>
      <c r="D98" s="239" t="s">
        <v>2659</v>
      </c>
      <c r="E98" s="240">
        <v>0.5</v>
      </c>
      <c r="F98" s="240">
        <v>3.5</v>
      </c>
      <c r="G98" s="239" t="s">
        <v>2537</v>
      </c>
      <c r="H98" s="239" t="s">
        <v>3232</v>
      </c>
      <c r="I98" s="239" t="s">
        <v>1400</v>
      </c>
      <c r="J98" s="239">
        <v>0</v>
      </c>
      <c r="K98" s="239">
        <v>0</v>
      </c>
      <c r="L98" s="239">
        <v>0</v>
      </c>
      <c r="M98" s="239">
        <v>0</v>
      </c>
      <c r="N98" s="239">
        <v>0</v>
      </c>
    </row>
    <row r="99" spans="1:14" ht="18">
      <c r="A99" s="239">
        <v>94</v>
      </c>
      <c r="B99" s="239" t="s">
        <v>2663</v>
      </c>
      <c r="C99" s="239">
        <v>110</v>
      </c>
      <c r="D99" s="239" t="s">
        <v>2659</v>
      </c>
      <c r="E99" s="240">
        <v>0.5</v>
      </c>
      <c r="F99" s="240">
        <v>3.5</v>
      </c>
      <c r="G99" s="239" t="s">
        <v>2557</v>
      </c>
      <c r="H99" s="239" t="s">
        <v>3232</v>
      </c>
      <c r="I99" s="239" t="s">
        <v>1400</v>
      </c>
      <c r="J99" s="239">
        <v>0</v>
      </c>
      <c r="K99" s="239">
        <v>0</v>
      </c>
      <c r="L99" s="239">
        <v>0</v>
      </c>
      <c r="M99" s="239">
        <v>0</v>
      </c>
      <c r="N99" s="239">
        <v>0</v>
      </c>
    </row>
    <row r="100" spans="1:14" ht="18">
      <c r="A100" s="239">
        <v>95</v>
      </c>
      <c r="B100" s="239" t="s">
        <v>2664</v>
      </c>
      <c r="C100" s="239">
        <v>110</v>
      </c>
      <c r="D100" s="239" t="s">
        <v>2659</v>
      </c>
      <c r="E100" s="240">
        <v>0.5</v>
      </c>
      <c r="F100" s="240">
        <v>3.5</v>
      </c>
      <c r="G100" s="239" t="s">
        <v>2557</v>
      </c>
      <c r="H100" s="239" t="s">
        <v>3232</v>
      </c>
      <c r="I100" s="239" t="s">
        <v>1400</v>
      </c>
      <c r="J100" s="239">
        <v>0</v>
      </c>
      <c r="K100" s="239">
        <v>0</v>
      </c>
      <c r="L100" s="239">
        <v>0</v>
      </c>
      <c r="M100" s="239">
        <v>0</v>
      </c>
      <c r="N100" s="239">
        <v>0</v>
      </c>
    </row>
    <row r="101" spans="1:14" ht="18">
      <c r="A101" s="239">
        <v>96</v>
      </c>
      <c r="B101" s="239" t="s">
        <v>2665</v>
      </c>
      <c r="C101" s="239">
        <v>170</v>
      </c>
      <c r="D101" s="239" t="s">
        <v>2659</v>
      </c>
      <c r="E101" s="240">
        <v>0.5</v>
      </c>
      <c r="F101" s="240">
        <v>3.5</v>
      </c>
      <c r="G101" s="239" t="s">
        <v>2545</v>
      </c>
      <c r="H101" s="239" t="s">
        <v>3232</v>
      </c>
      <c r="I101" s="239" t="s">
        <v>1400</v>
      </c>
      <c r="J101" s="239">
        <v>0</v>
      </c>
      <c r="K101" s="239">
        <v>0</v>
      </c>
      <c r="L101" s="239">
        <v>0</v>
      </c>
      <c r="M101" s="239">
        <v>0</v>
      </c>
      <c r="N101" s="239">
        <v>0</v>
      </c>
    </row>
    <row r="102" spans="1:14" ht="18">
      <c r="A102" s="239">
        <v>97</v>
      </c>
      <c r="B102" s="239" t="s">
        <v>2666</v>
      </c>
      <c r="C102" s="239">
        <v>170</v>
      </c>
      <c r="D102" s="239" t="s">
        <v>2659</v>
      </c>
      <c r="E102" s="240">
        <v>0.5</v>
      </c>
      <c r="F102" s="240">
        <v>3.5</v>
      </c>
      <c r="G102" s="239" t="s">
        <v>2545</v>
      </c>
      <c r="H102" s="239" t="s">
        <v>3232</v>
      </c>
      <c r="I102" s="239" t="s">
        <v>1400</v>
      </c>
      <c r="J102" s="239">
        <v>0</v>
      </c>
      <c r="K102" s="239">
        <v>0</v>
      </c>
      <c r="L102" s="239">
        <v>0</v>
      </c>
      <c r="M102" s="239">
        <v>0</v>
      </c>
      <c r="N102" s="239">
        <v>0</v>
      </c>
    </row>
    <row r="103" spans="1:14" ht="18">
      <c r="A103" s="239">
        <v>98</v>
      </c>
      <c r="B103" s="239" t="s">
        <v>2667</v>
      </c>
      <c r="C103" s="239">
        <v>130</v>
      </c>
      <c r="D103" s="239" t="s">
        <v>42</v>
      </c>
      <c r="E103" s="240">
        <v>0.5</v>
      </c>
      <c r="F103" s="240">
        <v>3.5</v>
      </c>
      <c r="G103" s="239" t="s">
        <v>2537</v>
      </c>
      <c r="H103" s="239" t="s">
        <v>3232</v>
      </c>
      <c r="I103" s="239" t="s">
        <v>1400</v>
      </c>
      <c r="J103" s="239">
        <v>0</v>
      </c>
      <c r="K103" s="239">
        <v>0</v>
      </c>
      <c r="L103" s="239">
        <v>0</v>
      </c>
      <c r="M103" s="239">
        <v>0</v>
      </c>
      <c r="N103" s="239">
        <v>0</v>
      </c>
    </row>
    <row r="104" spans="1:14" ht="18">
      <c r="A104" s="239">
        <v>99</v>
      </c>
      <c r="B104" s="239" t="s">
        <v>2668</v>
      </c>
      <c r="C104" s="239">
        <v>150</v>
      </c>
      <c r="D104" s="239" t="s">
        <v>42</v>
      </c>
      <c r="E104" s="240">
        <v>0.5</v>
      </c>
      <c r="F104" s="240">
        <v>3.5</v>
      </c>
      <c r="G104" s="239" t="s">
        <v>2540</v>
      </c>
      <c r="H104" s="239" t="s">
        <v>3232</v>
      </c>
      <c r="I104" s="239" t="s">
        <v>1400</v>
      </c>
      <c r="J104" s="239">
        <v>0</v>
      </c>
      <c r="K104" s="239">
        <v>0</v>
      </c>
      <c r="L104" s="239">
        <v>0</v>
      </c>
      <c r="M104" s="239">
        <v>0</v>
      </c>
      <c r="N104" s="239">
        <v>0</v>
      </c>
    </row>
    <row r="105" spans="1:14" ht="18">
      <c r="A105" s="239">
        <v>100</v>
      </c>
      <c r="B105" s="239" t="s">
        <v>2669</v>
      </c>
      <c r="C105" s="239">
        <v>170</v>
      </c>
      <c r="D105" s="239" t="s">
        <v>42</v>
      </c>
      <c r="E105" s="240">
        <v>0.5</v>
      </c>
      <c r="F105" s="240">
        <v>3.5</v>
      </c>
      <c r="G105" s="239" t="s">
        <v>2545</v>
      </c>
      <c r="H105" s="239" t="s">
        <v>3232</v>
      </c>
      <c r="I105" s="239" t="s">
        <v>1400</v>
      </c>
      <c r="J105" s="239">
        <v>0</v>
      </c>
      <c r="K105" s="239">
        <v>0</v>
      </c>
      <c r="L105" s="239">
        <v>0</v>
      </c>
      <c r="M105" s="239">
        <v>0</v>
      </c>
      <c r="N105" s="239">
        <v>0</v>
      </c>
    </row>
    <row r="106" spans="1:14" ht="18">
      <c r="A106" s="239">
        <v>101</v>
      </c>
      <c r="B106" s="239" t="s">
        <v>2670</v>
      </c>
      <c r="C106" s="239">
        <v>130</v>
      </c>
      <c r="D106" s="239" t="s">
        <v>42</v>
      </c>
      <c r="E106" s="240">
        <v>0.5</v>
      </c>
      <c r="F106" s="240">
        <v>3.5</v>
      </c>
      <c r="G106" s="239" t="s">
        <v>2545</v>
      </c>
      <c r="H106" s="239" t="s">
        <v>3232</v>
      </c>
      <c r="I106" s="239" t="s">
        <v>1400</v>
      </c>
      <c r="J106" s="239">
        <v>0</v>
      </c>
      <c r="K106" s="239">
        <v>0</v>
      </c>
      <c r="L106" s="239">
        <v>0</v>
      </c>
      <c r="M106" s="239">
        <v>0</v>
      </c>
      <c r="N106" s="239">
        <v>0</v>
      </c>
    </row>
    <row r="107" spans="1:14" ht="18">
      <c r="A107" s="239">
        <v>102</v>
      </c>
      <c r="B107" s="239" t="s">
        <v>2671</v>
      </c>
      <c r="C107" s="239">
        <v>150</v>
      </c>
      <c r="D107" s="239" t="s">
        <v>42</v>
      </c>
      <c r="E107" s="240">
        <v>0.5</v>
      </c>
      <c r="F107" s="240">
        <v>3.5</v>
      </c>
      <c r="G107" s="239" t="s">
        <v>2540</v>
      </c>
      <c r="H107" s="239" t="s">
        <v>3232</v>
      </c>
      <c r="I107" s="239" t="s">
        <v>1400</v>
      </c>
      <c r="J107" s="239">
        <v>0</v>
      </c>
      <c r="K107" s="239">
        <v>0</v>
      </c>
      <c r="L107" s="239">
        <v>0</v>
      </c>
      <c r="M107" s="239">
        <v>0</v>
      </c>
      <c r="N107" s="239">
        <v>0</v>
      </c>
    </row>
    <row r="108" spans="1:14" ht="18">
      <c r="A108" s="239">
        <v>103</v>
      </c>
      <c r="B108" s="239" t="s">
        <v>2672</v>
      </c>
      <c r="C108" s="239">
        <v>170</v>
      </c>
      <c r="D108" s="239" t="s">
        <v>42</v>
      </c>
      <c r="E108" s="240">
        <v>0.5</v>
      </c>
      <c r="F108" s="240">
        <v>3.5</v>
      </c>
      <c r="G108" s="239" t="s">
        <v>2545</v>
      </c>
      <c r="H108" s="239" t="s">
        <v>3232</v>
      </c>
      <c r="I108" s="239" t="s">
        <v>1400</v>
      </c>
      <c r="J108" s="239">
        <v>0</v>
      </c>
      <c r="K108" s="239">
        <v>0</v>
      </c>
      <c r="L108" s="239">
        <v>0</v>
      </c>
      <c r="M108" s="239">
        <v>0</v>
      </c>
      <c r="N108" s="239">
        <v>0</v>
      </c>
    </row>
    <row r="109" spans="1:14" ht="18">
      <c r="A109" s="239">
        <v>104</v>
      </c>
      <c r="B109" s="239" t="s">
        <v>2673</v>
      </c>
      <c r="C109" s="239">
        <v>130</v>
      </c>
      <c r="D109" s="239" t="s">
        <v>2674</v>
      </c>
      <c r="E109" s="240">
        <v>0.5</v>
      </c>
      <c r="F109" s="240">
        <v>3.5</v>
      </c>
      <c r="G109" s="239" t="s">
        <v>2537</v>
      </c>
      <c r="H109" s="239" t="s">
        <v>3232</v>
      </c>
      <c r="I109" s="239" t="s">
        <v>1400</v>
      </c>
      <c r="J109" s="239">
        <v>0</v>
      </c>
      <c r="K109" s="239">
        <v>0</v>
      </c>
      <c r="L109" s="239">
        <v>0</v>
      </c>
      <c r="M109" s="239">
        <v>0</v>
      </c>
      <c r="N109" s="239">
        <v>0</v>
      </c>
    </row>
    <row r="110" spans="1:14" ht="18">
      <c r="A110" s="239">
        <v>105</v>
      </c>
      <c r="B110" s="239" t="s">
        <v>2675</v>
      </c>
      <c r="C110" s="239">
        <v>110</v>
      </c>
      <c r="D110" s="239" t="s">
        <v>2676</v>
      </c>
      <c r="E110" s="240">
        <v>0.5</v>
      </c>
      <c r="F110" s="240">
        <v>6</v>
      </c>
      <c r="G110" s="239" t="s">
        <v>2557</v>
      </c>
      <c r="H110" s="239" t="s">
        <v>3232</v>
      </c>
      <c r="I110" s="239" t="s">
        <v>3395</v>
      </c>
      <c r="J110" s="239">
        <v>0</v>
      </c>
      <c r="K110" s="239">
        <v>0</v>
      </c>
      <c r="L110" s="239">
        <v>0</v>
      </c>
      <c r="M110" s="239">
        <v>0</v>
      </c>
      <c r="N110" s="239">
        <v>0</v>
      </c>
    </row>
    <row r="111" spans="1:14" ht="18">
      <c r="A111" s="239">
        <v>106</v>
      </c>
      <c r="B111" s="239" t="s">
        <v>2677</v>
      </c>
      <c r="C111" s="239">
        <v>130</v>
      </c>
      <c r="D111" s="239" t="s">
        <v>2676</v>
      </c>
      <c r="E111" s="240">
        <v>0.5</v>
      </c>
      <c r="F111" s="240">
        <v>6</v>
      </c>
      <c r="G111" s="239" t="s">
        <v>2537</v>
      </c>
      <c r="H111" s="239" t="s">
        <v>3232</v>
      </c>
      <c r="I111" s="239" t="s">
        <v>3395</v>
      </c>
      <c r="J111" s="239">
        <v>0</v>
      </c>
      <c r="K111" s="239">
        <v>0</v>
      </c>
      <c r="L111" s="239">
        <v>0</v>
      </c>
      <c r="M111" s="239">
        <v>0</v>
      </c>
      <c r="N111" s="239">
        <v>0</v>
      </c>
    </row>
    <row r="112" spans="1:14" ht="18">
      <c r="A112" s="239">
        <v>107</v>
      </c>
      <c r="B112" s="239" t="s">
        <v>2678</v>
      </c>
      <c r="C112" s="239">
        <v>150</v>
      </c>
      <c r="D112" s="239" t="s">
        <v>2676</v>
      </c>
      <c r="E112" s="240">
        <v>0.5</v>
      </c>
      <c r="F112" s="240">
        <v>6</v>
      </c>
      <c r="G112" s="239" t="s">
        <v>2540</v>
      </c>
      <c r="H112" s="239" t="s">
        <v>3232</v>
      </c>
      <c r="I112" s="239" t="s">
        <v>3395</v>
      </c>
      <c r="J112" s="239">
        <v>0</v>
      </c>
      <c r="K112" s="239">
        <v>0</v>
      </c>
      <c r="L112" s="239">
        <v>0</v>
      </c>
      <c r="M112" s="239">
        <v>0</v>
      </c>
      <c r="N112" s="239">
        <v>0</v>
      </c>
    </row>
    <row r="113" spans="1:14" ht="18">
      <c r="A113" s="239">
        <v>108</v>
      </c>
      <c r="B113" s="239" t="s">
        <v>2679</v>
      </c>
      <c r="C113" s="239">
        <v>110</v>
      </c>
      <c r="D113" s="239" t="s">
        <v>2676</v>
      </c>
      <c r="E113" s="240">
        <v>0.5</v>
      </c>
      <c r="F113" s="240">
        <v>6</v>
      </c>
      <c r="G113" s="239" t="s">
        <v>2557</v>
      </c>
      <c r="H113" s="239" t="s">
        <v>3232</v>
      </c>
      <c r="I113" s="239" t="s">
        <v>3395</v>
      </c>
      <c r="J113" s="239">
        <v>0</v>
      </c>
      <c r="K113" s="239">
        <v>0</v>
      </c>
      <c r="L113" s="239">
        <v>0</v>
      </c>
      <c r="M113" s="239">
        <v>0</v>
      </c>
      <c r="N113" s="239">
        <v>0</v>
      </c>
    </row>
    <row r="114" spans="1:14" ht="18">
      <c r="A114" s="239">
        <v>109</v>
      </c>
      <c r="B114" s="239" t="s">
        <v>2680</v>
      </c>
      <c r="C114" s="239">
        <v>130</v>
      </c>
      <c r="D114" s="239" t="s">
        <v>2676</v>
      </c>
      <c r="E114" s="240">
        <v>0.5</v>
      </c>
      <c r="F114" s="240">
        <v>6</v>
      </c>
      <c r="G114" s="239" t="s">
        <v>2537</v>
      </c>
      <c r="H114" s="239" t="s">
        <v>3232</v>
      </c>
      <c r="I114" s="239" t="s">
        <v>3395</v>
      </c>
      <c r="J114" s="239">
        <v>0</v>
      </c>
      <c r="K114" s="239">
        <v>0</v>
      </c>
      <c r="L114" s="239">
        <v>0</v>
      </c>
      <c r="M114" s="239">
        <v>0</v>
      </c>
      <c r="N114" s="239">
        <v>0</v>
      </c>
    </row>
    <row r="115" spans="1:14" ht="18">
      <c r="A115" s="239">
        <v>110</v>
      </c>
      <c r="B115" s="239" t="s">
        <v>2681</v>
      </c>
      <c r="C115" s="239">
        <v>150</v>
      </c>
      <c r="D115" s="239" t="s">
        <v>2676</v>
      </c>
      <c r="E115" s="240">
        <v>0.5</v>
      </c>
      <c r="F115" s="240">
        <v>6</v>
      </c>
      <c r="G115" s="239" t="s">
        <v>2540</v>
      </c>
      <c r="H115" s="239" t="s">
        <v>3232</v>
      </c>
      <c r="I115" s="239" t="s">
        <v>3395</v>
      </c>
      <c r="J115" s="239">
        <v>0</v>
      </c>
      <c r="K115" s="239">
        <v>0</v>
      </c>
      <c r="L115" s="239">
        <v>0</v>
      </c>
      <c r="M115" s="239">
        <v>0</v>
      </c>
      <c r="N115" s="239">
        <v>0</v>
      </c>
    </row>
    <row r="116" spans="1:14" ht="18">
      <c r="A116" s="239">
        <v>111</v>
      </c>
      <c r="B116" s="239" t="s">
        <v>2682</v>
      </c>
      <c r="C116" s="239">
        <v>110</v>
      </c>
      <c r="D116" s="239" t="s">
        <v>2676</v>
      </c>
      <c r="E116" s="240">
        <v>0.5</v>
      </c>
      <c r="F116" s="240">
        <v>6</v>
      </c>
      <c r="G116" s="239" t="s">
        <v>2557</v>
      </c>
      <c r="H116" s="239" t="s">
        <v>3232</v>
      </c>
      <c r="I116" s="239" t="s">
        <v>3395</v>
      </c>
      <c r="J116" s="239">
        <v>0</v>
      </c>
      <c r="K116" s="239">
        <v>0</v>
      </c>
      <c r="L116" s="239">
        <v>0</v>
      </c>
      <c r="M116" s="239">
        <v>0</v>
      </c>
      <c r="N116" s="239">
        <v>0</v>
      </c>
    </row>
    <row r="117" spans="1:14" ht="18">
      <c r="A117" s="239">
        <v>112</v>
      </c>
      <c r="B117" s="239" t="s">
        <v>2683</v>
      </c>
      <c r="C117" s="239">
        <v>130</v>
      </c>
      <c r="D117" s="239" t="s">
        <v>2676</v>
      </c>
      <c r="E117" s="240">
        <v>0.5</v>
      </c>
      <c r="F117" s="240">
        <v>6</v>
      </c>
      <c r="G117" s="239" t="s">
        <v>2537</v>
      </c>
      <c r="H117" s="239" t="s">
        <v>3232</v>
      </c>
      <c r="I117" s="239" t="s">
        <v>3395</v>
      </c>
      <c r="J117" s="239">
        <v>0</v>
      </c>
      <c r="K117" s="239">
        <v>0</v>
      </c>
      <c r="L117" s="239">
        <v>0</v>
      </c>
      <c r="M117" s="239">
        <v>0</v>
      </c>
      <c r="N117" s="239">
        <v>0</v>
      </c>
    </row>
    <row r="118" spans="1:14" ht="18">
      <c r="A118" s="239">
        <v>113</v>
      </c>
      <c r="B118" s="239" t="s">
        <v>2684</v>
      </c>
      <c r="C118" s="239">
        <v>150</v>
      </c>
      <c r="D118" s="239" t="s">
        <v>2676</v>
      </c>
      <c r="E118" s="240">
        <v>0.5</v>
      </c>
      <c r="F118" s="240">
        <v>6</v>
      </c>
      <c r="G118" s="239" t="s">
        <v>2540</v>
      </c>
      <c r="H118" s="239" t="s">
        <v>3232</v>
      </c>
      <c r="I118" s="239" t="s">
        <v>3395</v>
      </c>
      <c r="J118" s="239">
        <v>0</v>
      </c>
      <c r="K118" s="239">
        <v>0</v>
      </c>
      <c r="L118" s="239">
        <v>0</v>
      </c>
      <c r="M118" s="239">
        <v>0</v>
      </c>
      <c r="N118" s="239">
        <v>0</v>
      </c>
    </row>
    <row r="119" spans="1:14" ht="18">
      <c r="A119" s="239">
        <v>114</v>
      </c>
      <c r="B119" s="239" t="s">
        <v>2685</v>
      </c>
      <c r="C119" s="239">
        <v>110</v>
      </c>
      <c r="D119" s="239" t="s">
        <v>2686</v>
      </c>
      <c r="E119" s="240">
        <v>0.5</v>
      </c>
      <c r="F119" s="240">
        <v>6</v>
      </c>
      <c r="G119" s="239" t="s">
        <v>2557</v>
      </c>
      <c r="H119" s="239" t="s">
        <v>3232</v>
      </c>
      <c r="I119" s="239" t="s">
        <v>3395</v>
      </c>
      <c r="J119" s="239">
        <v>0</v>
      </c>
      <c r="K119" s="239">
        <v>0</v>
      </c>
      <c r="L119" s="239">
        <v>0</v>
      </c>
      <c r="M119" s="239">
        <v>0</v>
      </c>
      <c r="N119" s="239">
        <v>0</v>
      </c>
    </row>
    <row r="120" spans="1:14" ht="18">
      <c r="A120" s="239">
        <v>115</v>
      </c>
      <c r="B120" s="239" t="s">
        <v>2687</v>
      </c>
      <c r="C120" s="239">
        <v>130</v>
      </c>
      <c r="D120" s="239" t="s">
        <v>2686</v>
      </c>
      <c r="E120" s="240">
        <v>0.5</v>
      </c>
      <c r="F120" s="240">
        <v>6</v>
      </c>
      <c r="G120" s="239" t="s">
        <v>2537</v>
      </c>
      <c r="H120" s="239" t="s">
        <v>3232</v>
      </c>
      <c r="I120" s="239" t="s">
        <v>3395</v>
      </c>
      <c r="J120" s="239">
        <v>0</v>
      </c>
      <c r="K120" s="239">
        <v>0</v>
      </c>
      <c r="L120" s="239">
        <v>0</v>
      </c>
      <c r="M120" s="239">
        <v>0</v>
      </c>
      <c r="N120" s="239">
        <v>0</v>
      </c>
    </row>
    <row r="121" spans="1:14" ht="18">
      <c r="A121" s="239">
        <v>116</v>
      </c>
      <c r="B121" s="239" t="s">
        <v>2688</v>
      </c>
      <c r="C121" s="239">
        <v>150</v>
      </c>
      <c r="D121" s="239" t="s">
        <v>2686</v>
      </c>
      <c r="E121" s="240">
        <v>0.5</v>
      </c>
      <c r="F121" s="240">
        <v>6</v>
      </c>
      <c r="G121" s="239" t="s">
        <v>2540</v>
      </c>
      <c r="H121" s="239" t="s">
        <v>3232</v>
      </c>
      <c r="I121" s="239" t="s">
        <v>3395</v>
      </c>
      <c r="J121" s="239">
        <v>0</v>
      </c>
      <c r="K121" s="239">
        <v>0</v>
      </c>
      <c r="L121" s="239">
        <v>0</v>
      </c>
      <c r="M121" s="239">
        <v>0</v>
      </c>
      <c r="N121" s="239">
        <v>0</v>
      </c>
    </row>
    <row r="122" spans="1:14" ht="18">
      <c r="A122" s="239">
        <v>117</v>
      </c>
      <c r="B122" s="239" t="s">
        <v>2689</v>
      </c>
      <c r="C122" s="239">
        <v>110</v>
      </c>
      <c r="D122" s="239" t="s">
        <v>2686</v>
      </c>
      <c r="E122" s="240">
        <v>0.5</v>
      </c>
      <c r="F122" s="240">
        <v>6</v>
      </c>
      <c r="G122" s="239" t="s">
        <v>2557</v>
      </c>
      <c r="H122" s="239" t="s">
        <v>3232</v>
      </c>
      <c r="I122" s="239" t="s">
        <v>3395</v>
      </c>
      <c r="J122" s="239">
        <v>0</v>
      </c>
      <c r="K122" s="239">
        <v>0</v>
      </c>
      <c r="L122" s="239">
        <v>0</v>
      </c>
      <c r="M122" s="239">
        <v>0</v>
      </c>
      <c r="N122" s="239">
        <v>0</v>
      </c>
    </row>
    <row r="123" spans="1:14" ht="18">
      <c r="A123" s="239">
        <v>118</v>
      </c>
      <c r="B123" s="239" t="s">
        <v>2690</v>
      </c>
      <c r="C123" s="239">
        <v>130</v>
      </c>
      <c r="D123" s="239" t="s">
        <v>2686</v>
      </c>
      <c r="E123" s="240">
        <v>0.5</v>
      </c>
      <c r="F123" s="240">
        <v>6</v>
      </c>
      <c r="G123" s="239" t="s">
        <v>2537</v>
      </c>
      <c r="H123" s="239" t="s">
        <v>3232</v>
      </c>
      <c r="I123" s="239" t="s">
        <v>3395</v>
      </c>
      <c r="J123" s="239">
        <v>0</v>
      </c>
      <c r="K123" s="239">
        <v>0</v>
      </c>
      <c r="L123" s="239">
        <v>0</v>
      </c>
      <c r="M123" s="239">
        <v>0</v>
      </c>
      <c r="N123" s="239">
        <v>0</v>
      </c>
    </row>
    <row r="124" spans="1:14" ht="18">
      <c r="A124" s="239">
        <v>119</v>
      </c>
      <c r="B124" s="239" t="s">
        <v>2691</v>
      </c>
      <c r="C124" s="239">
        <v>150</v>
      </c>
      <c r="D124" s="239" t="s">
        <v>2686</v>
      </c>
      <c r="E124" s="240">
        <v>0.5</v>
      </c>
      <c r="F124" s="240">
        <v>6</v>
      </c>
      <c r="G124" s="239" t="s">
        <v>2540</v>
      </c>
      <c r="H124" s="239" t="s">
        <v>3232</v>
      </c>
      <c r="I124" s="239" t="s">
        <v>3395</v>
      </c>
      <c r="J124" s="239">
        <v>0</v>
      </c>
      <c r="K124" s="239">
        <v>0</v>
      </c>
      <c r="L124" s="239">
        <v>0</v>
      </c>
      <c r="M124" s="239">
        <v>0</v>
      </c>
      <c r="N124" s="239">
        <v>0</v>
      </c>
    </row>
    <row r="125" spans="1:14" ht="18">
      <c r="A125" s="239">
        <v>120</v>
      </c>
      <c r="B125" s="239" t="s">
        <v>2692</v>
      </c>
      <c r="C125" s="239">
        <v>110</v>
      </c>
      <c r="D125" s="239" t="s">
        <v>2686</v>
      </c>
      <c r="E125" s="240">
        <v>0.5</v>
      </c>
      <c r="F125" s="240">
        <v>6</v>
      </c>
      <c r="G125" s="239" t="s">
        <v>2557</v>
      </c>
      <c r="H125" s="239" t="s">
        <v>3232</v>
      </c>
      <c r="I125" s="239" t="s">
        <v>3395</v>
      </c>
      <c r="J125" s="239">
        <v>0</v>
      </c>
      <c r="K125" s="239">
        <v>0</v>
      </c>
      <c r="L125" s="239">
        <v>0</v>
      </c>
      <c r="M125" s="239">
        <v>0</v>
      </c>
      <c r="N125" s="239">
        <v>0</v>
      </c>
    </row>
    <row r="126" spans="1:14" ht="18">
      <c r="A126" s="239">
        <v>121</v>
      </c>
      <c r="B126" s="239" t="s">
        <v>2693</v>
      </c>
      <c r="C126" s="239">
        <v>130</v>
      </c>
      <c r="D126" s="239" t="s">
        <v>2686</v>
      </c>
      <c r="E126" s="240">
        <v>0.5</v>
      </c>
      <c r="F126" s="240">
        <v>6</v>
      </c>
      <c r="G126" s="239" t="s">
        <v>2537</v>
      </c>
      <c r="H126" s="239" t="s">
        <v>3232</v>
      </c>
      <c r="I126" s="239" t="s">
        <v>3395</v>
      </c>
      <c r="J126" s="239">
        <v>0</v>
      </c>
      <c r="K126" s="239">
        <v>0</v>
      </c>
      <c r="L126" s="239">
        <v>0</v>
      </c>
      <c r="M126" s="239">
        <v>0</v>
      </c>
      <c r="N126" s="239">
        <v>0</v>
      </c>
    </row>
    <row r="127" spans="1:14" ht="18">
      <c r="A127" s="239">
        <v>122</v>
      </c>
      <c r="B127" s="239" t="s">
        <v>2694</v>
      </c>
      <c r="C127" s="239">
        <v>150</v>
      </c>
      <c r="D127" s="239" t="s">
        <v>2686</v>
      </c>
      <c r="E127" s="240">
        <v>0.5</v>
      </c>
      <c r="F127" s="240">
        <v>6</v>
      </c>
      <c r="G127" s="239" t="s">
        <v>2540</v>
      </c>
      <c r="H127" s="239" t="s">
        <v>3232</v>
      </c>
      <c r="I127" s="239" t="s">
        <v>3395</v>
      </c>
      <c r="J127" s="239">
        <v>0</v>
      </c>
      <c r="K127" s="239">
        <v>0</v>
      </c>
      <c r="L127" s="239">
        <v>0</v>
      </c>
      <c r="M127" s="239">
        <v>0</v>
      </c>
      <c r="N127" s="239">
        <v>0</v>
      </c>
    </row>
    <row r="128" spans="1:14" ht="18">
      <c r="A128" s="239">
        <v>123</v>
      </c>
      <c r="B128" s="239" t="s">
        <v>2695</v>
      </c>
      <c r="C128" s="239">
        <v>130</v>
      </c>
      <c r="D128" s="239" t="s">
        <v>47</v>
      </c>
      <c r="E128" s="240">
        <v>0.5</v>
      </c>
      <c r="F128" s="240">
        <v>3.5</v>
      </c>
      <c r="G128" s="239" t="s">
        <v>2537</v>
      </c>
      <c r="H128" s="239" t="s">
        <v>3232</v>
      </c>
      <c r="I128" s="239" t="s">
        <v>1400</v>
      </c>
      <c r="J128" s="239" t="s">
        <v>2656</v>
      </c>
      <c r="K128" s="239" t="s">
        <v>1413</v>
      </c>
      <c r="L128" s="239">
        <v>0</v>
      </c>
      <c r="M128" s="239">
        <v>0.5</v>
      </c>
      <c r="N128" s="239">
        <v>0.5</v>
      </c>
    </row>
    <row r="129" spans="1:14" ht="18">
      <c r="A129" s="239">
        <v>124</v>
      </c>
      <c r="B129" s="239" t="s">
        <v>2696</v>
      </c>
      <c r="C129" s="239">
        <v>130</v>
      </c>
      <c r="D129" s="239" t="s">
        <v>47</v>
      </c>
      <c r="E129" s="240">
        <v>0.5</v>
      </c>
      <c r="F129" s="240">
        <v>3.5</v>
      </c>
      <c r="G129" s="239" t="s">
        <v>2537</v>
      </c>
      <c r="H129" s="239" t="s">
        <v>3232</v>
      </c>
      <c r="I129" s="239" t="s">
        <v>1400</v>
      </c>
      <c r="J129" s="239" t="s">
        <v>2656</v>
      </c>
      <c r="K129" s="239" t="s">
        <v>1413</v>
      </c>
      <c r="L129" s="239">
        <v>0</v>
      </c>
      <c r="M129" s="239">
        <v>0.5</v>
      </c>
      <c r="N129" s="239">
        <v>0.5</v>
      </c>
    </row>
    <row r="130" spans="1:14" ht="18">
      <c r="A130" s="239">
        <v>125</v>
      </c>
      <c r="B130" s="239" t="s">
        <v>2697</v>
      </c>
      <c r="C130" s="239">
        <v>130</v>
      </c>
      <c r="D130" s="239" t="s">
        <v>2698</v>
      </c>
      <c r="E130" s="240">
        <v>0.5</v>
      </c>
      <c r="F130" s="240">
        <v>3.5</v>
      </c>
      <c r="G130" s="239" t="s">
        <v>2537</v>
      </c>
      <c r="H130" s="239" t="s">
        <v>3232</v>
      </c>
      <c r="I130" s="239" t="s">
        <v>1400</v>
      </c>
      <c r="J130" s="239" t="s">
        <v>2656</v>
      </c>
      <c r="K130" s="239" t="s">
        <v>1413</v>
      </c>
      <c r="L130" s="239">
        <v>0</v>
      </c>
      <c r="M130" s="239">
        <v>0.5</v>
      </c>
      <c r="N130" s="239">
        <v>0.5</v>
      </c>
    </row>
    <row r="131" spans="1:14" ht="18">
      <c r="A131" s="239">
        <v>126</v>
      </c>
      <c r="B131" s="239" t="s">
        <v>2699</v>
      </c>
      <c r="C131" s="239">
        <v>150</v>
      </c>
      <c r="D131" s="239" t="s">
        <v>2698</v>
      </c>
      <c r="E131" s="240">
        <v>0.5</v>
      </c>
      <c r="F131" s="240">
        <v>3.5</v>
      </c>
      <c r="G131" s="239" t="s">
        <v>2540</v>
      </c>
      <c r="H131" s="239" t="s">
        <v>3232</v>
      </c>
      <c r="I131" s="239" t="s">
        <v>1400</v>
      </c>
      <c r="J131" s="239" t="s">
        <v>2656</v>
      </c>
      <c r="K131" s="239" t="s">
        <v>1413</v>
      </c>
      <c r="L131" s="239">
        <v>0</v>
      </c>
      <c r="M131" s="239">
        <v>0.5</v>
      </c>
      <c r="N131" s="239">
        <v>0.5</v>
      </c>
    </row>
    <row r="132" spans="1:14" ht="18">
      <c r="A132" s="239">
        <v>127</v>
      </c>
      <c r="B132" s="239" t="s">
        <v>2700</v>
      </c>
      <c r="C132" s="239">
        <v>170</v>
      </c>
      <c r="D132" s="239" t="s">
        <v>2698</v>
      </c>
      <c r="E132" s="240">
        <v>0.5</v>
      </c>
      <c r="F132" s="240">
        <v>3.5</v>
      </c>
      <c r="G132" s="239" t="s">
        <v>2545</v>
      </c>
      <c r="H132" s="239" t="s">
        <v>3232</v>
      </c>
      <c r="I132" s="239" t="s">
        <v>1400</v>
      </c>
      <c r="J132" s="239" t="s">
        <v>2656</v>
      </c>
      <c r="K132" s="239" t="s">
        <v>1413</v>
      </c>
      <c r="L132" s="239" t="s">
        <v>1408</v>
      </c>
      <c r="M132" s="239">
        <v>0.5</v>
      </c>
      <c r="N132" s="239">
        <v>0.5</v>
      </c>
    </row>
    <row r="133" spans="1:14" ht="18">
      <c r="A133" s="239">
        <v>128</v>
      </c>
      <c r="B133" s="239" t="s">
        <v>2701</v>
      </c>
      <c r="C133" s="239">
        <v>130</v>
      </c>
      <c r="D133" s="239" t="s">
        <v>2702</v>
      </c>
      <c r="E133" s="240">
        <v>0.5</v>
      </c>
      <c r="F133" s="240">
        <v>3.5</v>
      </c>
      <c r="G133" s="239" t="s">
        <v>2537</v>
      </c>
      <c r="H133" s="239" t="s">
        <v>3232</v>
      </c>
      <c r="I133" s="239" t="s">
        <v>1400</v>
      </c>
      <c r="J133" s="239">
        <v>0</v>
      </c>
      <c r="K133" s="239">
        <v>0</v>
      </c>
      <c r="L133" s="239">
        <v>0</v>
      </c>
      <c r="M133" s="239">
        <v>0</v>
      </c>
      <c r="N133" s="239">
        <v>0</v>
      </c>
    </row>
    <row r="134" spans="1:14" ht="18">
      <c r="A134" s="239">
        <v>129</v>
      </c>
      <c r="B134" s="239" t="s">
        <v>2703</v>
      </c>
      <c r="C134" s="239">
        <v>150</v>
      </c>
      <c r="D134" s="239" t="s">
        <v>2702</v>
      </c>
      <c r="E134" s="240">
        <v>0.5</v>
      </c>
      <c r="F134" s="240">
        <v>3.5</v>
      </c>
      <c r="G134" s="239" t="s">
        <v>2540</v>
      </c>
      <c r="H134" s="239" t="s">
        <v>3232</v>
      </c>
      <c r="I134" s="239" t="s">
        <v>1400</v>
      </c>
      <c r="J134" s="239">
        <v>0</v>
      </c>
      <c r="K134" s="239">
        <v>0</v>
      </c>
      <c r="L134" s="239">
        <v>0</v>
      </c>
      <c r="M134" s="239">
        <v>0</v>
      </c>
      <c r="N134" s="239">
        <v>0</v>
      </c>
    </row>
    <row r="135" spans="1:14" ht="18">
      <c r="A135" s="239">
        <v>130</v>
      </c>
      <c r="B135" s="239" t="s">
        <v>2704</v>
      </c>
      <c r="C135" s="239">
        <v>170</v>
      </c>
      <c r="D135" s="239" t="s">
        <v>2702</v>
      </c>
      <c r="E135" s="240">
        <v>0.5</v>
      </c>
      <c r="F135" s="240">
        <v>3.5</v>
      </c>
      <c r="G135" s="239" t="s">
        <v>2545</v>
      </c>
      <c r="H135" s="239" t="s">
        <v>3232</v>
      </c>
      <c r="I135" s="239" t="s">
        <v>1400</v>
      </c>
      <c r="J135" s="239">
        <v>0</v>
      </c>
      <c r="K135" s="239">
        <v>0</v>
      </c>
      <c r="L135" s="239">
        <v>0</v>
      </c>
      <c r="M135" s="239">
        <v>0</v>
      </c>
      <c r="N135" s="239">
        <v>0</v>
      </c>
    </row>
    <row r="136" spans="1:14" ht="18">
      <c r="A136" s="239">
        <v>131</v>
      </c>
      <c r="B136" s="239" t="s">
        <v>2705</v>
      </c>
      <c r="C136" s="239">
        <v>130</v>
      </c>
      <c r="D136" s="239" t="s">
        <v>2706</v>
      </c>
      <c r="E136" s="240">
        <v>0.5</v>
      </c>
      <c r="F136" s="239">
        <v>6</v>
      </c>
      <c r="G136" s="239" t="s">
        <v>2537</v>
      </c>
      <c r="H136" s="239" t="s">
        <v>3232</v>
      </c>
      <c r="I136" s="239" t="s">
        <v>3395</v>
      </c>
      <c r="J136" s="239" t="s">
        <v>2707</v>
      </c>
      <c r="K136" s="239" t="s">
        <v>1414</v>
      </c>
      <c r="L136" s="239" t="s">
        <v>1414</v>
      </c>
      <c r="M136" s="239">
        <v>0.5</v>
      </c>
      <c r="N136" s="239">
        <v>0.5</v>
      </c>
    </row>
    <row r="137" spans="1:14" ht="18">
      <c r="A137" s="239">
        <v>132</v>
      </c>
      <c r="B137" s="239" t="s">
        <v>2708</v>
      </c>
      <c r="C137" s="239">
        <v>170</v>
      </c>
      <c r="D137" s="239" t="s">
        <v>2706</v>
      </c>
      <c r="E137" s="240">
        <v>0.5</v>
      </c>
      <c r="F137" s="239">
        <v>6</v>
      </c>
      <c r="G137" s="239" t="s">
        <v>2545</v>
      </c>
      <c r="H137" s="239" t="s">
        <v>3232</v>
      </c>
      <c r="I137" s="239" t="s">
        <v>3395</v>
      </c>
      <c r="J137" s="239" t="s">
        <v>2707</v>
      </c>
      <c r="K137" s="239" t="s">
        <v>1414</v>
      </c>
      <c r="L137" s="239" t="s">
        <v>1414</v>
      </c>
      <c r="M137" s="239">
        <v>0.5</v>
      </c>
      <c r="N137" s="239">
        <v>0.5</v>
      </c>
    </row>
    <row r="138" spans="1:14" ht="18">
      <c r="A138" s="239">
        <v>133</v>
      </c>
      <c r="B138" s="239" t="s">
        <v>2709</v>
      </c>
      <c r="C138" s="239">
        <v>170</v>
      </c>
      <c r="D138" s="239" t="s">
        <v>2710</v>
      </c>
      <c r="E138" s="240">
        <v>0.5</v>
      </c>
      <c r="F138" s="239">
        <v>6</v>
      </c>
      <c r="G138" s="239" t="s">
        <v>2545</v>
      </c>
      <c r="H138" s="239" t="s">
        <v>3232</v>
      </c>
      <c r="I138" s="239" t="s">
        <v>3395</v>
      </c>
      <c r="J138" s="239">
        <v>0</v>
      </c>
      <c r="K138" s="239">
        <v>0</v>
      </c>
      <c r="L138" s="239">
        <v>0</v>
      </c>
      <c r="M138" s="239">
        <v>0</v>
      </c>
      <c r="N138" s="239">
        <v>0</v>
      </c>
    </row>
    <row r="139" spans="1:14" ht="18">
      <c r="A139" s="239">
        <v>134</v>
      </c>
      <c r="B139" s="239" t="s">
        <v>2711</v>
      </c>
      <c r="C139" s="239">
        <v>130</v>
      </c>
      <c r="D139" s="239" t="s">
        <v>2710</v>
      </c>
      <c r="E139" s="240">
        <v>0.5</v>
      </c>
      <c r="F139" s="239">
        <v>6</v>
      </c>
      <c r="G139" s="239" t="s">
        <v>2537</v>
      </c>
      <c r="H139" s="239" t="s">
        <v>3232</v>
      </c>
      <c r="I139" s="239" t="s">
        <v>3395</v>
      </c>
      <c r="J139" s="239">
        <v>0</v>
      </c>
      <c r="K139" s="239">
        <v>0</v>
      </c>
      <c r="L139" s="239">
        <v>0</v>
      </c>
      <c r="M139" s="239">
        <v>0</v>
      </c>
      <c r="N139" s="239">
        <v>0</v>
      </c>
    </row>
    <row r="140" spans="1:14" ht="18">
      <c r="A140" s="239">
        <v>135</v>
      </c>
      <c r="B140" s="239" t="s">
        <v>2712</v>
      </c>
      <c r="C140" s="239">
        <v>150</v>
      </c>
      <c r="D140" s="239" t="s">
        <v>2710</v>
      </c>
      <c r="E140" s="240">
        <v>0.5</v>
      </c>
      <c r="F140" s="239">
        <v>6</v>
      </c>
      <c r="G140" s="239" t="s">
        <v>2540</v>
      </c>
      <c r="H140" s="239" t="s">
        <v>3232</v>
      </c>
      <c r="I140" s="239" t="s">
        <v>3395</v>
      </c>
      <c r="J140" s="239">
        <v>0</v>
      </c>
      <c r="K140" s="239">
        <v>0</v>
      </c>
      <c r="L140" s="239">
        <v>0</v>
      </c>
      <c r="M140" s="239">
        <v>0</v>
      </c>
      <c r="N140" s="239">
        <v>0</v>
      </c>
    </row>
    <row r="141" spans="1:14" ht="18">
      <c r="A141" s="239">
        <v>136</v>
      </c>
      <c r="B141" s="239" t="s">
        <v>2713</v>
      </c>
      <c r="C141" s="239">
        <v>170</v>
      </c>
      <c r="D141" s="239" t="s">
        <v>2710</v>
      </c>
      <c r="E141" s="240">
        <v>0.5</v>
      </c>
      <c r="F141" s="239">
        <v>6</v>
      </c>
      <c r="G141" s="239" t="s">
        <v>2545</v>
      </c>
      <c r="H141" s="239" t="s">
        <v>3232</v>
      </c>
      <c r="I141" s="239" t="s">
        <v>3395</v>
      </c>
      <c r="J141" s="239">
        <v>0</v>
      </c>
      <c r="K141" s="239">
        <v>0</v>
      </c>
      <c r="L141" s="239">
        <v>0</v>
      </c>
      <c r="M141" s="239">
        <v>0</v>
      </c>
      <c r="N141" s="239">
        <v>0</v>
      </c>
    </row>
    <row r="142" spans="1:14" ht="18">
      <c r="A142" s="239">
        <v>137</v>
      </c>
      <c r="B142" s="239" t="s">
        <v>2714</v>
      </c>
      <c r="C142" s="239">
        <v>130</v>
      </c>
      <c r="D142" s="239" t="s">
        <v>2710</v>
      </c>
      <c r="E142" s="240">
        <v>0.5</v>
      </c>
      <c r="F142" s="239">
        <v>6</v>
      </c>
      <c r="G142" s="239" t="s">
        <v>2537</v>
      </c>
      <c r="H142" s="239" t="s">
        <v>3232</v>
      </c>
      <c r="I142" s="239" t="s">
        <v>3395</v>
      </c>
      <c r="J142" s="239">
        <v>0</v>
      </c>
      <c r="K142" s="239">
        <v>0</v>
      </c>
      <c r="L142" s="239">
        <v>0</v>
      </c>
      <c r="M142" s="239">
        <v>0</v>
      </c>
      <c r="N142" s="239">
        <v>0</v>
      </c>
    </row>
    <row r="143" spans="1:14" ht="18">
      <c r="A143" s="239">
        <v>138</v>
      </c>
      <c r="B143" s="239" t="s">
        <v>2715</v>
      </c>
      <c r="C143" s="239">
        <v>150</v>
      </c>
      <c r="D143" s="239" t="s">
        <v>2710</v>
      </c>
      <c r="E143" s="240">
        <v>0.5</v>
      </c>
      <c r="F143" s="239">
        <v>6</v>
      </c>
      <c r="G143" s="239" t="s">
        <v>2540</v>
      </c>
      <c r="H143" s="239" t="s">
        <v>3232</v>
      </c>
      <c r="I143" s="239" t="s">
        <v>3395</v>
      </c>
      <c r="J143" s="239">
        <v>0</v>
      </c>
      <c r="K143" s="239">
        <v>0</v>
      </c>
      <c r="L143" s="239">
        <v>0</v>
      </c>
      <c r="M143" s="239">
        <v>0</v>
      </c>
      <c r="N143" s="239">
        <v>0</v>
      </c>
    </row>
    <row r="144" spans="1:14" ht="18">
      <c r="A144" s="239">
        <v>139</v>
      </c>
      <c r="B144" s="239" t="s">
        <v>2716</v>
      </c>
      <c r="C144" s="239">
        <v>130</v>
      </c>
      <c r="D144" s="239" t="s">
        <v>2717</v>
      </c>
      <c r="E144" s="240">
        <v>0.5</v>
      </c>
      <c r="F144" s="239">
        <v>6</v>
      </c>
      <c r="G144" s="239" t="s">
        <v>2537</v>
      </c>
      <c r="H144" s="239" t="s">
        <v>3232</v>
      </c>
      <c r="I144" s="239" t="s">
        <v>3395</v>
      </c>
      <c r="J144" s="239">
        <v>0</v>
      </c>
      <c r="K144" s="239">
        <v>0</v>
      </c>
      <c r="L144" s="239">
        <v>0</v>
      </c>
      <c r="M144" s="239">
        <v>0</v>
      </c>
      <c r="N144" s="239">
        <v>0</v>
      </c>
    </row>
    <row r="145" spans="1:14" ht="18">
      <c r="A145" s="239">
        <v>140</v>
      </c>
      <c r="B145" s="239" t="s">
        <v>2718</v>
      </c>
      <c r="C145" s="239">
        <v>130</v>
      </c>
      <c r="D145" s="239" t="s">
        <v>2719</v>
      </c>
      <c r="E145" s="240">
        <v>0.5</v>
      </c>
      <c r="F145" s="239">
        <v>6</v>
      </c>
      <c r="G145" s="239" t="s">
        <v>2537</v>
      </c>
      <c r="H145" s="239" t="s">
        <v>3232</v>
      </c>
      <c r="I145" s="239" t="s">
        <v>3395</v>
      </c>
      <c r="J145" s="239">
        <v>0</v>
      </c>
      <c r="K145" s="239">
        <v>0</v>
      </c>
      <c r="L145" s="239">
        <v>0</v>
      </c>
      <c r="M145" s="239">
        <v>0</v>
      </c>
      <c r="N145" s="239">
        <v>0</v>
      </c>
    </row>
    <row r="146" spans="1:14" ht="18">
      <c r="A146" s="239">
        <v>141</v>
      </c>
      <c r="B146" s="239" t="s">
        <v>2720</v>
      </c>
      <c r="C146" s="239">
        <v>130</v>
      </c>
      <c r="D146" s="239" t="s">
        <v>2719</v>
      </c>
      <c r="E146" s="240">
        <v>0.5</v>
      </c>
      <c r="F146" s="239">
        <v>6</v>
      </c>
      <c r="G146" s="239" t="s">
        <v>2537</v>
      </c>
      <c r="H146" s="239" t="s">
        <v>3232</v>
      </c>
      <c r="I146" s="239" t="s">
        <v>3395</v>
      </c>
      <c r="J146" s="239">
        <v>0</v>
      </c>
      <c r="K146" s="239">
        <v>0</v>
      </c>
      <c r="L146" s="239">
        <v>0</v>
      </c>
      <c r="M146" s="239">
        <v>0</v>
      </c>
      <c r="N146" s="239">
        <v>0</v>
      </c>
    </row>
    <row r="147" spans="1:14" ht="18">
      <c r="A147" s="239">
        <v>142</v>
      </c>
      <c r="B147" s="239" t="s">
        <v>2721</v>
      </c>
      <c r="C147" s="239">
        <v>130</v>
      </c>
      <c r="D147" s="239" t="s">
        <v>2717</v>
      </c>
      <c r="E147" s="240">
        <v>0.5</v>
      </c>
      <c r="F147" s="239">
        <v>6</v>
      </c>
      <c r="G147" s="239" t="s">
        <v>2537</v>
      </c>
      <c r="H147" s="239" t="s">
        <v>3232</v>
      </c>
      <c r="I147" s="239" t="s">
        <v>3395</v>
      </c>
      <c r="J147" s="239">
        <v>0</v>
      </c>
      <c r="K147" s="239">
        <v>0</v>
      </c>
      <c r="L147" s="239">
        <v>0</v>
      </c>
      <c r="M147" s="239">
        <v>0</v>
      </c>
      <c r="N147" s="239">
        <v>0</v>
      </c>
    </row>
    <row r="148" spans="1:14" ht="18">
      <c r="A148" s="239">
        <v>143</v>
      </c>
      <c r="B148" s="239" t="s">
        <v>2722</v>
      </c>
      <c r="C148" s="239">
        <v>150</v>
      </c>
      <c r="D148" s="239" t="s">
        <v>2723</v>
      </c>
      <c r="E148" s="240">
        <v>0.5</v>
      </c>
      <c r="F148" s="239">
        <v>6</v>
      </c>
      <c r="G148" s="239" t="s">
        <v>2540</v>
      </c>
      <c r="H148" s="239" t="s">
        <v>3232</v>
      </c>
      <c r="I148" s="239" t="s">
        <v>3395</v>
      </c>
      <c r="J148" s="239">
        <v>0</v>
      </c>
      <c r="K148" s="239">
        <v>0</v>
      </c>
      <c r="L148" s="239">
        <v>0</v>
      </c>
      <c r="M148" s="239">
        <v>0</v>
      </c>
      <c r="N148" s="239">
        <v>0</v>
      </c>
    </row>
    <row r="149" spans="1:14" ht="18">
      <c r="A149" s="239">
        <v>144</v>
      </c>
      <c r="B149" s="239" t="s">
        <v>2724</v>
      </c>
      <c r="C149" s="239">
        <v>150</v>
      </c>
      <c r="D149" s="239" t="s">
        <v>2723</v>
      </c>
      <c r="E149" s="240">
        <v>0.5</v>
      </c>
      <c r="F149" s="239">
        <v>6</v>
      </c>
      <c r="G149" s="239" t="s">
        <v>2540</v>
      </c>
      <c r="H149" s="239" t="s">
        <v>3232</v>
      </c>
      <c r="I149" s="239" t="s">
        <v>3395</v>
      </c>
      <c r="J149" s="239">
        <v>0</v>
      </c>
      <c r="K149" s="239">
        <v>0</v>
      </c>
      <c r="L149" s="239">
        <v>0</v>
      </c>
      <c r="M149" s="239">
        <v>0</v>
      </c>
      <c r="N149" s="239">
        <v>0</v>
      </c>
    </row>
    <row r="150" spans="1:14" ht="18">
      <c r="A150" s="239">
        <v>145</v>
      </c>
      <c r="B150" s="239" t="s">
        <v>2725</v>
      </c>
      <c r="C150" s="239">
        <v>150</v>
      </c>
      <c r="D150" s="239" t="s">
        <v>2726</v>
      </c>
      <c r="E150" s="240">
        <v>0.5</v>
      </c>
      <c r="F150" s="239">
        <v>6</v>
      </c>
      <c r="G150" s="239" t="s">
        <v>2540</v>
      </c>
      <c r="H150" s="239" t="s">
        <v>3232</v>
      </c>
      <c r="I150" s="239" t="s">
        <v>3395</v>
      </c>
      <c r="J150" s="239">
        <v>0</v>
      </c>
      <c r="K150" s="239">
        <v>0</v>
      </c>
      <c r="L150" s="239">
        <v>0</v>
      </c>
      <c r="M150" s="239">
        <v>0</v>
      </c>
      <c r="N150" s="239">
        <v>0</v>
      </c>
    </row>
    <row r="151" spans="1:14" ht="18">
      <c r="A151" s="239">
        <v>146</v>
      </c>
      <c r="B151" s="239" t="s">
        <v>2727</v>
      </c>
      <c r="C151" s="239">
        <v>150</v>
      </c>
      <c r="D151" s="239" t="s">
        <v>2728</v>
      </c>
      <c r="E151" s="240">
        <v>0.5</v>
      </c>
      <c r="F151" s="239">
        <v>6</v>
      </c>
      <c r="G151" s="239" t="s">
        <v>2540</v>
      </c>
      <c r="H151" s="239" t="s">
        <v>3232</v>
      </c>
      <c r="I151" s="239" t="s">
        <v>3395</v>
      </c>
      <c r="J151" s="239">
        <v>0</v>
      </c>
      <c r="K151" s="239">
        <v>0</v>
      </c>
      <c r="L151" s="239">
        <v>0</v>
      </c>
      <c r="M151" s="239">
        <v>0</v>
      </c>
      <c r="N151" s="239">
        <v>0</v>
      </c>
    </row>
    <row r="152" spans="1:14" ht="18">
      <c r="A152" s="239">
        <v>147</v>
      </c>
      <c r="B152" s="239" t="s">
        <v>2729</v>
      </c>
      <c r="C152" s="239">
        <v>150</v>
      </c>
      <c r="D152" s="239" t="s">
        <v>2728</v>
      </c>
      <c r="E152" s="240">
        <v>0.5</v>
      </c>
      <c r="F152" s="239">
        <v>6</v>
      </c>
      <c r="G152" s="239" t="s">
        <v>2540</v>
      </c>
      <c r="H152" s="239" t="s">
        <v>3232</v>
      </c>
      <c r="I152" s="239" t="s">
        <v>3395</v>
      </c>
      <c r="J152" s="239">
        <v>0</v>
      </c>
      <c r="K152" s="239">
        <v>0</v>
      </c>
      <c r="L152" s="239">
        <v>0</v>
      </c>
      <c r="M152" s="239">
        <v>0</v>
      </c>
      <c r="N152" s="239">
        <v>0</v>
      </c>
    </row>
    <row r="153" spans="1:14" ht="18">
      <c r="A153" s="239">
        <v>148</v>
      </c>
      <c r="B153" s="239" t="s">
        <v>2730</v>
      </c>
      <c r="C153" s="239">
        <v>150</v>
      </c>
      <c r="D153" s="239" t="s">
        <v>2726</v>
      </c>
      <c r="E153" s="240">
        <v>0.5</v>
      </c>
      <c r="F153" s="239">
        <v>6</v>
      </c>
      <c r="G153" s="239" t="s">
        <v>2540</v>
      </c>
      <c r="H153" s="239" t="s">
        <v>3232</v>
      </c>
      <c r="I153" s="239" t="s">
        <v>3395</v>
      </c>
      <c r="J153" s="239">
        <v>0</v>
      </c>
      <c r="K153" s="239">
        <v>0</v>
      </c>
      <c r="L153" s="239">
        <v>0</v>
      </c>
      <c r="M153" s="239">
        <v>0</v>
      </c>
      <c r="N153" s="239">
        <v>0</v>
      </c>
    </row>
    <row r="154" spans="1:14" ht="18">
      <c r="A154" s="239">
        <v>149</v>
      </c>
      <c r="B154" s="239" t="s">
        <v>2731</v>
      </c>
      <c r="C154" s="239">
        <v>150</v>
      </c>
      <c r="D154" s="239" t="s">
        <v>2732</v>
      </c>
      <c r="E154" s="240">
        <v>0.5</v>
      </c>
      <c r="F154" s="239">
        <v>6</v>
      </c>
      <c r="G154" s="239" t="s">
        <v>2540</v>
      </c>
      <c r="H154" s="239" t="s">
        <v>3232</v>
      </c>
      <c r="I154" s="239" t="s">
        <v>3395</v>
      </c>
      <c r="J154" s="239">
        <v>0</v>
      </c>
      <c r="K154" s="239">
        <v>0</v>
      </c>
      <c r="L154" s="239">
        <v>0</v>
      </c>
      <c r="M154" s="239">
        <v>0</v>
      </c>
      <c r="N154" s="239">
        <v>0</v>
      </c>
    </row>
    <row r="155" spans="1:14" ht="18">
      <c r="A155" s="239">
        <v>150</v>
      </c>
      <c r="B155" s="239" t="s">
        <v>2733</v>
      </c>
      <c r="C155" s="239">
        <v>150</v>
      </c>
      <c r="D155" s="239" t="s">
        <v>2732</v>
      </c>
      <c r="E155" s="240">
        <v>0.5</v>
      </c>
      <c r="F155" s="239">
        <v>6</v>
      </c>
      <c r="G155" s="239" t="s">
        <v>2540</v>
      </c>
      <c r="H155" s="239" t="s">
        <v>3232</v>
      </c>
      <c r="I155" s="239" t="s">
        <v>3395</v>
      </c>
      <c r="J155" s="239">
        <v>0</v>
      </c>
      <c r="K155" s="239">
        <v>0</v>
      </c>
      <c r="L155" s="239">
        <v>0</v>
      </c>
      <c r="M155" s="239">
        <v>0</v>
      </c>
      <c r="N155" s="239">
        <v>0</v>
      </c>
    </row>
    <row r="156" spans="1:14" ht="18">
      <c r="A156" s="239">
        <v>151</v>
      </c>
      <c r="B156" s="239" t="s">
        <v>2734</v>
      </c>
      <c r="C156" s="239">
        <v>110</v>
      </c>
      <c r="D156" s="239" t="s">
        <v>2735</v>
      </c>
      <c r="E156" s="240">
        <v>0.5</v>
      </c>
      <c r="F156" s="239">
        <v>6</v>
      </c>
      <c r="G156" s="239" t="s">
        <v>2557</v>
      </c>
      <c r="H156" s="239" t="s">
        <v>3232</v>
      </c>
      <c r="I156" s="239" t="s">
        <v>3395</v>
      </c>
      <c r="J156" s="239">
        <v>0</v>
      </c>
      <c r="K156" s="239">
        <v>0</v>
      </c>
      <c r="L156" s="239">
        <v>0</v>
      </c>
      <c r="M156" s="239">
        <v>0</v>
      </c>
      <c r="N156" s="239">
        <v>0</v>
      </c>
    </row>
    <row r="157" spans="1:14" ht="18">
      <c r="A157" s="239">
        <v>152</v>
      </c>
      <c r="B157" s="239" t="s">
        <v>2736</v>
      </c>
      <c r="C157" s="239">
        <v>110</v>
      </c>
      <c r="D157" s="239" t="s">
        <v>2737</v>
      </c>
      <c r="E157" s="240">
        <v>0.5</v>
      </c>
      <c r="F157" s="239">
        <v>6</v>
      </c>
      <c r="G157" s="239" t="s">
        <v>2557</v>
      </c>
      <c r="H157" s="239" t="s">
        <v>3232</v>
      </c>
      <c r="I157" s="239" t="s">
        <v>3395</v>
      </c>
      <c r="J157" s="239">
        <v>0</v>
      </c>
      <c r="K157" s="239">
        <v>0</v>
      </c>
      <c r="L157" s="239">
        <v>0</v>
      </c>
      <c r="M157" s="239">
        <v>0</v>
      </c>
      <c r="N157" s="239">
        <v>0</v>
      </c>
    </row>
    <row r="158" spans="1:14" ht="18">
      <c r="A158" s="239">
        <v>153</v>
      </c>
      <c r="B158" s="239" t="s">
        <v>2738</v>
      </c>
      <c r="C158" s="239">
        <v>110</v>
      </c>
      <c r="D158" s="239" t="s">
        <v>2737</v>
      </c>
      <c r="E158" s="240">
        <v>0.5</v>
      </c>
      <c r="F158" s="239">
        <v>6</v>
      </c>
      <c r="G158" s="239" t="s">
        <v>2557</v>
      </c>
      <c r="H158" s="239" t="s">
        <v>3232</v>
      </c>
      <c r="I158" s="239" t="s">
        <v>3395</v>
      </c>
      <c r="J158" s="239">
        <v>0</v>
      </c>
      <c r="K158" s="239">
        <v>0</v>
      </c>
      <c r="L158" s="239">
        <v>0</v>
      </c>
      <c r="M158" s="239">
        <v>0</v>
      </c>
      <c r="N158" s="239">
        <v>0</v>
      </c>
    </row>
    <row r="159" spans="1:14" ht="18">
      <c r="A159" s="239">
        <v>154</v>
      </c>
      <c r="B159" s="239" t="s">
        <v>2739</v>
      </c>
      <c r="C159" s="239">
        <v>110</v>
      </c>
      <c r="D159" s="239" t="s">
        <v>2737</v>
      </c>
      <c r="E159" s="240">
        <v>0.5</v>
      </c>
      <c r="F159" s="239">
        <v>6</v>
      </c>
      <c r="G159" s="239" t="s">
        <v>2557</v>
      </c>
      <c r="H159" s="239" t="s">
        <v>3232</v>
      </c>
      <c r="I159" s="239" t="s">
        <v>3395</v>
      </c>
      <c r="J159" s="239">
        <v>0</v>
      </c>
      <c r="K159" s="239">
        <v>0</v>
      </c>
      <c r="L159" s="239">
        <v>0</v>
      </c>
      <c r="M159" s="239">
        <v>0</v>
      </c>
      <c r="N159" s="239">
        <v>0</v>
      </c>
    </row>
    <row r="160" spans="1:14" ht="18">
      <c r="A160" s="239">
        <v>155</v>
      </c>
      <c r="B160" s="239" t="s">
        <v>2740</v>
      </c>
      <c r="C160" s="239">
        <v>110</v>
      </c>
      <c r="D160" s="239" t="s">
        <v>2735</v>
      </c>
      <c r="E160" s="240">
        <v>0.5</v>
      </c>
      <c r="F160" s="239">
        <v>6</v>
      </c>
      <c r="G160" s="239" t="s">
        <v>2557</v>
      </c>
      <c r="H160" s="239" t="s">
        <v>3232</v>
      </c>
      <c r="I160" s="239" t="s">
        <v>3395</v>
      </c>
      <c r="J160" s="239">
        <v>0</v>
      </c>
      <c r="K160" s="239">
        <v>0</v>
      </c>
      <c r="L160" s="239">
        <v>0</v>
      </c>
      <c r="M160" s="239">
        <v>0</v>
      </c>
      <c r="N160" s="239">
        <v>0</v>
      </c>
    </row>
    <row r="161" spans="1:14" ht="18">
      <c r="A161" s="239">
        <v>156</v>
      </c>
      <c r="B161" s="239" t="s">
        <v>2741</v>
      </c>
      <c r="C161" s="239">
        <v>110</v>
      </c>
      <c r="D161" s="239" t="s">
        <v>2735</v>
      </c>
      <c r="E161" s="240">
        <v>0.5</v>
      </c>
      <c r="F161" s="239">
        <v>6</v>
      </c>
      <c r="G161" s="239" t="s">
        <v>2557</v>
      </c>
      <c r="H161" s="239" t="s">
        <v>3232</v>
      </c>
      <c r="I161" s="239" t="s">
        <v>3395</v>
      </c>
      <c r="J161" s="239">
        <v>0</v>
      </c>
      <c r="K161" s="239">
        <v>0</v>
      </c>
      <c r="L161" s="239">
        <v>0</v>
      </c>
      <c r="M161" s="239">
        <v>0</v>
      </c>
      <c r="N161" s="239">
        <v>0</v>
      </c>
    </row>
    <row r="162" spans="1:14" ht="18">
      <c r="A162" s="239">
        <v>157</v>
      </c>
      <c r="B162" s="239" t="s">
        <v>2742</v>
      </c>
      <c r="C162" s="239">
        <v>110</v>
      </c>
      <c r="D162" s="239" t="s">
        <v>2743</v>
      </c>
      <c r="E162" s="240">
        <v>0.5</v>
      </c>
      <c r="F162" s="239">
        <v>6</v>
      </c>
      <c r="G162" s="239" t="s">
        <v>2557</v>
      </c>
      <c r="H162" s="239" t="s">
        <v>3232</v>
      </c>
      <c r="I162" s="239" t="s">
        <v>3395</v>
      </c>
      <c r="J162" s="239">
        <v>0</v>
      </c>
      <c r="K162" s="239">
        <v>0</v>
      </c>
      <c r="L162" s="239">
        <v>0</v>
      </c>
      <c r="M162" s="239">
        <v>0</v>
      </c>
      <c r="N162" s="239">
        <v>0</v>
      </c>
    </row>
    <row r="163" spans="1:14" ht="18">
      <c r="A163" s="239">
        <v>158</v>
      </c>
      <c r="B163" s="239" t="s">
        <v>2744</v>
      </c>
      <c r="C163" s="239">
        <v>110</v>
      </c>
      <c r="D163" s="239" t="s">
        <v>2743</v>
      </c>
      <c r="E163" s="240">
        <v>0.5</v>
      </c>
      <c r="F163" s="239">
        <v>6</v>
      </c>
      <c r="G163" s="239" t="s">
        <v>2557</v>
      </c>
      <c r="H163" s="239" t="s">
        <v>3232</v>
      </c>
      <c r="I163" s="239" t="s">
        <v>3395</v>
      </c>
      <c r="J163" s="239">
        <v>0</v>
      </c>
      <c r="K163" s="239">
        <v>0</v>
      </c>
      <c r="L163" s="239">
        <v>0</v>
      </c>
      <c r="M163" s="239">
        <v>0</v>
      </c>
      <c r="N163" s="239">
        <v>0</v>
      </c>
    </row>
    <row r="164" spans="1:14" ht="18">
      <c r="A164" s="239">
        <v>159</v>
      </c>
      <c r="B164" s="241" t="s">
        <v>2745</v>
      </c>
      <c r="C164" s="241">
        <v>110</v>
      </c>
      <c r="D164" s="239" t="s">
        <v>2743</v>
      </c>
      <c r="E164" s="240">
        <v>0.5</v>
      </c>
      <c r="F164" s="239">
        <v>6</v>
      </c>
      <c r="G164" s="239" t="s">
        <v>2557</v>
      </c>
      <c r="H164" s="239" t="s">
        <v>3232</v>
      </c>
      <c r="I164" s="239" t="s">
        <v>3395</v>
      </c>
      <c r="J164" s="239">
        <v>0</v>
      </c>
      <c r="K164" s="239">
        <v>0</v>
      </c>
      <c r="L164" s="239">
        <v>0</v>
      </c>
      <c r="M164" s="239">
        <v>0</v>
      </c>
      <c r="N164" s="239">
        <v>0</v>
      </c>
    </row>
    <row r="165" spans="1:14" ht="18">
      <c r="A165" s="239">
        <v>162</v>
      </c>
      <c r="B165" s="239" t="s">
        <v>2746</v>
      </c>
      <c r="C165" s="239">
        <v>130</v>
      </c>
      <c r="D165" s="239" t="s">
        <v>2747</v>
      </c>
      <c r="E165" s="240">
        <v>0.5</v>
      </c>
      <c r="F165" s="239">
        <v>6</v>
      </c>
      <c r="G165" s="239" t="s">
        <v>2537</v>
      </c>
      <c r="H165" s="239" t="s">
        <v>3232</v>
      </c>
      <c r="I165" s="239" t="s">
        <v>3395</v>
      </c>
      <c r="J165" s="239">
        <v>0</v>
      </c>
      <c r="K165" s="239">
        <v>0</v>
      </c>
      <c r="L165" s="239">
        <v>0</v>
      </c>
      <c r="M165" s="239">
        <v>0</v>
      </c>
      <c r="N165" s="239">
        <v>0</v>
      </c>
    </row>
    <row r="166" spans="1:14" ht="18">
      <c r="A166" s="239">
        <v>163</v>
      </c>
      <c r="B166" s="239" t="s">
        <v>2748</v>
      </c>
      <c r="C166" s="239">
        <v>150</v>
      </c>
      <c r="D166" s="239" t="s">
        <v>2747</v>
      </c>
      <c r="E166" s="240">
        <v>0.5</v>
      </c>
      <c r="F166" s="239">
        <v>6</v>
      </c>
      <c r="G166" s="239" t="s">
        <v>2540</v>
      </c>
      <c r="H166" s="239" t="s">
        <v>3232</v>
      </c>
      <c r="I166" s="239" t="s">
        <v>3395</v>
      </c>
      <c r="J166" s="239">
        <v>0</v>
      </c>
      <c r="K166" s="239">
        <v>0</v>
      </c>
      <c r="L166" s="239">
        <v>0</v>
      </c>
      <c r="M166" s="239">
        <v>0</v>
      </c>
      <c r="N166" s="239">
        <v>0</v>
      </c>
    </row>
    <row r="167" spans="1:14" ht="18">
      <c r="A167" s="239">
        <v>160</v>
      </c>
      <c r="B167" s="239" t="s">
        <v>2749</v>
      </c>
      <c r="C167" s="239">
        <v>170</v>
      </c>
      <c r="D167" s="239" t="s">
        <v>2747</v>
      </c>
      <c r="E167" s="240">
        <v>0.5</v>
      </c>
      <c r="F167" s="239">
        <v>6</v>
      </c>
      <c r="G167" s="239" t="s">
        <v>2545</v>
      </c>
      <c r="H167" s="239" t="s">
        <v>3232</v>
      </c>
      <c r="I167" s="239" t="s">
        <v>3395</v>
      </c>
      <c r="J167" s="239">
        <v>0</v>
      </c>
      <c r="K167" s="239">
        <v>0</v>
      </c>
      <c r="L167" s="239">
        <v>0</v>
      </c>
      <c r="M167" s="239">
        <v>0</v>
      </c>
      <c r="N167" s="239">
        <v>0</v>
      </c>
    </row>
    <row r="168" spans="1:14" ht="18">
      <c r="A168" s="239">
        <v>161</v>
      </c>
      <c r="B168" s="239" t="s">
        <v>2750</v>
      </c>
      <c r="C168" s="239">
        <v>170</v>
      </c>
      <c r="D168" s="239" t="s">
        <v>2747</v>
      </c>
      <c r="E168" s="240">
        <v>0.5</v>
      </c>
      <c r="F168" s="239">
        <v>6</v>
      </c>
      <c r="G168" s="239" t="s">
        <v>2545</v>
      </c>
      <c r="H168" s="239" t="s">
        <v>3232</v>
      </c>
      <c r="I168" s="239" t="s">
        <v>3395</v>
      </c>
      <c r="J168" s="239">
        <v>0</v>
      </c>
      <c r="K168" s="239">
        <v>0</v>
      </c>
      <c r="L168" s="239">
        <v>0</v>
      </c>
      <c r="M168" s="239">
        <v>0</v>
      </c>
      <c r="N168" s="239">
        <v>0</v>
      </c>
    </row>
    <row r="169" spans="1:14" ht="18">
      <c r="A169" s="239">
        <v>166</v>
      </c>
      <c r="B169" s="239" t="s">
        <v>2751</v>
      </c>
      <c r="C169" s="239">
        <v>110</v>
      </c>
      <c r="D169" s="239" t="s">
        <v>2752</v>
      </c>
      <c r="E169" s="240">
        <v>0.5</v>
      </c>
      <c r="F169" s="239">
        <v>6</v>
      </c>
      <c r="G169" s="239" t="s">
        <v>2557</v>
      </c>
      <c r="H169" s="239" t="s">
        <v>3232</v>
      </c>
      <c r="I169" s="239" t="s">
        <v>3395</v>
      </c>
      <c r="J169" s="239">
        <v>0</v>
      </c>
      <c r="K169" s="239">
        <v>0</v>
      </c>
      <c r="L169" s="239">
        <v>0</v>
      </c>
      <c r="M169" s="239">
        <v>0</v>
      </c>
      <c r="N169" s="239">
        <v>0</v>
      </c>
    </row>
    <row r="170" spans="1:14" ht="18">
      <c r="A170" s="239">
        <v>167</v>
      </c>
      <c r="B170" s="239" t="s">
        <v>2753</v>
      </c>
      <c r="C170" s="239">
        <v>150</v>
      </c>
      <c r="D170" s="239" t="s">
        <v>2752</v>
      </c>
      <c r="E170" s="240">
        <v>0.5</v>
      </c>
      <c r="F170" s="239">
        <v>6</v>
      </c>
      <c r="G170" s="239" t="s">
        <v>2540</v>
      </c>
      <c r="H170" s="239" t="s">
        <v>3232</v>
      </c>
      <c r="I170" s="239" t="s">
        <v>3395</v>
      </c>
      <c r="J170" s="239">
        <v>0</v>
      </c>
      <c r="K170" s="239">
        <v>0</v>
      </c>
      <c r="L170" s="239">
        <v>0</v>
      </c>
      <c r="M170" s="239">
        <v>0</v>
      </c>
      <c r="N170" s="239">
        <v>0</v>
      </c>
    </row>
    <row r="171" spans="1:14" ht="18">
      <c r="A171" s="239">
        <v>164</v>
      </c>
      <c r="B171" s="239" t="s">
        <v>2754</v>
      </c>
      <c r="C171" s="239">
        <v>170</v>
      </c>
      <c r="D171" s="239" t="s">
        <v>2752</v>
      </c>
      <c r="E171" s="240">
        <v>0.5</v>
      </c>
      <c r="F171" s="239">
        <v>6</v>
      </c>
      <c r="G171" s="239" t="s">
        <v>2545</v>
      </c>
      <c r="H171" s="239" t="s">
        <v>3232</v>
      </c>
      <c r="I171" s="239" t="s">
        <v>3395</v>
      </c>
      <c r="J171" s="239">
        <v>0</v>
      </c>
      <c r="K171" s="239">
        <v>0</v>
      </c>
      <c r="L171" s="239">
        <v>0</v>
      </c>
      <c r="M171" s="239">
        <v>0</v>
      </c>
      <c r="N171" s="239">
        <v>0</v>
      </c>
    </row>
    <row r="172" spans="1:14" ht="18">
      <c r="A172" s="239">
        <v>165</v>
      </c>
      <c r="B172" s="239" t="s">
        <v>2755</v>
      </c>
      <c r="C172" s="239">
        <v>170</v>
      </c>
      <c r="D172" s="239" t="s">
        <v>2752</v>
      </c>
      <c r="E172" s="240">
        <v>0.5</v>
      </c>
      <c r="F172" s="239">
        <v>6</v>
      </c>
      <c r="G172" s="239" t="s">
        <v>2545</v>
      </c>
      <c r="H172" s="239" t="s">
        <v>3232</v>
      </c>
      <c r="I172" s="239" t="s">
        <v>3395</v>
      </c>
      <c r="J172" s="239">
        <v>0</v>
      </c>
      <c r="K172" s="239">
        <v>0</v>
      </c>
      <c r="L172" s="239">
        <v>0</v>
      </c>
      <c r="M172" s="239">
        <v>0</v>
      </c>
      <c r="N172" s="239">
        <v>0</v>
      </c>
    </row>
    <row r="173" spans="1:14" ht="18">
      <c r="A173" s="239">
        <v>170</v>
      </c>
      <c r="B173" s="239" t="s">
        <v>2756</v>
      </c>
      <c r="C173" s="239">
        <v>110</v>
      </c>
      <c r="D173" s="239" t="s">
        <v>2757</v>
      </c>
      <c r="E173" s="240">
        <v>0.5</v>
      </c>
      <c r="F173" s="239">
        <v>6</v>
      </c>
      <c r="G173" s="239" t="s">
        <v>2557</v>
      </c>
      <c r="H173" s="239" t="s">
        <v>3232</v>
      </c>
      <c r="I173" s="239" t="s">
        <v>3395</v>
      </c>
      <c r="J173" s="239">
        <v>0</v>
      </c>
      <c r="K173" s="239">
        <v>0</v>
      </c>
      <c r="L173" s="239">
        <v>0</v>
      </c>
      <c r="M173" s="239">
        <v>0</v>
      </c>
      <c r="N173" s="239">
        <v>0</v>
      </c>
    </row>
    <row r="174" spans="1:14" ht="18">
      <c r="A174" s="239">
        <v>171</v>
      </c>
      <c r="B174" s="239" t="s">
        <v>2758</v>
      </c>
      <c r="C174" s="239">
        <v>150</v>
      </c>
      <c r="D174" s="239" t="s">
        <v>2757</v>
      </c>
      <c r="E174" s="240">
        <v>0.5</v>
      </c>
      <c r="F174" s="239">
        <v>6</v>
      </c>
      <c r="G174" s="239" t="s">
        <v>2540</v>
      </c>
      <c r="H174" s="239" t="s">
        <v>3232</v>
      </c>
      <c r="I174" s="239" t="s">
        <v>3395</v>
      </c>
      <c r="J174" s="239">
        <v>0</v>
      </c>
      <c r="K174" s="239">
        <v>0</v>
      </c>
      <c r="L174" s="239">
        <v>0</v>
      </c>
      <c r="M174" s="239">
        <v>0</v>
      </c>
      <c r="N174" s="239">
        <v>0</v>
      </c>
    </row>
    <row r="175" spans="1:14" ht="18">
      <c r="A175" s="239">
        <v>168</v>
      </c>
      <c r="B175" s="239" t="s">
        <v>2759</v>
      </c>
      <c r="C175" s="239">
        <v>170</v>
      </c>
      <c r="D175" s="239" t="s">
        <v>2757</v>
      </c>
      <c r="E175" s="240">
        <v>0.5</v>
      </c>
      <c r="F175" s="239">
        <v>6</v>
      </c>
      <c r="G175" s="239" t="s">
        <v>2545</v>
      </c>
      <c r="H175" s="239" t="s">
        <v>3232</v>
      </c>
      <c r="I175" s="239" t="s">
        <v>3395</v>
      </c>
      <c r="J175" s="239">
        <v>0</v>
      </c>
      <c r="K175" s="239">
        <v>0</v>
      </c>
      <c r="L175" s="239">
        <v>0</v>
      </c>
      <c r="M175" s="239">
        <v>0</v>
      </c>
      <c r="N175" s="239">
        <v>0</v>
      </c>
    </row>
    <row r="176" spans="1:14" ht="18">
      <c r="A176" s="239">
        <v>169</v>
      </c>
      <c r="B176" s="239" t="s">
        <v>2760</v>
      </c>
      <c r="C176" s="239">
        <v>170</v>
      </c>
      <c r="D176" s="239" t="s">
        <v>2757</v>
      </c>
      <c r="E176" s="240">
        <v>0.5</v>
      </c>
      <c r="F176" s="239">
        <v>6</v>
      </c>
      <c r="G176" s="239" t="s">
        <v>2545</v>
      </c>
      <c r="H176" s="239" t="s">
        <v>3232</v>
      </c>
      <c r="I176" s="239" t="s">
        <v>3395</v>
      </c>
      <c r="J176" s="239">
        <v>0</v>
      </c>
      <c r="K176" s="239">
        <v>0</v>
      </c>
      <c r="L176" s="239">
        <v>0</v>
      </c>
      <c r="M176" s="239">
        <v>0</v>
      </c>
      <c r="N176" s="239">
        <v>0</v>
      </c>
    </row>
    <row r="177" spans="1:14" ht="18">
      <c r="A177" s="239">
        <v>174</v>
      </c>
      <c r="B177" s="239" t="s">
        <v>2761</v>
      </c>
      <c r="C177" s="239">
        <v>110</v>
      </c>
      <c r="D177" s="239" t="s">
        <v>2762</v>
      </c>
      <c r="E177" s="240">
        <v>0.5</v>
      </c>
      <c r="F177" s="239">
        <v>6</v>
      </c>
      <c r="G177" s="239" t="s">
        <v>2557</v>
      </c>
      <c r="H177" s="239" t="s">
        <v>3232</v>
      </c>
      <c r="I177" s="239" t="s">
        <v>3395</v>
      </c>
      <c r="J177" s="239">
        <v>0</v>
      </c>
      <c r="K177" s="239">
        <v>0</v>
      </c>
      <c r="L177" s="239">
        <v>0</v>
      </c>
      <c r="M177" s="239">
        <v>0</v>
      </c>
      <c r="N177" s="239">
        <v>0</v>
      </c>
    </row>
    <row r="178" spans="1:14" ht="18">
      <c r="A178" s="239">
        <v>175</v>
      </c>
      <c r="B178" s="239" t="s">
        <v>2763</v>
      </c>
      <c r="C178" s="239">
        <v>130</v>
      </c>
      <c r="D178" s="239" t="s">
        <v>2762</v>
      </c>
      <c r="E178" s="240">
        <v>0.5</v>
      </c>
      <c r="F178" s="239">
        <v>6</v>
      </c>
      <c r="G178" s="239" t="s">
        <v>2537</v>
      </c>
      <c r="H178" s="239" t="s">
        <v>3232</v>
      </c>
      <c r="I178" s="239" t="s">
        <v>3395</v>
      </c>
      <c r="J178" s="239">
        <v>0</v>
      </c>
      <c r="K178" s="239">
        <v>0</v>
      </c>
      <c r="L178" s="239">
        <v>0</v>
      </c>
      <c r="M178" s="239">
        <v>0</v>
      </c>
      <c r="N178" s="239">
        <v>0</v>
      </c>
    </row>
    <row r="179" spans="1:14" ht="18">
      <c r="A179" s="239">
        <v>172</v>
      </c>
      <c r="B179" s="239" t="s">
        <v>2764</v>
      </c>
      <c r="C179" s="239">
        <v>150</v>
      </c>
      <c r="D179" s="239" t="s">
        <v>2762</v>
      </c>
      <c r="E179" s="240">
        <v>0.5</v>
      </c>
      <c r="F179" s="239">
        <v>6</v>
      </c>
      <c r="G179" s="239" t="s">
        <v>2540</v>
      </c>
      <c r="H179" s="239" t="s">
        <v>3232</v>
      </c>
      <c r="I179" s="239" t="s">
        <v>3395</v>
      </c>
      <c r="J179" s="239">
        <v>0</v>
      </c>
      <c r="K179" s="239">
        <v>0</v>
      </c>
      <c r="L179" s="239">
        <v>0</v>
      </c>
      <c r="M179" s="239">
        <v>0</v>
      </c>
      <c r="N179" s="239">
        <v>0</v>
      </c>
    </row>
    <row r="180" spans="1:14" ht="18">
      <c r="A180" s="239">
        <v>173</v>
      </c>
      <c r="B180" s="239" t="s">
        <v>2765</v>
      </c>
      <c r="C180" s="239">
        <v>170</v>
      </c>
      <c r="D180" s="239" t="s">
        <v>2762</v>
      </c>
      <c r="E180" s="240">
        <v>0.5</v>
      </c>
      <c r="F180" s="239">
        <v>6</v>
      </c>
      <c r="G180" s="239" t="s">
        <v>2545</v>
      </c>
      <c r="H180" s="239" t="s">
        <v>3232</v>
      </c>
      <c r="I180" s="239" t="s">
        <v>3395</v>
      </c>
      <c r="J180" s="239">
        <v>0</v>
      </c>
      <c r="K180" s="239">
        <v>0</v>
      </c>
      <c r="L180" s="239">
        <v>0</v>
      </c>
      <c r="M180" s="239">
        <v>0</v>
      </c>
      <c r="N180" s="239">
        <v>0</v>
      </c>
    </row>
    <row r="181" spans="1:14" ht="18">
      <c r="A181" s="239">
        <v>178</v>
      </c>
      <c r="B181" s="239" t="s">
        <v>2766</v>
      </c>
      <c r="C181" s="239">
        <v>110</v>
      </c>
      <c r="D181" s="239" t="s">
        <v>2767</v>
      </c>
      <c r="E181" s="240">
        <v>0.5</v>
      </c>
      <c r="F181" s="239">
        <v>6</v>
      </c>
      <c r="G181" s="239" t="s">
        <v>2557</v>
      </c>
      <c r="H181" s="239" t="s">
        <v>3232</v>
      </c>
      <c r="I181" s="239" t="s">
        <v>3395</v>
      </c>
      <c r="J181" s="239">
        <v>0</v>
      </c>
      <c r="K181" s="239">
        <v>0</v>
      </c>
      <c r="L181" s="239">
        <v>0</v>
      </c>
      <c r="M181" s="239">
        <v>0</v>
      </c>
      <c r="N181" s="239">
        <v>0</v>
      </c>
    </row>
    <row r="182" spans="1:14" ht="18">
      <c r="A182" s="239">
        <v>179</v>
      </c>
      <c r="B182" s="239" t="s">
        <v>2768</v>
      </c>
      <c r="C182" s="239">
        <v>130</v>
      </c>
      <c r="D182" s="239" t="s">
        <v>2767</v>
      </c>
      <c r="E182" s="240">
        <v>0.5</v>
      </c>
      <c r="F182" s="239">
        <v>6</v>
      </c>
      <c r="G182" s="239" t="s">
        <v>2537</v>
      </c>
      <c r="H182" s="239" t="s">
        <v>3232</v>
      </c>
      <c r="I182" s="239" t="s">
        <v>3395</v>
      </c>
      <c r="J182" s="239">
        <v>0</v>
      </c>
      <c r="K182" s="239">
        <v>0</v>
      </c>
      <c r="L182" s="239">
        <v>0</v>
      </c>
      <c r="M182" s="239">
        <v>0</v>
      </c>
      <c r="N182" s="239">
        <v>0</v>
      </c>
    </row>
    <row r="183" spans="1:14" ht="18">
      <c r="A183" s="239">
        <v>176</v>
      </c>
      <c r="B183" s="239" t="s">
        <v>2769</v>
      </c>
      <c r="C183" s="239">
        <v>150</v>
      </c>
      <c r="D183" s="239" t="s">
        <v>2767</v>
      </c>
      <c r="E183" s="240">
        <v>0.5</v>
      </c>
      <c r="F183" s="239">
        <v>6</v>
      </c>
      <c r="G183" s="239" t="s">
        <v>2540</v>
      </c>
      <c r="H183" s="239" t="s">
        <v>3232</v>
      </c>
      <c r="I183" s="239" t="s">
        <v>3395</v>
      </c>
      <c r="J183" s="239">
        <v>0</v>
      </c>
      <c r="K183" s="239">
        <v>0</v>
      </c>
      <c r="L183" s="239">
        <v>0</v>
      </c>
      <c r="M183" s="239">
        <v>0</v>
      </c>
      <c r="N183" s="239">
        <v>0</v>
      </c>
    </row>
    <row r="184" spans="1:14" ht="18">
      <c r="A184" s="239">
        <v>177</v>
      </c>
      <c r="B184" s="239" t="s">
        <v>2770</v>
      </c>
      <c r="C184" s="239">
        <v>170</v>
      </c>
      <c r="D184" s="239" t="s">
        <v>2767</v>
      </c>
      <c r="E184" s="240">
        <v>0.5</v>
      </c>
      <c r="F184" s="239">
        <v>6</v>
      </c>
      <c r="G184" s="239" t="s">
        <v>2545</v>
      </c>
      <c r="H184" s="239" t="s">
        <v>3232</v>
      </c>
      <c r="I184" s="239" t="s">
        <v>3395</v>
      </c>
      <c r="J184" s="239">
        <v>0</v>
      </c>
      <c r="K184" s="239">
        <v>0</v>
      </c>
      <c r="L184" s="239">
        <v>0</v>
      </c>
      <c r="M184" s="239">
        <v>0</v>
      </c>
      <c r="N184" s="239">
        <v>0</v>
      </c>
    </row>
    <row r="185" spans="1:14" ht="18">
      <c r="A185" s="239">
        <v>181</v>
      </c>
      <c r="B185" s="239" t="s">
        <v>2771</v>
      </c>
      <c r="C185" s="239">
        <v>110</v>
      </c>
      <c r="D185" s="239" t="s">
        <v>2772</v>
      </c>
      <c r="E185" s="240">
        <v>0.5</v>
      </c>
      <c r="F185" s="239">
        <v>6</v>
      </c>
      <c r="G185" s="239" t="s">
        <v>2557</v>
      </c>
      <c r="H185" s="239" t="s">
        <v>3232</v>
      </c>
      <c r="I185" s="239" t="s">
        <v>3395</v>
      </c>
      <c r="J185" s="239">
        <v>0</v>
      </c>
      <c r="K185" s="239">
        <v>0</v>
      </c>
      <c r="L185" s="239">
        <v>0</v>
      </c>
      <c r="M185" s="239">
        <v>0</v>
      </c>
      <c r="N185" s="239">
        <v>0</v>
      </c>
    </row>
    <row r="186" spans="1:14" ht="18">
      <c r="A186" s="239">
        <v>182</v>
      </c>
      <c r="B186" s="239" t="s">
        <v>2773</v>
      </c>
      <c r="C186" s="239">
        <v>130</v>
      </c>
      <c r="D186" s="239" t="s">
        <v>2772</v>
      </c>
      <c r="E186" s="240">
        <v>0.5</v>
      </c>
      <c r="F186" s="239">
        <v>6</v>
      </c>
      <c r="G186" s="239" t="s">
        <v>2537</v>
      </c>
      <c r="H186" s="239" t="s">
        <v>3232</v>
      </c>
      <c r="I186" s="239" t="s">
        <v>3395</v>
      </c>
      <c r="J186" s="239">
        <v>0</v>
      </c>
      <c r="K186" s="239">
        <v>0</v>
      </c>
      <c r="L186" s="239">
        <v>0</v>
      </c>
      <c r="M186" s="239">
        <v>0</v>
      </c>
      <c r="N186" s="239">
        <v>0</v>
      </c>
    </row>
    <row r="187" spans="1:14" ht="18">
      <c r="A187" s="239">
        <v>183</v>
      </c>
      <c r="B187" s="239" t="s">
        <v>2774</v>
      </c>
      <c r="C187" s="239">
        <v>130</v>
      </c>
      <c r="D187" s="239" t="s">
        <v>2772</v>
      </c>
      <c r="E187" s="240">
        <v>0.5</v>
      </c>
      <c r="F187" s="239">
        <v>6</v>
      </c>
      <c r="G187" s="239" t="s">
        <v>2537</v>
      </c>
      <c r="H187" s="239" t="s">
        <v>3232</v>
      </c>
      <c r="I187" s="239" t="s">
        <v>3395</v>
      </c>
      <c r="J187" s="239">
        <v>0</v>
      </c>
      <c r="K187" s="239">
        <v>0</v>
      </c>
      <c r="L187" s="239">
        <v>0</v>
      </c>
      <c r="M187" s="239">
        <v>0</v>
      </c>
      <c r="N187" s="239">
        <v>0</v>
      </c>
    </row>
    <row r="188" spans="1:14" ht="18">
      <c r="A188" s="239">
        <v>180</v>
      </c>
      <c r="B188" s="239" t="s">
        <v>2775</v>
      </c>
      <c r="C188" s="239">
        <v>170</v>
      </c>
      <c r="D188" s="239" t="s">
        <v>2772</v>
      </c>
      <c r="E188" s="240">
        <v>0.5</v>
      </c>
      <c r="F188" s="239">
        <v>6</v>
      </c>
      <c r="G188" s="239" t="s">
        <v>2545</v>
      </c>
      <c r="H188" s="239" t="s">
        <v>3232</v>
      </c>
      <c r="I188" s="239" t="s">
        <v>3395</v>
      </c>
      <c r="J188" s="239">
        <v>0</v>
      </c>
      <c r="K188" s="239">
        <v>0</v>
      </c>
      <c r="L188" s="239">
        <v>0</v>
      </c>
      <c r="M188" s="239">
        <v>0</v>
      </c>
      <c r="N188" s="239">
        <v>0</v>
      </c>
    </row>
    <row r="189" spans="1:14" ht="18">
      <c r="A189" s="239">
        <v>184</v>
      </c>
      <c r="B189" s="239" t="s">
        <v>2776</v>
      </c>
      <c r="C189" s="239">
        <v>170</v>
      </c>
      <c r="D189" s="239" t="s">
        <v>2772</v>
      </c>
      <c r="E189" s="240">
        <v>0.5</v>
      </c>
      <c r="F189" s="239">
        <v>6</v>
      </c>
      <c r="G189" s="239" t="s">
        <v>2545</v>
      </c>
      <c r="H189" s="239" t="s">
        <v>3232</v>
      </c>
      <c r="I189" s="239" t="s">
        <v>3395</v>
      </c>
      <c r="J189" s="239">
        <v>0</v>
      </c>
      <c r="K189" s="239">
        <v>0</v>
      </c>
      <c r="L189" s="239">
        <v>0</v>
      </c>
      <c r="M189" s="239">
        <v>0</v>
      </c>
      <c r="N189" s="239">
        <v>0</v>
      </c>
    </row>
    <row r="190" spans="1:14" ht="18">
      <c r="A190" s="239">
        <v>185</v>
      </c>
      <c r="B190" s="239" t="s">
        <v>2777</v>
      </c>
      <c r="C190" s="239">
        <v>110</v>
      </c>
      <c r="D190" s="239" t="s">
        <v>2772</v>
      </c>
      <c r="E190" s="240">
        <v>0.5</v>
      </c>
      <c r="F190" s="239">
        <v>6</v>
      </c>
      <c r="G190" s="239" t="s">
        <v>2557</v>
      </c>
      <c r="H190" s="239" t="s">
        <v>3232</v>
      </c>
      <c r="I190" s="239" t="s">
        <v>3395</v>
      </c>
      <c r="J190" s="239">
        <v>0</v>
      </c>
      <c r="K190" s="239">
        <v>0</v>
      </c>
      <c r="L190" s="239">
        <v>0</v>
      </c>
      <c r="M190" s="239">
        <v>0</v>
      </c>
      <c r="N190" s="239">
        <v>0</v>
      </c>
    </row>
    <row r="191" spans="1:14" ht="18">
      <c r="A191" s="239">
        <v>186</v>
      </c>
      <c r="B191" s="239" t="s">
        <v>2778</v>
      </c>
      <c r="C191" s="239">
        <v>130</v>
      </c>
      <c r="D191" s="239" t="s">
        <v>2772</v>
      </c>
      <c r="E191" s="240">
        <v>0.5</v>
      </c>
      <c r="F191" s="239">
        <v>6</v>
      </c>
      <c r="G191" s="239" t="s">
        <v>2537</v>
      </c>
      <c r="H191" s="239" t="s">
        <v>3232</v>
      </c>
      <c r="I191" s="239" t="s">
        <v>3395</v>
      </c>
      <c r="J191" s="239">
        <v>0</v>
      </c>
      <c r="K191" s="239">
        <v>0</v>
      </c>
      <c r="L191" s="239">
        <v>0</v>
      </c>
      <c r="M191" s="239">
        <v>0</v>
      </c>
      <c r="N191" s="239">
        <v>0</v>
      </c>
    </row>
    <row r="192" spans="1:14" ht="18">
      <c r="A192" s="239">
        <v>187</v>
      </c>
      <c r="B192" s="239" t="s">
        <v>2779</v>
      </c>
      <c r="C192" s="239">
        <v>130</v>
      </c>
      <c r="D192" s="239" t="s">
        <v>2772</v>
      </c>
      <c r="E192" s="240">
        <v>0.5</v>
      </c>
      <c r="F192" s="239">
        <v>6</v>
      </c>
      <c r="G192" s="239" t="s">
        <v>2537</v>
      </c>
      <c r="H192" s="239" t="s">
        <v>3232</v>
      </c>
      <c r="I192" s="239" t="s">
        <v>3395</v>
      </c>
      <c r="J192" s="239">
        <v>0</v>
      </c>
      <c r="K192" s="239">
        <v>0</v>
      </c>
      <c r="L192" s="239">
        <v>0</v>
      </c>
      <c r="M192" s="239">
        <v>0</v>
      </c>
      <c r="N192" s="239">
        <v>0</v>
      </c>
    </row>
    <row r="193" spans="1:14" ht="18">
      <c r="A193" s="239">
        <v>188</v>
      </c>
      <c r="B193" s="239" t="s">
        <v>2780</v>
      </c>
      <c r="C193" s="239">
        <v>170</v>
      </c>
      <c r="D193" s="239" t="s">
        <v>2772</v>
      </c>
      <c r="E193" s="240">
        <v>0.5</v>
      </c>
      <c r="F193" s="239">
        <v>6</v>
      </c>
      <c r="G193" s="239" t="s">
        <v>2545</v>
      </c>
      <c r="H193" s="239" t="s">
        <v>3232</v>
      </c>
      <c r="I193" s="239" t="s">
        <v>3395</v>
      </c>
      <c r="J193" s="239">
        <v>0</v>
      </c>
      <c r="K193" s="239">
        <v>0</v>
      </c>
      <c r="L193" s="239">
        <v>0</v>
      </c>
      <c r="M193" s="239">
        <v>0</v>
      </c>
      <c r="N193" s="239">
        <v>0</v>
      </c>
    </row>
    <row r="194" spans="1:14" ht="18">
      <c r="A194" s="239">
        <v>189</v>
      </c>
      <c r="B194" s="239" t="s">
        <v>2781</v>
      </c>
      <c r="C194" s="239">
        <v>110</v>
      </c>
      <c r="D194" s="239" t="s">
        <v>2772</v>
      </c>
      <c r="E194" s="240">
        <v>0.5</v>
      </c>
      <c r="F194" s="239">
        <v>6</v>
      </c>
      <c r="G194" s="239" t="s">
        <v>2557</v>
      </c>
      <c r="H194" s="239" t="s">
        <v>3232</v>
      </c>
      <c r="I194" s="239" t="s">
        <v>3395</v>
      </c>
      <c r="J194" s="239">
        <v>0</v>
      </c>
      <c r="K194" s="239">
        <v>0</v>
      </c>
      <c r="L194" s="239">
        <v>0</v>
      </c>
      <c r="M194" s="239">
        <v>0</v>
      </c>
      <c r="N194" s="239">
        <v>0</v>
      </c>
    </row>
    <row r="195" spans="1:14" ht="18">
      <c r="A195" s="239">
        <v>190</v>
      </c>
      <c r="B195" s="239" t="s">
        <v>2782</v>
      </c>
      <c r="C195" s="239">
        <v>130</v>
      </c>
      <c r="D195" s="239" t="s">
        <v>2772</v>
      </c>
      <c r="E195" s="240">
        <v>0.5</v>
      </c>
      <c r="F195" s="239">
        <v>6</v>
      </c>
      <c r="G195" s="239" t="s">
        <v>2537</v>
      </c>
      <c r="H195" s="239" t="s">
        <v>3232</v>
      </c>
      <c r="I195" s="239" t="s">
        <v>3395</v>
      </c>
      <c r="J195" s="239">
        <v>0</v>
      </c>
      <c r="K195" s="239">
        <v>0</v>
      </c>
      <c r="L195" s="239">
        <v>0</v>
      </c>
      <c r="M195" s="239">
        <v>0</v>
      </c>
      <c r="N195" s="239">
        <v>0</v>
      </c>
    </row>
    <row r="196" spans="1:14" ht="18">
      <c r="A196" s="239">
        <v>191</v>
      </c>
      <c r="B196" s="239" t="s">
        <v>2783</v>
      </c>
      <c r="C196" s="239">
        <v>130</v>
      </c>
      <c r="D196" s="239" t="s">
        <v>2772</v>
      </c>
      <c r="E196" s="240">
        <v>0.5</v>
      </c>
      <c r="F196" s="239">
        <v>6</v>
      </c>
      <c r="G196" s="239" t="s">
        <v>2537</v>
      </c>
      <c r="H196" s="239" t="s">
        <v>3232</v>
      </c>
      <c r="I196" s="239" t="s">
        <v>3395</v>
      </c>
      <c r="J196" s="239">
        <v>0</v>
      </c>
      <c r="K196" s="239">
        <v>0</v>
      </c>
      <c r="L196" s="239">
        <v>0</v>
      </c>
      <c r="M196" s="239">
        <v>0</v>
      </c>
      <c r="N196" s="239">
        <v>0</v>
      </c>
    </row>
    <row r="197" spans="1:14" ht="18">
      <c r="A197" s="239">
        <v>192</v>
      </c>
      <c r="B197" s="239" t="s">
        <v>2784</v>
      </c>
      <c r="C197" s="239">
        <v>170</v>
      </c>
      <c r="D197" s="239" t="s">
        <v>2772</v>
      </c>
      <c r="E197" s="240">
        <v>0.5</v>
      </c>
      <c r="F197" s="239">
        <v>6</v>
      </c>
      <c r="G197" s="239" t="s">
        <v>2545</v>
      </c>
      <c r="H197" s="239" t="s">
        <v>3232</v>
      </c>
      <c r="I197" s="239" t="s">
        <v>3395</v>
      </c>
      <c r="J197" s="239">
        <v>0</v>
      </c>
      <c r="K197" s="239">
        <v>0</v>
      </c>
      <c r="L197" s="239">
        <v>0</v>
      </c>
      <c r="M197" s="239">
        <v>0</v>
      </c>
      <c r="N197" s="239">
        <v>0</v>
      </c>
    </row>
    <row r="198" spans="1:14" ht="18">
      <c r="A198" s="239">
        <v>193</v>
      </c>
      <c r="B198" s="239" t="s">
        <v>2785</v>
      </c>
      <c r="C198" s="239">
        <v>110</v>
      </c>
      <c r="D198" s="239" t="s">
        <v>2772</v>
      </c>
      <c r="E198" s="240">
        <v>0.5</v>
      </c>
      <c r="F198" s="239">
        <v>6</v>
      </c>
      <c r="G198" s="239" t="s">
        <v>2557</v>
      </c>
      <c r="H198" s="239" t="s">
        <v>3232</v>
      </c>
      <c r="I198" s="239" t="s">
        <v>3395</v>
      </c>
      <c r="J198" s="239">
        <v>0</v>
      </c>
      <c r="K198" s="239">
        <v>0</v>
      </c>
      <c r="L198" s="239">
        <v>0</v>
      </c>
      <c r="M198" s="239">
        <v>0</v>
      </c>
      <c r="N198" s="239">
        <v>0</v>
      </c>
    </row>
    <row r="199" spans="1:14" ht="18">
      <c r="A199" s="239">
        <v>194</v>
      </c>
      <c r="B199" s="239" t="s">
        <v>2786</v>
      </c>
      <c r="C199" s="239">
        <v>130</v>
      </c>
      <c r="D199" s="239" t="s">
        <v>2772</v>
      </c>
      <c r="E199" s="240">
        <v>0.5</v>
      </c>
      <c r="F199" s="239">
        <v>6</v>
      </c>
      <c r="G199" s="239" t="s">
        <v>2537</v>
      </c>
      <c r="H199" s="239" t="s">
        <v>3232</v>
      </c>
      <c r="I199" s="239" t="s">
        <v>3395</v>
      </c>
      <c r="J199" s="239">
        <v>0</v>
      </c>
      <c r="K199" s="239">
        <v>0</v>
      </c>
      <c r="L199" s="239">
        <v>0</v>
      </c>
      <c r="M199" s="239">
        <v>0</v>
      </c>
      <c r="N199" s="239">
        <v>0</v>
      </c>
    </row>
    <row r="200" spans="1:14" ht="18">
      <c r="A200" s="239">
        <v>195</v>
      </c>
      <c r="B200" s="239" t="s">
        <v>2787</v>
      </c>
      <c r="C200" s="239">
        <v>130</v>
      </c>
      <c r="D200" s="239" t="s">
        <v>2772</v>
      </c>
      <c r="E200" s="240">
        <v>0.5</v>
      </c>
      <c r="F200" s="239">
        <v>6</v>
      </c>
      <c r="G200" s="239" t="s">
        <v>2537</v>
      </c>
      <c r="H200" s="239" t="s">
        <v>3232</v>
      </c>
      <c r="I200" s="239" t="s">
        <v>3395</v>
      </c>
      <c r="J200" s="239">
        <v>0</v>
      </c>
      <c r="K200" s="239">
        <v>0</v>
      </c>
      <c r="L200" s="239">
        <v>0</v>
      </c>
      <c r="M200" s="239">
        <v>0</v>
      </c>
      <c r="N200" s="239">
        <v>0</v>
      </c>
    </row>
    <row r="201" spans="1:14" ht="18">
      <c r="A201" s="239">
        <v>196</v>
      </c>
      <c r="B201" s="239" t="s">
        <v>2788</v>
      </c>
      <c r="C201" s="239">
        <v>150</v>
      </c>
      <c r="D201" s="239" t="s">
        <v>2789</v>
      </c>
      <c r="E201" s="240">
        <v>0.5</v>
      </c>
      <c r="F201" s="239">
        <v>6</v>
      </c>
      <c r="G201" s="239" t="s">
        <v>2540</v>
      </c>
      <c r="H201" s="239" t="s">
        <v>3232</v>
      </c>
      <c r="I201" s="239" t="s">
        <v>3395</v>
      </c>
      <c r="J201" s="239">
        <v>0</v>
      </c>
      <c r="K201" s="239">
        <v>0</v>
      </c>
      <c r="L201" s="239">
        <v>0</v>
      </c>
      <c r="M201" s="239">
        <v>0</v>
      </c>
      <c r="N201" s="239">
        <v>0</v>
      </c>
    </row>
    <row r="202" spans="1:14" ht="18">
      <c r="A202" s="239">
        <v>197</v>
      </c>
      <c r="B202" s="239" t="s">
        <v>2790</v>
      </c>
      <c r="C202" s="239">
        <v>110</v>
      </c>
      <c r="D202" s="239" t="s">
        <v>2789</v>
      </c>
      <c r="E202" s="240">
        <v>0.5</v>
      </c>
      <c r="F202" s="239">
        <v>6</v>
      </c>
      <c r="G202" s="239" t="s">
        <v>2557</v>
      </c>
      <c r="H202" s="239" t="s">
        <v>3232</v>
      </c>
      <c r="I202" s="239" t="s">
        <v>3395</v>
      </c>
      <c r="J202" s="239">
        <v>0</v>
      </c>
      <c r="K202" s="239">
        <v>0</v>
      </c>
      <c r="L202" s="239">
        <v>0</v>
      </c>
      <c r="M202" s="239">
        <v>0</v>
      </c>
      <c r="N202" s="239">
        <v>0</v>
      </c>
    </row>
    <row r="203" spans="1:14" ht="18">
      <c r="A203" s="239">
        <v>198</v>
      </c>
      <c r="B203" s="239" t="s">
        <v>2791</v>
      </c>
      <c r="C203" s="239">
        <v>150</v>
      </c>
      <c r="D203" s="239" t="s">
        <v>2789</v>
      </c>
      <c r="E203" s="240">
        <v>0.5</v>
      </c>
      <c r="F203" s="239">
        <v>6</v>
      </c>
      <c r="G203" s="239" t="s">
        <v>2540</v>
      </c>
      <c r="H203" s="239" t="s">
        <v>3232</v>
      </c>
      <c r="I203" s="239" t="s">
        <v>3395</v>
      </c>
      <c r="J203" s="239">
        <v>0</v>
      </c>
      <c r="K203" s="239">
        <v>0</v>
      </c>
      <c r="L203" s="239">
        <v>0</v>
      </c>
      <c r="M203" s="239">
        <v>0</v>
      </c>
      <c r="N203" s="239">
        <v>0</v>
      </c>
    </row>
    <row r="204" spans="1:14" ht="18">
      <c r="A204" s="239">
        <v>199</v>
      </c>
      <c r="B204" s="239" t="s">
        <v>2792</v>
      </c>
      <c r="C204" s="239">
        <v>150</v>
      </c>
      <c r="D204" s="239" t="s">
        <v>2789</v>
      </c>
      <c r="E204" s="240">
        <v>0.5</v>
      </c>
      <c r="F204" s="239">
        <v>6</v>
      </c>
      <c r="G204" s="239" t="s">
        <v>2540</v>
      </c>
      <c r="H204" s="239" t="s">
        <v>3232</v>
      </c>
      <c r="I204" s="239" t="s">
        <v>3395</v>
      </c>
      <c r="J204" s="239">
        <v>0</v>
      </c>
      <c r="K204" s="239">
        <v>0</v>
      </c>
      <c r="L204" s="239">
        <v>0</v>
      </c>
      <c r="M204" s="239">
        <v>0</v>
      </c>
      <c r="N204" s="239">
        <v>0</v>
      </c>
    </row>
    <row r="205" spans="1:14" ht="18">
      <c r="A205" s="239">
        <v>200</v>
      </c>
      <c r="B205" s="239" t="s">
        <v>2793</v>
      </c>
      <c r="C205" s="239">
        <v>110</v>
      </c>
      <c r="D205" s="239" t="s">
        <v>2789</v>
      </c>
      <c r="E205" s="240">
        <v>0.5</v>
      </c>
      <c r="F205" s="239">
        <v>6</v>
      </c>
      <c r="G205" s="239" t="s">
        <v>2557</v>
      </c>
      <c r="H205" s="239" t="s">
        <v>3232</v>
      </c>
      <c r="I205" s="239" t="s">
        <v>3395</v>
      </c>
      <c r="J205" s="239">
        <v>0</v>
      </c>
      <c r="K205" s="239">
        <v>0</v>
      </c>
      <c r="L205" s="239">
        <v>0</v>
      </c>
      <c r="M205" s="239">
        <v>0</v>
      </c>
      <c r="N205" s="239">
        <v>0</v>
      </c>
    </row>
    <row r="206" spans="1:14" ht="18">
      <c r="A206" s="239">
        <v>201</v>
      </c>
      <c r="B206" s="239" t="s">
        <v>2794</v>
      </c>
      <c r="C206" s="239">
        <v>150</v>
      </c>
      <c r="D206" s="239" t="s">
        <v>2789</v>
      </c>
      <c r="E206" s="240">
        <v>0.5</v>
      </c>
      <c r="F206" s="239">
        <v>6</v>
      </c>
      <c r="G206" s="239" t="s">
        <v>2540</v>
      </c>
      <c r="H206" s="239" t="s">
        <v>3232</v>
      </c>
      <c r="I206" s="239" t="s">
        <v>3395</v>
      </c>
      <c r="J206" s="239">
        <v>0</v>
      </c>
      <c r="K206" s="239">
        <v>0</v>
      </c>
      <c r="L206" s="239">
        <v>0</v>
      </c>
      <c r="M206" s="239">
        <v>0</v>
      </c>
      <c r="N206" s="239">
        <v>0</v>
      </c>
    </row>
    <row r="207" spans="1:14" ht="18">
      <c r="A207" s="239">
        <v>202</v>
      </c>
      <c r="B207" s="239" t="s">
        <v>2795</v>
      </c>
      <c r="C207" s="239">
        <v>150</v>
      </c>
      <c r="D207" s="239" t="s">
        <v>2789</v>
      </c>
      <c r="E207" s="240">
        <v>0.5</v>
      </c>
      <c r="F207" s="239">
        <v>6</v>
      </c>
      <c r="G207" s="239" t="s">
        <v>2540</v>
      </c>
      <c r="H207" s="239" t="s">
        <v>3232</v>
      </c>
      <c r="I207" s="239" t="s">
        <v>3395</v>
      </c>
      <c r="J207" s="239">
        <v>0</v>
      </c>
      <c r="K207" s="239">
        <v>0</v>
      </c>
      <c r="L207" s="239">
        <v>0</v>
      </c>
      <c r="M207" s="239">
        <v>0</v>
      </c>
      <c r="N207" s="239">
        <v>0</v>
      </c>
    </row>
    <row r="208" spans="1:14" ht="18">
      <c r="A208" s="239">
        <v>203</v>
      </c>
      <c r="B208" s="239" t="s">
        <v>2796</v>
      </c>
      <c r="C208" s="239">
        <v>110</v>
      </c>
      <c r="D208" s="239" t="s">
        <v>2789</v>
      </c>
      <c r="E208" s="240">
        <v>0.5</v>
      </c>
      <c r="F208" s="239">
        <v>6</v>
      </c>
      <c r="G208" s="239" t="s">
        <v>2557</v>
      </c>
      <c r="H208" s="239" t="s">
        <v>3232</v>
      </c>
      <c r="I208" s="239" t="s">
        <v>3395</v>
      </c>
      <c r="J208" s="239">
        <v>0</v>
      </c>
      <c r="K208" s="239">
        <v>0</v>
      </c>
      <c r="L208" s="239">
        <v>0</v>
      </c>
      <c r="M208" s="239">
        <v>0</v>
      </c>
      <c r="N208" s="239">
        <v>0</v>
      </c>
    </row>
    <row r="209" spans="1:14" ht="18">
      <c r="A209" s="239">
        <v>207</v>
      </c>
      <c r="B209" s="239" t="s">
        <v>2797</v>
      </c>
      <c r="C209" s="239">
        <v>150</v>
      </c>
      <c r="D209" s="239" t="s">
        <v>2789</v>
      </c>
      <c r="E209" s="240">
        <v>0.5</v>
      </c>
      <c r="F209" s="239">
        <v>6</v>
      </c>
      <c r="G209" s="239" t="s">
        <v>2540</v>
      </c>
      <c r="H209" s="239" t="s">
        <v>3232</v>
      </c>
      <c r="I209" s="239" t="s">
        <v>3395</v>
      </c>
      <c r="J209" s="239">
        <v>0</v>
      </c>
      <c r="K209" s="239">
        <v>0</v>
      </c>
      <c r="L209" s="239">
        <v>0</v>
      </c>
      <c r="M209" s="239">
        <v>0</v>
      </c>
      <c r="N209" s="239">
        <v>0</v>
      </c>
    </row>
    <row r="210" spans="1:14" ht="18">
      <c r="A210" s="239">
        <v>208</v>
      </c>
      <c r="B210" s="239" t="s">
        <v>2798</v>
      </c>
      <c r="C210" s="239">
        <v>150</v>
      </c>
      <c r="D210" s="239" t="s">
        <v>2789</v>
      </c>
      <c r="E210" s="240">
        <v>0.5</v>
      </c>
      <c r="F210" s="239">
        <v>6</v>
      </c>
      <c r="G210" s="239" t="s">
        <v>2540</v>
      </c>
      <c r="H210" s="239" t="s">
        <v>3232</v>
      </c>
      <c r="I210" s="239" t="s">
        <v>3395</v>
      </c>
      <c r="J210" s="239">
        <v>0</v>
      </c>
      <c r="K210" s="239">
        <v>0</v>
      </c>
      <c r="L210" s="239">
        <v>0</v>
      </c>
      <c r="M210" s="239">
        <v>0</v>
      </c>
      <c r="N210" s="239">
        <v>0</v>
      </c>
    </row>
    <row r="211" spans="1:14" ht="18">
      <c r="A211" s="239">
        <v>209</v>
      </c>
      <c r="B211" s="239" t="s">
        <v>2799</v>
      </c>
      <c r="C211" s="239">
        <v>110</v>
      </c>
      <c r="D211" s="239" t="s">
        <v>2789</v>
      </c>
      <c r="E211" s="240">
        <v>0.5</v>
      </c>
      <c r="F211" s="239">
        <v>6</v>
      </c>
      <c r="G211" s="239" t="s">
        <v>2557</v>
      </c>
      <c r="H211" s="239" t="s">
        <v>3232</v>
      </c>
      <c r="I211" s="239" t="s">
        <v>3395</v>
      </c>
      <c r="J211" s="239">
        <v>0</v>
      </c>
      <c r="K211" s="239">
        <v>0</v>
      </c>
      <c r="L211" s="239">
        <v>0</v>
      </c>
      <c r="M211" s="239">
        <v>0</v>
      </c>
      <c r="N211" s="239">
        <v>0</v>
      </c>
    </row>
    <row r="212" spans="1:14" ht="18">
      <c r="A212" s="239">
        <v>210</v>
      </c>
      <c r="B212" s="239" t="s">
        <v>2800</v>
      </c>
      <c r="C212" s="239">
        <v>150</v>
      </c>
      <c r="D212" s="239" t="s">
        <v>2789</v>
      </c>
      <c r="E212" s="240">
        <v>0.5</v>
      </c>
      <c r="F212" s="239">
        <v>6</v>
      </c>
      <c r="G212" s="239" t="s">
        <v>2540</v>
      </c>
      <c r="H212" s="239" t="s">
        <v>3232</v>
      </c>
      <c r="I212" s="239" t="s">
        <v>3395</v>
      </c>
      <c r="J212" s="239">
        <v>0</v>
      </c>
      <c r="K212" s="239">
        <v>0</v>
      </c>
      <c r="L212" s="239">
        <v>0</v>
      </c>
      <c r="M212" s="239">
        <v>0</v>
      </c>
      <c r="N212" s="239">
        <v>0</v>
      </c>
    </row>
    <row r="213" spans="1:14" ht="18">
      <c r="A213" s="239">
        <v>211</v>
      </c>
      <c r="B213" s="239" t="s">
        <v>2801</v>
      </c>
      <c r="C213" s="239">
        <v>90</v>
      </c>
      <c r="D213" s="239" t="s">
        <v>2706</v>
      </c>
      <c r="E213" s="240">
        <v>0.5</v>
      </c>
      <c r="F213" s="239">
        <v>6</v>
      </c>
      <c r="G213" s="239" t="s">
        <v>2802</v>
      </c>
      <c r="H213" s="239" t="s">
        <v>3232</v>
      </c>
      <c r="I213" s="239" t="s">
        <v>3395</v>
      </c>
      <c r="J213" s="239">
        <v>0</v>
      </c>
      <c r="K213" s="239">
        <v>0</v>
      </c>
      <c r="L213" s="239">
        <v>0</v>
      </c>
      <c r="M213" s="239">
        <v>0</v>
      </c>
      <c r="N213" s="239">
        <v>0</v>
      </c>
    </row>
    <row r="214" spans="1:14" ht="18">
      <c r="A214" s="239">
        <v>212</v>
      </c>
      <c r="B214" s="239" t="s">
        <v>2803</v>
      </c>
      <c r="C214" s="239">
        <v>110</v>
      </c>
      <c r="D214" s="239" t="s">
        <v>2706</v>
      </c>
      <c r="E214" s="240">
        <v>0.5</v>
      </c>
      <c r="F214" s="239">
        <v>6</v>
      </c>
      <c r="G214" s="239" t="s">
        <v>2557</v>
      </c>
      <c r="H214" s="239" t="s">
        <v>3232</v>
      </c>
      <c r="I214" s="239" t="s">
        <v>3395</v>
      </c>
      <c r="J214" s="239">
        <v>0</v>
      </c>
      <c r="K214" s="239">
        <v>0</v>
      </c>
      <c r="L214" s="239">
        <v>0</v>
      </c>
      <c r="M214" s="239">
        <v>0</v>
      </c>
      <c r="N214" s="239">
        <v>0</v>
      </c>
    </row>
    <row r="215" spans="1:14" ht="18">
      <c r="A215" s="239">
        <v>213</v>
      </c>
      <c r="B215" s="239" t="s">
        <v>2804</v>
      </c>
      <c r="C215" s="239">
        <v>110</v>
      </c>
      <c r="D215" s="239" t="s">
        <v>2805</v>
      </c>
      <c r="E215" s="240">
        <v>0.5</v>
      </c>
      <c r="F215" s="239">
        <v>6</v>
      </c>
      <c r="G215" s="239" t="s">
        <v>2557</v>
      </c>
      <c r="H215" s="239" t="s">
        <v>3232</v>
      </c>
      <c r="I215" s="239" t="s">
        <v>3395</v>
      </c>
      <c r="J215" s="239">
        <v>0</v>
      </c>
      <c r="K215" s="239">
        <v>0</v>
      </c>
      <c r="L215" s="239">
        <v>0</v>
      </c>
      <c r="M215" s="239">
        <v>0</v>
      </c>
      <c r="N215" s="239">
        <v>0</v>
      </c>
    </row>
    <row r="216" spans="1:14" ht="18">
      <c r="A216" s="239">
        <v>214</v>
      </c>
      <c r="B216" s="239" t="s">
        <v>2806</v>
      </c>
      <c r="C216" s="239">
        <v>130</v>
      </c>
      <c r="D216" s="239" t="s">
        <v>2805</v>
      </c>
      <c r="E216" s="240">
        <v>0.5</v>
      </c>
      <c r="F216" s="239">
        <v>6</v>
      </c>
      <c r="G216" s="239" t="s">
        <v>2537</v>
      </c>
      <c r="H216" s="239" t="s">
        <v>3232</v>
      </c>
      <c r="I216" s="239" t="s">
        <v>3395</v>
      </c>
      <c r="J216" s="239">
        <v>0</v>
      </c>
      <c r="K216" s="239">
        <v>0</v>
      </c>
      <c r="L216" s="239">
        <v>0</v>
      </c>
      <c r="M216" s="239">
        <v>0</v>
      </c>
      <c r="N216" s="239">
        <v>0</v>
      </c>
    </row>
    <row r="217" spans="1:14" ht="18">
      <c r="A217" s="239">
        <v>215</v>
      </c>
      <c r="B217" s="239" t="s">
        <v>2807</v>
      </c>
      <c r="C217" s="239">
        <v>130</v>
      </c>
      <c r="D217" s="239" t="s">
        <v>2805</v>
      </c>
      <c r="E217" s="240">
        <v>0.5</v>
      </c>
      <c r="F217" s="239">
        <v>6</v>
      </c>
      <c r="G217" s="239" t="s">
        <v>2537</v>
      </c>
      <c r="H217" s="239" t="s">
        <v>3232</v>
      </c>
      <c r="I217" s="239" t="s">
        <v>3395</v>
      </c>
      <c r="J217" s="239">
        <v>0</v>
      </c>
      <c r="K217" s="239">
        <v>0</v>
      </c>
      <c r="L217" s="239">
        <v>0</v>
      </c>
      <c r="M217" s="239">
        <v>0</v>
      </c>
      <c r="N217" s="239">
        <v>0</v>
      </c>
    </row>
    <row r="218" spans="1:14" ht="18">
      <c r="A218" s="239">
        <v>216</v>
      </c>
      <c r="B218" s="239" t="s">
        <v>2808</v>
      </c>
      <c r="C218" s="239">
        <v>150</v>
      </c>
      <c r="D218" s="239" t="s">
        <v>2805</v>
      </c>
      <c r="E218" s="240">
        <v>0.5</v>
      </c>
      <c r="F218" s="239">
        <v>6</v>
      </c>
      <c r="G218" s="239" t="s">
        <v>2540</v>
      </c>
      <c r="H218" s="239" t="s">
        <v>3232</v>
      </c>
      <c r="I218" s="239" t="s">
        <v>3395</v>
      </c>
      <c r="J218" s="239">
        <v>0</v>
      </c>
      <c r="K218" s="239">
        <v>0</v>
      </c>
      <c r="L218" s="239">
        <v>0</v>
      </c>
      <c r="M218" s="239">
        <v>0</v>
      </c>
      <c r="N218" s="239">
        <v>0</v>
      </c>
    </row>
    <row r="219" spans="1:14" ht="18">
      <c r="A219" s="239">
        <v>217</v>
      </c>
      <c r="B219" s="239" t="s">
        <v>2809</v>
      </c>
      <c r="C219" s="239">
        <v>110</v>
      </c>
      <c r="D219" s="239" t="s">
        <v>2805</v>
      </c>
      <c r="E219" s="240">
        <v>0.5</v>
      </c>
      <c r="F219" s="239">
        <v>6</v>
      </c>
      <c r="G219" s="239" t="s">
        <v>2557</v>
      </c>
      <c r="H219" s="239" t="s">
        <v>3232</v>
      </c>
      <c r="I219" s="239" t="s">
        <v>3395</v>
      </c>
      <c r="J219" s="239">
        <v>0</v>
      </c>
      <c r="K219" s="239">
        <v>0</v>
      </c>
      <c r="L219" s="239">
        <v>0</v>
      </c>
      <c r="M219" s="239">
        <v>0</v>
      </c>
      <c r="N219" s="239">
        <v>0</v>
      </c>
    </row>
    <row r="220" spans="1:14" ht="18">
      <c r="A220" s="239">
        <v>218</v>
      </c>
      <c r="B220" s="239" t="s">
        <v>2810</v>
      </c>
      <c r="C220" s="239">
        <v>130</v>
      </c>
      <c r="D220" s="239" t="s">
        <v>2805</v>
      </c>
      <c r="E220" s="240">
        <v>0.5</v>
      </c>
      <c r="F220" s="239">
        <v>6</v>
      </c>
      <c r="G220" s="239" t="s">
        <v>2537</v>
      </c>
      <c r="H220" s="239" t="s">
        <v>3232</v>
      </c>
      <c r="I220" s="239" t="s">
        <v>3395</v>
      </c>
      <c r="J220" s="239">
        <v>0</v>
      </c>
      <c r="K220" s="239">
        <v>0</v>
      </c>
      <c r="L220" s="239">
        <v>0</v>
      </c>
      <c r="M220" s="239">
        <v>0</v>
      </c>
      <c r="N220" s="239">
        <v>0</v>
      </c>
    </row>
    <row r="221" spans="1:14" ht="18">
      <c r="A221" s="239">
        <v>219</v>
      </c>
      <c r="B221" s="239" t="s">
        <v>2811</v>
      </c>
      <c r="C221" s="239">
        <v>130</v>
      </c>
      <c r="D221" s="239" t="s">
        <v>2805</v>
      </c>
      <c r="E221" s="240">
        <v>0.5</v>
      </c>
      <c r="F221" s="239">
        <v>6</v>
      </c>
      <c r="G221" s="239" t="s">
        <v>2537</v>
      </c>
      <c r="H221" s="239" t="s">
        <v>3232</v>
      </c>
      <c r="I221" s="239" t="s">
        <v>3395</v>
      </c>
      <c r="J221" s="239">
        <v>0</v>
      </c>
      <c r="K221" s="239">
        <v>0</v>
      </c>
      <c r="L221" s="239">
        <v>0</v>
      </c>
      <c r="M221" s="239">
        <v>0</v>
      </c>
      <c r="N221" s="239">
        <v>0</v>
      </c>
    </row>
    <row r="222" spans="1:14" ht="18">
      <c r="A222" s="239">
        <v>220</v>
      </c>
      <c r="B222" s="239" t="s">
        <v>2812</v>
      </c>
      <c r="C222" s="239">
        <v>150</v>
      </c>
      <c r="D222" s="239" t="s">
        <v>2805</v>
      </c>
      <c r="E222" s="240">
        <v>0.5</v>
      </c>
      <c r="F222" s="239">
        <v>6</v>
      </c>
      <c r="G222" s="239" t="s">
        <v>2540</v>
      </c>
      <c r="H222" s="239" t="s">
        <v>3232</v>
      </c>
      <c r="I222" s="239" t="s">
        <v>3395</v>
      </c>
      <c r="J222" s="239">
        <v>0</v>
      </c>
      <c r="K222" s="239">
        <v>0</v>
      </c>
      <c r="L222" s="239">
        <v>0</v>
      </c>
      <c r="M222" s="239">
        <v>0</v>
      </c>
      <c r="N222" s="239">
        <v>0</v>
      </c>
    </row>
    <row r="223" spans="1:14" ht="18">
      <c r="A223" s="239">
        <v>221</v>
      </c>
      <c r="B223" s="239" t="s">
        <v>2813</v>
      </c>
      <c r="C223" s="239">
        <v>110</v>
      </c>
      <c r="D223" s="239" t="s">
        <v>2805</v>
      </c>
      <c r="E223" s="240">
        <v>0.5</v>
      </c>
      <c r="F223" s="239">
        <v>6</v>
      </c>
      <c r="G223" s="239" t="s">
        <v>2557</v>
      </c>
      <c r="H223" s="239" t="s">
        <v>3232</v>
      </c>
      <c r="I223" s="239" t="s">
        <v>3395</v>
      </c>
      <c r="J223" s="239">
        <v>0</v>
      </c>
      <c r="K223" s="239">
        <v>0</v>
      </c>
      <c r="L223" s="239">
        <v>0</v>
      </c>
      <c r="M223" s="239">
        <v>0</v>
      </c>
      <c r="N223" s="239">
        <v>0</v>
      </c>
    </row>
    <row r="224" spans="1:14" ht="18">
      <c r="A224" s="239">
        <v>222</v>
      </c>
      <c r="B224" s="239" t="s">
        <v>2814</v>
      </c>
      <c r="C224" s="239">
        <v>130</v>
      </c>
      <c r="D224" s="239" t="s">
        <v>2805</v>
      </c>
      <c r="E224" s="240">
        <v>0.5</v>
      </c>
      <c r="F224" s="239">
        <v>6</v>
      </c>
      <c r="G224" s="239" t="s">
        <v>2537</v>
      </c>
      <c r="H224" s="239" t="s">
        <v>3232</v>
      </c>
      <c r="I224" s="239" t="s">
        <v>3395</v>
      </c>
      <c r="J224" s="239">
        <v>0</v>
      </c>
      <c r="K224" s="239">
        <v>0</v>
      </c>
      <c r="L224" s="239">
        <v>0</v>
      </c>
      <c r="M224" s="239">
        <v>0</v>
      </c>
      <c r="N224" s="239">
        <v>0</v>
      </c>
    </row>
    <row r="225" spans="1:14" ht="18">
      <c r="A225" s="239">
        <v>223</v>
      </c>
      <c r="B225" s="239" t="s">
        <v>2815</v>
      </c>
      <c r="C225" s="239">
        <v>130</v>
      </c>
      <c r="D225" s="239" t="s">
        <v>2805</v>
      </c>
      <c r="E225" s="240">
        <v>0.5</v>
      </c>
      <c r="F225" s="239">
        <v>6</v>
      </c>
      <c r="G225" s="239" t="s">
        <v>2537</v>
      </c>
      <c r="H225" s="239" t="s">
        <v>3232</v>
      </c>
      <c r="I225" s="239" t="s">
        <v>3395</v>
      </c>
      <c r="J225" s="239">
        <v>0</v>
      </c>
      <c r="K225" s="239">
        <v>0</v>
      </c>
      <c r="L225" s="239">
        <v>0</v>
      </c>
      <c r="M225" s="239">
        <v>0</v>
      </c>
      <c r="N225" s="239">
        <v>0</v>
      </c>
    </row>
    <row r="226" spans="1:14" ht="18">
      <c r="A226" s="239">
        <v>224</v>
      </c>
      <c r="B226" s="239" t="s">
        <v>2816</v>
      </c>
      <c r="C226" s="239">
        <v>150</v>
      </c>
      <c r="D226" s="239" t="s">
        <v>2805</v>
      </c>
      <c r="E226" s="240">
        <v>0.5</v>
      </c>
      <c r="F226" s="239">
        <v>6</v>
      </c>
      <c r="G226" s="239" t="s">
        <v>2540</v>
      </c>
      <c r="H226" s="239" t="s">
        <v>3232</v>
      </c>
      <c r="I226" s="239" t="s">
        <v>3395</v>
      </c>
      <c r="J226" s="239">
        <v>0</v>
      </c>
      <c r="K226" s="239">
        <v>0</v>
      </c>
      <c r="L226" s="239">
        <v>0</v>
      </c>
      <c r="M226" s="239">
        <v>0</v>
      </c>
      <c r="N226" s="239">
        <v>0</v>
      </c>
    </row>
    <row r="227" spans="1:14" ht="18">
      <c r="A227" s="239">
        <v>225</v>
      </c>
      <c r="B227" s="239" t="s">
        <v>2817</v>
      </c>
      <c r="C227" s="239">
        <v>110</v>
      </c>
      <c r="D227" s="239" t="s">
        <v>2805</v>
      </c>
      <c r="E227" s="240">
        <v>0.5</v>
      </c>
      <c r="F227" s="239">
        <v>6</v>
      </c>
      <c r="G227" s="239" t="s">
        <v>2557</v>
      </c>
      <c r="H227" s="239" t="s">
        <v>3232</v>
      </c>
      <c r="I227" s="239" t="s">
        <v>3395</v>
      </c>
      <c r="J227" s="239">
        <v>0</v>
      </c>
      <c r="K227" s="239">
        <v>0</v>
      </c>
      <c r="L227" s="239">
        <v>0</v>
      </c>
      <c r="M227" s="239">
        <v>0</v>
      </c>
      <c r="N227" s="239">
        <v>0</v>
      </c>
    </row>
    <row r="228" spans="1:14" ht="18">
      <c r="A228" s="239">
        <v>226</v>
      </c>
      <c r="B228" s="239" t="s">
        <v>2818</v>
      </c>
      <c r="C228" s="239">
        <v>130</v>
      </c>
      <c r="D228" s="239" t="s">
        <v>2805</v>
      </c>
      <c r="E228" s="240">
        <v>0.5</v>
      </c>
      <c r="F228" s="239">
        <v>6</v>
      </c>
      <c r="G228" s="239" t="s">
        <v>2537</v>
      </c>
      <c r="H228" s="239" t="s">
        <v>3232</v>
      </c>
      <c r="I228" s="239" t="s">
        <v>3395</v>
      </c>
      <c r="J228" s="239">
        <v>0</v>
      </c>
      <c r="K228" s="239">
        <v>0</v>
      </c>
      <c r="L228" s="239">
        <v>0</v>
      </c>
      <c r="M228" s="239">
        <v>0</v>
      </c>
      <c r="N228" s="239">
        <v>0</v>
      </c>
    </row>
    <row r="229" spans="1:14" ht="18">
      <c r="A229" s="239">
        <v>227</v>
      </c>
      <c r="B229" s="239" t="s">
        <v>2819</v>
      </c>
      <c r="C229" s="239">
        <v>130</v>
      </c>
      <c r="D229" s="239" t="s">
        <v>2805</v>
      </c>
      <c r="E229" s="240">
        <v>0.5</v>
      </c>
      <c r="F229" s="239">
        <v>6</v>
      </c>
      <c r="G229" s="239" t="s">
        <v>2537</v>
      </c>
      <c r="H229" s="239" t="s">
        <v>3232</v>
      </c>
      <c r="I229" s="239" t="s">
        <v>3395</v>
      </c>
      <c r="J229" s="239">
        <v>0</v>
      </c>
      <c r="K229" s="239">
        <v>0</v>
      </c>
      <c r="L229" s="239">
        <v>0</v>
      </c>
      <c r="M229" s="239">
        <v>0</v>
      </c>
      <c r="N229" s="239">
        <v>0</v>
      </c>
    </row>
    <row r="230" spans="1:14" ht="18">
      <c r="A230" s="239">
        <v>228</v>
      </c>
      <c r="B230" s="239" t="s">
        <v>2820</v>
      </c>
      <c r="C230" s="239">
        <v>150</v>
      </c>
      <c r="D230" s="239" t="s">
        <v>2805</v>
      </c>
      <c r="E230" s="240">
        <v>0.5</v>
      </c>
      <c r="F230" s="239">
        <v>6</v>
      </c>
      <c r="G230" s="239" t="s">
        <v>2540</v>
      </c>
      <c r="H230" s="239" t="s">
        <v>3232</v>
      </c>
      <c r="I230" s="239" t="s">
        <v>3395</v>
      </c>
      <c r="J230" s="239">
        <v>0</v>
      </c>
      <c r="K230" s="239">
        <v>0</v>
      </c>
      <c r="L230" s="239">
        <v>0</v>
      </c>
      <c r="M230" s="239">
        <v>0</v>
      </c>
      <c r="N230" s="239">
        <v>0</v>
      </c>
    </row>
    <row r="231" spans="1:14" ht="18">
      <c r="A231" s="239">
        <v>229</v>
      </c>
      <c r="B231" s="239" t="s">
        <v>2821</v>
      </c>
      <c r="C231" s="239">
        <v>110</v>
      </c>
      <c r="D231" s="239" t="s">
        <v>2805</v>
      </c>
      <c r="E231" s="240">
        <v>0.5</v>
      </c>
      <c r="F231" s="239">
        <v>6</v>
      </c>
      <c r="G231" s="239" t="s">
        <v>2557</v>
      </c>
      <c r="H231" s="239" t="s">
        <v>3232</v>
      </c>
      <c r="I231" s="239" t="s">
        <v>3395</v>
      </c>
      <c r="J231" s="239">
        <v>0</v>
      </c>
      <c r="K231" s="239">
        <v>0</v>
      </c>
      <c r="L231" s="239">
        <v>0</v>
      </c>
      <c r="M231" s="239">
        <v>0</v>
      </c>
      <c r="N231" s="239">
        <v>0</v>
      </c>
    </row>
    <row r="232" spans="1:14" ht="18">
      <c r="A232" s="239">
        <v>230</v>
      </c>
      <c r="B232" s="239" t="s">
        <v>2822</v>
      </c>
      <c r="C232" s="239">
        <v>130</v>
      </c>
      <c r="D232" s="239" t="s">
        <v>2805</v>
      </c>
      <c r="E232" s="240">
        <v>0.5</v>
      </c>
      <c r="F232" s="239">
        <v>6</v>
      </c>
      <c r="G232" s="239" t="s">
        <v>2537</v>
      </c>
      <c r="H232" s="239" t="s">
        <v>3232</v>
      </c>
      <c r="I232" s="239" t="s">
        <v>3395</v>
      </c>
      <c r="J232" s="239">
        <v>0</v>
      </c>
      <c r="K232" s="239">
        <v>0</v>
      </c>
      <c r="L232" s="239">
        <v>0</v>
      </c>
      <c r="M232" s="239">
        <v>0</v>
      </c>
      <c r="N232" s="239">
        <v>0</v>
      </c>
    </row>
    <row r="233" spans="1:14" ht="18">
      <c r="A233" s="239">
        <v>231</v>
      </c>
      <c r="B233" s="239" t="s">
        <v>2823</v>
      </c>
      <c r="C233" s="239">
        <v>130</v>
      </c>
      <c r="D233" s="239" t="s">
        <v>2805</v>
      </c>
      <c r="E233" s="240">
        <v>0.5</v>
      </c>
      <c r="F233" s="239">
        <v>6</v>
      </c>
      <c r="G233" s="239" t="s">
        <v>2537</v>
      </c>
      <c r="H233" s="239" t="s">
        <v>3232</v>
      </c>
      <c r="I233" s="239" t="s">
        <v>3395</v>
      </c>
      <c r="J233" s="239">
        <v>0</v>
      </c>
      <c r="K233" s="239">
        <v>0</v>
      </c>
      <c r="L233" s="239">
        <v>0</v>
      </c>
      <c r="M233" s="239">
        <v>0</v>
      </c>
      <c r="N233" s="239">
        <v>0</v>
      </c>
    </row>
    <row r="234" spans="1:14" ht="18">
      <c r="A234" s="239">
        <v>232</v>
      </c>
      <c r="B234" s="239" t="s">
        <v>2824</v>
      </c>
      <c r="C234" s="239">
        <v>150</v>
      </c>
      <c r="D234" s="239" t="s">
        <v>2805</v>
      </c>
      <c r="E234" s="240">
        <v>0.5</v>
      </c>
      <c r="F234" s="239">
        <v>6</v>
      </c>
      <c r="G234" s="239" t="s">
        <v>2540</v>
      </c>
      <c r="H234" s="239" t="s">
        <v>3232</v>
      </c>
      <c r="I234" s="239" t="s">
        <v>3395</v>
      </c>
      <c r="J234" s="239">
        <v>0</v>
      </c>
      <c r="K234" s="239">
        <v>0</v>
      </c>
      <c r="L234" s="239">
        <v>0</v>
      </c>
      <c r="M234" s="239">
        <v>0</v>
      </c>
      <c r="N234" s="239">
        <v>0</v>
      </c>
    </row>
    <row r="235" spans="1:14" ht="18">
      <c r="A235" s="239">
        <v>237</v>
      </c>
      <c r="B235" s="239" t="s">
        <v>2825</v>
      </c>
      <c r="C235" s="239">
        <v>110</v>
      </c>
      <c r="D235" s="239" t="s">
        <v>2805</v>
      </c>
      <c r="E235" s="240">
        <v>0.5</v>
      </c>
      <c r="F235" s="239">
        <v>6</v>
      </c>
      <c r="G235" s="239" t="s">
        <v>2557</v>
      </c>
      <c r="H235" s="239" t="s">
        <v>3232</v>
      </c>
      <c r="I235" s="239" t="s">
        <v>3395</v>
      </c>
      <c r="J235" s="239">
        <v>0</v>
      </c>
      <c r="K235" s="239">
        <v>0</v>
      </c>
      <c r="L235" s="239">
        <v>0</v>
      </c>
      <c r="M235" s="239">
        <v>0</v>
      </c>
      <c r="N235" s="239">
        <v>0</v>
      </c>
    </row>
    <row r="236" spans="1:14" ht="18">
      <c r="A236" s="239">
        <v>238</v>
      </c>
      <c r="B236" s="239" t="s">
        <v>2826</v>
      </c>
      <c r="C236" s="239">
        <v>130</v>
      </c>
      <c r="D236" s="239" t="s">
        <v>2805</v>
      </c>
      <c r="E236" s="240">
        <v>0.5</v>
      </c>
      <c r="F236" s="239">
        <v>6</v>
      </c>
      <c r="G236" s="239" t="s">
        <v>2537</v>
      </c>
      <c r="H236" s="239" t="s">
        <v>3232</v>
      </c>
      <c r="I236" s="239" t="s">
        <v>3395</v>
      </c>
      <c r="J236" s="239">
        <v>0</v>
      </c>
      <c r="K236" s="239">
        <v>0</v>
      </c>
      <c r="L236" s="239">
        <v>0</v>
      </c>
      <c r="M236" s="239">
        <v>0</v>
      </c>
      <c r="N236" s="239">
        <v>0</v>
      </c>
    </row>
    <row r="237" spans="1:14" ht="18">
      <c r="A237" s="239">
        <v>239</v>
      </c>
      <c r="B237" s="239" t="s">
        <v>2827</v>
      </c>
      <c r="C237" s="239">
        <v>130</v>
      </c>
      <c r="D237" s="239" t="s">
        <v>2805</v>
      </c>
      <c r="E237" s="240">
        <v>0.5</v>
      </c>
      <c r="F237" s="239">
        <v>6</v>
      </c>
      <c r="G237" s="239" t="s">
        <v>2537</v>
      </c>
      <c r="H237" s="239" t="s">
        <v>3232</v>
      </c>
      <c r="I237" s="239" t="s">
        <v>3395</v>
      </c>
      <c r="J237" s="239">
        <v>0</v>
      </c>
      <c r="K237" s="239">
        <v>0</v>
      </c>
      <c r="L237" s="239">
        <v>0</v>
      </c>
      <c r="M237" s="239">
        <v>0</v>
      </c>
      <c r="N237" s="239">
        <v>0</v>
      </c>
    </row>
    <row r="238" spans="1:14" ht="18">
      <c r="A238" s="239">
        <v>240</v>
      </c>
      <c r="B238" s="239" t="s">
        <v>2828</v>
      </c>
      <c r="C238" s="239">
        <v>150</v>
      </c>
      <c r="D238" s="239" t="s">
        <v>2805</v>
      </c>
      <c r="E238" s="240">
        <v>0.5</v>
      </c>
      <c r="F238" s="239">
        <v>6</v>
      </c>
      <c r="G238" s="239" t="s">
        <v>2540</v>
      </c>
      <c r="H238" s="239" t="s">
        <v>3232</v>
      </c>
      <c r="I238" s="239" t="s">
        <v>3395</v>
      </c>
      <c r="J238" s="239">
        <v>0</v>
      </c>
      <c r="K238" s="239">
        <v>0</v>
      </c>
      <c r="L238" s="239">
        <v>0</v>
      </c>
      <c r="M238" s="239">
        <v>0</v>
      </c>
      <c r="N238" s="239">
        <v>0</v>
      </c>
    </row>
    <row r="239" spans="1:14" ht="18">
      <c r="A239" s="239">
        <v>241</v>
      </c>
      <c r="B239" s="239" t="s">
        <v>2829</v>
      </c>
      <c r="C239" s="239">
        <v>110</v>
      </c>
      <c r="D239" s="239" t="s">
        <v>2830</v>
      </c>
      <c r="E239" s="240">
        <v>0.5</v>
      </c>
      <c r="F239" s="239">
        <v>6</v>
      </c>
      <c r="G239" s="239" t="s">
        <v>2557</v>
      </c>
      <c r="H239" s="239" t="s">
        <v>3232</v>
      </c>
      <c r="I239" s="239" t="s">
        <v>3395</v>
      </c>
      <c r="J239" s="239">
        <v>0</v>
      </c>
      <c r="K239" s="239">
        <v>0</v>
      </c>
      <c r="L239" s="239">
        <v>0</v>
      </c>
      <c r="M239" s="239">
        <v>0</v>
      </c>
      <c r="N239" s="239">
        <v>0</v>
      </c>
    </row>
    <row r="240" spans="1:14" ht="18">
      <c r="A240" s="239">
        <v>242</v>
      </c>
      <c r="B240" s="239" t="s">
        <v>2831</v>
      </c>
      <c r="C240" s="239">
        <v>130</v>
      </c>
      <c r="D240" s="239" t="s">
        <v>2830</v>
      </c>
      <c r="E240" s="240">
        <v>0.5</v>
      </c>
      <c r="F240" s="239">
        <v>6</v>
      </c>
      <c r="G240" s="239" t="s">
        <v>2537</v>
      </c>
      <c r="H240" s="239" t="s">
        <v>3232</v>
      </c>
      <c r="I240" s="239" t="s">
        <v>3395</v>
      </c>
      <c r="J240" s="239">
        <v>0</v>
      </c>
      <c r="K240" s="239">
        <v>0</v>
      </c>
      <c r="L240" s="239">
        <v>0</v>
      </c>
      <c r="M240" s="239">
        <v>0</v>
      </c>
      <c r="N240" s="239">
        <v>0</v>
      </c>
    </row>
    <row r="241" spans="1:14" ht="18">
      <c r="A241" s="239">
        <v>243</v>
      </c>
      <c r="B241" s="239" t="s">
        <v>2832</v>
      </c>
      <c r="C241" s="239">
        <v>150</v>
      </c>
      <c r="D241" s="239" t="s">
        <v>2830</v>
      </c>
      <c r="E241" s="240">
        <v>0.5</v>
      </c>
      <c r="F241" s="239">
        <v>6</v>
      </c>
      <c r="G241" s="239" t="s">
        <v>2540</v>
      </c>
      <c r="H241" s="239" t="s">
        <v>3232</v>
      </c>
      <c r="I241" s="239" t="s">
        <v>3395</v>
      </c>
      <c r="J241" s="239">
        <v>0</v>
      </c>
      <c r="K241" s="239">
        <v>0</v>
      </c>
      <c r="L241" s="239">
        <v>0</v>
      </c>
      <c r="M241" s="239">
        <v>0</v>
      </c>
      <c r="N241" s="239">
        <v>0</v>
      </c>
    </row>
    <row r="242" spans="1:14" ht="18">
      <c r="A242" s="239">
        <v>244</v>
      </c>
      <c r="B242" s="239" t="s">
        <v>2833</v>
      </c>
      <c r="C242" s="239">
        <v>110</v>
      </c>
      <c r="D242" s="239" t="s">
        <v>2830</v>
      </c>
      <c r="E242" s="240">
        <v>0.5</v>
      </c>
      <c r="F242" s="239">
        <v>6</v>
      </c>
      <c r="G242" s="239" t="s">
        <v>2557</v>
      </c>
      <c r="H242" s="239" t="s">
        <v>3232</v>
      </c>
      <c r="I242" s="239" t="s">
        <v>3395</v>
      </c>
      <c r="J242" s="239">
        <v>0</v>
      </c>
      <c r="K242" s="239">
        <v>0</v>
      </c>
      <c r="L242" s="239">
        <v>0</v>
      </c>
      <c r="M242" s="239">
        <v>0</v>
      </c>
      <c r="N242" s="239">
        <v>0</v>
      </c>
    </row>
    <row r="243" spans="1:14" ht="18">
      <c r="A243" s="239">
        <v>245</v>
      </c>
      <c r="B243" s="239" t="s">
        <v>2834</v>
      </c>
      <c r="C243" s="239">
        <v>130</v>
      </c>
      <c r="D243" s="239" t="s">
        <v>2830</v>
      </c>
      <c r="E243" s="240">
        <v>0.5</v>
      </c>
      <c r="F243" s="239">
        <v>6</v>
      </c>
      <c r="G243" s="239" t="s">
        <v>2537</v>
      </c>
      <c r="H243" s="239" t="s">
        <v>3232</v>
      </c>
      <c r="I243" s="239" t="s">
        <v>3395</v>
      </c>
      <c r="J243" s="239">
        <v>0</v>
      </c>
      <c r="K243" s="239">
        <v>0</v>
      </c>
      <c r="L243" s="239">
        <v>0</v>
      </c>
      <c r="M243" s="239">
        <v>0</v>
      </c>
      <c r="N243" s="239">
        <v>0</v>
      </c>
    </row>
    <row r="244" spans="1:14" ht="18">
      <c r="A244" s="239">
        <v>246</v>
      </c>
      <c r="B244" s="239" t="s">
        <v>2835</v>
      </c>
      <c r="C244" s="239">
        <v>150</v>
      </c>
      <c r="D244" s="239" t="s">
        <v>2830</v>
      </c>
      <c r="E244" s="240">
        <v>0.5</v>
      </c>
      <c r="F244" s="239">
        <v>6</v>
      </c>
      <c r="G244" s="239" t="s">
        <v>2540</v>
      </c>
      <c r="H244" s="239" t="s">
        <v>3232</v>
      </c>
      <c r="I244" s="239" t="s">
        <v>3395</v>
      </c>
      <c r="J244" s="239">
        <v>0</v>
      </c>
      <c r="K244" s="239">
        <v>0</v>
      </c>
      <c r="L244" s="239">
        <v>0</v>
      </c>
      <c r="M244" s="239">
        <v>0</v>
      </c>
      <c r="N244" s="239">
        <v>0</v>
      </c>
    </row>
    <row r="245" spans="1:14" ht="18">
      <c r="A245" s="239">
        <v>247</v>
      </c>
      <c r="B245" s="239" t="s">
        <v>2836</v>
      </c>
      <c r="C245" s="239">
        <v>110</v>
      </c>
      <c r="D245" s="239" t="s">
        <v>2830</v>
      </c>
      <c r="E245" s="240">
        <v>0.5</v>
      </c>
      <c r="F245" s="239">
        <v>6</v>
      </c>
      <c r="G245" s="239" t="s">
        <v>2557</v>
      </c>
      <c r="H245" s="239" t="s">
        <v>3232</v>
      </c>
      <c r="I245" s="239" t="s">
        <v>3395</v>
      </c>
      <c r="J245" s="239">
        <v>0</v>
      </c>
      <c r="K245" s="239">
        <v>0</v>
      </c>
      <c r="L245" s="239">
        <v>0</v>
      </c>
      <c r="M245" s="239">
        <v>0</v>
      </c>
      <c r="N245" s="239">
        <v>0</v>
      </c>
    </row>
    <row r="246" spans="1:14" ht="18">
      <c r="A246" s="239">
        <v>248</v>
      </c>
      <c r="B246" s="239" t="s">
        <v>2837</v>
      </c>
      <c r="C246" s="239">
        <v>130</v>
      </c>
      <c r="D246" s="239" t="s">
        <v>2830</v>
      </c>
      <c r="E246" s="240">
        <v>0.5</v>
      </c>
      <c r="F246" s="239">
        <v>6</v>
      </c>
      <c r="G246" s="239" t="s">
        <v>2537</v>
      </c>
      <c r="H246" s="239" t="s">
        <v>3232</v>
      </c>
      <c r="I246" s="239" t="s">
        <v>3395</v>
      </c>
      <c r="J246" s="239">
        <v>0</v>
      </c>
      <c r="K246" s="239">
        <v>0</v>
      </c>
      <c r="L246" s="239">
        <v>0</v>
      </c>
      <c r="M246" s="239">
        <v>0</v>
      </c>
      <c r="N246" s="239">
        <v>0</v>
      </c>
    </row>
    <row r="247" spans="1:14" ht="18">
      <c r="A247" s="239">
        <v>249</v>
      </c>
      <c r="B247" s="239" t="s">
        <v>2838</v>
      </c>
      <c r="C247" s="239">
        <v>150</v>
      </c>
      <c r="D247" s="239" t="s">
        <v>2830</v>
      </c>
      <c r="E247" s="240">
        <v>0.5</v>
      </c>
      <c r="F247" s="239">
        <v>6</v>
      </c>
      <c r="G247" s="239" t="s">
        <v>2540</v>
      </c>
      <c r="H247" s="239" t="s">
        <v>3232</v>
      </c>
      <c r="I247" s="239" t="s">
        <v>3395</v>
      </c>
      <c r="J247" s="239">
        <v>0</v>
      </c>
      <c r="K247" s="239">
        <v>0</v>
      </c>
      <c r="L247" s="239">
        <v>0</v>
      </c>
      <c r="M247" s="239">
        <v>0</v>
      </c>
      <c r="N247" s="239">
        <v>0</v>
      </c>
    </row>
    <row r="248" spans="1:14" ht="18">
      <c r="A248" s="239">
        <v>250</v>
      </c>
      <c r="B248" s="239" t="s">
        <v>2839</v>
      </c>
      <c r="C248" s="239">
        <v>130</v>
      </c>
      <c r="D248" s="239" t="s">
        <v>2840</v>
      </c>
      <c r="E248" s="240">
        <v>0.5</v>
      </c>
      <c r="F248" s="239">
        <v>6</v>
      </c>
      <c r="G248" s="239" t="s">
        <v>2537</v>
      </c>
      <c r="H248" s="239" t="s">
        <v>3232</v>
      </c>
      <c r="I248" s="239" t="s">
        <v>3395</v>
      </c>
      <c r="J248" s="239">
        <v>0</v>
      </c>
      <c r="K248" s="239">
        <v>0</v>
      </c>
      <c r="L248" s="239">
        <v>0</v>
      </c>
      <c r="M248" s="239">
        <v>0</v>
      </c>
      <c r="N248" s="239">
        <v>0</v>
      </c>
    </row>
    <row r="249" spans="1:14" ht="18">
      <c r="A249" s="239">
        <v>251</v>
      </c>
      <c r="B249" s="239" t="s">
        <v>2841</v>
      </c>
      <c r="C249" s="239">
        <v>150</v>
      </c>
      <c r="D249" s="239" t="s">
        <v>2840</v>
      </c>
      <c r="E249" s="240">
        <v>0.5</v>
      </c>
      <c r="F249" s="239">
        <v>6</v>
      </c>
      <c r="G249" s="239" t="s">
        <v>2540</v>
      </c>
      <c r="H249" s="239" t="s">
        <v>3232</v>
      </c>
      <c r="I249" s="239" t="s">
        <v>3395</v>
      </c>
      <c r="J249" s="239">
        <v>0</v>
      </c>
      <c r="K249" s="239">
        <v>0</v>
      </c>
      <c r="L249" s="239">
        <v>0</v>
      </c>
      <c r="M249" s="239">
        <v>0</v>
      </c>
      <c r="N249" s="239">
        <v>0</v>
      </c>
    </row>
    <row r="250" spans="1:14" ht="18">
      <c r="A250" s="239">
        <v>252</v>
      </c>
      <c r="B250" s="239" t="s">
        <v>2842</v>
      </c>
      <c r="C250" s="239">
        <v>170</v>
      </c>
      <c r="D250" s="239" t="s">
        <v>2840</v>
      </c>
      <c r="E250" s="240">
        <v>0.5</v>
      </c>
      <c r="F250" s="239">
        <v>6</v>
      </c>
      <c r="G250" s="239" t="s">
        <v>2545</v>
      </c>
      <c r="H250" s="239" t="s">
        <v>3232</v>
      </c>
      <c r="I250" s="239" t="s">
        <v>3395</v>
      </c>
      <c r="J250" s="239">
        <v>0</v>
      </c>
      <c r="K250" s="239">
        <v>0</v>
      </c>
      <c r="L250" s="239">
        <v>0</v>
      </c>
      <c r="M250" s="239">
        <v>0</v>
      </c>
      <c r="N250" s="239">
        <v>0</v>
      </c>
    </row>
    <row r="251" spans="1:14" ht="18">
      <c r="A251" s="239">
        <v>253</v>
      </c>
      <c r="B251" s="239" t="s">
        <v>2843</v>
      </c>
      <c r="C251" s="239">
        <v>130</v>
      </c>
      <c r="D251" s="239" t="s">
        <v>2840</v>
      </c>
      <c r="E251" s="240">
        <v>0.5</v>
      </c>
      <c r="F251" s="239">
        <v>6</v>
      </c>
      <c r="G251" s="239" t="s">
        <v>2537</v>
      </c>
      <c r="H251" s="239" t="s">
        <v>3232</v>
      </c>
      <c r="I251" s="239" t="s">
        <v>3395</v>
      </c>
      <c r="J251" s="239">
        <v>0</v>
      </c>
      <c r="K251" s="239">
        <v>0</v>
      </c>
      <c r="L251" s="239">
        <v>0</v>
      </c>
      <c r="M251" s="239">
        <v>0</v>
      </c>
      <c r="N251" s="239">
        <v>0</v>
      </c>
    </row>
    <row r="252" spans="1:14" ht="18">
      <c r="A252" s="239">
        <v>254</v>
      </c>
      <c r="B252" s="239" t="s">
        <v>2844</v>
      </c>
      <c r="C252" s="239">
        <v>150</v>
      </c>
      <c r="D252" s="239" t="s">
        <v>2840</v>
      </c>
      <c r="E252" s="240">
        <v>0.5</v>
      </c>
      <c r="F252" s="239">
        <v>6</v>
      </c>
      <c r="G252" s="239" t="s">
        <v>2540</v>
      </c>
      <c r="H252" s="239" t="s">
        <v>3232</v>
      </c>
      <c r="I252" s="239" t="s">
        <v>3395</v>
      </c>
      <c r="J252" s="239">
        <v>0</v>
      </c>
      <c r="K252" s="239">
        <v>0</v>
      </c>
      <c r="L252" s="239">
        <v>0</v>
      </c>
      <c r="M252" s="239">
        <v>0</v>
      </c>
      <c r="N252" s="239">
        <v>0</v>
      </c>
    </row>
    <row r="253" spans="1:14" ht="18">
      <c r="A253" s="239">
        <v>255</v>
      </c>
      <c r="B253" s="239" t="s">
        <v>2845</v>
      </c>
      <c r="C253" s="239">
        <v>170</v>
      </c>
      <c r="D253" s="239" t="s">
        <v>2840</v>
      </c>
      <c r="E253" s="240">
        <v>0.5</v>
      </c>
      <c r="F253" s="239">
        <v>6</v>
      </c>
      <c r="G253" s="239" t="s">
        <v>2545</v>
      </c>
      <c r="H253" s="239" t="s">
        <v>3232</v>
      </c>
      <c r="I253" s="239" t="s">
        <v>3395</v>
      </c>
      <c r="J253" s="239">
        <v>0</v>
      </c>
      <c r="K253" s="239">
        <v>0</v>
      </c>
      <c r="L253" s="239">
        <v>0</v>
      </c>
      <c r="M253" s="239">
        <v>0</v>
      </c>
      <c r="N253" s="239">
        <v>0</v>
      </c>
    </row>
    <row r="254" spans="1:14" ht="18">
      <c r="A254" s="239">
        <v>256</v>
      </c>
      <c r="B254" s="239" t="s">
        <v>2846</v>
      </c>
      <c r="C254" s="239">
        <v>130</v>
      </c>
      <c r="D254" s="239" t="s">
        <v>2840</v>
      </c>
      <c r="E254" s="240">
        <v>0.5</v>
      </c>
      <c r="F254" s="239">
        <v>6</v>
      </c>
      <c r="G254" s="239" t="s">
        <v>2537</v>
      </c>
      <c r="H254" s="239" t="s">
        <v>3232</v>
      </c>
      <c r="I254" s="239" t="s">
        <v>3395</v>
      </c>
      <c r="J254" s="239">
        <v>0</v>
      </c>
      <c r="K254" s="239">
        <v>0</v>
      </c>
      <c r="L254" s="239">
        <v>0</v>
      </c>
      <c r="M254" s="239">
        <v>0</v>
      </c>
      <c r="N254" s="239">
        <v>0</v>
      </c>
    </row>
    <row r="255" spans="1:14" ht="18">
      <c r="A255" s="239">
        <v>257</v>
      </c>
      <c r="B255" s="239" t="s">
        <v>2847</v>
      </c>
      <c r="C255" s="239">
        <v>150</v>
      </c>
      <c r="D255" s="239" t="s">
        <v>2840</v>
      </c>
      <c r="E255" s="240">
        <v>0.5</v>
      </c>
      <c r="F255" s="239">
        <v>6</v>
      </c>
      <c r="G255" s="239" t="s">
        <v>2540</v>
      </c>
      <c r="H255" s="239" t="s">
        <v>3232</v>
      </c>
      <c r="I255" s="239" t="s">
        <v>3395</v>
      </c>
      <c r="J255" s="239">
        <v>0</v>
      </c>
      <c r="K255" s="239">
        <v>0</v>
      </c>
      <c r="L255" s="239">
        <v>0</v>
      </c>
      <c r="M255" s="239">
        <v>0</v>
      </c>
      <c r="N255" s="239">
        <v>0</v>
      </c>
    </row>
    <row r="256" spans="1:14" ht="18">
      <c r="A256" s="239">
        <v>258</v>
      </c>
      <c r="B256" s="239" t="s">
        <v>2848</v>
      </c>
      <c r="C256" s="239">
        <v>170</v>
      </c>
      <c r="D256" s="239" t="s">
        <v>2840</v>
      </c>
      <c r="E256" s="240">
        <v>0.5</v>
      </c>
      <c r="F256" s="239">
        <v>6</v>
      </c>
      <c r="G256" s="239" t="s">
        <v>2545</v>
      </c>
      <c r="H256" s="239" t="s">
        <v>3232</v>
      </c>
      <c r="I256" s="239" t="s">
        <v>3395</v>
      </c>
      <c r="J256" s="239">
        <v>0</v>
      </c>
      <c r="K256" s="239">
        <v>0</v>
      </c>
      <c r="L256" s="239">
        <v>0</v>
      </c>
      <c r="M256" s="239">
        <v>0</v>
      </c>
      <c r="N256" s="239">
        <v>0</v>
      </c>
    </row>
    <row r="257" spans="1:14" ht="18">
      <c r="A257" s="357"/>
      <c r="B257" s="357" t="s">
        <v>3090</v>
      </c>
      <c r="C257" s="357">
        <v>130</v>
      </c>
      <c r="D257" s="239" t="s">
        <v>2840</v>
      </c>
      <c r="E257" s="240">
        <v>0.5</v>
      </c>
      <c r="F257" s="239">
        <v>6</v>
      </c>
      <c r="G257" s="239" t="s">
        <v>2537</v>
      </c>
      <c r="H257" s="239" t="s">
        <v>3232</v>
      </c>
      <c r="I257" s="239" t="s">
        <v>3395</v>
      </c>
      <c r="J257" s="239">
        <v>0</v>
      </c>
      <c r="K257" s="239">
        <v>0</v>
      </c>
      <c r="L257" s="239">
        <v>0</v>
      </c>
      <c r="M257" s="239">
        <v>0</v>
      </c>
      <c r="N257" s="239">
        <v>0</v>
      </c>
    </row>
    <row r="258" spans="1:14" ht="18">
      <c r="A258" s="357"/>
      <c r="B258" s="357" t="s">
        <v>3091</v>
      </c>
      <c r="C258" s="357">
        <v>150</v>
      </c>
      <c r="D258" s="239" t="s">
        <v>2840</v>
      </c>
      <c r="E258" s="240">
        <v>0.5</v>
      </c>
      <c r="F258" s="239">
        <v>6</v>
      </c>
      <c r="G258" s="239" t="s">
        <v>2540</v>
      </c>
      <c r="H258" s="239" t="s">
        <v>3232</v>
      </c>
      <c r="I258" s="239" t="s">
        <v>3395</v>
      </c>
      <c r="J258" s="239">
        <v>0</v>
      </c>
      <c r="K258" s="239">
        <v>0</v>
      </c>
      <c r="L258" s="239">
        <v>0</v>
      </c>
      <c r="M258" s="239">
        <v>0</v>
      </c>
      <c r="N258" s="239">
        <v>0</v>
      </c>
    </row>
    <row r="259" spans="1:14" ht="18">
      <c r="A259" s="357"/>
      <c r="B259" s="357" t="s">
        <v>3092</v>
      </c>
      <c r="C259" s="357">
        <v>170</v>
      </c>
      <c r="D259" s="239" t="s">
        <v>2840</v>
      </c>
      <c r="E259" s="240">
        <v>0.5</v>
      </c>
      <c r="F259" s="239">
        <v>6</v>
      </c>
      <c r="G259" s="239" t="s">
        <v>2545</v>
      </c>
      <c r="H259" s="239" t="s">
        <v>3232</v>
      </c>
      <c r="I259" s="239" t="s">
        <v>3395</v>
      </c>
      <c r="J259" s="239">
        <v>0</v>
      </c>
      <c r="K259" s="239">
        <v>0</v>
      </c>
      <c r="L259" s="239">
        <v>0</v>
      </c>
      <c r="M259" s="239">
        <v>0</v>
      </c>
      <c r="N259" s="239">
        <v>0</v>
      </c>
    </row>
    <row r="260" spans="1:14" ht="18">
      <c r="A260" s="239">
        <v>259</v>
      </c>
      <c r="B260" s="239" t="s">
        <v>2849</v>
      </c>
      <c r="C260" s="239">
        <v>130</v>
      </c>
      <c r="D260" s="239" t="s">
        <v>2850</v>
      </c>
      <c r="E260" s="240">
        <v>0.5</v>
      </c>
      <c r="F260" s="239">
        <v>6</v>
      </c>
      <c r="G260" s="239" t="s">
        <v>2537</v>
      </c>
      <c r="H260" s="239" t="s">
        <v>3232</v>
      </c>
      <c r="I260" s="239" t="s">
        <v>3395</v>
      </c>
      <c r="J260" s="239">
        <v>0</v>
      </c>
      <c r="K260" s="239">
        <v>0</v>
      </c>
      <c r="L260" s="239">
        <v>0</v>
      </c>
      <c r="M260" s="239">
        <v>0</v>
      </c>
      <c r="N260" s="239">
        <v>0</v>
      </c>
    </row>
    <row r="261" spans="1:14" ht="18">
      <c r="A261" s="239">
        <v>260</v>
      </c>
      <c r="B261" s="239" t="s">
        <v>2851</v>
      </c>
      <c r="C261" s="239">
        <v>150</v>
      </c>
      <c r="D261" s="239" t="s">
        <v>2850</v>
      </c>
      <c r="E261" s="240">
        <v>0.5</v>
      </c>
      <c r="F261" s="239">
        <v>6</v>
      </c>
      <c r="G261" s="239" t="s">
        <v>2540</v>
      </c>
      <c r="H261" s="239" t="s">
        <v>3232</v>
      </c>
      <c r="I261" s="239" t="s">
        <v>3395</v>
      </c>
      <c r="J261" s="239">
        <v>0</v>
      </c>
      <c r="K261" s="239">
        <v>0</v>
      </c>
      <c r="L261" s="239">
        <v>0</v>
      </c>
      <c r="M261" s="239">
        <v>0</v>
      </c>
      <c r="N261" s="239">
        <v>0</v>
      </c>
    </row>
    <row r="262" spans="1:14" ht="18">
      <c r="A262" s="239">
        <v>261</v>
      </c>
      <c r="B262" s="239" t="s">
        <v>2852</v>
      </c>
      <c r="C262" s="239">
        <v>170</v>
      </c>
      <c r="D262" s="239" t="s">
        <v>2850</v>
      </c>
      <c r="E262" s="240">
        <v>0.5</v>
      </c>
      <c r="F262" s="239">
        <v>6</v>
      </c>
      <c r="G262" s="239" t="s">
        <v>2545</v>
      </c>
      <c r="H262" s="239" t="s">
        <v>3232</v>
      </c>
      <c r="I262" s="239" t="s">
        <v>3395</v>
      </c>
      <c r="J262" s="239">
        <v>0</v>
      </c>
      <c r="K262" s="239">
        <v>0</v>
      </c>
      <c r="L262" s="239">
        <v>0</v>
      </c>
      <c r="M262" s="239">
        <v>0</v>
      </c>
      <c r="N262" s="239">
        <v>0</v>
      </c>
    </row>
    <row r="263" spans="1:14" ht="18">
      <c r="A263" s="239">
        <v>262</v>
      </c>
      <c r="B263" s="239" t="s">
        <v>2853</v>
      </c>
      <c r="C263" s="239">
        <v>130</v>
      </c>
      <c r="D263" s="239" t="s">
        <v>2850</v>
      </c>
      <c r="E263" s="240">
        <v>0.5</v>
      </c>
      <c r="F263" s="239">
        <v>6</v>
      </c>
      <c r="G263" s="239" t="s">
        <v>2537</v>
      </c>
      <c r="H263" s="239" t="s">
        <v>3232</v>
      </c>
      <c r="I263" s="239" t="s">
        <v>3395</v>
      </c>
      <c r="J263" s="239">
        <v>0</v>
      </c>
      <c r="K263" s="239">
        <v>0</v>
      </c>
      <c r="L263" s="239">
        <v>0</v>
      </c>
      <c r="M263" s="239">
        <v>0</v>
      </c>
      <c r="N263" s="239">
        <v>0</v>
      </c>
    </row>
    <row r="264" spans="1:14" ht="18">
      <c r="A264" s="239">
        <v>263</v>
      </c>
      <c r="B264" s="239" t="s">
        <v>2854</v>
      </c>
      <c r="C264" s="239">
        <v>150</v>
      </c>
      <c r="D264" s="239" t="s">
        <v>2850</v>
      </c>
      <c r="E264" s="240">
        <v>0.5</v>
      </c>
      <c r="F264" s="239">
        <v>6</v>
      </c>
      <c r="G264" s="239" t="s">
        <v>2540</v>
      </c>
      <c r="H264" s="239" t="s">
        <v>3232</v>
      </c>
      <c r="I264" s="239" t="s">
        <v>3395</v>
      </c>
      <c r="J264" s="239">
        <v>0</v>
      </c>
      <c r="K264" s="239">
        <v>0</v>
      </c>
      <c r="L264" s="239">
        <v>0</v>
      </c>
      <c r="M264" s="239">
        <v>0</v>
      </c>
      <c r="N264" s="239">
        <v>0</v>
      </c>
    </row>
    <row r="265" spans="1:14" ht="18">
      <c r="A265" s="239">
        <v>264</v>
      </c>
      <c r="B265" s="239" t="s">
        <v>2855</v>
      </c>
      <c r="C265" s="239">
        <v>170</v>
      </c>
      <c r="D265" s="239" t="s">
        <v>2850</v>
      </c>
      <c r="E265" s="240">
        <v>0.5</v>
      </c>
      <c r="F265" s="239">
        <v>6</v>
      </c>
      <c r="G265" s="239" t="s">
        <v>2545</v>
      </c>
      <c r="H265" s="239" t="s">
        <v>3232</v>
      </c>
      <c r="I265" s="239" t="s">
        <v>3395</v>
      </c>
      <c r="J265" s="239">
        <v>0</v>
      </c>
      <c r="K265" s="239">
        <v>0</v>
      </c>
      <c r="L265" s="239">
        <v>0</v>
      </c>
      <c r="M265" s="239">
        <v>0</v>
      </c>
      <c r="N265" s="239">
        <v>0</v>
      </c>
    </row>
    <row r="266" spans="1:14" ht="18">
      <c r="A266" s="239">
        <v>265</v>
      </c>
      <c r="B266" s="239" t="s">
        <v>2856</v>
      </c>
      <c r="C266" s="239">
        <v>110</v>
      </c>
      <c r="D266" s="239" t="s">
        <v>2857</v>
      </c>
      <c r="E266" s="240">
        <v>0.5</v>
      </c>
      <c r="F266" s="239">
        <v>6</v>
      </c>
      <c r="G266" s="239" t="s">
        <v>2557</v>
      </c>
      <c r="H266" s="239" t="s">
        <v>3232</v>
      </c>
      <c r="I266" s="239" t="s">
        <v>3395</v>
      </c>
      <c r="J266" s="239">
        <v>0</v>
      </c>
      <c r="K266" s="239">
        <v>0</v>
      </c>
      <c r="L266" s="239">
        <v>0</v>
      </c>
      <c r="M266" s="239">
        <v>0</v>
      </c>
      <c r="N266" s="239">
        <v>0</v>
      </c>
    </row>
    <row r="267" spans="1:14" ht="18">
      <c r="A267" s="239">
        <v>266</v>
      </c>
      <c r="B267" s="239" t="s">
        <v>2858</v>
      </c>
      <c r="C267" s="239">
        <v>130</v>
      </c>
      <c r="D267" s="239" t="s">
        <v>2857</v>
      </c>
      <c r="E267" s="240">
        <v>0.5</v>
      </c>
      <c r="F267" s="239">
        <v>6</v>
      </c>
      <c r="G267" s="239" t="s">
        <v>2537</v>
      </c>
      <c r="H267" s="239" t="s">
        <v>3232</v>
      </c>
      <c r="I267" s="239" t="s">
        <v>3395</v>
      </c>
      <c r="J267" s="239">
        <v>0</v>
      </c>
      <c r="K267" s="239">
        <v>0</v>
      </c>
      <c r="L267" s="239">
        <v>0</v>
      </c>
      <c r="M267" s="239">
        <v>0</v>
      </c>
      <c r="N267" s="239">
        <v>0</v>
      </c>
    </row>
    <row r="268" spans="1:14" ht="18">
      <c r="A268" s="239">
        <v>267</v>
      </c>
      <c r="B268" s="239" t="s">
        <v>2859</v>
      </c>
      <c r="C268" s="239">
        <v>150</v>
      </c>
      <c r="D268" s="239" t="s">
        <v>2857</v>
      </c>
      <c r="E268" s="240">
        <v>0.5</v>
      </c>
      <c r="F268" s="239">
        <v>6</v>
      </c>
      <c r="G268" s="239" t="s">
        <v>2540</v>
      </c>
      <c r="H268" s="239" t="s">
        <v>3232</v>
      </c>
      <c r="I268" s="239" t="s">
        <v>3395</v>
      </c>
      <c r="J268" s="239">
        <v>0</v>
      </c>
      <c r="K268" s="239">
        <v>0</v>
      </c>
      <c r="L268" s="239">
        <v>0</v>
      </c>
      <c r="M268" s="239">
        <v>0</v>
      </c>
      <c r="N268" s="239">
        <v>0</v>
      </c>
    </row>
    <row r="269" spans="1:14" ht="18">
      <c r="A269" s="239">
        <v>268</v>
      </c>
      <c r="B269" s="239" t="s">
        <v>2860</v>
      </c>
      <c r="C269" s="239">
        <v>110</v>
      </c>
      <c r="D269" s="239" t="s">
        <v>2857</v>
      </c>
      <c r="E269" s="240">
        <v>0.5</v>
      </c>
      <c r="F269" s="239">
        <v>6</v>
      </c>
      <c r="G269" s="239" t="s">
        <v>2557</v>
      </c>
      <c r="H269" s="239" t="s">
        <v>3232</v>
      </c>
      <c r="I269" s="239" t="s">
        <v>3395</v>
      </c>
      <c r="J269" s="239">
        <v>0</v>
      </c>
      <c r="K269" s="239">
        <v>0</v>
      </c>
      <c r="L269" s="239">
        <v>0</v>
      </c>
      <c r="M269" s="239">
        <v>0</v>
      </c>
      <c r="N269" s="239">
        <v>0</v>
      </c>
    </row>
    <row r="270" spans="1:14" ht="18">
      <c r="A270" s="239">
        <v>269</v>
      </c>
      <c r="B270" s="239" t="s">
        <v>2861</v>
      </c>
      <c r="C270" s="239">
        <v>130</v>
      </c>
      <c r="D270" s="239" t="s">
        <v>2857</v>
      </c>
      <c r="E270" s="240">
        <v>0.5</v>
      </c>
      <c r="F270" s="239">
        <v>6</v>
      </c>
      <c r="G270" s="239" t="s">
        <v>2537</v>
      </c>
      <c r="H270" s="239" t="s">
        <v>3232</v>
      </c>
      <c r="I270" s="239" t="s">
        <v>3395</v>
      </c>
      <c r="J270" s="239">
        <v>0</v>
      </c>
      <c r="K270" s="239">
        <v>0</v>
      </c>
      <c r="L270" s="239">
        <v>0</v>
      </c>
      <c r="M270" s="239">
        <v>0</v>
      </c>
      <c r="N270" s="239">
        <v>0</v>
      </c>
    </row>
    <row r="271" spans="1:14" ht="18">
      <c r="A271" s="239">
        <v>270</v>
      </c>
      <c r="B271" s="239" t="s">
        <v>2862</v>
      </c>
      <c r="C271" s="239">
        <v>150</v>
      </c>
      <c r="D271" s="239" t="s">
        <v>2857</v>
      </c>
      <c r="E271" s="240">
        <v>0.5</v>
      </c>
      <c r="F271" s="239">
        <v>6</v>
      </c>
      <c r="G271" s="239" t="s">
        <v>2540</v>
      </c>
      <c r="H271" s="239" t="s">
        <v>3232</v>
      </c>
      <c r="I271" s="239" t="s">
        <v>3395</v>
      </c>
      <c r="J271" s="239">
        <v>0</v>
      </c>
      <c r="K271" s="239">
        <v>0</v>
      </c>
      <c r="L271" s="239">
        <v>0</v>
      </c>
      <c r="M271" s="239">
        <v>0</v>
      </c>
      <c r="N271" s="239">
        <v>0</v>
      </c>
    </row>
    <row r="272" spans="1:14" ht="18">
      <c r="A272" s="239">
        <v>271</v>
      </c>
      <c r="B272" s="239" t="s">
        <v>2863</v>
      </c>
      <c r="C272" s="239">
        <v>110</v>
      </c>
      <c r="D272" s="239" t="s">
        <v>2857</v>
      </c>
      <c r="E272" s="240">
        <v>0.5</v>
      </c>
      <c r="F272" s="239">
        <v>6</v>
      </c>
      <c r="G272" s="239" t="s">
        <v>2557</v>
      </c>
      <c r="H272" s="239" t="s">
        <v>3232</v>
      </c>
      <c r="I272" s="239" t="s">
        <v>3395</v>
      </c>
      <c r="J272" s="239">
        <v>0</v>
      </c>
      <c r="K272" s="239">
        <v>0</v>
      </c>
      <c r="L272" s="239">
        <v>0</v>
      </c>
      <c r="M272" s="239">
        <v>0</v>
      </c>
      <c r="N272" s="239">
        <v>0</v>
      </c>
    </row>
    <row r="273" spans="1:14" ht="18">
      <c r="A273" s="239">
        <v>272</v>
      </c>
      <c r="B273" s="239" t="s">
        <v>2864</v>
      </c>
      <c r="C273" s="239">
        <v>130</v>
      </c>
      <c r="D273" s="239" t="s">
        <v>2857</v>
      </c>
      <c r="E273" s="240">
        <v>0.5</v>
      </c>
      <c r="F273" s="239">
        <v>6</v>
      </c>
      <c r="G273" s="239" t="s">
        <v>2537</v>
      </c>
      <c r="H273" s="239" t="s">
        <v>3232</v>
      </c>
      <c r="I273" s="239" t="s">
        <v>3395</v>
      </c>
      <c r="J273" s="239">
        <v>0</v>
      </c>
      <c r="K273" s="239">
        <v>0</v>
      </c>
      <c r="L273" s="239">
        <v>0</v>
      </c>
      <c r="M273" s="239">
        <v>0</v>
      </c>
      <c r="N273" s="239">
        <v>0</v>
      </c>
    </row>
    <row r="274" spans="1:14" ht="18">
      <c r="A274" s="239">
        <v>273</v>
      </c>
      <c r="B274" s="239" t="s">
        <v>2865</v>
      </c>
      <c r="C274" s="239">
        <v>150</v>
      </c>
      <c r="D274" s="239" t="s">
        <v>2857</v>
      </c>
      <c r="E274" s="240">
        <v>0.5</v>
      </c>
      <c r="F274" s="239">
        <v>6</v>
      </c>
      <c r="G274" s="239" t="s">
        <v>2540</v>
      </c>
      <c r="H274" s="239" t="s">
        <v>3232</v>
      </c>
      <c r="I274" s="239" t="s">
        <v>3395</v>
      </c>
      <c r="J274" s="239">
        <v>0</v>
      </c>
      <c r="K274" s="239">
        <v>0</v>
      </c>
      <c r="L274" s="239">
        <v>0</v>
      </c>
      <c r="M274" s="239">
        <v>0</v>
      </c>
      <c r="N274" s="239">
        <v>0</v>
      </c>
    </row>
    <row r="275" spans="1:14" ht="18">
      <c r="A275" s="239">
        <v>274</v>
      </c>
      <c r="B275" s="239" t="s">
        <v>2866</v>
      </c>
      <c r="C275" s="239">
        <v>110</v>
      </c>
      <c r="D275" s="239" t="s">
        <v>2857</v>
      </c>
      <c r="E275" s="240">
        <v>0.5</v>
      </c>
      <c r="F275" s="239">
        <v>6</v>
      </c>
      <c r="G275" s="239" t="s">
        <v>2557</v>
      </c>
      <c r="H275" s="239" t="s">
        <v>3232</v>
      </c>
      <c r="I275" s="239" t="s">
        <v>3395</v>
      </c>
      <c r="J275" s="239">
        <v>0</v>
      </c>
      <c r="K275" s="239">
        <v>0</v>
      </c>
      <c r="L275" s="239">
        <v>0</v>
      </c>
      <c r="M275" s="239">
        <v>0</v>
      </c>
      <c r="N275" s="239">
        <v>0</v>
      </c>
    </row>
    <row r="276" spans="1:14" ht="18">
      <c r="A276" s="239">
        <v>275</v>
      </c>
      <c r="B276" s="239" t="s">
        <v>2867</v>
      </c>
      <c r="C276" s="239">
        <v>130</v>
      </c>
      <c r="D276" s="239" t="s">
        <v>2857</v>
      </c>
      <c r="E276" s="240">
        <v>0.5</v>
      </c>
      <c r="F276" s="239">
        <v>6</v>
      </c>
      <c r="G276" s="239" t="s">
        <v>2537</v>
      </c>
      <c r="H276" s="239" t="s">
        <v>3232</v>
      </c>
      <c r="I276" s="239" t="s">
        <v>3395</v>
      </c>
      <c r="J276" s="239">
        <v>0</v>
      </c>
      <c r="K276" s="239">
        <v>0</v>
      </c>
      <c r="L276" s="239">
        <v>0</v>
      </c>
      <c r="M276" s="239">
        <v>0</v>
      </c>
      <c r="N276" s="239">
        <v>0</v>
      </c>
    </row>
    <row r="277" spans="1:14" ht="18">
      <c r="A277" s="239">
        <v>276</v>
      </c>
      <c r="B277" s="239" t="s">
        <v>2868</v>
      </c>
      <c r="C277" s="239">
        <v>150</v>
      </c>
      <c r="D277" s="239" t="s">
        <v>2857</v>
      </c>
      <c r="E277" s="240">
        <v>0.5</v>
      </c>
      <c r="F277" s="239">
        <v>6</v>
      </c>
      <c r="G277" s="239" t="s">
        <v>2540</v>
      </c>
      <c r="H277" s="239" t="s">
        <v>3232</v>
      </c>
      <c r="I277" s="239" t="s">
        <v>3395</v>
      </c>
      <c r="J277" s="239">
        <v>0</v>
      </c>
      <c r="K277" s="239">
        <v>0</v>
      </c>
      <c r="L277" s="239">
        <v>0</v>
      </c>
      <c r="M277" s="239">
        <v>0</v>
      </c>
      <c r="N277" s="239">
        <v>0</v>
      </c>
    </row>
    <row r="278" spans="1:14" ht="18">
      <c r="A278" s="239">
        <v>279</v>
      </c>
      <c r="B278" s="239" t="s">
        <v>2869</v>
      </c>
      <c r="C278" s="239">
        <v>110</v>
      </c>
      <c r="D278" s="239" t="s">
        <v>2870</v>
      </c>
      <c r="E278" s="240">
        <v>0.5</v>
      </c>
      <c r="F278" s="239">
        <v>6</v>
      </c>
      <c r="G278" s="239" t="s">
        <v>2557</v>
      </c>
      <c r="H278" s="239" t="s">
        <v>3232</v>
      </c>
      <c r="I278" s="239" t="s">
        <v>3395</v>
      </c>
      <c r="J278" s="239">
        <v>0</v>
      </c>
      <c r="K278" s="239">
        <v>0</v>
      </c>
      <c r="L278" s="239">
        <v>0</v>
      </c>
      <c r="M278" s="239">
        <v>0</v>
      </c>
      <c r="N278" s="239">
        <v>0</v>
      </c>
    </row>
    <row r="279" spans="1:14" ht="18.75" customHeight="1">
      <c r="A279" s="239">
        <v>278</v>
      </c>
      <c r="B279" s="239" t="s">
        <v>2871</v>
      </c>
      <c r="C279" s="239">
        <v>130</v>
      </c>
      <c r="D279" s="239" t="s">
        <v>2870</v>
      </c>
      <c r="E279" s="240">
        <v>0.5</v>
      </c>
      <c r="F279" s="239">
        <v>6</v>
      </c>
      <c r="G279" s="239" t="s">
        <v>2540</v>
      </c>
      <c r="H279" s="239" t="s">
        <v>3232</v>
      </c>
      <c r="I279" s="239" t="s">
        <v>3395</v>
      </c>
      <c r="J279" s="239">
        <v>0</v>
      </c>
      <c r="K279" s="239">
        <v>0</v>
      </c>
      <c r="L279" s="239">
        <v>0</v>
      </c>
      <c r="M279" s="239">
        <v>0</v>
      </c>
      <c r="N279" s="239">
        <v>0</v>
      </c>
    </row>
    <row r="280" spans="1:14" ht="18">
      <c r="A280" s="239">
        <v>277</v>
      </c>
      <c r="B280" s="239" t="s">
        <v>2872</v>
      </c>
      <c r="C280" s="239">
        <v>170</v>
      </c>
      <c r="D280" s="239" t="s">
        <v>2870</v>
      </c>
      <c r="E280" s="240">
        <v>0.5</v>
      </c>
      <c r="F280" s="239">
        <v>6</v>
      </c>
      <c r="G280" s="239" t="s">
        <v>2545</v>
      </c>
      <c r="H280" s="239" t="s">
        <v>3232</v>
      </c>
      <c r="I280" s="239" t="s">
        <v>3395</v>
      </c>
      <c r="J280" s="239">
        <v>0</v>
      </c>
      <c r="K280" s="239">
        <v>0</v>
      </c>
      <c r="L280" s="239">
        <v>0</v>
      </c>
      <c r="M280" s="239">
        <v>0</v>
      </c>
      <c r="N280" s="239">
        <v>0</v>
      </c>
    </row>
    <row r="281" spans="1:14" ht="18">
      <c r="A281" s="239"/>
      <c r="B281" s="239" t="s">
        <v>3233</v>
      </c>
      <c r="C281" s="239">
        <v>110</v>
      </c>
      <c r="D281" s="239" t="s">
        <v>3236</v>
      </c>
      <c r="E281" s="240">
        <v>0.5</v>
      </c>
      <c r="F281" s="239">
        <v>6</v>
      </c>
      <c r="G281" s="239" t="s">
        <v>2557</v>
      </c>
      <c r="H281" s="239" t="s">
        <v>3232</v>
      </c>
      <c r="I281" s="239" t="s">
        <v>3395</v>
      </c>
      <c r="J281" s="239">
        <v>0</v>
      </c>
      <c r="K281" s="239">
        <v>0</v>
      </c>
      <c r="L281" s="239">
        <v>0</v>
      </c>
      <c r="M281" s="239">
        <v>0</v>
      </c>
      <c r="N281" s="239">
        <v>0</v>
      </c>
    </row>
    <row r="282" spans="1:14" ht="18">
      <c r="A282" s="239"/>
      <c r="B282" s="239" t="s">
        <v>3234</v>
      </c>
      <c r="C282" s="239">
        <v>130</v>
      </c>
      <c r="D282" s="239" t="s">
        <v>3236</v>
      </c>
      <c r="E282" s="240">
        <v>0.5</v>
      </c>
      <c r="F282" s="239">
        <v>6</v>
      </c>
      <c r="G282" s="239" t="s">
        <v>2537</v>
      </c>
      <c r="H282" s="239" t="s">
        <v>3232</v>
      </c>
      <c r="I282" s="239" t="s">
        <v>3395</v>
      </c>
      <c r="J282" s="239">
        <v>0</v>
      </c>
      <c r="K282" s="239">
        <v>0</v>
      </c>
      <c r="L282" s="239">
        <v>0</v>
      </c>
      <c r="M282" s="239">
        <v>0</v>
      </c>
      <c r="N282" s="239">
        <v>0</v>
      </c>
    </row>
    <row r="283" spans="1:14" ht="18">
      <c r="A283" s="239"/>
      <c r="B283" s="239" t="s">
        <v>3235</v>
      </c>
      <c r="C283" s="239">
        <v>150</v>
      </c>
      <c r="D283" s="239" t="s">
        <v>3236</v>
      </c>
      <c r="E283" s="240">
        <v>0.5</v>
      </c>
      <c r="F283" s="239">
        <v>6</v>
      </c>
      <c r="G283" s="239" t="s">
        <v>2540</v>
      </c>
      <c r="H283" s="239" t="s">
        <v>3232</v>
      </c>
      <c r="I283" s="239" t="s">
        <v>3395</v>
      </c>
      <c r="J283" s="239">
        <v>0</v>
      </c>
      <c r="K283" s="239">
        <v>0</v>
      </c>
      <c r="L283" s="239">
        <v>0</v>
      </c>
      <c r="M283" s="239">
        <v>0</v>
      </c>
      <c r="N283" s="239">
        <v>0</v>
      </c>
    </row>
  </sheetData>
  <autoFilter ref="A1:O1"/>
  <conditionalFormatting sqref="B2:B280">
    <cfRule type="duplicateValues" dxfId="3" priority="15"/>
  </conditionalFormatting>
  <conditionalFormatting sqref="B281:B283">
    <cfRule type="duplicateValues" dxfId="2" priority="16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3"/>
  <sheetViews>
    <sheetView topLeftCell="H245" workbookViewId="0">
      <selection activeCell="M1" sqref="M1:P256"/>
    </sheetView>
  </sheetViews>
  <sheetFormatPr defaultColWidth="9" defaultRowHeight="15"/>
  <cols>
    <col min="1" max="1" width="8.140625" customWidth="1"/>
    <col min="2" max="2" width="16.85546875" customWidth="1"/>
    <col min="3" max="3" width="14.5703125" customWidth="1"/>
    <col min="4" max="4" width="13.85546875" customWidth="1"/>
    <col min="5" max="5" width="13.28515625" customWidth="1"/>
    <col min="6" max="6" width="17.85546875" customWidth="1"/>
    <col min="7" max="7" width="55.5703125" customWidth="1"/>
    <col min="8" max="8" width="13.85546875" customWidth="1"/>
    <col min="9" max="9" width="12.42578125" customWidth="1"/>
    <col min="10" max="10" width="24.7109375" customWidth="1"/>
    <col min="11" max="11" width="12.7109375" customWidth="1"/>
    <col min="12" max="12" width="9.85546875" customWidth="1"/>
    <col min="13" max="13" width="12.7109375" customWidth="1"/>
    <col min="14" max="14" width="13.5703125" customWidth="1"/>
    <col min="15" max="16" width="13.28515625" customWidth="1"/>
    <col min="17" max="17" width="17.85546875" customWidth="1"/>
    <col min="18" max="18" width="56.7109375" customWidth="1"/>
    <col min="19" max="19" width="13.85546875" customWidth="1"/>
    <col min="20" max="20" width="12.42578125" customWidth="1"/>
    <col min="21" max="21" width="24.7109375" customWidth="1"/>
    <col min="24" max="24" width="16.28515625" customWidth="1"/>
    <col min="25" max="25" width="14.5703125" customWidth="1"/>
    <col min="26" max="27" width="13.85546875" customWidth="1"/>
    <col min="28" max="28" width="19" customWidth="1"/>
    <col min="29" max="29" width="61.28515625" customWidth="1"/>
    <col min="30" max="30" width="13.85546875" customWidth="1"/>
    <col min="32" max="32" width="24.7109375" customWidth="1"/>
    <col min="35" max="35" width="16.28515625" customWidth="1"/>
    <col min="36" max="36" width="14.5703125" customWidth="1"/>
    <col min="37" max="37" width="13.85546875" customWidth="1"/>
    <col min="38" max="38" width="11.7109375" customWidth="1"/>
    <col min="39" max="39" width="19" customWidth="1"/>
    <col min="40" max="40" width="55.85546875" customWidth="1"/>
    <col min="41" max="41" width="13.85546875" customWidth="1"/>
    <col min="42" max="42" width="8.85546875" customWidth="1"/>
    <col min="43" max="43" width="24.7109375" customWidth="1"/>
  </cols>
  <sheetData>
    <row r="1" spans="1:43" ht="33.75" customHeight="1">
      <c r="A1" s="113" t="s">
        <v>1387</v>
      </c>
      <c r="B1" s="114" t="s">
        <v>2873</v>
      </c>
      <c r="C1" s="115" t="s">
        <v>1394</v>
      </c>
      <c r="D1" s="115" t="s">
        <v>1729</v>
      </c>
      <c r="E1" s="115" t="s">
        <v>1390</v>
      </c>
      <c r="F1" s="115" t="s">
        <v>1730</v>
      </c>
      <c r="G1" s="116" t="s">
        <v>1430</v>
      </c>
      <c r="H1" s="115" t="s">
        <v>1</v>
      </c>
      <c r="I1" s="116" t="s">
        <v>1398</v>
      </c>
      <c r="J1" s="185" t="s">
        <v>2874</v>
      </c>
      <c r="L1" s="113" t="s">
        <v>1387</v>
      </c>
      <c r="M1" s="114" t="s">
        <v>2873</v>
      </c>
      <c r="N1" s="115" t="s">
        <v>1394</v>
      </c>
      <c r="O1" s="115" t="s">
        <v>1729</v>
      </c>
      <c r="P1" s="115" t="s">
        <v>1390</v>
      </c>
      <c r="Q1" s="115" t="s">
        <v>1730</v>
      </c>
      <c r="R1" s="116" t="s">
        <v>1430</v>
      </c>
      <c r="S1" s="115" t="s">
        <v>1</v>
      </c>
      <c r="T1" s="116" t="s">
        <v>1398</v>
      </c>
      <c r="U1" s="185" t="s">
        <v>2874</v>
      </c>
      <c r="W1" s="194" t="s">
        <v>1387</v>
      </c>
      <c r="X1" s="195" t="s">
        <v>2873</v>
      </c>
      <c r="Y1" s="210" t="s">
        <v>1394</v>
      </c>
      <c r="Z1" s="210" t="s">
        <v>1729</v>
      </c>
      <c r="AA1" s="210" t="s">
        <v>1397</v>
      </c>
      <c r="AB1" s="210" t="s">
        <v>2875</v>
      </c>
      <c r="AC1" s="211" t="s">
        <v>1430</v>
      </c>
      <c r="AD1" s="210" t="s">
        <v>1</v>
      </c>
      <c r="AE1" s="211" t="s">
        <v>1398</v>
      </c>
      <c r="AF1" s="212" t="s">
        <v>2874</v>
      </c>
      <c r="AH1" s="194" t="s">
        <v>1387</v>
      </c>
      <c r="AI1" s="195" t="s">
        <v>2873</v>
      </c>
      <c r="AJ1" s="210" t="s">
        <v>1394</v>
      </c>
      <c r="AK1" s="210" t="s">
        <v>1729</v>
      </c>
      <c r="AL1" s="210" t="s">
        <v>1397</v>
      </c>
      <c r="AM1" s="210" t="s">
        <v>2875</v>
      </c>
      <c r="AN1" s="211" t="s">
        <v>1430</v>
      </c>
      <c r="AO1" s="210" t="s">
        <v>1</v>
      </c>
      <c r="AP1" s="211" t="s">
        <v>1398</v>
      </c>
      <c r="AQ1" s="212" t="s">
        <v>2874</v>
      </c>
    </row>
    <row r="2" spans="1:43" ht="24.95" customHeight="1">
      <c r="A2" s="117">
        <v>1</v>
      </c>
      <c r="B2" s="118">
        <v>72</v>
      </c>
      <c r="C2" s="119">
        <v>40</v>
      </c>
      <c r="D2" s="119">
        <v>71.5</v>
      </c>
      <c r="E2" s="119">
        <v>115</v>
      </c>
      <c r="F2" s="119">
        <v>40</v>
      </c>
      <c r="G2" s="120" t="s">
        <v>1731</v>
      </c>
      <c r="H2" s="119">
        <f t="shared" ref="H2:H33" si="0">ROUND(C2*D2*0.0254*E2/1000*F2/1000,3)</f>
        <v>0.33400000000000002</v>
      </c>
      <c r="I2" s="186"/>
      <c r="J2" s="187">
        <f t="shared" ref="J2:J33" si="1">+H2*I2</f>
        <v>0</v>
      </c>
      <c r="L2" s="152">
        <v>1</v>
      </c>
      <c r="M2" s="153">
        <v>30</v>
      </c>
      <c r="N2" s="154">
        <v>40</v>
      </c>
      <c r="O2" s="154">
        <v>26.5</v>
      </c>
      <c r="P2" s="154">
        <v>115</v>
      </c>
      <c r="Q2" s="154">
        <v>40</v>
      </c>
      <c r="R2" s="155" t="s">
        <v>1798</v>
      </c>
      <c r="S2" s="154">
        <f>ROUND(N2*O2*0.0254*P2/1000*Q2/1000,3)</f>
        <v>0.124</v>
      </c>
      <c r="T2" s="196"/>
      <c r="U2" s="197">
        <f t="shared" ref="U2:U65" si="2">+S2*T2</f>
        <v>0</v>
      </c>
      <c r="W2" s="153">
        <v>1</v>
      </c>
      <c r="X2" s="154" t="s">
        <v>2876</v>
      </c>
      <c r="Y2" s="154">
        <v>32</v>
      </c>
      <c r="Z2" s="154">
        <v>71.5</v>
      </c>
      <c r="AA2" s="154">
        <v>29.5</v>
      </c>
      <c r="AB2" s="154">
        <v>10</v>
      </c>
      <c r="AC2" s="154" t="s">
        <v>656</v>
      </c>
      <c r="AD2" s="154">
        <f>+ROUND((Y2*Z2*0.0254*AA2*0.0254*(AB2/1000)),3)</f>
        <v>0.435</v>
      </c>
      <c r="AE2" s="213"/>
      <c r="AF2" s="197">
        <f t="shared" ref="AF2:AF65" si="3">+AD2*AE2</f>
        <v>0</v>
      </c>
      <c r="AH2" s="153">
        <v>1</v>
      </c>
      <c r="AI2" s="154" t="s">
        <v>2876</v>
      </c>
      <c r="AJ2" s="154">
        <v>100</v>
      </c>
      <c r="AK2" s="154">
        <v>71.5</v>
      </c>
      <c r="AL2" s="154">
        <v>29.5</v>
      </c>
      <c r="AM2" s="154">
        <v>20</v>
      </c>
      <c r="AN2" s="154" t="s">
        <v>913</v>
      </c>
      <c r="AO2" s="154">
        <f>+ROUND((AJ2*AK2*0.0254*AL2*0.0254*(AM2/1000)),3)</f>
        <v>2.722</v>
      </c>
      <c r="AP2" s="213"/>
      <c r="AQ2" s="197">
        <f t="shared" ref="AQ2:AQ33" si="4">+AO2*AP2</f>
        <v>0</v>
      </c>
    </row>
    <row r="3" spans="1:43" ht="24.95" customHeight="1">
      <c r="A3" s="121">
        <v>2</v>
      </c>
      <c r="B3" s="122">
        <v>75</v>
      </c>
      <c r="C3" s="123">
        <v>40</v>
      </c>
      <c r="D3" s="123">
        <v>74.5</v>
      </c>
      <c r="E3" s="123">
        <v>115</v>
      </c>
      <c r="F3" s="123">
        <v>40</v>
      </c>
      <c r="G3" s="120" t="s">
        <v>1732</v>
      </c>
      <c r="H3" s="123">
        <f t="shared" si="0"/>
        <v>0.34799999999999998</v>
      </c>
      <c r="I3" s="186"/>
      <c r="J3" s="187">
        <f t="shared" si="1"/>
        <v>0</v>
      </c>
      <c r="L3" s="121">
        <v>2</v>
      </c>
      <c r="M3" s="122">
        <v>33</v>
      </c>
      <c r="N3" s="123">
        <v>40</v>
      </c>
      <c r="O3" s="123">
        <v>29.5</v>
      </c>
      <c r="P3" s="123">
        <v>115</v>
      </c>
      <c r="Q3" s="123">
        <v>40</v>
      </c>
      <c r="R3" s="120" t="s">
        <v>1799</v>
      </c>
      <c r="S3" s="123">
        <f t="shared" ref="S3:S19" si="5">ROUND(N3*O3*0.0254*P3/1000*Q3/1000,3)</f>
        <v>0.13800000000000001</v>
      </c>
      <c r="T3" s="196"/>
      <c r="U3" s="187">
        <f t="shared" si="2"/>
        <v>0</v>
      </c>
      <c r="W3" s="122">
        <v>2</v>
      </c>
      <c r="X3" s="123" t="s">
        <v>2877</v>
      </c>
      <c r="Y3" s="123">
        <v>32</v>
      </c>
      <c r="Z3" s="123">
        <v>71.5</v>
      </c>
      <c r="AA3" s="123">
        <v>32.5</v>
      </c>
      <c r="AB3" s="123">
        <v>10</v>
      </c>
      <c r="AC3" s="123" t="s">
        <v>2028</v>
      </c>
      <c r="AD3" s="123">
        <f t="shared" ref="AD3:AD66" si="6">+ROUND((Y3*Z3*0.0254*AA3*0.0254*(AB3/1000)),3)</f>
        <v>0.48</v>
      </c>
      <c r="AE3" s="213"/>
      <c r="AF3" s="214">
        <f t="shared" si="3"/>
        <v>0</v>
      </c>
      <c r="AH3" s="122">
        <v>2</v>
      </c>
      <c r="AI3" s="123" t="s">
        <v>2877</v>
      </c>
      <c r="AJ3" s="123">
        <v>100</v>
      </c>
      <c r="AK3" s="123">
        <v>71.5</v>
      </c>
      <c r="AL3" s="123">
        <v>32.5</v>
      </c>
      <c r="AM3" s="123">
        <v>20</v>
      </c>
      <c r="AN3" s="123" t="s">
        <v>2299</v>
      </c>
      <c r="AO3" s="123">
        <f t="shared" ref="AO3:AO66" si="7">+ROUND((AJ3*AK3*0.0254*AL3*0.0254*(AM3/1000)),3)</f>
        <v>2.9980000000000002</v>
      </c>
      <c r="AP3" s="213"/>
      <c r="AQ3" s="214">
        <f t="shared" si="4"/>
        <v>0</v>
      </c>
    </row>
    <row r="4" spans="1:43" ht="24.95" customHeight="1">
      <c r="A4" s="121">
        <v>3</v>
      </c>
      <c r="B4" s="122">
        <v>78</v>
      </c>
      <c r="C4" s="123">
        <v>40</v>
      </c>
      <c r="D4" s="123">
        <v>77.5</v>
      </c>
      <c r="E4" s="123">
        <v>115</v>
      </c>
      <c r="F4" s="123">
        <v>40</v>
      </c>
      <c r="G4" s="120" t="s">
        <v>1733</v>
      </c>
      <c r="H4" s="123">
        <f t="shared" si="0"/>
        <v>0.36199999999999999</v>
      </c>
      <c r="I4" s="186"/>
      <c r="J4" s="187">
        <f t="shared" si="1"/>
        <v>0</v>
      </c>
      <c r="L4" s="121">
        <v>3</v>
      </c>
      <c r="M4" s="122">
        <v>36</v>
      </c>
      <c r="N4" s="123">
        <v>40</v>
      </c>
      <c r="O4" s="123">
        <v>32.5</v>
      </c>
      <c r="P4" s="123">
        <v>115</v>
      </c>
      <c r="Q4" s="123">
        <v>40</v>
      </c>
      <c r="R4" s="120" t="s">
        <v>15</v>
      </c>
      <c r="S4" s="123">
        <f t="shared" si="5"/>
        <v>0.152</v>
      </c>
      <c r="T4" s="196"/>
      <c r="U4" s="187">
        <f t="shared" si="2"/>
        <v>0</v>
      </c>
      <c r="W4" s="122">
        <v>3</v>
      </c>
      <c r="X4" s="123" t="s">
        <v>2878</v>
      </c>
      <c r="Y4" s="123">
        <v>32</v>
      </c>
      <c r="Z4" s="123">
        <v>71.5</v>
      </c>
      <c r="AA4" s="123">
        <v>35.5</v>
      </c>
      <c r="AB4" s="123">
        <v>10</v>
      </c>
      <c r="AC4" s="123" t="s">
        <v>659</v>
      </c>
      <c r="AD4" s="123">
        <f t="shared" si="6"/>
        <v>0.52400000000000002</v>
      </c>
      <c r="AE4" s="213"/>
      <c r="AF4" s="214">
        <f t="shared" si="3"/>
        <v>0</v>
      </c>
      <c r="AH4" s="122">
        <v>3</v>
      </c>
      <c r="AI4" s="123" t="s">
        <v>2878</v>
      </c>
      <c r="AJ4" s="123">
        <v>100</v>
      </c>
      <c r="AK4" s="123">
        <v>71.5</v>
      </c>
      <c r="AL4" s="123">
        <v>35.5</v>
      </c>
      <c r="AM4" s="123">
        <v>20</v>
      </c>
      <c r="AN4" s="123" t="s">
        <v>917</v>
      </c>
      <c r="AO4" s="123">
        <f t="shared" si="7"/>
        <v>3.2749999999999999</v>
      </c>
      <c r="AP4" s="213"/>
      <c r="AQ4" s="214">
        <f t="shared" si="4"/>
        <v>0</v>
      </c>
    </row>
    <row r="5" spans="1:43" ht="24.95" customHeight="1">
      <c r="A5" s="121">
        <v>4</v>
      </c>
      <c r="B5" s="122">
        <v>80</v>
      </c>
      <c r="C5" s="123">
        <v>40</v>
      </c>
      <c r="D5" s="123">
        <v>79.5</v>
      </c>
      <c r="E5" s="123">
        <v>115</v>
      </c>
      <c r="F5" s="123">
        <v>40</v>
      </c>
      <c r="G5" s="120" t="s">
        <v>1734</v>
      </c>
      <c r="H5" s="123">
        <f t="shared" si="0"/>
        <v>0.372</v>
      </c>
      <c r="I5" s="186"/>
      <c r="J5" s="187">
        <f t="shared" si="1"/>
        <v>0</v>
      </c>
      <c r="L5" s="121">
        <v>4</v>
      </c>
      <c r="M5" s="122">
        <v>39</v>
      </c>
      <c r="N5" s="123">
        <v>40</v>
      </c>
      <c r="O5" s="123">
        <v>35.5</v>
      </c>
      <c r="P5" s="123">
        <v>115</v>
      </c>
      <c r="Q5" s="123">
        <v>40</v>
      </c>
      <c r="R5" s="120" t="s">
        <v>1800</v>
      </c>
      <c r="S5" s="123">
        <f t="shared" si="5"/>
        <v>0.16600000000000001</v>
      </c>
      <c r="T5" s="196"/>
      <c r="U5" s="187">
        <f t="shared" si="2"/>
        <v>0</v>
      </c>
      <c r="W5" s="122">
        <v>4</v>
      </c>
      <c r="X5" s="123" t="s">
        <v>2879</v>
      </c>
      <c r="Y5" s="123">
        <v>32</v>
      </c>
      <c r="Z5" s="123">
        <v>71.5</v>
      </c>
      <c r="AA5" s="123">
        <v>38.5</v>
      </c>
      <c r="AB5" s="123">
        <v>10</v>
      </c>
      <c r="AC5" s="123" t="s">
        <v>2029</v>
      </c>
      <c r="AD5" s="123">
        <f t="shared" si="6"/>
        <v>0.56799999999999995</v>
      </c>
      <c r="AE5" s="213"/>
      <c r="AF5" s="214">
        <f t="shared" si="3"/>
        <v>0</v>
      </c>
      <c r="AH5" s="122">
        <v>4</v>
      </c>
      <c r="AI5" s="123" t="s">
        <v>2879</v>
      </c>
      <c r="AJ5" s="123">
        <v>100</v>
      </c>
      <c r="AK5" s="123">
        <v>71.5</v>
      </c>
      <c r="AL5" s="123">
        <v>38.5</v>
      </c>
      <c r="AM5" s="123">
        <v>20</v>
      </c>
      <c r="AN5" s="123" t="s">
        <v>2300</v>
      </c>
      <c r="AO5" s="123">
        <f t="shared" si="7"/>
        <v>3.552</v>
      </c>
      <c r="AP5" s="213"/>
      <c r="AQ5" s="214">
        <f t="shared" si="4"/>
        <v>0</v>
      </c>
    </row>
    <row r="6" spans="1:43" ht="24.95" customHeight="1">
      <c r="A6" s="121">
        <v>5</v>
      </c>
      <c r="B6" s="122">
        <v>84</v>
      </c>
      <c r="C6" s="123">
        <v>40</v>
      </c>
      <c r="D6" s="123">
        <v>83.5</v>
      </c>
      <c r="E6" s="123">
        <v>115</v>
      </c>
      <c r="F6" s="123">
        <v>40</v>
      </c>
      <c r="G6" s="120" t="s">
        <v>1735</v>
      </c>
      <c r="H6" s="123">
        <f t="shared" si="0"/>
        <v>0.39</v>
      </c>
      <c r="I6" s="186"/>
      <c r="J6" s="187">
        <f t="shared" si="1"/>
        <v>0</v>
      </c>
      <c r="L6" s="121">
        <v>5</v>
      </c>
      <c r="M6" s="122">
        <v>42</v>
      </c>
      <c r="N6" s="123">
        <v>40</v>
      </c>
      <c r="O6" s="123">
        <v>38.5</v>
      </c>
      <c r="P6" s="123">
        <v>115</v>
      </c>
      <c r="Q6" s="123">
        <v>40</v>
      </c>
      <c r="R6" s="120" t="s">
        <v>21</v>
      </c>
      <c r="S6" s="123">
        <f t="shared" si="5"/>
        <v>0.18</v>
      </c>
      <c r="T6" s="196"/>
      <c r="U6" s="187">
        <f t="shared" si="2"/>
        <v>0</v>
      </c>
      <c r="W6" s="122">
        <v>5</v>
      </c>
      <c r="X6" s="123" t="s">
        <v>2880</v>
      </c>
      <c r="Y6" s="123">
        <v>32</v>
      </c>
      <c r="Z6" s="123">
        <v>71.5</v>
      </c>
      <c r="AA6" s="123">
        <v>41.5</v>
      </c>
      <c r="AB6" s="123">
        <v>10</v>
      </c>
      <c r="AC6" s="123" t="s">
        <v>662</v>
      </c>
      <c r="AD6" s="123">
        <f t="shared" si="6"/>
        <v>0.61299999999999999</v>
      </c>
      <c r="AE6" s="213"/>
      <c r="AF6" s="214">
        <f t="shared" si="3"/>
        <v>0</v>
      </c>
      <c r="AH6" s="122">
        <v>5</v>
      </c>
      <c r="AI6" s="123" t="s">
        <v>2880</v>
      </c>
      <c r="AJ6" s="123">
        <v>100</v>
      </c>
      <c r="AK6" s="123">
        <v>71.5</v>
      </c>
      <c r="AL6" s="123">
        <v>41.5</v>
      </c>
      <c r="AM6" s="123">
        <v>20</v>
      </c>
      <c r="AN6" s="123" t="s">
        <v>921</v>
      </c>
      <c r="AO6" s="123">
        <f t="shared" si="7"/>
        <v>3.8290000000000002</v>
      </c>
      <c r="AP6" s="213"/>
      <c r="AQ6" s="214">
        <f t="shared" si="4"/>
        <v>0</v>
      </c>
    </row>
    <row r="7" spans="1:43" ht="24.95" customHeight="1">
      <c r="A7" s="121">
        <v>6</v>
      </c>
      <c r="B7" s="122">
        <v>13</v>
      </c>
      <c r="C7" s="123">
        <v>40</v>
      </c>
      <c r="D7" s="123">
        <v>12.5</v>
      </c>
      <c r="E7" s="123">
        <v>115</v>
      </c>
      <c r="F7" s="123">
        <v>40</v>
      </c>
      <c r="G7" s="120" t="s">
        <v>1736</v>
      </c>
      <c r="H7" s="123">
        <f t="shared" si="0"/>
        <v>5.8000000000000003E-2</v>
      </c>
      <c r="I7" s="186"/>
      <c r="J7" s="187">
        <f t="shared" si="1"/>
        <v>0</v>
      </c>
      <c r="L7" s="121">
        <v>6</v>
      </c>
      <c r="M7" s="122">
        <v>45</v>
      </c>
      <c r="N7" s="123">
        <v>40</v>
      </c>
      <c r="O7" s="123">
        <v>41.5</v>
      </c>
      <c r="P7" s="123">
        <v>115</v>
      </c>
      <c r="Q7" s="123">
        <v>40</v>
      </c>
      <c r="R7" s="120" t="s">
        <v>1801</v>
      </c>
      <c r="S7" s="123">
        <f t="shared" si="5"/>
        <v>0.19400000000000001</v>
      </c>
      <c r="T7" s="196"/>
      <c r="U7" s="187">
        <f t="shared" si="2"/>
        <v>0</v>
      </c>
      <c r="W7" s="122">
        <v>6</v>
      </c>
      <c r="X7" s="123" t="s">
        <v>2881</v>
      </c>
      <c r="Y7" s="123">
        <v>32</v>
      </c>
      <c r="Z7" s="123">
        <v>71.5</v>
      </c>
      <c r="AA7" s="123">
        <v>44.5</v>
      </c>
      <c r="AB7" s="123">
        <v>10</v>
      </c>
      <c r="AC7" s="123" t="s">
        <v>2030</v>
      </c>
      <c r="AD7" s="123">
        <f t="shared" si="6"/>
        <v>0.65700000000000003</v>
      </c>
      <c r="AE7" s="213"/>
      <c r="AF7" s="214">
        <f t="shared" si="3"/>
        <v>0</v>
      </c>
      <c r="AH7" s="122">
        <v>6</v>
      </c>
      <c r="AI7" s="123" t="s">
        <v>2881</v>
      </c>
      <c r="AJ7" s="123">
        <v>100</v>
      </c>
      <c r="AK7" s="123">
        <v>71.5</v>
      </c>
      <c r="AL7" s="123">
        <v>44.5</v>
      </c>
      <c r="AM7" s="123">
        <v>20</v>
      </c>
      <c r="AN7" s="123" t="s">
        <v>2301</v>
      </c>
      <c r="AO7" s="123">
        <f t="shared" si="7"/>
        <v>4.1050000000000004</v>
      </c>
      <c r="AP7" s="213"/>
      <c r="AQ7" s="214">
        <f t="shared" si="4"/>
        <v>0</v>
      </c>
    </row>
    <row r="8" spans="1:43" ht="24.95" customHeight="1">
      <c r="A8" s="121">
        <v>7</v>
      </c>
      <c r="B8" s="122">
        <v>20</v>
      </c>
      <c r="C8" s="123">
        <v>40</v>
      </c>
      <c r="D8" s="123">
        <v>19.5</v>
      </c>
      <c r="E8" s="123">
        <v>115</v>
      </c>
      <c r="F8" s="123">
        <v>40</v>
      </c>
      <c r="G8" s="120" t="s">
        <v>1737</v>
      </c>
      <c r="H8" s="123">
        <f t="shared" si="0"/>
        <v>9.0999999999999998E-2</v>
      </c>
      <c r="I8" s="186"/>
      <c r="J8" s="187">
        <f t="shared" si="1"/>
        <v>0</v>
      </c>
      <c r="L8" s="121">
        <v>7</v>
      </c>
      <c r="M8" s="122">
        <v>48</v>
      </c>
      <c r="N8" s="123">
        <v>40</v>
      </c>
      <c r="O8" s="123">
        <v>44.5</v>
      </c>
      <c r="P8" s="123">
        <v>115</v>
      </c>
      <c r="Q8" s="123">
        <v>40</v>
      </c>
      <c r="R8" s="120" t="s">
        <v>25</v>
      </c>
      <c r="S8" s="123">
        <f t="shared" si="5"/>
        <v>0.20799999999999999</v>
      </c>
      <c r="T8" s="196"/>
      <c r="U8" s="187">
        <f t="shared" si="2"/>
        <v>0</v>
      </c>
      <c r="W8" s="122">
        <v>7</v>
      </c>
      <c r="X8" s="123" t="s">
        <v>2882</v>
      </c>
      <c r="Y8" s="123">
        <v>32</v>
      </c>
      <c r="Z8" s="123">
        <v>71.5</v>
      </c>
      <c r="AA8" s="123">
        <v>47.5</v>
      </c>
      <c r="AB8" s="123">
        <v>10</v>
      </c>
      <c r="AC8" s="123" t="s">
        <v>665</v>
      </c>
      <c r="AD8" s="123">
        <f t="shared" si="6"/>
        <v>0.70099999999999996</v>
      </c>
      <c r="AE8" s="213"/>
      <c r="AF8" s="214">
        <f t="shared" si="3"/>
        <v>0</v>
      </c>
      <c r="AH8" s="122">
        <v>7</v>
      </c>
      <c r="AI8" s="123" t="s">
        <v>2882</v>
      </c>
      <c r="AJ8" s="123">
        <v>100</v>
      </c>
      <c r="AK8" s="123">
        <v>71.5</v>
      </c>
      <c r="AL8" s="123">
        <v>47.5</v>
      </c>
      <c r="AM8" s="123">
        <v>20</v>
      </c>
      <c r="AN8" s="123" t="s">
        <v>925</v>
      </c>
      <c r="AO8" s="123">
        <f t="shared" si="7"/>
        <v>4.3819999999999997</v>
      </c>
      <c r="AP8" s="213"/>
      <c r="AQ8" s="214">
        <f t="shared" si="4"/>
        <v>0</v>
      </c>
    </row>
    <row r="9" spans="1:43" ht="24.95" customHeight="1">
      <c r="A9" s="124">
        <v>8</v>
      </c>
      <c r="B9" s="125">
        <v>72</v>
      </c>
      <c r="C9" s="126">
        <v>40</v>
      </c>
      <c r="D9" s="126">
        <v>71.5</v>
      </c>
      <c r="E9" s="126">
        <v>135</v>
      </c>
      <c r="F9" s="126">
        <v>40</v>
      </c>
      <c r="G9" s="127" t="s">
        <v>1738</v>
      </c>
      <c r="H9" s="126">
        <f t="shared" si="0"/>
        <v>0.39200000000000002</v>
      </c>
      <c r="I9" s="186"/>
      <c r="J9" s="187">
        <f t="shared" si="1"/>
        <v>0</v>
      </c>
      <c r="L9" s="121">
        <v>8</v>
      </c>
      <c r="M9" s="121">
        <v>51</v>
      </c>
      <c r="N9" s="122">
        <v>40</v>
      </c>
      <c r="O9" s="123">
        <v>47.5</v>
      </c>
      <c r="P9" s="123">
        <v>115</v>
      </c>
      <c r="Q9" s="123">
        <v>40</v>
      </c>
      <c r="R9" s="120" t="s">
        <v>1802</v>
      </c>
      <c r="S9" s="123">
        <f t="shared" si="5"/>
        <v>0.222</v>
      </c>
      <c r="T9" s="196"/>
      <c r="U9" s="187">
        <f t="shared" si="2"/>
        <v>0</v>
      </c>
      <c r="W9" s="122">
        <v>8</v>
      </c>
      <c r="X9" s="123" t="s">
        <v>2883</v>
      </c>
      <c r="Y9" s="123">
        <v>32</v>
      </c>
      <c r="Z9" s="123">
        <v>71.5</v>
      </c>
      <c r="AA9" s="123">
        <v>50.5</v>
      </c>
      <c r="AB9" s="123">
        <v>10</v>
      </c>
      <c r="AC9" s="123" t="s">
        <v>2031</v>
      </c>
      <c r="AD9" s="123">
        <f t="shared" si="6"/>
        <v>0.745</v>
      </c>
      <c r="AE9" s="213"/>
      <c r="AF9" s="214">
        <f t="shared" si="3"/>
        <v>0</v>
      </c>
      <c r="AH9" s="122">
        <v>8</v>
      </c>
      <c r="AI9" s="123" t="s">
        <v>2883</v>
      </c>
      <c r="AJ9" s="123">
        <v>100</v>
      </c>
      <c r="AK9" s="123">
        <v>71.5</v>
      </c>
      <c r="AL9" s="123">
        <v>50.5</v>
      </c>
      <c r="AM9" s="123">
        <v>20</v>
      </c>
      <c r="AN9" s="123" t="s">
        <v>2302</v>
      </c>
      <c r="AO9" s="123">
        <f t="shared" si="7"/>
        <v>4.6589999999999998</v>
      </c>
      <c r="AP9" s="213"/>
      <c r="AQ9" s="214">
        <f t="shared" si="4"/>
        <v>0</v>
      </c>
    </row>
    <row r="10" spans="1:43" ht="24.95" customHeight="1">
      <c r="A10" s="124">
        <v>9</v>
      </c>
      <c r="B10" s="125">
        <v>75</v>
      </c>
      <c r="C10" s="126">
        <v>40</v>
      </c>
      <c r="D10" s="126">
        <v>74.5</v>
      </c>
      <c r="E10" s="126">
        <v>135</v>
      </c>
      <c r="F10" s="126">
        <v>40</v>
      </c>
      <c r="G10" s="127" t="s">
        <v>1739</v>
      </c>
      <c r="H10" s="126">
        <f t="shared" si="0"/>
        <v>0.40899999999999997</v>
      </c>
      <c r="I10" s="186"/>
      <c r="J10" s="187">
        <f t="shared" si="1"/>
        <v>0</v>
      </c>
      <c r="L10" s="121">
        <v>9</v>
      </c>
      <c r="M10" s="121">
        <v>54</v>
      </c>
      <c r="N10" s="122">
        <v>40</v>
      </c>
      <c r="O10" s="123">
        <v>50.5</v>
      </c>
      <c r="P10" s="123">
        <v>115</v>
      </c>
      <c r="Q10" s="123">
        <v>40</v>
      </c>
      <c r="R10" s="120" t="s">
        <v>1803</v>
      </c>
      <c r="S10" s="123">
        <f t="shared" si="5"/>
        <v>0.23599999999999999</v>
      </c>
      <c r="T10" s="196"/>
      <c r="U10" s="187">
        <f t="shared" si="2"/>
        <v>0</v>
      </c>
      <c r="W10" s="122">
        <v>9</v>
      </c>
      <c r="X10" s="123" t="s">
        <v>2884</v>
      </c>
      <c r="Y10" s="123">
        <v>32</v>
      </c>
      <c r="Z10" s="123">
        <v>71.5</v>
      </c>
      <c r="AA10" s="123">
        <v>53.5</v>
      </c>
      <c r="AB10" s="123">
        <v>10</v>
      </c>
      <c r="AC10" s="123" t="s">
        <v>2032</v>
      </c>
      <c r="AD10" s="123">
        <f t="shared" si="6"/>
        <v>0.79</v>
      </c>
      <c r="AE10" s="213"/>
      <c r="AF10" s="214">
        <f t="shared" si="3"/>
        <v>0</v>
      </c>
      <c r="AH10" s="122">
        <v>9</v>
      </c>
      <c r="AI10" s="123" t="s">
        <v>2884</v>
      </c>
      <c r="AJ10" s="123">
        <v>100</v>
      </c>
      <c r="AK10" s="123">
        <v>71.5</v>
      </c>
      <c r="AL10" s="123">
        <v>53.5</v>
      </c>
      <c r="AM10" s="123">
        <v>20</v>
      </c>
      <c r="AN10" s="123" t="s">
        <v>2303</v>
      </c>
      <c r="AO10" s="123">
        <f t="shared" si="7"/>
        <v>4.9359999999999999</v>
      </c>
      <c r="AP10" s="213"/>
      <c r="AQ10" s="214">
        <f t="shared" si="4"/>
        <v>0</v>
      </c>
    </row>
    <row r="11" spans="1:43" ht="24.95" customHeight="1">
      <c r="A11" s="124">
        <v>10</v>
      </c>
      <c r="B11" s="125">
        <v>78</v>
      </c>
      <c r="C11" s="126">
        <v>40</v>
      </c>
      <c r="D11" s="126">
        <v>77.5</v>
      </c>
      <c r="E11" s="126">
        <v>135</v>
      </c>
      <c r="F11" s="126">
        <v>40</v>
      </c>
      <c r="G11" s="127" t="s">
        <v>1740</v>
      </c>
      <c r="H11" s="126">
        <f t="shared" si="0"/>
        <v>0.42499999999999999</v>
      </c>
      <c r="I11" s="186"/>
      <c r="J11" s="187">
        <f t="shared" si="1"/>
        <v>0</v>
      </c>
      <c r="L11" s="121">
        <v>10</v>
      </c>
      <c r="M11" s="121">
        <v>57</v>
      </c>
      <c r="N11" s="122">
        <v>40</v>
      </c>
      <c r="O11" s="123">
        <v>53.5</v>
      </c>
      <c r="P11" s="123">
        <v>115</v>
      </c>
      <c r="Q11" s="123">
        <v>40</v>
      </c>
      <c r="R11" s="120" t="s">
        <v>1804</v>
      </c>
      <c r="S11" s="123">
        <f t="shared" si="5"/>
        <v>0.25</v>
      </c>
      <c r="T11" s="196"/>
      <c r="U11" s="187">
        <f t="shared" si="2"/>
        <v>0</v>
      </c>
      <c r="W11" s="122">
        <v>10</v>
      </c>
      <c r="X11" s="123" t="s">
        <v>2885</v>
      </c>
      <c r="Y11" s="123">
        <v>32</v>
      </c>
      <c r="Z11" s="123">
        <v>71.5</v>
      </c>
      <c r="AA11" s="123">
        <v>56.5</v>
      </c>
      <c r="AB11" s="123">
        <v>10</v>
      </c>
      <c r="AC11" s="123" t="s">
        <v>2033</v>
      </c>
      <c r="AD11" s="123">
        <f t="shared" si="6"/>
        <v>0.83399999999999996</v>
      </c>
      <c r="AE11" s="213"/>
      <c r="AF11" s="214">
        <f t="shared" si="3"/>
        <v>0</v>
      </c>
      <c r="AH11" s="122">
        <v>10</v>
      </c>
      <c r="AI11" s="123" t="s">
        <v>2885</v>
      </c>
      <c r="AJ11" s="123">
        <v>100</v>
      </c>
      <c r="AK11" s="123">
        <v>71.5</v>
      </c>
      <c r="AL11" s="123">
        <v>56.5</v>
      </c>
      <c r="AM11" s="123">
        <v>20</v>
      </c>
      <c r="AN11" s="123" t="s">
        <v>2304</v>
      </c>
      <c r="AO11" s="123">
        <f t="shared" si="7"/>
        <v>5.2130000000000001</v>
      </c>
      <c r="AP11" s="213"/>
      <c r="AQ11" s="214">
        <f t="shared" si="4"/>
        <v>0</v>
      </c>
    </row>
    <row r="12" spans="1:43" ht="24.95" customHeight="1">
      <c r="A12" s="124">
        <v>11</v>
      </c>
      <c r="B12" s="125">
        <v>80</v>
      </c>
      <c r="C12" s="126">
        <v>40</v>
      </c>
      <c r="D12" s="126">
        <v>79.5</v>
      </c>
      <c r="E12" s="126">
        <v>135</v>
      </c>
      <c r="F12" s="126">
        <v>40</v>
      </c>
      <c r="G12" s="127" t="s">
        <v>1741</v>
      </c>
      <c r="H12" s="126">
        <f t="shared" si="0"/>
        <v>0.436</v>
      </c>
      <c r="I12" s="186"/>
      <c r="J12" s="187">
        <f t="shared" si="1"/>
        <v>0</v>
      </c>
      <c r="L12" s="121">
        <v>11</v>
      </c>
      <c r="M12" s="121">
        <v>60</v>
      </c>
      <c r="N12" s="122">
        <v>40</v>
      </c>
      <c r="O12" s="123">
        <v>56.5</v>
      </c>
      <c r="P12" s="123">
        <v>115</v>
      </c>
      <c r="Q12" s="123">
        <v>40</v>
      </c>
      <c r="R12" s="120" t="s">
        <v>30</v>
      </c>
      <c r="S12" s="123">
        <f t="shared" si="5"/>
        <v>0.26400000000000001</v>
      </c>
      <c r="T12" s="196"/>
      <c r="U12" s="187">
        <f t="shared" si="2"/>
        <v>0</v>
      </c>
      <c r="W12" s="122">
        <v>11</v>
      </c>
      <c r="X12" s="123" t="s">
        <v>2886</v>
      </c>
      <c r="Y12" s="123">
        <v>32</v>
      </c>
      <c r="Z12" s="123">
        <v>71.5</v>
      </c>
      <c r="AA12" s="123">
        <v>59.5</v>
      </c>
      <c r="AB12" s="123">
        <v>10</v>
      </c>
      <c r="AC12" s="123" t="s">
        <v>668</v>
      </c>
      <c r="AD12" s="123">
        <f t="shared" si="6"/>
        <v>0.878</v>
      </c>
      <c r="AE12" s="213"/>
      <c r="AF12" s="214">
        <f t="shared" si="3"/>
        <v>0</v>
      </c>
      <c r="AH12" s="122">
        <v>11</v>
      </c>
      <c r="AI12" s="123" t="s">
        <v>2886</v>
      </c>
      <c r="AJ12" s="123">
        <v>100</v>
      </c>
      <c r="AK12" s="123">
        <v>71.5</v>
      </c>
      <c r="AL12" s="123">
        <v>59.5</v>
      </c>
      <c r="AM12" s="123">
        <v>20</v>
      </c>
      <c r="AN12" s="123" t="s">
        <v>929</v>
      </c>
      <c r="AO12" s="123">
        <f t="shared" si="7"/>
        <v>5.4889999999999999</v>
      </c>
      <c r="AP12" s="213"/>
      <c r="AQ12" s="214">
        <f t="shared" si="4"/>
        <v>0</v>
      </c>
    </row>
    <row r="13" spans="1:43" ht="24.95" customHeight="1">
      <c r="A13" s="124">
        <v>12</v>
      </c>
      <c r="B13" s="125">
        <v>84</v>
      </c>
      <c r="C13" s="126">
        <v>40</v>
      </c>
      <c r="D13" s="126">
        <v>83.5</v>
      </c>
      <c r="E13" s="126">
        <v>135</v>
      </c>
      <c r="F13" s="126">
        <v>40</v>
      </c>
      <c r="G13" s="127" t="s">
        <v>1742</v>
      </c>
      <c r="H13" s="126">
        <f t="shared" si="0"/>
        <v>0.45800000000000002</v>
      </c>
      <c r="I13" s="186"/>
      <c r="J13" s="187">
        <f t="shared" si="1"/>
        <v>0</v>
      </c>
      <c r="L13" s="121">
        <v>12</v>
      </c>
      <c r="M13" s="121">
        <v>63</v>
      </c>
      <c r="N13" s="122">
        <v>40</v>
      </c>
      <c r="O13" s="123">
        <v>59.5</v>
      </c>
      <c r="P13" s="123">
        <v>115</v>
      </c>
      <c r="Q13" s="123">
        <v>40</v>
      </c>
      <c r="R13" s="120" t="s">
        <v>1805</v>
      </c>
      <c r="S13" s="123">
        <f t="shared" si="5"/>
        <v>0.27800000000000002</v>
      </c>
      <c r="T13" s="196"/>
      <c r="U13" s="187">
        <f t="shared" si="2"/>
        <v>0</v>
      </c>
      <c r="W13" s="122">
        <v>12</v>
      </c>
      <c r="X13" s="123" t="s">
        <v>2887</v>
      </c>
      <c r="Y13" s="123">
        <v>32</v>
      </c>
      <c r="Z13" s="123">
        <v>71.5</v>
      </c>
      <c r="AA13" s="123">
        <v>62.5</v>
      </c>
      <c r="AB13" s="123">
        <v>10</v>
      </c>
      <c r="AC13" s="123" t="s">
        <v>2034</v>
      </c>
      <c r="AD13" s="123">
        <f t="shared" si="6"/>
        <v>0.92300000000000004</v>
      </c>
      <c r="AE13" s="213"/>
      <c r="AF13" s="214">
        <f t="shared" si="3"/>
        <v>0</v>
      </c>
      <c r="AH13" s="122">
        <v>12</v>
      </c>
      <c r="AI13" s="123" t="s">
        <v>2887</v>
      </c>
      <c r="AJ13" s="123">
        <v>100</v>
      </c>
      <c r="AK13" s="123">
        <v>71.5</v>
      </c>
      <c r="AL13" s="123">
        <v>62.5</v>
      </c>
      <c r="AM13" s="123">
        <v>20</v>
      </c>
      <c r="AN13" s="123" t="s">
        <v>2305</v>
      </c>
      <c r="AO13" s="123">
        <f t="shared" si="7"/>
        <v>5.766</v>
      </c>
      <c r="AP13" s="213"/>
      <c r="AQ13" s="214">
        <f t="shared" si="4"/>
        <v>0</v>
      </c>
    </row>
    <row r="14" spans="1:43" ht="24.95" customHeight="1">
      <c r="A14" s="124">
        <v>13</v>
      </c>
      <c r="B14" s="125">
        <v>13</v>
      </c>
      <c r="C14" s="126">
        <v>40</v>
      </c>
      <c r="D14" s="126">
        <v>12.5</v>
      </c>
      <c r="E14" s="126">
        <v>135</v>
      </c>
      <c r="F14" s="126">
        <v>40</v>
      </c>
      <c r="G14" s="127" t="s">
        <v>1743</v>
      </c>
      <c r="H14" s="126">
        <f t="shared" si="0"/>
        <v>6.9000000000000006E-2</v>
      </c>
      <c r="I14" s="186"/>
      <c r="J14" s="187">
        <f t="shared" si="1"/>
        <v>0</v>
      </c>
      <c r="L14" s="121">
        <v>13</v>
      </c>
      <c r="M14" s="121">
        <v>66</v>
      </c>
      <c r="N14" s="122">
        <v>40</v>
      </c>
      <c r="O14" s="123">
        <v>62.5</v>
      </c>
      <c r="P14" s="123">
        <v>115</v>
      </c>
      <c r="Q14" s="123">
        <v>40</v>
      </c>
      <c r="R14" s="120" t="s">
        <v>34</v>
      </c>
      <c r="S14" s="123">
        <f t="shared" si="5"/>
        <v>0.29199999999999998</v>
      </c>
      <c r="T14" s="196"/>
      <c r="U14" s="187">
        <f t="shared" si="2"/>
        <v>0</v>
      </c>
      <c r="W14" s="122">
        <v>13</v>
      </c>
      <c r="X14" s="123" t="s">
        <v>2888</v>
      </c>
      <c r="Y14" s="123">
        <v>32</v>
      </c>
      <c r="Z14" s="123">
        <v>71.5</v>
      </c>
      <c r="AA14" s="123">
        <v>65.5</v>
      </c>
      <c r="AB14" s="123">
        <v>10</v>
      </c>
      <c r="AC14" s="123" t="s">
        <v>671</v>
      </c>
      <c r="AD14" s="123">
        <f t="shared" si="6"/>
        <v>0.96699999999999997</v>
      </c>
      <c r="AE14" s="213"/>
      <c r="AF14" s="214">
        <f t="shared" si="3"/>
        <v>0</v>
      </c>
      <c r="AH14" s="122">
        <v>13</v>
      </c>
      <c r="AI14" s="123" t="s">
        <v>2888</v>
      </c>
      <c r="AJ14" s="123">
        <v>100</v>
      </c>
      <c r="AK14" s="123">
        <v>71.5</v>
      </c>
      <c r="AL14" s="123">
        <v>65.5</v>
      </c>
      <c r="AM14" s="123">
        <v>20</v>
      </c>
      <c r="AN14" s="123" t="s">
        <v>933</v>
      </c>
      <c r="AO14" s="123">
        <f t="shared" si="7"/>
        <v>6.0430000000000001</v>
      </c>
      <c r="AP14" s="213"/>
      <c r="AQ14" s="214">
        <f t="shared" si="4"/>
        <v>0</v>
      </c>
    </row>
    <row r="15" spans="1:43" ht="24.95" customHeight="1">
      <c r="A15" s="124">
        <v>14</v>
      </c>
      <c r="B15" s="125">
        <v>20</v>
      </c>
      <c r="C15" s="126">
        <v>40</v>
      </c>
      <c r="D15" s="126">
        <v>19.5</v>
      </c>
      <c r="E15" s="126">
        <v>135</v>
      </c>
      <c r="F15" s="126">
        <v>40</v>
      </c>
      <c r="G15" s="127" t="s">
        <v>1744</v>
      </c>
      <c r="H15" s="126">
        <f t="shared" si="0"/>
        <v>0.107</v>
      </c>
      <c r="I15" s="186"/>
      <c r="J15" s="187">
        <f t="shared" si="1"/>
        <v>0</v>
      </c>
      <c r="L15" s="188">
        <v>14</v>
      </c>
      <c r="M15" s="188">
        <v>69</v>
      </c>
      <c r="N15" s="189">
        <v>40</v>
      </c>
      <c r="O15" s="190">
        <v>65.5</v>
      </c>
      <c r="P15" s="190">
        <v>115</v>
      </c>
      <c r="Q15" s="190">
        <v>40</v>
      </c>
      <c r="R15" s="120" t="s">
        <v>1806</v>
      </c>
      <c r="S15" s="190">
        <f t="shared" si="5"/>
        <v>0.30599999999999999</v>
      </c>
      <c r="T15" s="196"/>
      <c r="U15" s="187">
        <f t="shared" si="2"/>
        <v>0</v>
      </c>
      <c r="W15" s="122">
        <v>14</v>
      </c>
      <c r="X15" s="123" t="s">
        <v>2889</v>
      </c>
      <c r="Y15" s="123">
        <v>32</v>
      </c>
      <c r="Z15" s="123">
        <v>71.5</v>
      </c>
      <c r="AA15" s="123">
        <v>68.5</v>
      </c>
      <c r="AB15" s="123">
        <v>10</v>
      </c>
      <c r="AC15" s="123" t="s">
        <v>2035</v>
      </c>
      <c r="AD15" s="123">
        <f t="shared" si="6"/>
        <v>1.0109999999999999</v>
      </c>
      <c r="AE15" s="213"/>
      <c r="AF15" s="214">
        <f t="shared" si="3"/>
        <v>0</v>
      </c>
      <c r="AH15" s="122">
        <v>14</v>
      </c>
      <c r="AI15" s="123" t="s">
        <v>2889</v>
      </c>
      <c r="AJ15" s="123">
        <v>100</v>
      </c>
      <c r="AK15" s="123">
        <v>71.5</v>
      </c>
      <c r="AL15" s="123">
        <v>68.5</v>
      </c>
      <c r="AM15" s="123">
        <v>20</v>
      </c>
      <c r="AN15" s="123" t="s">
        <v>2306</v>
      </c>
      <c r="AO15" s="123">
        <f t="shared" si="7"/>
        <v>6.32</v>
      </c>
      <c r="AP15" s="213"/>
      <c r="AQ15" s="214">
        <f t="shared" si="4"/>
        <v>0</v>
      </c>
    </row>
    <row r="16" spans="1:43" ht="24.95" customHeight="1">
      <c r="A16" s="128">
        <v>15</v>
      </c>
      <c r="B16" s="129">
        <v>72</v>
      </c>
      <c r="C16" s="130">
        <v>40</v>
      </c>
      <c r="D16" s="130">
        <v>71.5</v>
      </c>
      <c r="E16" s="130">
        <v>155</v>
      </c>
      <c r="F16" s="130">
        <v>40</v>
      </c>
      <c r="G16" s="131" t="s">
        <v>1745</v>
      </c>
      <c r="H16" s="130">
        <f t="shared" si="0"/>
        <v>0.45</v>
      </c>
      <c r="I16" s="186"/>
      <c r="J16" s="187">
        <f t="shared" si="1"/>
        <v>0</v>
      </c>
      <c r="L16" s="121">
        <v>15</v>
      </c>
      <c r="M16" s="121">
        <v>72</v>
      </c>
      <c r="N16" s="122">
        <v>40</v>
      </c>
      <c r="O16" s="123">
        <v>68.5</v>
      </c>
      <c r="P16" s="123">
        <v>115</v>
      </c>
      <c r="Q16" s="123">
        <v>40</v>
      </c>
      <c r="R16" s="120" t="s">
        <v>39</v>
      </c>
      <c r="S16" s="123">
        <f t="shared" si="5"/>
        <v>0.32</v>
      </c>
      <c r="T16" s="196"/>
      <c r="U16" s="187">
        <f t="shared" si="2"/>
        <v>0</v>
      </c>
      <c r="W16" s="122">
        <v>15</v>
      </c>
      <c r="X16" s="123" t="s">
        <v>2890</v>
      </c>
      <c r="Y16" s="123">
        <v>32</v>
      </c>
      <c r="Z16" s="123">
        <v>71.5</v>
      </c>
      <c r="AA16" s="123">
        <v>71.5</v>
      </c>
      <c r="AB16" s="123">
        <v>10</v>
      </c>
      <c r="AC16" s="123" t="s">
        <v>674</v>
      </c>
      <c r="AD16" s="123">
        <f t="shared" si="6"/>
        <v>1.0549999999999999</v>
      </c>
      <c r="AE16" s="213"/>
      <c r="AF16" s="214">
        <f t="shared" si="3"/>
        <v>0</v>
      </c>
      <c r="AH16" s="122">
        <v>15</v>
      </c>
      <c r="AI16" s="123" t="s">
        <v>2890</v>
      </c>
      <c r="AJ16" s="123">
        <v>100</v>
      </c>
      <c r="AK16" s="123">
        <v>71.5</v>
      </c>
      <c r="AL16" s="123">
        <v>71.5</v>
      </c>
      <c r="AM16" s="123">
        <v>20</v>
      </c>
      <c r="AN16" s="123" t="s">
        <v>937</v>
      </c>
      <c r="AO16" s="123">
        <f t="shared" si="7"/>
        <v>6.5960000000000001</v>
      </c>
      <c r="AP16" s="213"/>
      <c r="AQ16" s="214">
        <f t="shared" si="4"/>
        <v>0</v>
      </c>
    </row>
    <row r="17" spans="1:43" ht="24.95" customHeight="1">
      <c r="A17" s="128">
        <v>16</v>
      </c>
      <c r="B17" s="129">
        <v>75</v>
      </c>
      <c r="C17" s="130">
        <v>40</v>
      </c>
      <c r="D17" s="130">
        <v>74.5</v>
      </c>
      <c r="E17" s="130">
        <v>155</v>
      </c>
      <c r="F17" s="130">
        <v>40</v>
      </c>
      <c r="G17" s="131" t="s">
        <v>1746</v>
      </c>
      <c r="H17" s="130">
        <f t="shared" si="0"/>
        <v>0.46899999999999997</v>
      </c>
      <c r="I17" s="186"/>
      <c r="J17" s="187">
        <f t="shared" si="1"/>
        <v>0</v>
      </c>
      <c r="L17" s="121">
        <v>16</v>
      </c>
      <c r="M17" s="121">
        <v>13</v>
      </c>
      <c r="N17" s="122">
        <v>40</v>
      </c>
      <c r="O17" s="123">
        <v>9.5</v>
      </c>
      <c r="P17" s="123">
        <v>115</v>
      </c>
      <c r="Q17" s="123">
        <v>40</v>
      </c>
      <c r="R17" s="120" t="s">
        <v>1807</v>
      </c>
      <c r="S17" s="123">
        <f t="shared" si="5"/>
        <v>4.3999999999999997E-2</v>
      </c>
      <c r="T17" s="196"/>
      <c r="U17" s="187">
        <f t="shared" si="2"/>
        <v>0</v>
      </c>
      <c r="W17" s="122">
        <v>16</v>
      </c>
      <c r="X17" s="123" t="s">
        <v>2891</v>
      </c>
      <c r="Y17" s="123">
        <v>32</v>
      </c>
      <c r="Z17" s="123">
        <v>74.5</v>
      </c>
      <c r="AA17" s="123">
        <v>29.5</v>
      </c>
      <c r="AB17" s="123">
        <v>10</v>
      </c>
      <c r="AC17" s="123" t="s">
        <v>677</v>
      </c>
      <c r="AD17" s="123">
        <f t="shared" si="6"/>
        <v>0.45400000000000001</v>
      </c>
      <c r="AE17" s="213"/>
      <c r="AF17" s="214">
        <f t="shared" si="3"/>
        <v>0</v>
      </c>
      <c r="AH17" s="122">
        <v>16</v>
      </c>
      <c r="AI17" s="123" t="s">
        <v>2891</v>
      </c>
      <c r="AJ17" s="123">
        <v>100</v>
      </c>
      <c r="AK17" s="123">
        <v>74.5</v>
      </c>
      <c r="AL17" s="123">
        <v>29.5</v>
      </c>
      <c r="AM17" s="123">
        <v>20</v>
      </c>
      <c r="AN17" s="123" t="s">
        <v>941</v>
      </c>
      <c r="AO17" s="123">
        <f t="shared" si="7"/>
        <v>2.8359999999999999</v>
      </c>
      <c r="AP17" s="213"/>
      <c r="AQ17" s="214">
        <f t="shared" si="4"/>
        <v>0</v>
      </c>
    </row>
    <row r="18" spans="1:43" ht="24.95" customHeight="1">
      <c r="A18" s="128">
        <v>17</v>
      </c>
      <c r="B18" s="129">
        <v>78</v>
      </c>
      <c r="C18" s="130">
        <v>40</v>
      </c>
      <c r="D18" s="130">
        <v>77.5</v>
      </c>
      <c r="E18" s="130">
        <v>155</v>
      </c>
      <c r="F18" s="130">
        <v>40</v>
      </c>
      <c r="G18" s="131" t="s">
        <v>1747</v>
      </c>
      <c r="H18" s="130">
        <f t="shared" si="0"/>
        <v>0.48799999999999999</v>
      </c>
      <c r="I18" s="186"/>
      <c r="J18" s="187">
        <f t="shared" si="1"/>
        <v>0</v>
      </c>
      <c r="L18" s="157">
        <v>17</v>
      </c>
      <c r="M18" s="157">
        <v>18</v>
      </c>
      <c r="N18" s="158">
        <v>40</v>
      </c>
      <c r="O18" s="159">
        <v>14.5</v>
      </c>
      <c r="P18" s="159">
        <v>115</v>
      </c>
      <c r="Q18" s="159">
        <v>40</v>
      </c>
      <c r="R18" s="198" t="s">
        <v>111</v>
      </c>
      <c r="S18" s="159">
        <f t="shared" si="5"/>
        <v>6.8000000000000005E-2</v>
      </c>
      <c r="T18" s="196"/>
      <c r="U18" s="199">
        <f t="shared" si="2"/>
        <v>0</v>
      </c>
      <c r="W18" s="122">
        <v>17</v>
      </c>
      <c r="X18" s="123" t="s">
        <v>2892</v>
      </c>
      <c r="Y18" s="123">
        <v>32</v>
      </c>
      <c r="Z18" s="123">
        <v>74.5</v>
      </c>
      <c r="AA18" s="123">
        <v>32.5</v>
      </c>
      <c r="AB18" s="123">
        <v>10</v>
      </c>
      <c r="AC18" s="123" t="s">
        <v>2036</v>
      </c>
      <c r="AD18" s="123">
        <f t="shared" si="6"/>
        <v>0.5</v>
      </c>
      <c r="AE18" s="213"/>
      <c r="AF18" s="214">
        <f t="shared" si="3"/>
        <v>0</v>
      </c>
      <c r="AH18" s="122">
        <v>17</v>
      </c>
      <c r="AI18" s="123" t="s">
        <v>2892</v>
      </c>
      <c r="AJ18" s="123">
        <v>100</v>
      </c>
      <c r="AK18" s="123">
        <v>74.5</v>
      </c>
      <c r="AL18" s="123">
        <v>32.5</v>
      </c>
      <c r="AM18" s="123">
        <v>20</v>
      </c>
      <c r="AN18" s="123" t="s">
        <v>2307</v>
      </c>
      <c r="AO18" s="123">
        <f t="shared" si="7"/>
        <v>3.1240000000000001</v>
      </c>
      <c r="AP18" s="213"/>
      <c r="AQ18" s="214">
        <f t="shared" si="4"/>
        <v>0</v>
      </c>
    </row>
    <row r="19" spans="1:43" ht="24.95" customHeight="1">
      <c r="A19" s="128">
        <v>18</v>
      </c>
      <c r="B19" s="129">
        <v>80</v>
      </c>
      <c r="C19" s="130">
        <v>40</v>
      </c>
      <c r="D19" s="130">
        <v>79.5</v>
      </c>
      <c r="E19" s="130">
        <v>155</v>
      </c>
      <c r="F19" s="130">
        <v>40</v>
      </c>
      <c r="G19" s="131" t="s">
        <v>1748</v>
      </c>
      <c r="H19" s="130">
        <f t="shared" si="0"/>
        <v>0.501</v>
      </c>
      <c r="I19" s="186"/>
      <c r="J19" s="187">
        <f t="shared" si="1"/>
        <v>0</v>
      </c>
      <c r="L19" s="162">
        <v>18</v>
      </c>
      <c r="M19" s="163">
        <v>30</v>
      </c>
      <c r="N19" s="163">
        <v>40</v>
      </c>
      <c r="O19" s="163">
        <v>26.5</v>
      </c>
      <c r="P19" s="163">
        <v>135</v>
      </c>
      <c r="Q19" s="163">
        <v>40</v>
      </c>
      <c r="R19" s="163" t="s">
        <v>1808</v>
      </c>
      <c r="S19" s="163">
        <f t="shared" si="5"/>
        <v>0.14499999999999999</v>
      </c>
      <c r="T19" s="196"/>
      <c r="U19" s="200">
        <f t="shared" si="2"/>
        <v>0</v>
      </c>
      <c r="W19" s="122">
        <v>18</v>
      </c>
      <c r="X19" s="123" t="s">
        <v>2893</v>
      </c>
      <c r="Y19" s="123">
        <v>32</v>
      </c>
      <c r="Z19" s="123">
        <v>74.5</v>
      </c>
      <c r="AA19" s="123">
        <v>35.5</v>
      </c>
      <c r="AB19" s="123">
        <v>10</v>
      </c>
      <c r="AC19" s="123" t="s">
        <v>679</v>
      </c>
      <c r="AD19" s="123">
        <f t="shared" si="6"/>
        <v>0.54600000000000004</v>
      </c>
      <c r="AE19" s="213"/>
      <c r="AF19" s="214">
        <f t="shared" si="3"/>
        <v>0</v>
      </c>
      <c r="AH19" s="122">
        <v>18</v>
      </c>
      <c r="AI19" s="123" t="s">
        <v>2893</v>
      </c>
      <c r="AJ19" s="123">
        <v>100</v>
      </c>
      <c r="AK19" s="123">
        <v>74.5</v>
      </c>
      <c r="AL19" s="123">
        <v>35.5</v>
      </c>
      <c r="AM19" s="123">
        <v>20</v>
      </c>
      <c r="AN19" s="123" t="s">
        <v>944</v>
      </c>
      <c r="AO19" s="123">
        <f t="shared" si="7"/>
        <v>3.4129999999999998</v>
      </c>
      <c r="AP19" s="213"/>
      <c r="AQ19" s="214">
        <f t="shared" si="4"/>
        <v>0</v>
      </c>
    </row>
    <row r="20" spans="1:43" ht="24.95" customHeight="1">
      <c r="A20" s="128">
        <v>19</v>
      </c>
      <c r="B20" s="129">
        <v>84</v>
      </c>
      <c r="C20" s="130">
        <v>40</v>
      </c>
      <c r="D20" s="130">
        <v>83.5</v>
      </c>
      <c r="E20" s="130">
        <v>155</v>
      </c>
      <c r="F20" s="130">
        <v>40</v>
      </c>
      <c r="G20" s="131" t="s">
        <v>1749</v>
      </c>
      <c r="H20" s="130">
        <f t="shared" si="0"/>
        <v>0.52600000000000002</v>
      </c>
      <c r="I20" s="186"/>
      <c r="J20" s="187">
        <f t="shared" si="1"/>
        <v>0</v>
      </c>
      <c r="L20" s="125">
        <v>19</v>
      </c>
      <c r="M20" s="126">
        <v>33</v>
      </c>
      <c r="N20" s="126">
        <v>40</v>
      </c>
      <c r="O20" s="126">
        <v>29.5</v>
      </c>
      <c r="P20" s="126">
        <v>135</v>
      </c>
      <c r="Q20" s="126">
        <v>40</v>
      </c>
      <c r="R20" s="126" t="s">
        <v>2894</v>
      </c>
      <c r="S20" s="126">
        <f t="shared" ref="S20:S36" si="8">ROUND(N20*O20*0.0254*P20/1000*Q20/1000,3)</f>
        <v>0.16200000000000001</v>
      </c>
      <c r="T20" s="196"/>
      <c r="U20" s="201">
        <f t="shared" si="2"/>
        <v>0</v>
      </c>
      <c r="W20" s="122">
        <v>19</v>
      </c>
      <c r="X20" s="123" t="s">
        <v>2895</v>
      </c>
      <c r="Y20" s="123">
        <v>32</v>
      </c>
      <c r="Z20" s="123">
        <v>74.5</v>
      </c>
      <c r="AA20" s="123">
        <v>38.5</v>
      </c>
      <c r="AB20" s="123">
        <v>10</v>
      </c>
      <c r="AC20" s="123" t="s">
        <v>2037</v>
      </c>
      <c r="AD20" s="123">
        <f t="shared" si="6"/>
        <v>0.59199999999999997</v>
      </c>
      <c r="AE20" s="213"/>
      <c r="AF20" s="214">
        <f t="shared" si="3"/>
        <v>0</v>
      </c>
      <c r="AH20" s="122">
        <v>19</v>
      </c>
      <c r="AI20" s="123" t="s">
        <v>2895</v>
      </c>
      <c r="AJ20" s="123">
        <v>100</v>
      </c>
      <c r="AK20" s="123">
        <v>74.5</v>
      </c>
      <c r="AL20" s="123">
        <v>38.5</v>
      </c>
      <c r="AM20" s="123">
        <v>20</v>
      </c>
      <c r="AN20" s="123" t="s">
        <v>2308</v>
      </c>
      <c r="AO20" s="123">
        <f t="shared" si="7"/>
        <v>3.7010000000000001</v>
      </c>
      <c r="AP20" s="213"/>
      <c r="AQ20" s="214">
        <f t="shared" si="4"/>
        <v>0</v>
      </c>
    </row>
    <row r="21" spans="1:43" ht="24.95" customHeight="1">
      <c r="A21" s="128">
        <v>20</v>
      </c>
      <c r="B21" s="129">
        <v>13</v>
      </c>
      <c r="C21" s="130">
        <v>40</v>
      </c>
      <c r="D21" s="130">
        <v>12.5</v>
      </c>
      <c r="E21" s="130">
        <v>155</v>
      </c>
      <c r="F21" s="130">
        <v>40</v>
      </c>
      <c r="G21" s="131" t="s">
        <v>1750</v>
      </c>
      <c r="H21" s="130">
        <f t="shared" si="0"/>
        <v>7.9000000000000001E-2</v>
      </c>
      <c r="I21" s="186"/>
      <c r="J21" s="187">
        <f t="shared" si="1"/>
        <v>0</v>
      </c>
      <c r="L21" s="125">
        <v>20</v>
      </c>
      <c r="M21" s="126">
        <v>36</v>
      </c>
      <c r="N21" s="126">
        <v>40</v>
      </c>
      <c r="O21" s="126">
        <v>32.5</v>
      </c>
      <c r="P21" s="126">
        <v>135</v>
      </c>
      <c r="Q21" s="126">
        <v>40</v>
      </c>
      <c r="R21" s="126" t="s">
        <v>2896</v>
      </c>
      <c r="S21" s="126">
        <f t="shared" si="8"/>
        <v>0.17799999999999999</v>
      </c>
      <c r="T21" s="196"/>
      <c r="U21" s="201">
        <f t="shared" si="2"/>
        <v>0</v>
      </c>
      <c r="W21" s="122">
        <v>20</v>
      </c>
      <c r="X21" s="123" t="s">
        <v>2897</v>
      </c>
      <c r="Y21" s="123">
        <v>32</v>
      </c>
      <c r="Z21" s="123">
        <v>74.5</v>
      </c>
      <c r="AA21" s="123">
        <v>41.5</v>
      </c>
      <c r="AB21" s="123">
        <v>10</v>
      </c>
      <c r="AC21" s="123" t="s">
        <v>681</v>
      </c>
      <c r="AD21" s="123">
        <f t="shared" si="6"/>
        <v>0.63800000000000001</v>
      </c>
      <c r="AE21" s="213"/>
      <c r="AF21" s="214">
        <f t="shared" si="3"/>
        <v>0</v>
      </c>
      <c r="AH21" s="122">
        <v>20</v>
      </c>
      <c r="AI21" s="123" t="s">
        <v>2897</v>
      </c>
      <c r="AJ21" s="123">
        <v>100</v>
      </c>
      <c r="AK21" s="123">
        <v>74.5</v>
      </c>
      <c r="AL21" s="123">
        <v>41.5</v>
      </c>
      <c r="AM21" s="123">
        <v>20</v>
      </c>
      <c r="AN21" s="123" t="s">
        <v>947</v>
      </c>
      <c r="AO21" s="123">
        <f t="shared" si="7"/>
        <v>3.9889999999999999</v>
      </c>
      <c r="AP21" s="213"/>
      <c r="AQ21" s="214">
        <f t="shared" si="4"/>
        <v>0</v>
      </c>
    </row>
    <row r="22" spans="1:43" ht="24.95" customHeight="1">
      <c r="A22" s="128">
        <v>21</v>
      </c>
      <c r="B22" s="129">
        <v>20</v>
      </c>
      <c r="C22" s="130">
        <v>40</v>
      </c>
      <c r="D22" s="130">
        <v>19.5</v>
      </c>
      <c r="E22" s="130">
        <v>155</v>
      </c>
      <c r="F22" s="130">
        <v>40</v>
      </c>
      <c r="G22" s="131" t="s">
        <v>1751</v>
      </c>
      <c r="H22" s="130">
        <f t="shared" si="0"/>
        <v>0.123</v>
      </c>
      <c r="I22" s="186"/>
      <c r="J22" s="187">
        <f t="shared" si="1"/>
        <v>0</v>
      </c>
      <c r="L22" s="125">
        <v>21</v>
      </c>
      <c r="M22" s="126">
        <v>39</v>
      </c>
      <c r="N22" s="126">
        <v>40</v>
      </c>
      <c r="O22" s="126">
        <v>35.5</v>
      </c>
      <c r="P22" s="126">
        <v>135</v>
      </c>
      <c r="Q22" s="126">
        <v>40</v>
      </c>
      <c r="R22" s="126" t="s">
        <v>1809</v>
      </c>
      <c r="S22" s="126">
        <f t="shared" si="8"/>
        <v>0.19500000000000001</v>
      </c>
      <c r="T22" s="196"/>
      <c r="U22" s="201">
        <f t="shared" si="2"/>
        <v>0</v>
      </c>
      <c r="W22" s="122">
        <v>21</v>
      </c>
      <c r="X22" s="123" t="s">
        <v>2898</v>
      </c>
      <c r="Y22" s="123">
        <v>32</v>
      </c>
      <c r="Z22" s="123">
        <v>74.5</v>
      </c>
      <c r="AA22" s="123">
        <v>44.5</v>
      </c>
      <c r="AB22" s="123">
        <v>10</v>
      </c>
      <c r="AC22" s="123" t="s">
        <v>2038</v>
      </c>
      <c r="AD22" s="123">
        <f t="shared" si="6"/>
        <v>0.68400000000000005</v>
      </c>
      <c r="AE22" s="213"/>
      <c r="AF22" s="214">
        <f t="shared" si="3"/>
        <v>0</v>
      </c>
      <c r="AH22" s="122">
        <v>21</v>
      </c>
      <c r="AI22" s="123" t="s">
        <v>2898</v>
      </c>
      <c r="AJ22" s="123">
        <v>100</v>
      </c>
      <c r="AK22" s="123">
        <v>74.5</v>
      </c>
      <c r="AL22" s="123">
        <v>44.5</v>
      </c>
      <c r="AM22" s="123">
        <v>20</v>
      </c>
      <c r="AN22" s="123" t="s">
        <v>2309</v>
      </c>
      <c r="AO22" s="123">
        <f t="shared" si="7"/>
        <v>4.2779999999999996</v>
      </c>
      <c r="AP22" s="213"/>
      <c r="AQ22" s="214">
        <f t="shared" si="4"/>
        <v>0</v>
      </c>
    </row>
    <row r="23" spans="1:43" ht="24.95" customHeight="1">
      <c r="A23" s="132">
        <v>22</v>
      </c>
      <c r="B23" s="133">
        <v>72</v>
      </c>
      <c r="C23" s="134">
        <v>40</v>
      </c>
      <c r="D23" s="134">
        <v>71.5</v>
      </c>
      <c r="E23" s="134">
        <v>175</v>
      </c>
      <c r="F23" s="134">
        <v>40</v>
      </c>
      <c r="G23" s="135" t="s">
        <v>1752</v>
      </c>
      <c r="H23" s="134">
        <f t="shared" si="0"/>
        <v>0.50900000000000001</v>
      </c>
      <c r="I23" s="186"/>
      <c r="J23" s="187">
        <f t="shared" si="1"/>
        <v>0</v>
      </c>
      <c r="L23" s="125">
        <v>22</v>
      </c>
      <c r="M23" s="126">
        <v>42</v>
      </c>
      <c r="N23" s="126">
        <v>40</v>
      </c>
      <c r="O23" s="126">
        <v>38.5</v>
      </c>
      <c r="P23" s="126">
        <v>135</v>
      </c>
      <c r="Q23" s="126">
        <v>40</v>
      </c>
      <c r="R23" s="126" t="s">
        <v>1810</v>
      </c>
      <c r="S23" s="126">
        <f t="shared" si="8"/>
        <v>0.21099999999999999</v>
      </c>
      <c r="T23" s="196"/>
      <c r="U23" s="201">
        <f t="shared" si="2"/>
        <v>0</v>
      </c>
      <c r="W23" s="122">
        <v>22</v>
      </c>
      <c r="X23" s="123" t="s">
        <v>2899</v>
      </c>
      <c r="Y23" s="123">
        <v>32</v>
      </c>
      <c r="Z23" s="123">
        <v>74.5</v>
      </c>
      <c r="AA23" s="123">
        <v>47.5</v>
      </c>
      <c r="AB23" s="123">
        <v>10</v>
      </c>
      <c r="AC23" s="123" t="s">
        <v>683</v>
      </c>
      <c r="AD23" s="123">
        <f t="shared" si="6"/>
        <v>0.73099999999999998</v>
      </c>
      <c r="AE23" s="213"/>
      <c r="AF23" s="214">
        <f t="shared" si="3"/>
        <v>0</v>
      </c>
      <c r="AH23" s="122">
        <v>22</v>
      </c>
      <c r="AI23" s="123" t="s">
        <v>2899</v>
      </c>
      <c r="AJ23" s="123">
        <v>100</v>
      </c>
      <c r="AK23" s="123">
        <v>74.5</v>
      </c>
      <c r="AL23" s="123">
        <v>47.5</v>
      </c>
      <c r="AM23" s="123">
        <v>20</v>
      </c>
      <c r="AN23" s="123" t="s">
        <v>950</v>
      </c>
      <c r="AO23" s="123">
        <f t="shared" si="7"/>
        <v>4.5659999999999998</v>
      </c>
      <c r="AP23" s="213"/>
      <c r="AQ23" s="214">
        <f t="shared" si="4"/>
        <v>0</v>
      </c>
    </row>
    <row r="24" spans="1:43" ht="24.95" customHeight="1">
      <c r="A24" s="132">
        <v>23</v>
      </c>
      <c r="B24" s="133">
        <v>75</v>
      </c>
      <c r="C24" s="134">
        <v>40</v>
      </c>
      <c r="D24" s="134">
        <v>74.5</v>
      </c>
      <c r="E24" s="134">
        <v>175</v>
      </c>
      <c r="F24" s="134">
        <v>40</v>
      </c>
      <c r="G24" s="135" t="s">
        <v>1753</v>
      </c>
      <c r="H24" s="134">
        <f t="shared" si="0"/>
        <v>0.53</v>
      </c>
      <c r="I24" s="186"/>
      <c r="J24" s="187">
        <f t="shared" si="1"/>
        <v>0</v>
      </c>
      <c r="L24" s="125">
        <v>23</v>
      </c>
      <c r="M24" s="126">
        <v>45</v>
      </c>
      <c r="N24" s="126">
        <v>40</v>
      </c>
      <c r="O24" s="126">
        <v>41.5</v>
      </c>
      <c r="P24" s="126">
        <v>135</v>
      </c>
      <c r="Q24" s="126">
        <v>40</v>
      </c>
      <c r="R24" s="126" t="s">
        <v>1811</v>
      </c>
      <c r="S24" s="126">
        <f t="shared" si="8"/>
        <v>0.22800000000000001</v>
      </c>
      <c r="T24" s="196"/>
      <c r="U24" s="201">
        <f t="shared" si="2"/>
        <v>0</v>
      </c>
      <c r="W24" s="122">
        <v>23</v>
      </c>
      <c r="X24" s="123" t="s">
        <v>2900</v>
      </c>
      <c r="Y24" s="123">
        <v>32</v>
      </c>
      <c r="Z24" s="123">
        <v>74.5</v>
      </c>
      <c r="AA24" s="123">
        <v>50.5</v>
      </c>
      <c r="AB24" s="123">
        <v>10</v>
      </c>
      <c r="AC24" s="123" t="s">
        <v>2039</v>
      </c>
      <c r="AD24" s="123">
        <f t="shared" si="6"/>
        <v>0.77700000000000002</v>
      </c>
      <c r="AE24" s="213"/>
      <c r="AF24" s="214">
        <f t="shared" si="3"/>
        <v>0</v>
      </c>
      <c r="AH24" s="122">
        <v>23</v>
      </c>
      <c r="AI24" s="123" t="s">
        <v>2900</v>
      </c>
      <c r="AJ24" s="123">
        <v>100</v>
      </c>
      <c r="AK24" s="123">
        <v>74.5</v>
      </c>
      <c r="AL24" s="123">
        <v>50.5</v>
      </c>
      <c r="AM24" s="123">
        <v>20</v>
      </c>
      <c r="AN24" s="123" t="s">
        <v>2310</v>
      </c>
      <c r="AO24" s="123">
        <f t="shared" si="7"/>
        <v>4.8550000000000004</v>
      </c>
      <c r="AP24" s="213"/>
      <c r="AQ24" s="214">
        <f t="shared" si="4"/>
        <v>0</v>
      </c>
    </row>
    <row r="25" spans="1:43" ht="24.95" customHeight="1">
      <c r="A25" s="132">
        <v>24</v>
      </c>
      <c r="B25" s="133">
        <v>78</v>
      </c>
      <c r="C25" s="134">
        <v>40</v>
      </c>
      <c r="D25" s="134">
        <v>77.5</v>
      </c>
      <c r="E25" s="134">
        <v>175</v>
      </c>
      <c r="F25" s="134">
        <v>40</v>
      </c>
      <c r="G25" s="135" t="s">
        <v>1754</v>
      </c>
      <c r="H25" s="134">
        <f t="shared" si="0"/>
        <v>0.55100000000000005</v>
      </c>
      <c r="I25" s="186"/>
      <c r="J25" s="187">
        <f t="shared" si="1"/>
        <v>0</v>
      </c>
      <c r="L25" s="125">
        <v>24</v>
      </c>
      <c r="M25" s="126">
        <v>48</v>
      </c>
      <c r="N25" s="126">
        <v>40</v>
      </c>
      <c r="O25" s="126">
        <v>44.5</v>
      </c>
      <c r="P25" s="126">
        <v>135</v>
      </c>
      <c r="Q25" s="126">
        <v>40</v>
      </c>
      <c r="R25" s="126" t="s">
        <v>1812</v>
      </c>
      <c r="S25" s="126">
        <f t="shared" si="8"/>
        <v>0.24399999999999999</v>
      </c>
      <c r="T25" s="196"/>
      <c r="U25" s="201">
        <f t="shared" si="2"/>
        <v>0</v>
      </c>
      <c r="W25" s="122">
        <v>24</v>
      </c>
      <c r="X25" s="123" t="s">
        <v>2901</v>
      </c>
      <c r="Y25" s="123">
        <v>32</v>
      </c>
      <c r="Z25" s="123">
        <v>74.5</v>
      </c>
      <c r="AA25" s="123">
        <v>53.5</v>
      </c>
      <c r="AB25" s="123">
        <v>10</v>
      </c>
      <c r="AC25" s="123" t="s">
        <v>2040</v>
      </c>
      <c r="AD25" s="123">
        <f t="shared" si="6"/>
        <v>0.82299999999999995</v>
      </c>
      <c r="AE25" s="213"/>
      <c r="AF25" s="214">
        <f t="shared" si="3"/>
        <v>0</v>
      </c>
      <c r="AH25" s="122">
        <v>24</v>
      </c>
      <c r="AI25" s="123" t="s">
        <v>2901</v>
      </c>
      <c r="AJ25" s="123">
        <v>100</v>
      </c>
      <c r="AK25" s="123">
        <v>74.5</v>
      </c>
      <c r="AL25" s="123">
        <v>53.5</v>
      </c>
      <c r="AM25" s="123">
        <v>20</v>
      </c>
      <c r="AN25" s="123" t="s">
        <v>2311</v>
      </c>
      <c r="AO25" s="123">
        <f t="shared" si="7"/>
        <v>5.1429999999999998</v>
      </c>
      <c r="AP25" s="213"/>
      <c r="AQ25" s="214">
        <f t="shared" si="4"/>
        <v>0</v>
      </c>
    </row>
    <row r="26" spans="1:43" ht="24.95" customHeight="1">
      <c r="A26" s="132">
        <v>25</v>
      </c>
      <c r="B26" s="133">
        <v>80</v>
      </c>
      <c r="C26" s="134">
        <v>40</v>
      </c>
      <c r="D26" s="134">
        <v>79.5</v>
      </c>
      <c r="E26" s="134">
        <v>175</v>
      </c>
      <c r="F26" s="134">
        <v>40</v>
      </c>
      <c r="G26" s="135" t="s">
        <v>1755</v>
      </c>
      <c r="H26" s="134">
        <f t="shared" si="0"/>
        <v>0.56499999999999995</v>
      </c>
      <c r="I26" s="186"/>
      <c r="J26" s="187">
        <f t="shared" si="1"/>
        <v>0</v>
      </c>
      <c r="L26" s="125">
        <v>25</v>
      </c>
      <c r="M26" s="126">
        <v>51</v>
      </c>
      <c r="N26" s="126">
        <v>40</v>
      </c>
      <c r="O26" s="126">
        <v>47.5</v>
      </c>
      <c r="P26" s="126">
        <v>135</v>
      </c>
      <c r="Q26" s="126">
        <v>40</v>
      </c>
      <c r="R26" s="126" t="s">
        <v>1813</v>
      </c>
      <c r="S26" s="126">
        <f t="shared" si="8"/>
        <v>0.26100000000000001</v>
      </c>
      <c r="T26" s="196"/>
      <c r="U26" s="201">
        <f t="shared" si="2"/>
        <v>0</v>
      </c>
      <c r="W26" s="122">
        <v>25</v>
      </c>
      <c r="X26" s="123" t="s">
        <v>2902</v>
      </c>
      <c r="Y26" s="123">
        <v>32</v>
      </c>
      <c r="Z26" s="123">
        <v>74.5</v>
      </c>
      <c r="AA26" s="123">
        <v>56.5</v>
      </c>
      <c r="AB26" s="123">
        <v>10</v>
      </c>
      <c r="AC26" s="123" t="s">
        <v>2041</v>
      </c>
      <c r="AD26" s="123">
        <f t="shared" si="6"/>
        <v>0.86899999999999999</v>
      </c>
      <c r="AE26" s="213"/>
      <c r="AF26" s="214">
        <f t="shared" si="3"/>
        <v>0</v>
      </c>
      <c r="AH26" s="122">
        <v>25</v>
      </c>
      <c r="AI26" s="123" t="s">
        <v>2902</v>
      </c>
      <c r="AJ26" s="123">
        <v>100</v>
      </c>
      <c r="AK26" s="123">
        <v>74.5</v>
      </c>
      <c r="AL26" s="123">
        <v>56.5</v>
      </c>
      <c r="AM26" s="123">
        <v>20</v>
      </c>
      <c r="AN26" s="123" t="s">
        <v>2312</v>
      </c>
      <c r="AO26" s="123">
        <f t="shared" si="7"/>
        <v>5.431</v>
      </c>
      <c r="AP26" s="213"/>
      <c r="AQ26" s="214">
        <f t="shared" si="4"/>
        <v>0</v>
      </c>
    </row>
    <row r="27" spans="1:43" ht="24.95" customHeight="1">
      <c r="A27" s="132">
        <v>26</v>
      </c>
      <c r="B27" s="133">
        <v>84</v>
      </c>
      <c r="C27" s="134">
        <v>40</v>
      </c>
      <c r="D27" s="134">
        <v>83.5</v>
      </c>
      <c r="E27" s="134">
        <v>175</v>
      </c>
      <c r="F27" s="134">
        <v>40</v>
      </c>
      <c r="G27" s="135" t="s">
        <v>1756</v>
      </c>
      <c r="H27" s="134">
        <f t="shared" si="0"/>
        <v>0.59399999999999997</v>
      </c>
      <c r="I27" s="186"/>
      <c r="J27" s="187">
        <f t="shared" si="1"/>
        <v>0</v>
      </c>
      <c r="L27" s="125">
        <v>26</v>
      </c>
      <c r="M27" s="126">
        <v>54</v>
      </c>
      <c r="N27" s="126">
        <v>40</v>
      </c>
      <c r="O27" s="126">
        <v>50.5</v>
      </c>
      <c r="P27" s="126">
        <v>135</v>
      </c>
      <c r="Q27" s="126">
        <v>40</v>
      </c>
      <c r="R27" s="126" t="s">
        <v>1814</v>
      </c>
      <c r="S27" s="126">
        <f t="shared" si="8"/>
        <v>0.27700000000000002</v>
      </c>
      <c r="T27" s="196"/>
      <c r="U27" s="201">
        <f t="shared" si="2"/>
        <v>0</v>
      </c>
      <c r="W27" s="122">
        <v>26</v>
      </c>
      <c r="X27" s="123" t="s">
        <v>2903</v>
      </c>
      <c r="Y27" s="123">
        <v>32</v>
      </c>
      <c r="Z27" s="123">
        <v>74.5</v>
      </c>
      <c r="AA27" s="123">
        <v>59.5</v>
      </c>
      <c r="AB27" s="123">
        <v>10</v>
      </c>
      <c r="AC27" s="123" t="s">
        <v>685</v>
      </c>
      <c r="AD27" s="123">
        <f t="shared" si="6"/>
        <v>0.91500000000000004</v>
      </c>
      <c r="AE27" s="213"/>
      <c r="AF27" s="214">
        <f t="shared" si="3"/>
        <v>0</v>
      </c>
      <c r="AH27" s="122">
        <v>26</v>
      </c>
      <c r="AI27" s="123" t="s">
        <v>2903</v>
      </c>
      <c r="AJ27" s="123">
        <v>100</v>
      </c>
      <c r="AK27" s="123">
        <v>74.5</v>
      </c>
      <c r="AL27" s="123">
        <v>59.5</v>
      </c>
      <c r="AM27" s="123">
        <v>20</v>
      </c>
      <c r="AN27" s="123" t="s">
        <v>953</v>
      </c>
      <c r="AO27" s="123">
        <f t="shared" si="7"/>
        <v>5.72</v>
      </c>
      <c r="AP27" s="213"/>
      <c r="AQ27" s="214">
        <f t="shared" si="4"/>
        <v>0</v>
      </c>
    </row>
    <row r="28" spans="1:43" ht="24.95" customHeight="1">
      <c r="A28" s="132">
        <v>27</v>
      </c>
      <c r="B28" s="133">
        <v>13</v>
      </c>
      <c r="C28" s="134">
        <v>40</v>
      </c>
      <c r="D28" s="134">
        <v>12.5</v>
      </c>
      <c r="E28" s="134">
        <v>175</v>
      </c>
      <c r="F28" s="134">
        <v>40</v>
      </c>
      <c r="G28" s="135" t="s">
        <v>1757</v>
      </c>
      <c r="H28" s="134">
        <f t="shared" si="0"/>
        <v>8.8999999999999996E-2</v>
      </c>
      <c r="I28" s="186"/>
      <c r="J28" s="187">
        <f t="shared" si="1"/>
        <v>0</v>
      </c>
      <c r="L28" s="125">
        <v>27</v>
      </c>
      <c r="M28" s="126">
        <v>57</v>
      </c>
      <c r="N28" s="126">
        <v>40</v>
      </c>
      <c r="O28" s="126">
        <v>53.5</v>
      </c>
      <c r="P28" s="126">
        <v>135</v>
      </c>
      <c r="Q28" s="126">
        <v>40</v>
      </c>
      <c r="R28" s="126" t="s">
        <v>1815</v>
      </c>
      <c r="S28" s="126">
        <f t="shared" si="8"/>
        <v>0.29399999999999998</v>
      </c>
      <c r="T28" s="196"/>
      <c r="U28" s="201">
        <f t="shared" si="2"/>
        <v>0</v>
      </c>
      <c r="W28" s="122">
        <v>27</v>
      </c>
      <c r="X28" s="123" t="s">
        <v>2904</v>
      </c>
      <c r="Y28" s="123">
        <v>32</v>
      </c>
      <c r="Z28" s="123">
        <v>74.5</v>
      </c>
      <c r="AA28" s="123">
        <v>62.5</v>
      </c>
      <c r="AB28" s="123">
        <v>10</v>
      </c>
      <c r="AC28" s="123" t="s">
        <v>2042</v>
      </c>
      <c r="AD28" s="123">
        <f t="shared" si="6"/>
        <v>0.96099999999999997</v>
      </c>
      <c r="AE28" s="213"/>
      <c r="AF28" s="214">
        <f t="shared" si="3"/>
        <v>0</v>
      </c>
      <c r="AH28" s="122">
        <v>27</v>
      </c>
      <c r="AI28" s="123" t="s">
        <v>2904</v>
      </c>
      <c r="AJ28" s="123">
        <v>100</v>
      </c>
      <c r="AK28" s="123">
        <v>74.5</v>
      </c>
      <c r="AL28" s="123">
        <v>62.5</v>
      </c>
      <c r="AM28" s="123">
        <v>20</v>
      </c>
      <c r="AN28" s="123" t="s">
        <v>2313</v>
      </c>
      <c r="AO28" s="123">
        <f t="shared" si="7"/>
        <v>6.008</v>
      </c>
      <c r="AP28" s="213"/>
      <c r="AQ28" s="214">
        <f t="shared" si="4"/>
        <v>0</v>
      </c>
    </row>
    <row r="29" spans="1:43" ht="24.95" customHeight="1">
      <c r="A29" s="136">
        <v>28</v>
      </c>
      <c r="B29" s="137">
        <v>20</v>
      </c>
      <c r="C29" s="138">
        <v>40</v>
      </c>
      <c r="D29" s="138">
        <v>19.5</v>
      </c>
      <c r="E29" s="138">
        <v>175</v>
      </c>
      <c r="F29" s="138">
        <v>40</v>
      </c>
      <c r="G29" s="139" t="s">
        <v>1758</v>
      </c>
      <c r="H29" s="138">
        <f t="shared" si="0"/>
        <v>0.13900000000000001</v>
      </c>
      <c r="I29" s="186"/>
      <c r="J29" s="187">
        <f t="shared" si="1"/>
        <v>0</v>
      </c>
      <c r="L29" s="125">
        <v>28</v>
      </c>
      <c r="M29" s="126">
        <v>60</v>
      </c>
      <c r="N29" s="126">
        <v>40</v>
      </c>
      <c r="O29" s="126">
        <v>56.5</v>
      </c>
      <c r="P29" s="126">
        <v>135</v>
      </c>
      <c r="Q29" s="126">
        <v>40</v>
      </c>
      <c r="R29" s="126" t="s">
        <v>1816</v>
      </c>
      <c r="S29" s="126">
        <f t="shared" si="8"/>
        <v>0.31</v>
      </c>
      <c r="T29" s="196"/>
      <c r="U29" s="201">
        <f t="shared" si="2"/>
        <v>0</v>
      </c>
      <c r="W29" s="122">
        <v>28</v>
      </c>
      <c r="X29" s="123" t="s">
        <v>2905</v>
      </c>
      <c r="Y29" s="123">
        <v>32</v>
      </c>
      <c r="Z29" s="123">
        <v>74.5</v>
      </c>
      <c r="AA29" s="123">
        <v>65.5</v>
      </c>
      <c r="AB29" s="123">
        <v>10</v>
      </c>
      <c r="AC29" s="123" t="s">
        <v>687</v>
      </c>
      <c r="AD29" s="123">
        <f t="shared" si="6"/>
        <v>1.0069999999999999</v>
      </c>
      <c r="AE29" s="213"/>
      <c r="AF29" s="214">
        <f t="shared" si="3"/>
        <v>0</v>
      </c>
      <c r="AH29" s="122">
        <v>28</v>
      </c>
      <c r="AI29" s="123" t="s">
        <v>2905</v>
      </c>
      <c r="AJ29" s="123">
        <v>100</v>
      </c>
      <c r="AK29" s="123">
        <v>74.5</v>
      </c>
      <c r="AL29" s="123">
        <v>65.5</v>
      </c>
      <c r="AM29" s="123">
        <v>20</v>
      </c>
      <c r="AN29" s="123" t="s">
        <v>956</v>
      </c>
      <c r="AO29" s="123">
        <f t="shared" si="7"/>
        <v>6.2960000000000003</v>
      </c>
      <c r="AP29" s="213"/>
      <c r="AQ29" s="214">
        <f t="shared" si="4"/>
        <v>0</v>
      </c>
    </row>
    <row r="30" spans="1:43" ht="24.95" customHeight="1">
      <c r="A30" s="140">
        <v>29</v>
      </c>
      <c r="B30" s="141">
        <v>72</v>
      </c>
      <c r="C30" s="142">
        <v>40</v>
      </c>
      <c r="D30" s="142">
        <v>71.5</v>
      </c>
      <c r="E30" s="142">
        <v>205</v>
      </c>
      <c r="F30" s="142">
        <v>40</v>
      </c>
      <c r="G30" s="143" t="s">
        <v>1759</v>
      </c>
      <c r="H30" s="142">
        <f t="shared" si="0"/>
        <v>0.59599999999999997</v>
      </c>
      <c r="I30" s="186"/>
      <c r="J30" s="187">
        <f t="shared" si="1"/>
        <v>0</v>
      </c>
      <c r="L30" s="125">
        <v>29</v>
      </c>
      <c r="M30" s="126">
        <v>63</v>
      </c>
      <c r="N30" s="126">
        <v>40</v>
      </c>
      <c r="O30" s="126">
        <v>59.5</v>
      </c>
      <c r="P30" s="126">
        <v>135</v>
      </c>
      <c r="Q30" s="126">
        <v>40</v>
      </c>
      <c r="R30" s="126" t="s">
        <v>1817</v>
      </c>
      <c r="S30" s="126">
        <f t="shared" si="8"/>
        <v>0.32600000000000001</v>
      </c>
      <c r="T30" s="196"/>
      <c r="U30" s="201">
        <f t="shared" si="2"/>
        <v>0</v>
      </c>
      <c r="W30" s="122">
        <v>29</v>
      </c>
      <c r="X30" s="123" t="s">
        <v>2906</v>
      </c>
      <c r="Y30" s="123">
        <v>32</v>
      </c>
      <c r="Z30" s="123">
        <v>74.5</v>
      </c>
      <c r="AA30" s="123">
        <v>68.5</v>
      </c>
      <c r="AB30" s="123">
        <v>10</v>
      </c>
      <c r="AC30" s="123" t="s">
        <v>2043</v>
      </c>
      <c r="AD30" s="123">
        <f t="shared" si="6"/>
        <v>1.054</v>
      </c>
      <c r="AE30" s="213"/>
      <c r="AF30" s="214">
        <f t="shared" si="3"/>
        <v>0</v>
      </c>
      <c r="AH30" s="122">
        <v>29</v>
      </c>
      <c r="AI30" s="123" t="s">
        <v>2906</v>
      </c>
      <c r="AJ30" s="123">
        <v>100</v>
      </c>
      <c r="AK30" s="123">
        <v>74.5</v>
      </c>
      <c r="AL30" s="123">
        <v>68.5</v>
      </c>
      <c r="AM30" s="123">
        <v>20</v>
      </c>
      <c r="AN30" s="123" t="s">
        <v>2314</v>
      </c>
      <c r="AO30" s="123">
        <f t="shared" si="7"/>
        <v>6.585</v>
      </c>
      <c r="AP30" s="213"/>
      <c r="AQ30" s="214">
        <f t="shared" si="4"/>
        <v>0</v>
      </c>
    </row>
    <row r="31" spans="1:43" ht="24.95" customHeight="1">
      <c r="A31" s="144">
        <v>30</v>
      </c>
      <c r="B31" s="145">
        <v>75</v>
      </c>
      <c r="C31" s="146">
        <v>40</v>
      </c>
      <c r="D31" s="146">
        <v>74.5</v>
      </c>
      <c r="E31" s="146">
        <v>205</v>
      </c>
      <c r="F31" s="146">
        <v>40</v>
      </c>
      <c r="G31" s="147" t="s">
        <v>1760</v>
      </c>
      <c r="H31" s="146">
        <f t="shared" si="0"/>
        <v>0.621</v>
      </c>
      <c r="I31" s="186"/>
      <c r="J31" s="187">
        <f t="shared" si="1"/>
        <v>0</v>
      </c>
      <c r="L31" s="125">
        <v>30</v>
      </c>
      <c r="M31" s="126">
        <v>66</v>
      </c>
      <c r="N31" s="126">
        <v>40</v>
      </c>
      <c r="O31" s="126">
        <v>62.5</v>
      </c>
      <c r="P31" s="126">
        <v>135</v>
      </c>
      <c r="Q31" s="126">
        <v>40</v>
      </c>
      <c r="R31" s="126" t="s">
        <v>1818</v>
      </c>
      <c r="S31" s="126">
        <f t="shared" si="8"/>
        <v>0.34300000000000003</v>
      </c>
      <c r="T31" s="196"/>
      <c r="U31" s="201">
        <f t="shared" si="2"/>
        <v>0</v>
      </c>
      <c r="W31" s="122">
        <v>30</v>
      </c>
      <c r="X31" s="123" t="s">
        <v>2907</v>
      </c>
      <c r="Y31" s="123">
        <v>32</v>
      </c>
      <c r="Z31" s="123">
        <v>74.5</v>
      </c>
      <c r="AA31" s="123">
        <v>71.5</v>
      </c>
      <c r="AB31" s="123">
        <v>10</v>
      </c>
      <c r="AC31" s="123" t="s">
        <v>689</v>
      </c>
      <c r="AD31" s="123">
        <f t="shared" si="6"/>
        <v>1.1000000000000001</v>
      </c>
      <c r="AE31" s="213"/>
      <c r="AF31" s="214">
        <f t="shared" si="3"/>
        <v>0</v>
      </c>
      <c r="AH31" s="122">
        <v>30</v>
      </c>
      <c r="AI31" s="123" t="s">
        <v>2907</v>
      </c>
      <c r="AJ31" s="123">
        <v>100</v>
      </c>
      <c r="AK31" s="123">
        <v>74.5</v>
      </c>
      <c r="AL31" s="123">
        <v>71.5</v>
      </c>
      <c r="AM31" s="123">
        <v>20</v>
      </c>
      <c r="AN31" s="123" t="s">
        <v>959</v>
      </c>
      <c r="AO31" s="123">
        <f t="shared" si="7"/>
        <v>6.8730000000000002</v>
      </c>
      <c r="AP31" s="213"/>
      <c r="AQ31" s="214">
        <f t="shared" si="4"/>
        <v>0</v>
      </c>
    </row>
    <row r="32" spans="1:43" ht="24.95" customHeight="1">
      <c r="A32" s="144">
        <v>31</v>
      </c>
      <c r="B32" s="145">
        <v>78</v>
      </c>
      <c r="C32" s="146">
        <v>40</v>
      </c>
      <c r="D32" s="146">
        <v>77.5</v>
      </c>
      <c r="E32" s="146">
        <v>205</v>
      </c>
      <c r="F32" s="146">
        <v>40</v>
      </c>
      <c r="G32" s="147" t="s">
        <v>1761</v>
      </c>
      <c r="H32" s="146">
        <f t="shared" si="0"/>
        <v>0.64600000000000002</v>
      </c>
      <c r="I32" s="186"/>
      <c r="J32" s="187">
        <f t="shared" si="1"/>
        <v>0</v>
      </c>
      <c r="L32" s="125">
        <v>31</v>
      </c>
      <c r="M32" s="126">
        <v>69</v>
      </c>
      <c r="N32" s="126">
        <v>40</v>
      </c>
      <c r="O32" s="126">
        <v>65.5</v>
      </c>
      <c r="P32" s="126">
        <v>135</v>
      </c>
      <c r="Q32" s="126">
        <v>40</v>
      </c>
      <c r="R32" s="126" t="s">
        <v>1819</v>
      </c>
      <c r="S32" s="126">
        <f t="shared" si="8"/>
        <v>0.35899999999999999</v>
      </c>
      <c r="T32" s="196"/>
      <c r="U32" s="201">
        <f t="shared" si="2"/>
        <v>0</v>
      </c>
      <c r="W32" s="122">
        <v>31</v>
      </c>
      <c r="X32" s="123" t="s">
        <v>2908</v>
      </c>
      <c r="Y32" s="123">
        <v>32</v>
      </c>
      <c r="Z32" s="123">
        <v>77.5</v>
      </c>
      <c r="AA32" s="123">
        <v>29.5</v>
      </c>
      <c r="AB32" s="123">
        <v>10</v>
      </c>
      <c r="AC32" s="123" t="s">
        <v>692</v>
      </c>
      <c r="AD32" s="123">
        <f t="shared" si="6"/>
        <v>0.47199999999999998</v>
      </c>
      <c r="AE32" s="213"/>
      <c r="AF32" s="214">
        <f t="shared" si="3"/>
        <v>0</v>
      </c>
      <c r="AH32" s="122">
        <v>31</v>
      </c>
      <c r="AI32" s="123" t="s">
        <v>2908</v>
      </c>
      <c r="AJ32" s="123">
        <v>100</v>
      </c>
      <c r="AK32" s="123">
        <v>77.5</v>
      </c>
      <c r="AL32" s="123">
        <v>29.5</v>
      </c>
      <c r="AM32" s="123">
        <v>20</v>
      </c>
      <c r="AN32" s="123" t="s">
        <v>963</v>
      </c>
      <c r="AO32" s="123">
        <f t="shared" si="7"/>
        <v>2.95</v>
      </c>
      <c r="AP32" s="213"/>
      <c r="AQ32" s="214">
        <f t="shared" si="4"/>
        <v>0</v>
      </c>
    </row>
    <row r="33" spans="1:43" ht="24.95" customHeight="1">
      <c r="A33" s="144">
        <v>32</v>
      </c>
      <c r="B33" s="145">
        <v>80</v>
      </c>
      <c r="C33" s="146">
        <v>40</v>
      </c>
      <c r="D33" s="146">
        <v>79.5</v>
      </c>
      <c r="E33" s="146">
        <v>205</v>
      </c>
      <c r="F33" s="146">
        <v>40</v>
      </c>
      <c r="G33" s="147" t="s">
        <v>1762</v>
      </c>
      <c r="H33" s="146">
        <f t="shared" si="0"/>
        <v>0.66200000000000003</v>
      </c>
      <c r="I33" s="186"/>
      <c r="J33" s="187">
        <f t="shared" si="1"/>
        <v>0</v>
      </c>
      <c r="L33" s="125">
        <v>32</v>
      </c>
      <c r="M33" s="126">
        <v>72</v>
      </c>
      <c r="N33" s="126">
        <v>40</v>
      </c>
      <c r="O33" s="126">
        <v>68.5</v>
      </c>
      <c r="P33" s="126">
        <v>135</v>
      </c>
      <c r="Q33" s="126">
        <v>40</v>
      </c>
      <c r="R33" s="126" t="s">
        <v>1820</v>
      </c>
      <c r="S33" s="126">
        <f t="shared" si="8"/>
        <v>0.376</v>
      </c>
      <c r="T33" s="196"/>
      <c r="U33" s="201">
        <f t="shared" si="2"/>
        <v>0</v>
      </c>
      <c r="W33" s="122">
        <v>32</v>
      </c>
      <c r="X33" s="123" t="s">
        <v>2909</v>
      </c>
      <c r="Y33" s="123">
        <v>32</v>
      </c>
      <c r="Z33" s="123">
        <v>77.5</v>
      </c>
      <c r="AA33" s="123">
        <v>32.5</v>
      </c>
      <c r="AB33" s="123">
        <v>10</v>
      </c>
      <c r="AC33" s="123" t="s">
        <v>2044</v>
      </c>
      <c r="AD33" s="123">
        <f t="shared" si="6"/>
        <v>0.52</v>
      </c>
      <c r="AE33" s="213"/>
      <c r="AF33" s="214">
        <f t="shared" si="3"/>
        <v>0</v>
      </c>
      <c r="AH33" s="122">
        <v>32</v>
      </c>
      <c r="AI33" s="123" t="s">
        <v>2909</v>
      </c>
      <c r="AJ33" s="123">
        <v>100</v>
      </c>
      <c r="AK33" s="123">
        <v>77.5</v>
      </c>
      <c r="AL33" s="123">
        <v>32.5</v>
      </c>
      <c r="AM33" s="123">
        <v>20</v>
      </c>
      <c r="AN33" s="123" t="s">
        <v>2315</v>
      </c>
      <c r="AO33" s="123">
        <f t="shared" si="7"/>
        <v>3.25</v>
      </c>
      <c r="AP33" s="213"/>
      <c r="AQ33" s="214">
        <f t="shared" si="4"/>
        <v>0</v>
      </c>
    </row>
    <row r="34" spans="1:43" ht="24.95" customHeight="1">
      <c r="A34" s="144">
        <v>33</v>
      </c>
      <c r="B34" s="145">
        <v>84</v>
      </c>
      <c r="C34" s="146">
        <v>40</v>
      </c>
      <c r="D34" s="146">
        <v>83.5</v>
      </c>
      <c r="E34" s="146">
        <v>205</v>
      </c>
      <c r="F34" s="146">
        <v>40</v>
      </c>
      <c r="G34" s="147" t="s">
        <v>1763</v>
      </c>
      <c r="H34" s="146">
        <f t="shared" ref="H34:H65" si="9">ROUND(C34*D34*0.0254*E34/1000*F34/1000,3)</f>
        <v>0.69599999999999995</v>
      </c>
      <c r="I34" s="186"/>
      <c r="J34" s="187">
        <f t="shared" ref="J34:J65" si="10">+H34*I34</f>
        <v>0</v>
      </c>
      <c r="L34" s="125">
        <v>33</v>
      </c>
      <c r="M34" s="126">
        <v>13</v>
      </c>
      <c r="N34" s="126">
        <v>40</v>
      </c>
      <c r="O34" s="126">
        <v>9.5</v>
      </c>
      <c r="P34" s="126">
        <v>135</v>
      </c>
      <c r="Q34" s="126">
        <v>40</v>
      </c>
      <c r="R34" s="126" t="s">
        <v>1821</v>
      </c>
      <c r="S34" s="126">
        <f t="shared" si="8"/>
        <v>5.1999999999999998E-2</v>
      </c>
      <c r="T34" s="196"/>
      <c r="U34" s="201">
        <f t="shared" si="2"/>
        <v>0</v>
      </c>
      <c r="W34" s="122">
        <v>33</v>
      </c>
      <c r="X34" s="123" t="s">
        <v>2910</v>
      </c>
      <c r="Y34" s="123">
        <v>32</v>
      </c>
      <c r="Z34" s="123">
        <v>77.5</v>
      </c>
      <c r="AA34" s="123">
        <v>35.5</v>
      </c>
      <c r="AB34" s="123">
        <v>10</v>
      </c>
      <c r="AC34" s="123" t="s">
        <v>694</v>
      </c>
      <c r="AD34" s="123">
        <f t="shared" si="6"/>
        <v>0.56799999999999995</v>
      </c>
      <c r="AE34" s="213"/>
      <c r="AF34" s="214">
        <f t="shared" si="3"/>
        <v>0</v>
      </c>
      <c r="AH34" s="122">
        <v>33</v>
      </c>
      <c r="AI34" s="123" t="s">
        <v>2910</v>
      </c>
      <c r="AJ34" s="123">
        <v>100</v>
      </c>
      <c r="AK34" s="123">
        <v>77.5</v>
      </c>
      <c r="AL34" s="123">
        <v>35.5</v>
      </c>
      <c r="AM34" s="123">
        <v>20</v>
      </c>
      <c r="AN34" s="123" t="s">
        <v>966</v>
      </c>
      <c r="AO34" s="123">
        <f t="shared" si="7"/>
        <v>3.55</v>
      </c>
      <c r="AP34" s="213"/>
      <c r="AQ34" s="214">
        <f t="shared" ref="AQ34:AQ65" si="11">+AO34*AP34</f>
        <v>0</v>
      </c>
    </row>
    <row r="35" spans="1:43" ht="24.95" customHeight="1">
      <c r="A35" s="144">
        <v>34</v>
      </c>
      <c r="B35" s="145">
        <v>13</v>
      </c>
      <c r="C35" s="146">
        <v>40</v>
      </c>
      <c r="D35" s="146">
        <v>12.5</v>
      </c>
      <c r="E35" s="146">
        <v>205</v>
      </c>
      <c r="F35" s="146">
        <v>40</v>
      </c>
      <c r="G35" s="147" t="s">
        <v>1764</v>
      </c>
      <c r="H35" s="146">
        <f t="shared" si="9"/>
        <v>0.104</v>
      </c>
      <c r="I35" s="186"/>
      <c r="J35" s="187">
        <f t="shared" si="10"/>
        <v>0</v>
      </c>
      <c r="L35" s="166">
        <v>34</v>
      </c>
      <c r="M35" s="167">
        <v>18</v>
      </c>
      <c r="N35" s="167">
        <v>40</v>
      </c>
      <c r="O35" s="167">
        <v>14.5</v>
      </c>
      <c r="P35" s="167">
        <v>135</v>
      </c>
      <c r="Q35" s="167">
        <v>40</v>
      </c>
      <c r="R35" s="167" t="s">
        <v>1822</v>
      </c>
      <c r="S35" s="167">
        <f t="shared" si="8"/>
        <v>0.08</v>
      </c>
      <c r="T35" s="196"/>
      <c r="U35" s="202">
        <f t="shared" si="2"/>
        <v>0</v>
      </c>
      <c r="W35" s="122">
        <v>34</v>
      </c>
      <c r="X35" s="123" t="s">
        <v>2911</v>
      </c>
      <c r="Y35" s="123">
        <v>32</v>
      </c>
      <c r="Z35" s="123">
        <v>77.5</v>
      </c>
      <c r="AA35" s="123">
        <v>38.5</v>
      </c>
      <c r="AB35" s="123">
        <v>10</v>
      </c>
      <c r="AC35" s="123" t="s">
        <v>2045</v>
      </c>
      <c r="AD35" s="123">
        <f t="shared" si="6"/>
        <v>0.61599999999999999</v>
      </c>
      <c r="AE35" s="213"/>
      <c r="AF35" s="214">
        <f t="shared" si="3"/>
        <v>0</v>
      </c>
      <c r="AH35" s="122">
        <v>34</v>
      </c>
      <c r="AI35" s="123" t="s">
        <v>2911</v>
      </c>
      <c r="AJ35" s="123">
        <v>100</v>
      </c>
      <c r="AK35" s="123">
        <v>77.5</v>
      </c>
      <c r="AL35" s="123">
        <v>38.5</v>
      </c>
      <c r="AM35" s="123">
        <v>20</v>
      </c>
      <c r="AN35" s="123" t="s">
        <v>2316</v>
      </c>
      <c r="AO35" s="123">
        <f t="shared" si="7"/>
        <v>3.85</v>
      </c>
      <c r="AP35" s="213"/>
      <c r="AQ35" s="214">
        <f t="shared" si="11"/>
        <v>0</v>
      </c>
    </row>
    <row r="36" spans="1:43" ht="24.95" customHeight="1">
      <c r="A36" s="148">
        <v>35</v>
      </c>
      <c r="B36" s="149">
        <v>20</v>
      </c>
      <c r="C36" s="150">
        <v>40</v>
      </c>
      <c r="D36" s="150">
        <v>19.5</v>
      </c>
      <c r="E36" s="150">
        <v>205</v>
      </c>
      <c r="F36" s="150">
        <v>40</v>
      </c>
      <c r="G36" s="151" t="s">
        <v>1765</v>
      </c>
      <c r="H36" s="150">
        <f t="shared" si="9"/>
        <v>0.16200000000000001</v>
      </c>
      <c r="I36" s="186"/>
      <c r="J36" s="187">
        <f t="shared" si="10"/>
        <v>0</v>
      </c>
      <c r="L36" s="169">
        <v>35</v>
      </c>
      <c r="M36" s="170">
        <v>30</v>
      </c>
      <c r="N36" s="171">
        <v>40</v>
      </c>
      <c r="O36" s="171">
        <v>26.5</v>
      </c>
      <c r="P36" s="171">
        <v>155</v>
      </c>
      <c r="Q36" s="171">
        <v>40</v>
      </c>
      <c r="R36" s="172" t="s">
        <v>1823</v>
      </c>
      <c r="S36" s="171">
        <f t="shared" si="8"/>
        <v>0.16700000000000001</v>
      </c>
      <c r="T36" s="196"/>
      <c r="U36" s="203">
        <f t="shared" si="2"/>
        <v>0</v>
      </c>
      <c r="W36" s="122">
        <v>35</v>
      </c>
      <c r="X36" s="123" t="s">
        <v>2912</v>
      </c>
      <c r="Y36" s="123">
        <v>32</v>
      </c>
      <c r="Z36" s="123">
        <v>77.5</v>
      </c>
      <c r="AA36" s="123">
        <v>41.5</v>
      </c>
      <c r="AB36" s="123">
        <v>10</v>
      </c>
      <c r="AC36" s="123" t="s">
        <v>696</v>
      </c>
      <c r="AD36" s="123">
        <f t="shared" si="6"/>
        <v>0.66400000000000003</v>
      </c>
      <c r="AE36" s="213"/>
      <c r="AF36" s="214">
        <f t="shared" si="3"/>
        <v>0</v>
      </c>
      <c r="AH36" s="122">
        <v>35</v>
      </c>
      <c r="AI36" s="123" t="s">
        <v>2912</v>
      </c>
      <c r="AJ36" s="123">
        <v>100</v>
      </c>
      <c r="AK36" s="123">
        <v>77.5</v>
      </c>
      <c r="AL36" s="123">
        <v>41.5</v>
      </c>
      <c r="AM36" s="123">
        <v>20</v>
      </c>
      <c r="AN36" s="123" t="s">
        <v>969</v>
      </c>
      <c r="AO36" s="123">
        <f t="shared" si="7"/>
        <v>4.1500000000000004</v>
      </c>
      <c r="AP36" s="213"/>
      <c r="AQ36" s="214">
        <f t="shared" si="11"/>
        <v>0</v>
      </c>
    </row>
    <row r="37" spans="1:43" ht="24.95" customHeight="1">
      <c r="A37" s="152">
        <v>36</v>
      </c>
      <c r="B37" s="153">
        <v>72</v>
      </c>
      <c r="C37" s="154">
        <v>40</v>
      </c>
      <c r="D37" s="154">
        <v>71.5</v>
      </c>
      <c r="E37" s="154">
        <v>115</v>
      </c>
      <c r="F37" s="154">
        <v>75</v>
      </c>
      <c r="G37" s="155" t="s">
        <v>1431</v>
      </c>
      <c r="H37" s="154">
        <f t="shared" si="9"/>
        <v>0.627</v>
      </c>
      <c r="I37" s="186"/>
      <c r="J37" s="187">
        <f t="shared" si="10"/>
        <v>0</v>
      </c>
      <c r="L37" s="128">
        <v>36</v>
      </c>
      <c r="M37" s="129">
        <v>33</v>
      </c>
      <c r="N37" s="130">
        <v>40</v>
      </c>
      <c r="O37" s="130">
        <v>29.5</v>
      </c>
      <c r="P37" s="130">
        <v>155</v>
      </c>
      <c r="Q37" s="130">
        <v>40</v>
      </c>
      <c r="R37" s="204" t="s">
        <v>2913</v>
      </c>
      <c r="S37" s="130">
        <f t="shared" ref="S37:S53" si="12">ROUND(N37*O37*0.0254*P37/1000*Q37/1000,3)</f>
        <v>0.186</v>
      </c>
      <c r="T37" s="196"/>
      <c r="U37" s="205">
        <f t="shared" si="2"/>
        <v>0</v>
      </c>
      <c r="W37" s="122">
        <v>36</v>
      </c>
      <c r="X37" s="123" t="s">
        <v>2914</v>
      </c>
      <c r="Y37" s="123">
        <v>32</v>
      </c>
      <c r="Z37" s="123">
        <v>77.5</v>
      </c>
      <c r="AA37" s="123">
        <v>44.5</v>
      </c>
      <c r="AB37" s="123">
        <v>10</v>
      </c>
      <c r="AC37" s="123" t="s">
        <v>2046</v>
      </c>
      <c r="AD37" s="123">
        <f t="shared" si="6"/>
        <v>0.71199999999999997</v>
      </c>
      <c r="AE37" s="213"/>
      <c r="AF37" s="214">
        <f t="shared" si="3"/>
        <v>0</v>
      </c>
      <c r="AH37" s="122">
        <v>36</v>
      </c>
      <c r="AI37" s="123" t="s">
        <v>2914</v>
      </c>
      <c r="AJ37" s="123">
        <v>100</v>
      </c>
      <c r="AK37" s="123">
        <v>77.5</v>
      </c>
      <c r="AL37" s="123">
        <v>44.5</v>
      </c>
      <c r="AM37" s="123">
        <v>20</v>
      </c>
      <c r="AN37" s="123" t="s">
        <v>2317</v>
      </c>
      <c r="AO37" s="123">
        <f t="shared" si="7"/>
        <v>4.45</v>
      </c>
      <c r="AP37" s="213"/>
      <c r="AQ37" s="214">
        <f t="shared" si="11"/>
        <v>0</v>
      </c>
    </row>
    <row r="38" spans="1:43" ht="24.95" customHeight="1">
      <c r="A38" s="121">
        <v>37</v>
      </c>
      <c r="B38" s="122">
        <v>75</v>
      </c>
      <c r="C38" s="123">
        <v>40</v>
      </c>
      <c r="D38" s="123">
        <v>74.5</v>
      </c>
      <c r="E38" s="123">
        <v>115</v>
      </c>
      <c r="F38" s="123">
        <v>75</v>
      </c>
      <c r="G38" s="156" t="s">
        <v>1432</v>
      </c>
      <c r="H38" s="123">
        <f t="shared" si="9"/>
        <v>0.65300000000000002</v>
      </c>
      <c r="I38" s="186"/>
      <c r="J38" s="187">
        <f t="shared" si="10"/>
        <v>0</v>
      </c>
      <c r="L38" s="128">
        <v>37</v>
      </c>
      <c r="M38" s="129">
        <v>36</v>
      </c>
      <c r="N38" s="130">
        <v>40</v>
      </c>
      <c r="O38" s="130">
        <v>32.5</v>
      </c>
      <c r="P38" s="130">
        <v>155</v>
      </c>
      <c r="Q38" s="130">
        <v>40</v>
      </c>
      <c r="R38" s="204" t="s">
        <v>2915</v>
      </c>
      <c r="S38" s="130">
        <f t="shared" si="12"/>
        <v>0.20499999999999999</v>
      </c>
      <c r="T38" s="196"/>
      <c r="U38" s="205">
        <f t="shared" si="2"/>
        <v>0</v>
      </c>
      <c r="W38" s="122">
        <v>37</v>
      </c>
      <c r="X38" s="123" t="s">
        <v>2916</v>
      </c>
      <c r="Y38" s="123">
        <v>32</v>
      </c>
      <c r="Z38" s="123">
        <v>77.5</v>
      </c>
      <c r="AA38" s="123">
        <v>47.5</v>
      </c>
      <c r="AB38" s="123">
        <v>10</v>
      </c>
      <c r="AC38" s="123" t="s">
        <v>698</v>
      </c>
      <c r="AD38" s="123">
        <f t="shared" si="6"/>
        <v>0.76</v>
      </c>
      <c r="AE38" s="213"/>
      <c r="AF38" s="214">
        <f t="shared" si="3"/>
        <v>0</v>
      </c>
      <c r="AH38" s="122">
        <v>37</v>
      </c>
      <c r="AI38" s="123" t="s">
        <v>2916</v>
      </c>
      <c r="AJ38" s="123">
        <v>100</v>
      </c>
      <c r="AK38" s="123">
        <v>77.5</v>
      </c>
      <c r="AL38" s="123">
        <v>47.5</v>
      </c>
      <c r="AM38" s="123">
        <v>20</v>
      </c>
      <c r="AN38" s="123" t="s">
        <v>972</v>
      </c>
      <c r="AO38" s="123">
        <f t="shared" si="7"/>
        <v>4.75</v>
      </c>
      <c r="AP38" s="213"/>
      <c r="AQ38" s="214">
        <f t="shared" si="11"/>
        <v>0</v>
      </c>
    </row>
    <row r="39" spans="1:43" ht="24.95" customHeight="1">
      <c r="A39" s="121">
        <v>38</v>
      </c>
      <c r="B39" s="122">
        <v>78</v>
      </c>
      <c r="C39" s="123">
        <v>40</v>
      </c>
      <c r="D39" s="123">
        <v>77.5</v>
      </c>
      <c r="E39" s="123">
        <v>115</v>
      </c>
      <c r="F39" s="123">
        <v>75</v>
      </c>
      <c r="G39" s="156" t="s">
        <v>1433</v>
      </c>
      <c r="H39" s="123">
        <f t="shared" si="9"/>
        <v>0.67900000000000005</v>
      </c>
      <c r="I39" s="186"/>
      <c r="J39" s="187">
        <f t="shared" si="10"/>
        <v>0</v>
      </c>
      <c r="L39" s="128">
        <v>38</v>
      </c>
      <c r="M39" s="129">
        <v>39</v>
      </c>
      <c r="N39" s="130">
        <v>40</v>
      </c>
      <c r="O39" s="130">
        <v>35.5</v>
      </c>
      <c r="P39" s="130">
        <v>155</v>
      </c>
      <c r="Q39" s="130">
        <v>40</v>
      </c>
      <c r="R39" s="204" t="s">
        <v>1824</v>
      </c>
      <c r="S39" s="130">
        <f t="shared" si="12"/>
        <v>0.224</v>
      </c>
      <c r="T39" s="196"/>
      <c r="U39" s="205">
        <f t="shared" si="2"/>
        <v>0</v>
      </c>
      <c r="W39" s="122">
        <v>38</v>
      </c>
      <c r="X39" s="123" t="s">
        <v>2917</v>
      </c>
      <c r="Y39" s="123">
        <v>32</v>
      </c>
      <c r="Z39" s="123">
        <v>77.5</v>
      </c>
      <c r="AA39" s="123">
        <v>50.5</v>
      </c>
      <c r="AB39" s="123">
        <v>10</v>
      </c>
      <c r="AC39" s="123" t="s">
        <v>2047</v>
      </c>
      <c r="AD39" s="123">
        <f t="shared" si="6"/>
        <v>0.80800000000000005</v>
      </c>
      <c r="AE39" s="213"/>
      <c r="AF39" s="214">
        <f t="shared" si="3"/>
        <v>0</v>
      </c>
      <c r="AH39" s="122">
        <v>38</v>
      </c>
      <c r="AI39" s="123" t="s">
        <v>2917</v>
      </c>
      <c r="AJ39" s="123">
        <v>100</v>
      </c>
      <c r="AK39" s="123">
        <v>77.5</v>
      </c>
      <c r="AL39" s="123">
        <v>50.5</v>
      </c>
      <c r="AM39" s="123">
        <v>20</v>
      </c>
      <c r="AN39" s="123" t="s">
        <v>2318</v>
      </c>
      <c r="AO39" s="123">
        <f t="shared" si="7"/>
        <v>5.05</v>
      </c>
      <c r="AP39" s="213"/>
      <c r="AQ39" s="214">
        <f t="shared" si="11"/>
        <v>0</v>
      </c>
    </row>
    <row r="40" spans="1:43" ht="24.95" customHeight="1">
      <c r="A40" s="121">
        <v>39</v>
      </c>
      <c r="B40" s="122">
        <v>80</v>
      </c>
      <c r="C40" s="123">
        <v>40</v>
      </c>
      <c r="D40" s="123">
        <v>79.5</v>
      </c>
      <c r="E40" s="123">
        <v>115</v>
      </c>
      <c r="F40" s="123">
        <v>75</v>
      </c>
      <c r="G40" s="156" t="s">
        <v>1434</v>
      </c>
      <c r="H40" s="123">
        <f t="shared" si="9"/>
        <v>0.69699999999999995</v>
      </c>
      <c r="I40" s="186"/>
      <c r="J40" s="187">
        <f t="shared" si="10"/>
        <v>0</v>
      </c>
      <c r="L40" s="128">
        <v>39</v>
      </c>
      <c r="M40" s="129">
        <v>42</v>
      </c>
      <c r="N40" s="130">
        <v>40</v>
      </c>
      <c r="O40" s="130">
        <v>38.5</v>
      </c>
      <c r="P40" s="130">
        <v>155</v>
      </c>
      <c r="Q40" s="130">
        <v>40</v>
      </c>
      <c r="R40" s="204" t="s">
        <v>1825</v>
      </c>
      <c r="S40" s="130">
        <f t="shared" si="12"/>
        <v>0.24299999999999999</v>
      </c>
      <c r="T40" s="196"/>
      <c r="U40" s="205">
        <f t="shared" si="2"/>
        <v>0</v>
      </c>
      <c r="W40" s="122">
        <v>39</v>
      </c>
      <c r="X40" s="123" t="s">
        <v>2918</v>
      </c>
      <c r="Y40" s="123">
        <v>32</v>
      </c>
      <c r="Z40" s="123">
        <v>77.5</v>
      </c>
      <c r="AA40" s="123">
        <v>53.5</v>
      </c>
      <c r="AB40" s="123">
        <v>10</v>
      </c>
      <c r="AC40" s="123" t="s">
        <v>2048</v>
      </c>
      <c r="AD40" s="123">
        <f t="shared" si="6"/>
        <v>0.85599999999999998</v>
      </c>
      <c r="AE40" s="213"/>
      <c r="AF40" s="214">
        <f t="shared" si="3"/>
        <v>0</v>
      </c>
      <c r="AH40" s="122">
        <v>39</v>
      </c>
      <c r="AI40" s="123" t="s">
        <v>2918</v>
      </c>
      <c r="AJ40" s="123">
        <v>100</v>
      </c>
      <c r="AK40" s="123">
        <v>77.5</v>
      </c>
      <c r="AL40" s="123">
        <v>53.5</v>
      </c>
      <c r="AM40" s="123">
        <v>20</v>
      </c>
      <c r="AN40" s="123" t="s">
        <v>2319</v>
      </c>
      <c r="AO40" s="123">
        <f t="shared" si="7"/>
        <v>5.35</v>
      </c>
      <c r="AP40" s="213"/>
      <c r="AQ40" s="214">
        <f t="shared" si="11"/>
        <v>0</v>
      </c>
    </row>
    <row r="41" spans="1:43" ht="24.95" customHeight="1">
      <c r="A41" s="121">
        <v>40</v>
      </c>
      <c r="B41" s="122">
        <v>84</v>
      </c>
      <c r="C41" s="123">
        <v>40</v>
      </c>
      <c r="D41" s="123">
        <v>83.5</v>
      </c>
      <c r="E41" s="123">
        <v>115</v>
      </c>
      <c r="F41" s="123">
        <v>75</v>
      </c>
      <c r="G41" s="156" t="s">
        <v>1435</v>
      </c>
      <c r="H41" s="123">
        <f t="shared" si="9"/>
        <v>0.73199999999999998</v>
      </c>
      <c r="I41" s="186"/>
      <c r="J41" s="187">
        <f t="shared" si="10"/>
        <v>0</v>
      </c>
      <c r="L41" s="128">
        <v>40</v>
      </c>
      <c r="M41" s="129">
        <v>45</v>
      </c>
      <c r="N41" s="130">
        <v>40</v>
      </c>
      <c r="O41" s="130">
        <v>41.5</v>
      </c>
      <c r="P41" s="130">
        <v>155</v>
      </c>
      <c r="Q41" s="130">
        <v>40</v>
      </c>
      <c r="R41" s="204" t="s">
        <v>1826</v>
      </c>
      <c r="S41" s="130">
        <f t="shared" si="12"/>
        <v>0.26100000000000001</v>
      </c>
      <c r="T41" s="196"/>
      <c r="U41" s="205">
        <f t="shared" si="2"/>
        <v>0</v>
      </c>
      <c r="W41" s="122">
        <v>40</v>
      </c>
      <c r="X41" s="123" t="s">
        <v>2919</v>
      </c>
      <c r="Y41" s="123">
        <v>32</v>
      </c>
      <c r="Z41" s="123">
        <v>77.5</v>
      </c>
      <c r="AA41" s="123">
        <v>56.5</v>
      </c>
      <c r="AB41" s="123">
        <v>10</v>
      </c>
      <c r="AC41" s="123" t="s">
        <v>2049</v>
      </c>
      <c r="AD41" s="123">
        <f t="shared" si="6"/>
        <v>0.90400000000000003</v>
      </c>
      <c r="AE41" s="213"/>
      <c r="AF41" s="214">
        <f t="shared" si="3"/>
        <v>0</v>
      </c>
      <c r="AH41" s="122">
        <v>40</v>
      </c>
      <c r="AI41" s="123" t="s">
        <v>2919</v>
      </c>
      <c r="AJ41" s="123">
        <v>100</v>
      </c>
      <c r="AK41" s="123">
        <v>77.5</v>
      </c>
      <c r="AL41" s="123">
        <v>56.5</v>
      </c>
      <c r="AM41" s="123">
        <v>20</v>
      </c>
      <c r="AN41" s="123" t="s">
        <v>2320</v>
      </c>
      <c r="AO41" s="123">
        <f t="shared" si="7"/>
        <v>5.65</v>
      </c>
      <c r="AP41" s="213"/>
      <c r="AQ41" s="214">
        <f t="shared" si="11"/>
        <v>0</v>
      </c>
    </row>
    <row r="42" spans="1:43" ht="24.95" customHeight="1">
      <c r="A42" s="121">
        <v>41</v>
      </c>
      <c r="B42" s="122">
        <v>13</v>
      </c>
      <c r="C42" s="123">
        <v>40</v>
      </c>
      <c r="D42" s="123">
        <v>12.5</v>
      </c>
      <c r="E42" s="123">
        <v>115</v>
      </c>
      <c r="F42" s="123">
        <v>75</v>
      </c>
      <c r="G42" s="156" t="s">
        <v>1475</v>
      </c>
      <c r="H42" s="123">
        <f t="shared" si="9"/>
        <v>0.11</v>
      </c>
      <c r="I42" s="186"/>
      <c r="J42" s="187">
        <f t="shared" si="10"/>
        <v>0</v>
      </c>
      <c r="L42" s="128">
        <v>41</v>
      </c>
      <c r="M42" s="129">
        <v>48</v>
      </c>
      <c r="N42" s="130">
        <v>40</v>
      </c>
      <c r="O42" s="130">
        <v>44.5</v>
      </c>
      <c r="P42" s="130">
        <v>155</v>
      </c>
      <c r="Q42" s="130">
        <v>40</v>
      </c>
      <c r="R42" s="204" t="s">
        <v>1827</v>
      </c>
      <c r="S42" s="130">
        <f t="shared" si="12"/>
        <v>0.28000000000000003</v>
      </c>
      <c r="T42" s="196"/>
      <c r="U42" s="205">
        <f t="shared" si="2"/>
        <v>0</v>
      </c>
      <c r="W42" s="122">
        <v>41</v>
      </c>
      <c r="X42" s="123" t="s">
        <v>2920</v>
      </c>
      <c r="Y42" s="123">
        <v>32</v>
      </c>
      <c r="Z42" s="123">
        <v>77.5</v>
      </c>
      <c r="AA42" s="123">
        <v>59.5</v>
      </c>
      <c r="AB42" s="123">
        <v>10</v>
      </c>
      <c r="AC42" s="123" t="s">
        <v>700</v>
      </c>
      <c r="AD42" s="123">
        <f t="shared" si="6"/>
        <v>0.95199999999999996</v>
      </c>
      <c r="AE42" s="213"/>
      <c r="AF42" s="214">
        <f t="shared" si="3"/>
        <v>0</v>
      </c>
      <c r="AH42" s="122">
        <v>41</v>
      </c>
      <c r="AI42" s="123" t="s">
        <v>2920</v>
      </c>
      <c r="AJ42" s="123">
        <v>100</v>
      </c>
      <c r="AK42" s="123">
        <v>77.5</v>
      </c>
      <c r="AL42" s="123">
        <v>59.5</v>
      </c>
      <c r="AM42" s="123">
        <v>20</v>
      </c>
      <c r="AN42" s="123" t="s">
        <v>975</v>
      </c>
      <c r="AO42" s="123">
        <f t="shared" si="7"/>
        <v>5.95</v>
      </c>
      <c r="AP42" s="213"/>
      <c r="AQ42" s="214">
        <f t="shared" si="11"/>
        <v>0</v>
      </c>
    </row>
    <row r="43" spans="1:43" ht="24.95" customHeight="1">
      <c r="A43" s="157">
        <v>42</v>
      </c>
      <c r="B43" s="158">
        <v>20</v>
      </c>
      <c r="C43" s="159">
        <v>40</v>
      </c>
      <c r="D43" s="159">
        <v>19.5</v>
      </c>
      <c r="E43" s="159">
        <v>115</v>
      </c>
      <c r="F43" s="159">
        <v>75</v>
      </c>
      <c r="G43" s="160" t="s">
        <v>1766</v>
      </c>
      <c r="H43" s="159">
        <f t="shared" si="9"/>
        <v>0.17100000000000001</v>
      </c>
      <c r="I43" s="186"/>
      <c r="J43" s="187">
        <f t="shared" si="10"/>
        <v>0</v>
      </c>
      <c r="L43" s="128">
        <v>42</v>
      </c>
      <c r="M43" s="128">
        <v>51</v>
      </c>
      <c r="N43" s="129">
        <v>40</v>
      </c>
      <c r="O43" s="130">
        <v>47.5</v>
      </c>
      <c r="P43" s="130">
        <v>155</v>
      </c>
      <c r="Q43" s="130">
        <v>40</v>
      </c>
      <c r="R43" s="204" t="s">
        <v>1828</v>
      </c>
      <c r="S43" s="130">
        <f t="shared" si="12"/>
        <v>0.29899999999999999</v>
      </c>
      <c r="T43" s="196"/>
      <c r="U43" s="205">
        <f t="shared" si="2"/>
        <v>0</v>
      </c>
      <c r="W43" s="122">
        <v>42</v>
      </c>
      <c r="X43" s="123" t="s">
        <v>2921</v>
      </c>
      <c r="Y43" s="123">
        <v>32</v>
      </c>
      <c r="Z43" s="123">
        <v>77.5</v>
      </c>
      <c r="AA43" s="123">
        <v>62.5</v>
      </c>
      <c r="AB43" s="123">
        <v>10</v>
      </c>
      <c r="AC43" s="123" t="s">
        <v>2050</v>
      </c>
      <c r="AD43" s="123">
        <f t="shared" si="6"/>
        <v>1</v>
      </c>
      <c r="AE43" s="213"/>
      <c r="AF43" s="214">
        <f t="shared" si="3"/>
        <v>0</v>
      </c>
      <c r="AH43" s="122">
        <v>42</v>
      </c>
      <c r="AI43" s="123" t="s">
        <v>2921</v>
      </c>
      <c r="AJ43" s="123">
        <v>100</v>
      </c>
      <c r="AK43" s="123">
        <v>77.5</v>
      </c>
      <c r="AL43" s="123">
        <v>62.5</v>
      </c>
      <c r="AM43" s="123">
        <v>20</v>
      </c>
      <c r="AN43" s="123" t="s">
        <v>2321</v>
      </c>
      <c r="AO43" s="123">
        <f t="shared" si="7"/>
        <v>6.25</v>
      </c>
      <c r="AP43" s="213"/>
      <c r="AQ43" s="214">
        <f t="shared" si="11"/>
        <v>0</v>
      </c>
    </row>
    <row r="44" spans="1:43" ht="24.95" customHeight="1">
      <c r="A44" s="161">
        <v>43</v>
      </c>
      <c r="B44" s="162">
        <v>72</v>
      </c>
      <c r="C44" s="163">
        <v>40</v>
      </c>
      <c r="D44" s="163">
        <v>71.5</v>
      </c>
      <c r="E44" s="163">
        <v>135</v>
      </c>
      <c r="F44" s="163">
        <v>75</v>
      </c>
      <c r="G44" s="164" t="s">
        <v>1446</v>
      </c>
      <c r="H44" s="163">
        <f t="shared" si="9"/>
        <v>0.73599999999999999</v>
      </c>
      <c r="I44" s="186"/>
      <c r="J44" s="187">
        <f t="shared" si="10"/>
        <v>0</v>
      </c>
      <c r="L44" s="128">
        <v>43</v>
      </c>
      <c r="M44" s="128">
        <v>54</v>
      </c>
      <c r="N44" s="129">
        <v>40</v>
      </c>
      <c r="O44" s="130">
        <v>50.5</v>
      </c>
      <c r="P44" s="130">
        <v>155</v>
      </c>
      <c r="Q44" s="130">
        <v>40</v>
      </c>
      <c r="R44" s="204" t="s">
        <v>1829</v>
      </c>
      <c r="S44" s="130">
        <f t="shared" si="12"/>
        <v>0.318</v>
      </c>
      <c r="T44" s="196"/>
      <c r="U44" s="205">
        <f t="shared" si="2"/>
        <v>0</v>
      </c>
      <c r="W44" s="122">
        <v>43</v>
      </c>
      <c r="X44" s="123" t="s">
        <v>2922</v>
      </c>
      <c r="Y44" s="123">
        <v>32</v>
      </c>
      <c r="Z44" s="123">
        <v>77.5</v>
      </c>
      <c r="AA44" s="123">
        <v>65.5</v>
      </c>
      <c r="AB44" s="123">
        <v>10</v>
      </c>
      <c r="AC44" s="123" t="s">
        <v>702</v>
      </c>
      <c r="AD44" s="123">
        <f t="shared" si="6"/>
        <v>1.048</v>
      </c>
      <c r="AE44" s="213"/>
      <c r="AF44" s="214">
        <f t="shared" si="3"/>
        <v>0</v>
      </c>
      <c r="AH44" s="122">
        <v>43</v>
      </c>
      <c r="AI44" s="123" t="s">
        <v>2922</v>
      </c>
      <c r="AJ44" s="123">
        <v>100</v>
      </c>
      <c r="AK44" s="123">
        <v>77.5</v>
      </c>
      <c r="AL44" s="123">
        <v>65.5</v>
      </c>
      <c r="AM44" s="123">
        <v>20</v>
      </c>
      <c r="AN44" s="123" t="s">
        <v>978</v>
      </c>
      <c r="AO44" s="123">
        <f t="shared" si="7"/>
        <v>6.55</v>
      </c>
      <c r="AP44" s="213"/>
      <c r="AQ44" s="214">
        <f t="shared" si="11"/>
        <v>0</v>
      </c>
    </row>
    <row r="45" spans="1:43" ht="24.95" customHeight="1">
      <c r="A45" s="124">
        <v>44</v>
      </c>
      <c r="B45" s="125">
        <v>75</v>
      </c>
      <c r="C45" s="126">
        <v>40</v>
      </c>
      <c r="D45" s="126">
        <v>74.5</v>
      </c>
      <c r="E45" s="126">
        <v>135</v>
      </c>
      <c r="F45" s="126">
        <v>75</v>
      </c>
      <c r="G45" s="127" t="s">
        <v>1447</v>
      </c>
      <c r="H45" s="126">
        <f t="shared" si="9"/>
        <v>0.76600000000000001</v>
      </c>
      <c r="I45" s="186"/>
      <c r="J45" s="187">
        <f t="shared" si="10"/>
        <v>0</v>
      </c>
      <c r="L45" s="128">
        <v>44</v>
      </c>
      <c r="M45" s="128">
        <v>57</v>
      </c>
      <c r="N45" s="129">
        <v>40</v>
      </c>
      <c r="O45" s="130">
        <v>53.5</v>
      </c>
      <c r="P45" s="130">
        <v>155</v>
      </c>
      <c r="Q45" s="130">
        <v>40</v>
      </c>
      <c r="R45" s="204" t="s">
        <v>1830</v>
      </c>
      <c r="S45" s="130">
        <f t="shared" si="12"/>
        <v>0.33700000000000002</v>
      </c>
      <c r="T45" s="196"/>
      <c r="U45" s="205">
        <f t="shared" si="2"/>
        <v>0</v>
      </c>
      <c r="W45" s="122">
        <v>44</v>
      </c>
      <c r="X45" s="123" t="s">
        <v>2923</v>
      </c>
      <c r="Y45" s="123">
        <v>32</v>
      </c>
      <c r="Z45" s="123">
        <v>77.5</v>
      </c>
      <c r="AA45" s="123">
        <v>68.5</v>
      </c>
      <c r="AB45" s="123">
        <v>10</v>
      </c>
      <c r="AC45" s="123" t="s">
        <v>2051</v>
      </c>
      <c r="AD45" s="123">
        <f t="shared" si="6"/>
        <v>1.0960000000000001</v>
      </c>
      <c r="AE45" s="213"/>
      <c r="AF45" s="214">
        <f t="shared" si="3"/>
        <v>0</v>
      </c>
      <c r="AH45" s="122">
        <v>44</v>
      </c>
      <c r="AI45" s="123" t="s">
        <v>2923</v>
      </c>
      <c r="AJ45" s="123">
        <v>100</v>
      </c>
      <c r="AK45" s="123">
        <v>77.5</v>
      </c>
      <c r="AL45" s="123">
        <v>68.5</v>
      </c>
      <c r="AM45" s="123">
        <v>20</v>
      </c>
      <c r="AN45" s="123" t="s">
        <v>2322</v>
      </c>
      <c r="AO45" s="123">
        <f t="shared" si="7"/>
        <v>6.85</v>
      </c>
      <c r="AP45" s="213"/>
      <c r="AQ45" s="214">
        <f t="shared" si="11"/>
        <v>0</v>
      </c>
    </row>
    <row r="46" spans="1:43" ht="24.95" customHeight="1">
      <c r="A46" s="124">
        <v>45</v>
      </c>
      <c r="B46" s="125">
        <v>78</v>
      </c>
      <c r="C46" s="126">
        <v>40</v>
      </c>
      <c r="D46" s="126">
        <v>77.5</v>
      </c>
      <c r="E46" s="126">
        <v>135</v>
      </c>
      <c r="F46" s="126">
        <v>75</v>
      </c>
      <c r="G46" s="127" t="s">
        <v>1448</v>
      </c>
      <c r="H46" s="126">
        <f t="shared" si="9"/>
        <v>0.79700000000000004</v>
      </c>
      <c r="I46" s="186"/>
      <c r="J46" s="187">
        <f t="shared" si="10"/>
        <v>0</v>
      </c>
      <c r="L46" s="128">
        <v>45</v>
      </c>
      <c r="M46" s="128">
        <v>60</v>
      </c>
      <c r="N46" s="129">
        <v>40</v>
      </c>
      <c r="O46" s="130">
        <v>56.5</v>
      </c>
      <c r="P46" s="130">
        <v>155</v>
      </c>
      <c r="Q46" s="130">
        <v>40</v>
      </c>
      <c r="R46" s="204" t="s">
        <v>1831</v>
      </c>
      <c r="S46" s="130">
        <f t="shared" si="12"/>
        <v>0.35599999999999998</v>
      </c>
      <c r="T46" s="196"/>
      <c r="U46" s="205">
        <f t="shared" si="2"/>
        <v>0</v>
      </c>
      <c r="W46" s="122">
        <v>45</v>
      </c>
      <c r="X46" s="123" t="s">
        <v>2924</v>
      </c>
      <c r="Y46" s="123">
        <v>32</v>
      </c>
      <c r="Z46" s="123">
        <v>77.5</v>
      </c>
      <c r="AA46" s="123">
        <v>71.5</v>
      </c>
      <c r="AB46" s="123">
        <v>10</v>
      </c>
      <c r="AC46" s="123" t="s">
        <v>704</v>
      </c>
      <c r="AD46" s="123">
        <f t="shared" si="6"/>
        <v>1.1439999999999999</v>
      </c>
      <c r="AE46" s="213"/>
      <c r="AF46" s="214">
        <f t="shared" si="3"/>
        <v>0</v>
      </c>
      <c r="AH46" s="122">
        <v>45</v>
      </c>
      <c r="AI46" s="123" t="s">
        <v>2924</v>
      </c>
      <c r="AJ46" s="123">
        <v>100</v>
      </c>
      <c r="AK46" s="123">
        <v>77.5</v>
      </c>
      <c r="AL46" s="123">
        <v>71.5</v>
      </c>
      <c r="AM46" s="123">
        <v>20</v>
      </c>
      <c r="AN46" s="123" t="s">
        <v>981</v>
      </c>
      <c r="AO46" s="123">
        <f t="shared" si="7"/>
        <v>7.15</v>
      </c>
      <c r="AP46" s="213"/>
      <c r="AQ46" s="214">
        <f t="shared" si="11"/>
        <v>0</v>
      </c>
    </row>
    <row r="47" spans="1:43" ht="24.95" customHeight="1">
      <c r="A47" s="124">
        <v>46</v>
      </c>
      <c r="B47" s="125">
        <v>80</v>
      </c>
      <c r="C47" s="126">
        <v>40</v>
      </c>
      <c r="D47" s="126">
        <v>79.5</v>
      </c>
      <c r="E47" s="126">
        <v>135</v>
      </c>
      <c r="F47" s="126">
        <v>75</v>
      </c>
      <c r="G47" s="127" t="s">
        <v>1449</v>
      </c>
      <c r="H47" s="126">
        <f t="shared" si="9"/>
        <v>0.81799999999999995</v>
      </c>
      <c r="I47" s="186"/>
      <c r="J47" s="187">
        <f t="shared" si="10"/>
        <v>0</v>
      </c>
      <c r="L47" s="128">
        <v>46</v>
      </c>
      <c r="M47" s="128">
        <v>63</v>
      </c>
      <c r="N47" s="129">
        <v>40</v>
      </c>
      <c r="O47" s="130">
        <v>59.5</v>
      </c>
      <c r="P47" s="130">
        <v>155</v>
      </c>
      <c r="Q47" s="130">
        <v>40</v>
      </c>
      <c r="R47" s="204" t="s">
        <v>1832</v>
      </c>
      <c r="S47" s="130">
        <f t="shared" si="12"/>
        <v>0.375</v>
      </c>
      <c r="T47" s="196"/>
      <c r="U47" s="205">
        <f t="shared" si="2"/>
        <v>0</v>
      </c>
      <c r="W47" s="122">
        <v>46</v>
      </c>
      <c r="X47" s="123" t="s">
        <v>2925</v>
      </c>
      <c r="Y47" s="123">
        <v>32</v>
      </c>
      <c r="Z47" s="123">
        <v>79.5</v>
      </c>
      <c r="AA47" s="123">
        <v>29.5</v>
      </c>
      <c r="AB47" s="123">
        <v>10</v>
      </c>
      <c r="AC47" s="123" t="s">
        <v>707</v>
      </c>
      <c r="AD47" s="123">
        <f t="shared" si="6"/>
        <v>0.48399999999999999</v>
      </c>
      <c r="AE47" s="213"/>
      <c r="AF47" s="214">
        <f t="shared" si="3"/>
        <v>0</v>
      </c>
      <c r="AH47" s="122">
        <v>46</v>
      </c>
      <c r="AI47" s="123" t="s">
        <v>2925</v>
      </c>
      <c r="AJ47" s="123">
        <v>100</v>
      </c>
      <c r="AK47" s="123">
        <v>79.5</v>
      </c>
      <c r="AL47" s="123">
        <v>29.5</v>
      </c>
      <c r="AM47" s="123">
        <v>20</v>
      </c>
      <c r="AN47" s="123" t="s">
        <v>985</v>
      </c>
      <c r="AO47" s="123">
        <f t="shared" si="7"/>
        <v>3.0259999999999998</v>
      </c>
      <c r="AP47" s="213"/>
      <c r="AQ47" s="214">
        <f t="shared" si="11"/>
        <v>0</v>
      </c>
    </row>
    <row r="48" spans="1:43" ht="24.95" customHeight="1">
      <c r="A48" s="124">
        <v>47</v>
      </c>
      <c r="B48" s="125">
        <v>84</v>
      </c>
      <c r="C48" s="126">
        <v>40</v>
      </c>
      <c r="D48" s="126">
        <v>83.5</v>
      </c>
      <c r="E48" s="126">
        <v>135</v>
      </c>
      <c r="F48" s="126">
        <v>75</v>
      </c>
      <c r="G48" s="127" t="s">
        <v>1450</v>
      </c>
      <c r="H48" s="126">
        <f t="shared" si="9"/>
        <v>0.85899999999999999</v>
      </c>
      <c r="I48" s="186"/>
      <c r="J48" s="187">
        <f t="shared" si="10"/>
        <v>0</v>
      </c>
      <c r="L48" s="128">
        <v>47</v>
      </c>
      <c r="M48" s="128">
        <v>66</v>
      </c>
      <c r="N48" s="129">
        <v>40</v>
      </c>
      <c r="O48" s="130">
        <v>62.5</v>
      </c>
      <c r="P48" s="130">
        <v>155</v>
      </c>
      <c r="Q48" s="130">
        <v>40</v>
      </c>
      <c r="R48" s="204" t="s">
        <v>1833</v>
      </c>
      <c r="S48" s="130">
        <f t="shared" si="12"/>
        <v>0.39400000000000002</v>
      </c>
      <c r="T48" s="196"/>
      <c r="U48" s="205">
        <f t="shared" si="2"/>
        <v>0</v>
      </c>
      <c r="W48" s="122">
        <v>47</v>
      </c>
      <c r="X48" s="123" t="s">
        <v>2926</v>
      </c>
      <c r="Y48" s="123">
        <v>32</v>
      </c>
      <c r="Z48" s="123">
        <v>79.5</v>
      </c>
      <c r="AA48" s="123">
        <v>32.5</v>
      </c>
      <c r="AB48" s="123">
        <v>10</v>
      </c>
      <c r="AC48" s="123" t="s">
        <v>2052</v>
      </c>
      <c r="AD48" s="123">
        <f t="shared" si="6"/>
        <v>0.53300000000000003</v>
      </c>
      <c r="AE48" s="213"/>
      <c r="AF48" s="214">
        <f t="shared" si="3"/>
        <v>0</v>
      </c>
      <c r="AH48" s="122">
        <v>47</v>
      </c>
      <c r="AI48" s="123" t="s">
        <v>2926</v>
      </c>
      <c r="AJ48" s="123">
        <v>100</v>
      </c>
      <c r="AK48" s="123">
        <v>79.5</v>
      </c>
      <c r="AL48" s="123">
        <v>32.5</v>
      </c>
      <c r="AM48" s="123">
        <v>20</v>
      </c>
      <c r="AN48" s="123" t="s">
        <v>2323</v>
      </c>
      <c r="AO48" s="123">
        <f t="shared" si="7"/>
        <v>3.3340000000000001</v>
      </c>
      <c r="AP48" s="213"/>
      <c r="AQ48" s="214">
        <f t="shared" si="11"/>
        <v>0</v>
      </c>
    </row>
    <row r="49" spans="1:43" ht="24.95" customHeight="1">
      <c r="A49" s="124">
        <v>48</v>
      </c>
      <c r="B49" s="125">
        <v>13</v>
      </c>
      <c r="C49" s="126">
        <v>40</v>
      </c>
      <c r="D49" s="126">
        <v>12.5</v>
      </c>
      <c r="E49" s="126">
        <v>135</v>
      </c>
      <c r="F49" s="126">
        <v>75</v>
      </c>
      <c r="G49" s="127" t="s">
        <v>1472</v>
      </c>
      <c r="H49" s="126">
        <f t="shared" si="9"/>
        <v>0.129</v>
      </c>
      <c r="I49" s="186"/>
      <c r="J49" s="187">
        <f t="shared" si="10"/>
        <v>0</v>
      </c>
      <c r="L49" s="191">
        <v>48</v>
      </c>
      <c r="M49" s="191">
        <v>69</v>
      </c>
      <c r="N49" s="192">
        <v>40</v>
      </c>
      <c r="O49" s="193">
        <v>65.5</v>
      </c>
      <c r="P49" s="193">
        <v>155</v>
      </c>
      <c r="Q49" s="193">
        <v>40</v>
      </c>
      <c r="R49" s="204" t="s">
        <v>1834</v>
      </c>
      <c r="S49" s="193">
        <f t="shared" si="12"/>
        <v>0.41299999999999998</v>
      </c>
      <c r="T49" s="196"/>
      <c r="U49" s="205">
        <f t="shared" si="2"/>
        <v>0</v>
      </c>
      <c r="W49" s="122">
        <v>48</v>
      </c>
      <c r="X49" s="123" t="s">
        <v>2927</v>
      </c>
      <c r="Y49" s="123">
        <v>32</v>
      </c>
      <c r="Z49" s="123">
        <v>79.5</v>
      </c>
      <c r="AA49" s="123">
        <v>35.5</v>
      </c>
      <c r="AB49" s="123">
        <v>10</v>
      </c>
      <c r="AC49" s="123" t="s">
        <v>709</v>
      </c>
      <c r="AD49" s="123">
        <f t="shared" si="6"/>
        <v>0.58299999999999996</v>
      </c>
      <c r="AE49" s="213"/>
      <c r="AF49" s="214">
        <f t="shared" si="3"/>
        <v>0</v>
      </c>
      <c r="AH49" s="122">
        <v>48</v>
      </c>
      <c r="AI49" s="123" t="s">
        <v>2927</v>
      </c>
      <c r="AJ49" s="123">
        <v>100</v>
      </c>
      <c r="AK49" s="123">
        <v>79.5</v>
      </c>
      <c r="AL49" s="123">
        <v>35.5</v>
      </c>
      <c r="AM49" s="123">
        <v>20</v>
      </c>
      <c r="AN49" s="123" t="s">
        <v>988</v>
      </c>
      <c r="AO49" s="123">
        <f t="shared" si="7"/>
        <v>3.6419999999999999</v>
      </c>
      <c r="AP49" s="213"/>
      <c r="AQ49" s="214">
        <f t="shared" si="11"/>
        <v>0</v>
      </c>
    </row>
    <row r="50" spans="1:43" ht="24.95" customHeight="1">
      <c r="A50" s="165">
        <v>49</v>
      </c>
      <c r="B50" s="166">
        <v>20</v>
      </c>
      <c r="C50" s="167">
        <v>40</v>
      </c>
      <c r="D50" s="167">
        <v>19.5</v>
      </c>
      <c r="E50" s="167">
        <v>135</v>
      </c>
      <c r="F50" s="167">
        <v>75</v>
      </c>
      <c r="G50" s="168" t="s">
        <v>1767</v>
      </c>
      <c r="H50" s="167">
        <f t="shared" si="9"/>
        <v>0.20100000000000001</v>
      </c>
      <c r="I50" s="186"/>
      <c r="J50" s="187">
        <f t="shared" si="10"/>
        <v>0</v>
      </c>
      <c r="L50" s="128">
        <v>49</v>
      </c>
      <c r="M50" s="128">
        <v>72</v>
      </c>
      <c r="N50" s="129">
        <v>40</v>
      </c>
      <c r="O50" s="130">
        <v>68.5</v>
      </c>
      <c r="P50" s="130">
        <v>155</v>
      </c>
      <c r="Q50" s="130">
        <v>40</v>
      </c>
      <c r="R50" s="204" t="s">
        <v>1835</v>
      </c>
      <c r="S50" s="130">
        <f t="shared" si="12"/>
        <v>0.43099999999999999</v>
      </c>
      <c r="T50" s="196"/>
      <c r="U50" s="205">
        <f t="shared" si="2"/>
        <v>0</v>
      </c>
      <c r="W50" s="122">
        <v>49</v>
      </c>
      <c r="X50" s="123" t="s">
        <v>2928</v>
      </c>
      <c r="Y50" s="123">
        <v>32</v>
      </c>
      <c r="Z50" s="123">
        <v>79.5</v>
      </c>
      <c r="AA50" s="123">
        <v>38.5</v>
      </c>
      <c r="AB50" s="123">
        <v>10</v>
      </c>
      <c r="AC50" s="123" t="s">
        <v>2053</v>
      </c>
      <c r="AD50" s="123">
        <f t="shared" si="6"/>
        <v>0.63200000000000001</v>
      </c>
      <c r="AE50" s="213"/>
      <c r="AF50" s="214">
        <f t="shared" si="3"/>
        <v>0</v>
      </c>
      <c r="AH50" s="122">
        <v>49</v>
      </c>
      <c r="AI50" s="123" t="s">
        <v>2928</v>
      </c>
      <c r="AJ50" s="123">
        <v>100</v>
      </c>
      <c r="AK50" s="123">
        <v>79.5</v>
      </c>
      <c r="AL50" s="123">
        <v>38.5</v>
      </c>
      <c r="AM50" s="123">
        <v>20</v>
      </c>
      <c r="AN50" s="123" t="s">
        <v>2324</v>
      </c>
      <c r="AO50" s="123">
        <f t="shared" si="7"/>
        <v>3.9489999999999998</v>
      </c>
      <c r="AP50" s="213"/>
      <c r="AQ50" s="214">
        <f t="shared" si="11"/>
        <v>0</v>
      </c>
    </row>
    <row r="51" spans="1:43" ht="24.95" customHeight="1">
      <c r="A51" s="169">
        <v>50</v>
      </c>
      <c r="B51" s="170">
        <v>72</v>
      </c>
      <c r="C51" s="171">
        <v>40</v>
      </c>
      <c r="D51" s="171">
        <v>71.5</v>
      </c>
      <c r="E51" s="171">
        <v>155</v>
      </c>
      <c r="F51" s="171">
        <v>75</v>
      </c>
      <c r="G51" s="172" t="s">
        <v>1451</v>
      </c>
      <c r="H51" s="171">
        <f t="shared" si="9"/>
        <v>0.84399999999999997</v>
      </c>
      <c r="I51" s="186"/>
      <c r="J51" s="187">
        <f t="shared" si="10"/>
        <v>0</v>
      </c>
      <c r="L51" s="128">
        <v>50</v>
      </c>
      <c r="M51" s="128">
        <v>13</v>
      </c>
      <c r="N51" s="129">
        <v>40</v>
      </c>
      <c r="O51" s="130">
        <v>9.5</v>
      </c>
      <c r="P51" s="130">
        <v>155</v>
      </c>
      <c r="Q51" s="130">
        <v>40</v>
      </c>
      <c r="R51" s="204" t="s">
        <v>1836</v>
      </c>
      <c r="S51" s="130">
        <f t="shared" si="12"/>
        <v>0.06</v>
      </c>
      <c r="T51" s="196"/>
      <c r="U51" s="205">
        <f t="shared" si="2"/>
        <v>0</v>
      </c>
      <c r="W51" s="122">
        <v>50</v>
      </c>
      <c r="X51" s="123" t="s">
        <v>2929</v>
      </c>
      <c r="Y51" s="123">
        <v>32</v>
      </c>
      <c r="Z51" s="123">
        <v>79.5</v>
      </c>
      <c r="AA51" s="123">
        <v>41.5</v>
      </c>
      <c r="AB51" s="123">
        <v>10</v>
      </c>
      <c r="AC51" s="123" t="s">
        <v>711</v>
      </c>
      <c r="AD51" s="123">
        <f t="shared" si="6"/>
        <v>0.68100000000000005</v>
      </c>
      <c r="AE51" s="213"/>
      <c r="AF51" s="214">
        <f t="shared" si="3"/>
        <v>0</v>
      </c>
      <c r="AH51" s="122">
        <v>50</v>
      </c>
      <c r="AI51" s="123" t="s">
        <v>2929</v>
      </c>
      <c r="AJ51" s="123">
        <v>100</v>
      </c>
      <c r="AK51" s="123">
        <v>79.5</v>
      </c>
      <c r="AL51" s="123">
        <v>41.5</v>
      </c>
      <c r="AM51" s="123">
        <v>20</v>
      </c>
      <c r="AN51" s="123" t="s">
        <v>991</v>
      </c>
      <c r="AO51" s="123">
        <f t="shared" si="7"/>
        <v>4.2569999999999997</v>
      </c>
      <c r="AP51" s="213"/>
      <c r="AQ51" s="214">
        <f t="shared" si="11"/>
        <v>0</v>
      </c>
    </row>
    <row r="52" spans="1:43" ht="24.95" customHeight="1">
      <c r="A52" s="128">
        <v>51</v>
      </c>
      <c r="B52" s="129">
        <v>75</v>
      </c>
      <c r="C52" s="130">
        <v>40</v>
      </c>
      <c r="D52" s="130">
        <v>74.5</v>
      </c>
      <c r="E52" s="130">
        <v>155</v>
      </c>
      <c r="F52" s="130">
        <v>75</v>
      </c>
      <c r="G52" s="131" t="s">
        <v>1452</v>
      </c>
      <c r="H52" s="130">
        <f t="shared" si="9"/>
        <v>0.88</v>
      </c>
      <c r="I52" s="186"/>
      <c r="J52" s="187">
        <f t="shared" si="10"/>
        <v>0</v>
      </c>
      <c r="L52" s="173">
        <v>51</v>
      </c>
      <c r="M52" s="173">
        <v>18</v>
      </c>
      <c r="N52" s="174">
        <v>40</v>
      </c>
      <c r="O52" s="175">
        <v>14.5</v>
      </c>
      <c r="P52" s="175">
        <v>155</v>
      </c>
      <c r="Q52" s="175">
        <v>40</v>
      </c>
      <c r="R52" s="206" t="s">
        <v>1837</v>
      </c>
      <c r="S52" s="175">
        <f t="shared" si="12"/>
        <v>9.0999999999999998E-2</v>
      </c>
      <c r="T52" s="196"/>
      <c r="U52" s="207">
        <f t="shared" si="2"/>
        <v>0</v>
      </c>
      <c r="W52" s="122">
        <v>51</v>
      </c>
      <c r="X52" s="123" t="s">
        <v>2930</v>
      </c>
      <c r="Y52" s="123">
        <v>32</v>
      </c>
      <c r="Z52" s="123">
        <v>79.5</v>
      </c>
      <c r="AA52" s="123">
        <v>44.5</v>
      </c>
      <c r="AB52" s="123">
        <v>10</v>
      </c>
      <c r="AC52" s="123" t="s">
        <v>2054</v>
      </c>
      <c r="AD52" s="123">
        <f t="shared" si="6"/>
        <v>0.73</v>
      </c>
      <c r="AE52" s="213"/>
      <c r="AF52" s="214">
        <f t="shared" si="3"/>
        <v>0</v>
      </c>
      <c r="AH52" s="122">
        <v>51</v>
      </c>
      <c r="AI52" s="123" t="s">
        <v>2930</v>
      </c>
      <c r="AJ52" s="123">
        <v>100</v>
      </c>
      <c r="AK52" s="123">
        <v>79.5</v>
      </c>
      <c r="AL52" s="123">
        <v>44.5</v>
      </c>
      <c r="AM52" s="123">
        <v>20</v>
      </c>
      <c r="AN52" s="123" t="s">
        <v>2325</v>
      </c>
      <c r="AO52" s="123">
        <f t="shared" si="7"/>
        <v>4.5650000000000004</v>
      </c>
      <c r="AP52" s="213"/>
      <c r="AQ52" s="214">
        <f t="shared" si="11"/>
        <v>0</v>
      </c>
    </row>
    <row r="53" spans="1:43" ht="24.95" customHeight="1">
      <c r="A53" s="128">
        <v>52</v>
      </c>
      <c r="B53" s="129">
        <v>78</v>
      </c>
      <c r="C53" s="130">
        <v>40</v>
      </c>
      <c r="D53" s="130">
        <v>77.5</v>
      </c>
      <c r="E53" s="130">
        <v>155</v>
      </c>
      <c r="F53" s="130">
        <v>75</v>
      </c>
      <c r="G53" s="131" t="s">
        <v>1453</v>
      </c>
      <c r="H53" s="130">
        <f t="shared" si="9"/>
        <v>0.91500000000000004</v>
      </c>
      <c r="I53" s="186"/>
      <c r="J53" s="187">
        <f t="shared" si="10"/>
        <v>0</v>
      </c>
      <c r="L53" s="178">
        <v>52</v>
      </c>
      <c r="M53" s="179">
        <v>30</v>
      </c>
      <c r="N53" s="179">
        <v>40</v>
      </c>
      <c r="O53" s="179">
        <v>26.5</v>
      </c>
      <c r="P53" s="179">
        <v>175</v>
      </c>
      <c r="Q53" s="179">
        <v>40</v>
      </c>
      <c r="R53" s="179" t="s">
        <v>1838</v>
      </c>
      <c r="S53" s="179">
        <f t="shared" si="12"/>
        <v>0.188</v>
      </c>
      <c r="T53" s="196"/>
      <c r="U53" s="208">
        <f t="shared" si="2"/>
        <v>0</v>
      </c>
      <c r="W53" s="122">
        <v>52</v>
      </c>
      <c r="X53" s="123" t="s">
        <v>2931</v>
      </c>
      <c r="Y53" s="123">
        <v>32</v>
      </c>
      <c r="Z53" s="123">
        <v>79.5</v>
      </c>
      <c r="AA53" s="123">
        <v>47.5</v>
      </c>
      <c r="AB53" s="123">
        <v>10</v>
      </c>
      <c r="AC53" s="123" t="s">
        <v>713</v>
      </c>
      <c r="AD53" s="123">
        <f t="shared" si="6"/>
        <v>0.78</v>
      </c>
      <c r="AE53" s="213"/>
      <c r="AF53" s="214">
        <f t="shared" si="3"/>
        <v>0</v>
      </c>
      <c r="AH53" s="122">
        <v>52</v>
      </c>
      <c r="AI53" s="123" t="s">
        <v>2931</v>
      </c>
      <c r="AJ53" s="123">
        <v>100</v>
      </c>
      <c r="AK53" s="123">
        <v>79.5</v>
      </c>
      <c r="AL53" s="123">
        <v>47.5</v>
      </c>
      <c r="AM53" s="123">
        <v>20</v>
      </c>
      <c r="AN53" s="123" t="s">
        <v>994</v>
      </c>
      <c r="AO53" s="123">
        <f t="shared" si="7"/>
        <v>4.8730000000000002</v>
      </c>
      <c r="AP53" s="213"/>
      <c r="AQ53" s="214">
        <f t="shared" si="11"/>
        <v>0</v>
      </c>
    </row>
    <row r="54" spans="1:43" ht="24.95" customHeight="1">
      <c r="A54" s="128">
        <v>53</v>
      </c>
      <c r="B54" s="129">
        <v>80</v>
      </c>
      <c r="C54" s="130">
        <v>40</v>
      </c>
      <c r="D54" s="130">
        <v>79.5</v>
      </c>
      <c r="E54" s="130">
        <v>155</v>
      </c>
      <c r="F54" s="130">
        <v>75</v>
      </c>
      <c r="G54" s="131" t="s">
        <v>1454</v>
      </c>
      <c r="H54" s="130">
        <f t="shared" si="9"/>
        <v>0.93899999999999995</v>
      </c>
      <c r="I54" s="186"/>
      <c r="J54" s="187">
        <f t="shared" si="10"/>
        <v>0</v>
      </c>
      <c r="L54" s="133">
        <v>53</v>
      </c>
      <c r="M54" s="134">
        <v>33</v>
      </c>
      <c r="N54" s="134">
        <v>40</v>
      </c>
      <c r="O54" s="134">
        <v>29.5</v>
      </c>
      <c r="P54" s="134">
        <v>175</v>
      </c>
      <c r="Q54" s="134">
        <v>40</v>
      </c>
      <c r="R54" s="134" t="s">
        <v>2932</v>
      </c>
      <c r="S54" s="134">
        <f t="shared" ref="S54:S70" si="13">ROUND(N54*O54*0.0254*P54/1000*Q54/1000,3)</f>
        <v>0.21</v>
      </c>
      <c r="T54" s="196"/>
      <c r="U54" s="209">
        <f t="shared" si="2"/>
        <v>0</v>
      </c>
      <c r="W54" s="122">
        <v>53</v>
      </c>
      <c r="X54" s="123" t="s">
        <v>2933</v>
      </c>
      <c r="Y54" s="123">
        <v>32</v>
      </c>
      <c r="Z54" s="123">
        <v>79.5</v>
      </c>
      <c r="AA54" s="123">
        <v>50.5</v>
      </c>
      <c r="AB54" s="123">
        <v>10</v>
      </c>
      <c r="AC54" s="123" t="s">
        <v>2055</v>
      </c>
      <c r="AD54" s="123">
        <f t="shared" si="6"/>
        <v>0.82899999999999996</v>
      </c>
      <c r="AE54" s="213"/>
      <c r="AF54" s="214">
        <f t="shared" si="3"/>
        <v>0</v>
      </c>
      <c r="AH54" s="122">
        <v>53</v>
      </c>
      <c r="AI54" s="123" t="s">
        <v>2933</v>
      </c>
      <c r="AJ54" s="123">
        <v>100</v>
      </c>
      <c r="AK54" s="123">
        <v>79.5</v>
      </c>
      <c r="AL54" s="123">
        <v>50.5</v>
      </c>
      <c r="AM54" s="123">
        <v>20</v>
      </c>
      <c r="AN54" s="123" t="s">
        <v>2326</v>
      </c>
      <c r="AO54" s="123">
        <f t="shared" si="7"/>
        <v>5.18</v>
      </c>
      <c r="AP54" s="213"/>
      <c r="AQ54" s="214">
        <f t="shared" si="11"/>
        <v>0</v>
      </c>
    </row>
    <row r="55" spans="1:43" ht="24.95" customHeight="1">
      <c r="A55" s="128">
        <v>54</v>
      </c>
      <c r="B55" s="129">
        <v>84</v>
      </c>
      <c r="C55" s="130">
        <v>40</v>
      </c>
      <c r="D55" s="130">
        <v>83.5</v>
      </c>
      <c r="E55" s="130">
        <v>155</v>
      </c>
      <c r="F55" s="130">
        <v>75</v>
      </c>
      <c r="G55" s="131" t="s">
        <v>1455</v>
      </c>
      <c r="H55" s="130">
        <f t="shared" si="9"/>
        <v>0.98599999999999999</v>
      </c>
      <c r="I55" s="186"/>
      <c r="J55" s="187">
        <f t="shared" si="10"/>
        <v>0</v>
      </c>
      <c r="L55" s="133">
        <v>54</v>
      </c>
      <c r="M55" s="134">
        <v>36</v>
      </c>
      <c r="N55" s="134">
        <v>40</v>
      </c>
      <c r="O55" s="134">
        <v>32.5</v>
      </c>
      <c r="P55" s="134">
        <v>175</v>
      </c>
      <c r="Q55" s="134">
        <v>40</v>
      </c>
      <c r="R55" s="134" t="s">
        <v>2934</v>
      </c>
      <c r="S55" s="134">
        <f t="shared" si="13"/>
        <v>0.23100000000000001</v>
      </c>
      <c r="T55" s="196"/>
      <c r="U55" s="209">
        <f t="shared" si="2"/>
        <v>0</v>
      </c>
      <c r="W55" s="122">
        <v>54</v>
      </c>
      <c r="X55" s="123" t="s">
        <v>2935</v>
      </c>
      <c r="Y55" s="123">
        <v>32</v>
      </c>
      <c r="Z55" s="123">
        <v>79.5</v>
      </c>
      <c r="AA55" s="123">
        <v>53.5</v>
      </c>
      <c r="AB55" s="123">
        <v>10</v>
      </c>
      <c r="AC55" s="123" t="s">
        <v>2056</v>
      </c>
      <c r="AD55" s="123">
        <f t="shared" si="6"/>
        <v>0.878</v>
      </c>
      <c r="AE55" s="213"/>
      <c r="AF55" s="214">
        <f t="shared" si="3"/>
        <v>0</v>
      </c>
      <c r="AH55" s="122">
        <v>54</v>
      </c>
      <c r="AI55" s="123" t="s">
        <v>2935</v>
      </c>
      <c r="AJ55" s="123">
        <v>100</v>
      </c>
      <c r="AK55" s="123">
        <v>79.5</v>
      </c>
      <c r="AL55" s="123">
        <v>53.5</v>
      </c>
      <c r="AM55" s="123">
        <v>20</v>
      </c>
      <c r="AN55" s="123" t="s">
        <v>2327</v>
      </c>
      <c r="AO55" s="123">
        <f t="shared" si="7"/>
        <v>5.4880000000000004</v>
      </c>
      <c r="AP55" s="213"/>
      <c r="AQ55" s="214">
        <f t="shared" si="11"/>
        <v>0</v>
      </c>
    </row>
    <row r="56" spans="1:43" ht="24.95" customHeight="1">
      <c r="A56" s="128">
        <v>55</v>
      </c>
      <c r="B56" s="129">
        <v>13</v>
      </c>
      <c r="C56" s="130">
        <v>40</v>
      </c>
      <c r="D56" s="130">
        <v>12.5</v>
      </c>
      <c r="E56" s="130">
        <v>155</v>
      </c>
      <c r="F56" s="130">
        <v>75</v>
      </c>
      <c r="G56" s="131" t="s">
        <v>1768</v>
      </c>
      <c r="H56" s="130">
        <f t="shared" si="9"/>
        <v>0.14799999999999999</v>
      </c>
      <c r="I56" s="186"/>
      <c r="J56" s="187">
        <f t="shared" si="10"/>
        <v>0</v>
      </c>
      <c r="L56" s="133">
        <v>55</v>
      </c>
      <c r="M56" s="134">
        <v>39</v>
      </c>
      <c r="N56" s="134">
        <v>40</v>
      </c>
      <c r="O56" s="134">
        <v>35.5</v>
      </c>
      <c r="P56" s="134">
        <v>175</v>
      </c>
      <c r="Q56" s="134">
        <v>40</v>
      </c>
      <c r="R56" s="134" t="s">
        <v>1839</v>
      </c>
      <c r="S56" s="134">
        <f t="shared" si="13"/>
        <v>0.252</v>
      </c>
      <c r="T56" s="196"/>
      <c r="U56" s="209">
        <f t="shared" si="2"/>
        <v>0</v>
      </c>
      <c r="W56" s="122">
        <v>55</v>
      </c>
      <c r="X56" s="123" t="s">
        <v>2936</v>
      </c>
      <c r="Y56" s="123">
        <v>32</v>
      </c>
      <c r="Z56" s="123">
        <v>79.5</v>
      </c>
      <c r="AA56" s="123">
        <v>56.5</v>
      </c>
      <c r="AB56" s="123">
        <v>10</v>
      </c>
      <c r="AC56" s="123" t="s">
        <v>2057</v>
      </c>
      <c r="AD56" s="123">
        <f t="shared" si="6"/>
        <v>0.92700000000000005</v>
      </c>
      <c r="AE56" s="213"/>
      <c r="AF56" s="214">
        <f t="shared" si="3"/>
        <v>0</v>
      </c>
      <c r="AH56" s="122">
        <v>55</v>
      </c>
      <c r="AI56" s="123" t="s">
        <v>2936</v>
      </c>
      <c r="AJ56" s="123">
        <v>100</v>
      </c>
      <c r="AK56" s="123">
        <v>79.5</v>
      </c>
      <c r="AL56" s="123">
        <v>56.5</v>
      </c>
      <c r="AM56" s="123">
        <v>20</v>
      </c>
      <c r="AN56" s="123" t="s">
        <v>2328</v>
      </c>
      <c r="AO56" s="123">
        <f t="shared" si="7"/>
        <v>5.7960000000000003</v>
      </c>
      <c r="AP56" s="213"/>
      <c r="AQ56" s="214">
        <f t="shared" si="11"/>
        <v>0</v>
      </c>
    </row>
    <row r="57" spans="1:43" ht="24.95" customHeight="1">
      <c r="A57" s="173">
        <v>56</v>
      </c>
      <c r="B57" s="174">
        <v>20</v>
      </c>
      <c r="C57" s="175">
        <v>40</v>
      </c>
      <c r="D57" s="175">
        <v>19.5</v>
      </c>
      <c r="E57" s="175">
        <v>155</v>
      </c>
      <c r="F57" s="175">
        <v>75</v>
      </c>
      <c r="G57" s="176" t="s">
        <v>1769</v>
      </c>
      <c r="H57" s="175">
        <f t="shared" si="9"/>
        <v>0.23</v>
      </c>
      <c r="I57" s="186"/>
      <c r="J57" s="187">
        <f t="shared" si="10"/>
        <v>0</v>
      </c>
      <c r="L57" s="133">
        <v>56</v>
      </c>
      <c r="M57" s="134">
        <v>42</v>
      </c>
      <c r="N57" s="134">
        <v>40</v>
      </c>
      <c r="O57" s="134">
        <v>38.5</v>
      </c>
      <c r="P57" s="134">
        <v>175</v>
      </c>
      <c r="Q57" s="134">
        <v>40</v>
      </c>
      <c r="R57" s="134" t="s">
        <v>1840</v>
      </c>
      <c r="S57" s="134">
        <f t="shared" si="13"/>
        <v>0.27400000000000002</v>
      </c>
      <c r="T57" s="196"/>
      <c r="U57" s="209">
        <f t="shared" si="2"/>
        <v>0</v>
      </c>
      <c r="W57" s="122">
        <v>56</v>
      </c>
      <c r="X57" s="123" t="s">
        <v>2937</v>
      </c>
      <c r="Y57" s="123">
        <v>32</v>
      </c>
      <c r="Z57" s="123">
        <v>79.5</v>
      </c>
      <c r="AA57" s="123">
        <v>59.5</v>
      </c>
      <c r="AB57" s="123">
        <v>10</v>
      </c>
      <c r="AC57" s="123" t="s">
        <v>715</v>
      </c>
      <c r="AD57" s="123">
        <f t="shared" si="6"/>
        <v>0.97699999999999998</v>
      </c>
      <c r="AE57" s="213"/>
      <c r="AF57" s="214">
        <f t="shared" si="3"/>
        <v>0</v>
      </c>
      <c r="AH57" s="122">
        <v>56</v>
      </c>
      <c r="AI57" s="123" t="s">
        <v>2937</v>
      </c>
      <c r="AJ57" s="123">
        <v>100</v>
      </c>
      <c r="AK57" s="123">
        <v>79.5</v>
      </c>
      <c r="AL57" s="123">
        <v>59.5</v>
      </c>
      <c r="AM57" s="123">
        <v>20</v>
      </c>
      <c r="AN57" s="123" t="s">
        <v>997</v>
      </c>
      <c r="AO57" s="123">
        <f t="shared" si="7"/>
        <v>6.1040000000000001</v>
      </c>
      <c r="AP57" s="213"/>
      <c r="AQ57" s="214">
        <f t="shared" si="11"/>
        <v>0</v>
      </c>
    </row>
    <row r="58" spans="1:43" ht="24.95" customHeight="1">
      <c r="A58" s="177">
        <v>57</v>
      </c>
      <c r="B58" s="178">
        <v>72</v>
      </c>
      <c r="C58" s="179">
        <v>40</v>
      </c>
      <c r="D58" s="179">
        <v>71.5</v>
      </c>
      <c r="E58" s="179">
        <v>175</v>
      </c>
      <c r="F58" s="179">
        <v>75</v>
      </c>
      <c r="G58" s="180" t="s">
        <v>1770</v>
      </c>
      <c r="H58" s="179">
        <f t="shared" si="9"/>
        <v>0.95299999999999996</v>
      </c>
      <c r="I58" s="186"/>
      <c r="J58" s="187">
        <f t="shared" si="10"/>
        <v>0</v>
      </c>
      <c r="L58" s="133">
        <v>57</v>
      </c>
      <c r="M58" s="134">
        <v>45</v>
      </c>
      <c r="N58" s="134">
        <v>40</v>
      </c>
      <c r="O58" s="134">
        <v>41.5</v>
      </c>
      <c r="P58" s="134">
        <v>175</v>
      </c>
      <c r="Q58" s="134">
        <v>40</v>
      </c>
      <c r="R58" s="134" t="s">
        <v>1841</v>
      </c>
      <c r="S58" s="134">
        <f t="shared" si="13"/>
        <v>0.29499999999999998</v>
      </c>
      <c r="T58" s="196"/>
      <c r="U58" s="209">
        <f t="shared" si="2"/>
        <v>0</v>
      </c>
      <c r="W58" s="122">
        <v>57</v>
      </c>
      <c r="X58" s="123" t="s">
        <v>2938</v>
      </c>
      <c r="Y58" s="123">
        <v>32</v>
      </c>
      <c r="Z58" s="123">
        <v>79.5</v>
      </c>
      <c r="AA58" s="123">
        <v>62.5</v>
      </c>
      <c r="AB58" s="123">
        <v>10</v>
      </c>
      <c r="AC58" s="123" t="s">
        <v>2058</v>
      </c>
      <c r="AD58" s="123">
        <f t="shared" si="6"/>
        <v>1.026</v>
      </c>
      <c r="AE58" s="213"/>
      <c r="AF58" s="214">
        <f t="shared" si="3"/>
        <v>0</v>
      </c>
      <c r="AH58" s="122">
        <v>57</v>
      </c>
      <c r="AI58" s="123" t="s">
        <v>2938</v>
      </c>
      <c r="AJ58" s="123">
        <v>100</v>
      </c>
      <c r="AK58" s="123">
        <v>79.5</v>
      </c>
      <c r="AL58" s="123">
        <v>62.5</v>
      </c>
      <c r="AM58" s="123">
        <v>20</v>
      </c>
      <c r="AN58" s="123" t="s">
        <v>2329</v>
      </c>
      <c r="AO58" s="123">
        <f t="shared" si="7"/>
        <v>6.4109999999999996</v>
      </c>
      <c r="AP58" s="213"/>
      <c r="AQ58" s="214">
        <f t="shared" si="11"/>
        <v>0</v>
      </c>
    </row>
    <row r="59" spans="1:43" ht="24.95" customHeight="1">
      <c r="A59" s="132">
        <v>58</v>
      </c>
      <c r="B59" s="133">
        <v>75</v>
      </c>
      <c r="C59" s="134">
        <v>40</v>
      </c>
      <c r="D59" s="134">
        <v>74.5</v>
      </c>
      <c r="E59" s="134">
        <v>175</v>
      </c>
      <c r="F59" s="134">
        <v>75</v>
      </c>
      <c r="G59" s="135" t="s">
        <v>1771</v>
      </c>
      <c r="H59" s="134">
        <f t="shared" si="9"/>
        <v>0.99299999999999999</v>
      </c>
      <c r="I59" s="186"/>
      <c r="J59" s="187">
        <f t="shared" si="10"/>
        <v>0</v>
      </c>
      <c r="L59" s="133">
        <v>58</v>
      </c>
      <c r="M59" s="134">
        <v>48</v>
      </c>
      <c r="N59" s="134">
        <v>40</v>
      </c>
      <c r="O59" s="134">
        <v>44.5</v>
      </c>
      <c r="P59" s="134">
        <v>175</v>
      </c>
      <c r="Q59" s="134">
        <v>40</v>
      </c>
      <c r="R59" s="134" t="s">
        <v>1842</v>
      </c>
      <c r="S59" s="134">
        <f t="shared" si="13"/>
        <v>0.316</v>
      </c>
      <c r="T59" s="196"/>
      <c r="U59" s="209">
        <f t="shared" si="2"/>
        <v>0</v>
      </c>
      <c r="W59" s="122">
        <v>58</v>
      </c>
      <c r="X59" s="123" t="s">
        <v>2939</v>
      </c>
      <c r="Y59" s="123">
        <v>32</v>
      </c>
      <c r="Z59" s="123">
        <v>79.5</v>
      </c>
      <c r="AA59" s="123">
        <v>65.5</v>
      </c>
      <c r="AB59" s="123">
        <v>10</v>
      </c>
      <c r="AC59" s="123" t="s">
        <v>717</v>
      </c>
      <c r="AD59" s="123">
        <f t="shared" si="6"/>
        <v>1.075</v>
      </c>
      <c r="AE59" s="213"/>
      <c r="AF59" s="214">
        <f t="shared" si="3"/>
        <v>0</v>
      </c>
      <c r="AH59" s="122">
        <v>58</v>
      </c>
      <c r="AI59" s="123" t="s">
        <v>2939</v>
      </c>
      <c r="AJ59" s="123">
        <v>100</v>
      </c>
      <c r="AK59" s="123">
        <v>79.5</v>
      </c>
      <c r="AL59" s="123">
        <v>65.5</v>
      </c>
      <c r="AM59" s="123">
        <v>20</v>
      </c>
      <c r="AN59" s="123" t="s">
        <v>1000</v>
      </c>
      <c r="AO59" s="123">
        <f t="shared" si="7"/>
        <v>6.7190000000000003</v>
      </c>
      <c r="AP59" s="213"/>
      <c r="AQ59" s="214">
        <f t="shared" si="11"/>
        <v>0</v>
      </c>
    </row>
    <row r="60" spans="1:43" ht="24.95" customHeight="1">
      <c r="A60" s="132">
        <v>59</v>
      </c>
      <c r="B60" s="133">
        <v>78</v>
      </c>
      <c r="C60" s="134">
        <v>40</v>
      </c>
      <c r="D60" s="134">
        <v>77.5</v>
      </c>
      <c r="E60" s="134">
        <v>175</v>
      </c>
      <c r="F60" s="134">
        <v>75</v>
      </c>
      <c r="G60" s="135" t="s">
        <v>1772</v>
      </c>
      <c r="H60" s="134">
        <f t="shared" si="9"/>
        <v>1.0329999999999999</v>
      </c>
      <c r="I60" s="186"/>
      <c r="J60" s="187">
        <f t="shared" si="10"/>
        <v>0</v>
      </c>
      <c r="L60" s="133">
        <v>59</v>
      </c>
      <c r="M60" s="134">
        <v>51</v>
      </c>
      <c r="N60" s="134">
        <v>40</v>
      </c>
      <c r="O60" s="134">
        <v>47.5</v>
      </c>
      <c r="P60" s="134">
        <v>175</v>
      </c>
      <c r="Q60" s="134">
        <v>40</v>
      </c>
      <c r="R60" s="134" t="s">
        <v>1843</v>
      </c>
      <c r="S60" s="134">
        <f t="shared" si="13"/>
        <v>0.33800000000000002</v>
      </c>
      <c r="T60" s="196"/>
      <c r="U60" s="209">
        <f t="shared" si="2"/>
        <v>0</v>
      </c>
      <c r="W60" s="122">
        <v>59</v>
      </c>
      <c r="X60" s="123" t="s">
        <v>2940</v>
      </c>
      <c r="Y60" s="123">
        <v>32</v>
      </c>
      <c r="Z60" s="123">
        <v>79.5</v>
      </c>
      <c r="AA60" s="123">
        <v>68.5</v>
      </c>
      <c r="AB60" s="123">
        <v>10</v>
      </c>
      <c r="AC60" s="123" t="s">
        <v>2059</v>
      </c>
      <c r="AD60" s="123">
        <f t="shared" si="6"/>
        <v>1.1240000000000001</v>
      </c>
      <c r="AE60" s="213"/>
      <c r="AF60" s="214">
        <f t="shared" si="3"/>
        <v>0</v>
      </c>
      <c r="AH60" s="122">
        <v>59</v>
      </c>
      <c r="AI60" s="123" t="s">
        <v>2940</v>
      </c>
      <c r="AJ60" s="123">
        <v>100</v>
      </c>
      <c r="AK60" s="123">
        <v>79.5</v>
      </c>
      <c r="AL60" s="123">
        <v>68.5</v>
      </c>
      <c r="AM60" s="123">
        <v>20</v>
      </c>
      <c r="AN60" s="123" t="s">
        <v>2330</v>
      </c>
      <c r="AO60" s="123">
        <f t="shared" si="7"/>
        <v>7.0270000000000001</v>
      </c>
      <c r="AP60" s="213"/>
      <c r="AQ60" s="214">
        <f t="shared" si="11"/>
        <v>0</v>
      </c>
    </row>
    <row r="61" spans="1:43" ht="24.95" customHeight="1">
      <c r="A61" s="132">
        <v>60</v>
      </c>
      <c r="B61" s="133">
        <v>80</v>
      </c>
      <c r="C61" s="134">
        <v>40</v>
      </c>
      <c r="D61" s="134">
        <v>79.5</v>
      </c>
      <c r="E61" s="134">
        <v>175</v>
      </c>
      <c r="F61" s="134">
        <v>75</v>
      </c>
      <c r="G61" s="135" t="s">
        <v>1773</v>
      </c>
      <c r="H61" s="134">
        <f t="shared" si="9"/>
        <v>1.06</v>
      </c>
      <c r="I61" s="186"/>
      <c r="J61" s="187">
        <f t="shared" si="10"/>
        <v>0</v>
      </c>
      <c r="L61" s="133">
        <v>60</v>
      </c>
      <c r="M61" s="134">
        <v>54</v>
      </c>
      <c r="N61" s="134">
        <v>40</v>
      </c>
      <c r="O61" s="134">
        <v>50.5</v>
      </c>
      <c r="P61" s="134">
        <v>175</v>
      </c>
      <c r="Q61" s="134">
        <v>40</v>
      </c>
      <c r="R61" s="134" t="s">
        <v>1844</v>
      </c>
      <c r="S61" s="134">
        <f t="shared" si="13"/>
        <v>0.35899999999999999</v>
      </c>
      <c r="T61" s="196"/>
      <c r="U61" s="209">
        <f t="shared" si="2"/>
        <v>0</v>
      </c>
      <c r="W61" s="122">
        <v>60</v>
      </c>
      <c r="X61" s="123" t="s">
        <v>2941</v>
      </c>
      <c r="Y61" s="123">
        <v>32</v>
      </c>
      <c r="Z61" s="123">
        <v>79.5</v>
      </c>
      <c r="AA61" s="123">
        <v>71.5</v>
      </c>
      <c r="AB61" s="123">
        <v>10</v>
      </c>
      <c r="AC61" s="123" t="s">
        <v>719</v>
      </c>
      <c r="AD61" s="123">
        <f t="shared" si="6"/>
        <v>1.1739999999999999</v>
      </c>
      <c r="AE61" s="213"/>
      <c r="AF61" s="214">
        <f t="shared" si="3"/>
        <v>0</v>
      </c>
      <c r="AH61" s="122">
        <v>60</v>
      </c>
      <c r="AI61" s="123" t="s">
        <v>2941</v>
      </c>
      <c r="AJ61" s="123">
        <v>100</v>
      </c>
      <c r="AK61" s="123">
        <v>79.5</v>
      </c>
      <c r="AL61" s="123">
        <v>71.5</v>
      </c>
      <c r="AM61" s="123">
        <v>20</v>
      </c>
      <c r="AN61" s="123" t="s">
        <v>1003</v>
      </c>
      <c r="AO61" s="123">
        <f t="shared" si="7"/>
        <v>7.335</v>
      </c>
      <c r="AP61" s="213"/>
      <c r="AQ61" s="214">
        <f t="shared" si="11"/>
        <v>0</v>
      </c>
    </row>
    <row r="62" spans="1:43" ht="24.95" customHeight="1">
      <c r="A62" s="132">
        <v>61</v>
      </c>
      <c r="B62" s="133">
        <v>84</v>
      </c>
      <c r="C62" s="134">
        <v>40</v>
      </c>
      <c r="D62" s="134">
        <v>83.5</v>
      </c>
      <c r="E62" s="134">
        <v>175</v>
      </c>
      <c r="F62" s="134">
        <v>75</v>
      </c>
      <c r="G62" s="135" t="s">
        <v>1774</v>
      </c>
      <c r="H62" s="134">
        <f t="shared" si="9"/>
        <v>1.113</v>
      </c>
      <c r="I62" s="186"/>
      <c r="J62" s="187">
        <f t="shared" si="10"/>
        <v>0</v>
      </c>
      <c r="L62" s="133">
        <v>61</v>
      </c>
      <c r="M62" s="134">
        <v>57</v>
      </c>
      <c r="N62" s="134">
        <v>40</v>
      </c>
      <c r="O62" s="134">
        <v>53.5</v>
      </c>
      <c r="P62" s="134">
        <v>175</v>
      </c>
      <c r="Q62" s="134">
        <v>40</v>
      </c>
      <c r="R62" s="134" t="s">
        <v>1845</v>
      </c>
      <c r="S62" s="134">
        <f t="shared" si="13"/>
        <v>0.38</v>
      </c>
      <c r="T62" s="196"/>
      <c r="U62" s="209">
        <f t="shared" si="2"/>
        <v>0</v>
      </c>
      <c r="W62" s="122">
        <v>61</v>
      </c>
      <c r="X62" s="123" t="s">
        <v>2942</v>
      </c>
      <c r="Y62" s="123">
        <v>32</v>
      </c>
      <c r="Z62" s="123">
        <v>83.5</v>
      </c>
      <c r="AA62" s="123">
        <v>29.5</v>
      </c>
      <c r="AB62" s="123">
        <v>10</v>
      </c>
      <c r="AC62" s="123" t="s">
        <v>722</v>
      </c>
      <c r="AD62" s="123">
        <f t="shared" si="6"/>
        <v>0.50900000000000001</v>
      </c>
      <c r="AE62" s="213"/>
      <c r="AF62" s="214">
        <f t="shared" si="3"/>
        <v>0</v>
      </c>
      <c r="AH62" s="122">
        <v>61</v>
      </c>
      <c r="AI62" s="123" t="s">
        <v>2942</v>
      </c>
      <c r="AJ62" s="123">
        <v>100</v>
      </c>
      <c r="AK62" s="123">
        <v>83.5</v>
      </c>
      <c r="AL62" s="123">
        <v>29.5</v>
      </c>
      <c r="AM62" s="123">
        <v>20</v>
      </c>
      <c r="AN62" s="123" t="s">
        <v>1007</v>
      </c>
      <c r="AO62" s="123">
        <f t="shared" si="7"/>
        <v>3.1779999999999999</v>
      </c>
      <c r="AP62" s="213"/>
      <c r="AQ62" s="214">
        <f t="shared" si="11"/>
        <v>0</v>
      </c>
    </row>
    <row r="63" spans="1:43" ht="24.95" customHeight="1">
      <c r="A63" s="132">
        <v>62</v>
      </c>
      <c r="B63" s="133">
        <v>13</v>
      </c>
      <c r="C63" s="134">
        <v>40</v>
      </c>
      <c r="D63" s="134">
        <v>12.5</v>
      </c>
      <c r="E63" s="134">
        <v>175</v>
      </c>
      <c r="F63" s="134">
        <v>75</v>
      </c>
      <c r="G63" s="135" t="s">
        <v>1775</v>
      </c>
      <c r="H63" s="134">
        <f t="shared" si="9"/>
        <v>0.16700000000000001</v>
      </c>
      <c r="I63" s="186"/>
      <c r="J63" s="187">
        <f t="shared" si="10"/>
        <v>0</v>
      </c>
      <c r="L63" s="133">
        <v>62</v>
      </c>
      <c r="M63" s="134">
        <v>60</v>
      </c>
      <c r="N63" s="134">
        <v>40</v>
      </c>
      <c r="O63" s="134">
        <v>56.5</v>
      </c>
      <c r="P63" s="134">
        <v>175</v>
      </c>
      <c r="Q63" s="134">
        <v>40</v>
      </c>
      <c r="R63" s="134" t="s">
        <v>1846</v>
      </c>
      <c r="S63" s="134">
        <f t="shared" si="13"/>
        <v>0.40200000000000002</v>
      </c>
      <c r="T63" s="196"/>
      <c r="U63" s="209">
        <f t="shared" si="2"/>
        <v>0</v>
      </c>
      <c r="W63" s="122">
        <v>62</v>
      </c>
      <c r="X63" s="123" t="s">
        <v>2943</v>
      </c>
      <c r="Y63" s="123">
        <v>32</v>
      </c>
      <c r="Z63" s="123">
        <v>83.5</v>
      </c>
      <c r="AA63" s="123">
        <v>32.5</v>
      </c>
      <c r="AB63" s="123">
        <v>10</v>
      </c>
      <c r="AC63" s="123" t="s">
        <v>2060</v>
      </c>
      <c r="AD63" s="123">
        <f t="shared" si="6"/>
        <v>0.56000000000000005</v>
      </c>
      <c r="AE63" s="213"/>
      <c r="AF63" s="214">
        <f t="shared" si="3"/>
        <v>0</v>
      </c>
      <c r="AH63" s="122">
        <v>62</v>
      </c>
      <c r="AI63" s="123" t="s">
        <v>2943</v>
      </c>
      <c r="AJ63" s="123">
        <v>100</v>
      </c>
      <c r="AK63" s="123">
        <v>83.5</v>
      </c>
      <c r="AL63" s="123">
        <v>32.5</v>
      </c>
      <c r="AM63" s="123">
        <v>20</v>
      </c>
      <c r="AN63" s="123" t="s">
        <v>2331</v>
      </c>
      <c r="AO63" s="123">
        <f t="shared" si="7"/>
        <v>3.5019999999999998</v>
      </c>
      <c r="AP63" s="213"/>
      <c r="AQ63" s="214">
        <f t="shared" si="11"/>
        <v>0</v>
      </c>
    </row>
    <row r="64" spans="1:43" ht="24.95" customHeight="1">
      <c r="A64" s="181">
        <v>63</v>
      </c>
      <c r="B64" s="182">
        <v>20</v>
      </c>
      <c r="C64" s="183">
        <v>40</v>
      </c>
      <c r="D64" s="183">
        <v>19.5</v>
      </c>
      <c r="E64" s="183">
        <v>175</v>
      </c>
      <c r="F64" s="183">
        <v>75</v>
      </c>
      <c r="G64" s="184" t="s">
        <v>1776</v>
      </c>
      <c r="H64" s="183">
        <f t="shared" si="9"/>
        <v>0.26</v>
      </c>
      <c r="I64" s="186"/>
      <c r="J64" s="187">
        <f t="shared" si="10"/>
        <v>0</v>
      </c>
      <c r="L64" s="133">
        <v>63</v>
      </c>
      <c r="M64" s="134">
        <v>63</v>
      </c>
      <c r="N64" s="134">
        <v>40</v>
      </c>
      <c r="O64" s="134">
        <v>59.5</v>
      </c>
      <c r="P64" s="134">
        <v>175</v>
      </c>
      <c r="Q64" s="134">
        <v>40</v>
      </c>
      <c r="R64" s="134" t="s">
        <v>1847</v>
      </c>
      <c r="S64" s="134">
        <f t="shared" si="13"/>
        <v>0.42299999999999999</v>
      </c>
      <c r="T64" s="196"/>
      <c r="U64" s="209">
        <f t="shared" si="2"/>
        <v>0</v>
      </c>
      <c r="W64" s="122">
        <v>63</v>
      </c>
      <c r="X64" s="123" t="s">
        <v>2944</v>
      </c>
      <c r="Y64" s="123">
        <v>32</v>
      </c>
      <c r="Z64" s="123">
        <v>83.5</v>
      </c>
      <c r="AA64" s="123">
        <v>35.5</v>
      </c>
      <c r="AB64" s="123">
        <v>10</v>
      </c>
      <c r="AC64" s="123" t="s">
        <v>724</v>
      </c>
      <c r="AD64" s="123">
        <f t="shared" si="6"/>
        <v>0.61199999999999999</v>
      </c>
      <c r="AE64" s="213"/>
      <c r="AF64" s="214">
        <f t="shared" si="3"/>
        <v>0</v>
      </c>
      <c r="AH64" s="122">
        <v>63</v>
      </c>
      <c r="AI64" s="123" t="s">
        <v>2944</v>
      </c>
      <c r="AJ64" s="123">
        <v>100</v>
      </c>
      <c r="AK64" s="123">
        <v>83.5</v>
      </c>
      <c r="AL64" s="123">
        <v>35.5</v>
      </c>
      <c r="AM64" s="123">
        <v>20</v>
      </c>
      <c r="AN64" s="123" t="s">
        <v>1010</v>
      </c>
      <c r="AO64" s="123">
        <f t="shared" si="7"/>
        <v>3.8250000000000002</v>
      </c>
      <c r="AP64" s="213"/>
      <c r="AQ64" s="214">
        <f t="shared" si="11"/>
        <v>0</v>
      </c>
    </row>
    <row r="65" spans="1:43" ht="24.95" customHeight="1">
      <c r="A65" s="215">
        <v>64</v>
      </c>
      <c r="B65" s="216">
        <v>72</v>
      </c>
      <c r="C65" s="217">
        <v>40</v>
      </c>
      <c r="D65" s="217">
        <v>71.5</v>
      </c>
      <c r="E65" s="217">
        <v>205</v>
      </c>
      <c r="F65" s="217">
        <v>75</v>
      </c>
      <c r="G65" s="218" t="s">
        <v>1777</v>
      </c>
      <c r="H65" s="217">
        <f t="shared" si="9"/>
        <v>1.117</v>
      </c>
      <c r="I65" s="186"/>
      <c r="J65" s="187">
        <f t="shared" si="10"/>
        <v>0</v>
      </c>
      <c r="L65" s="133">
        <v>64</v>
      </c>
      <c r="M65" s="134">
        <v>66</v>
      </c>
      <c r="N65" s="134">
        <v>40</v>
      </c>
      <c r="O65" s="134">
        <v>62.5</v>
      </c>
      <c r="P65" s="134">
        <v>175</v>
      </c>
      <c r="Q65" s="134">
        <v>40</v>
      </c>
      <c r="R65" s="134" t="s">
        <v>1848</v>
      </c>
      <c r="S65" s="134">
        <f t="shared" si="13"/>
        <v>0.44500000000000001</v>
      </c>
      <c r="T65" s="196"/>
      <c r="U65" s="209">
        <f t="shared" si="2"/>
        <v>0</v>
      </c>
      <c r="W65" s="122">
        <v>64</v>
      </c>
      <c r="X65" s="123" t="s">
        <v>2945</v>
      </c>
      <c r="Y65" s="123">
        <v>32</v>
      </c>
      <c r="Z65" s="123">
        <v>83.5</v>
      </c>
      <c r="AA65" s="123">
        <v>38.5</v>
      </c>
      <c r="AB65" s="123">
        <v>10</v>
      </c>
      <c r="AC65" s="123" t="s">
        <v>2061</v>
      </c>
      <c r="AD65" s="123">
        <f t="shared" si="6"/>
        <v>0.66400000000000003</v>
      </c>
      <c r="AE65" s="213"/>
      <c r="AF65" s="214">
        <f t="shared" si="3"/>
        <v>0</v>
      </c>
      <c r="AH65" s="122">
        <v>64</v>
      </c>
      <c r="AI65" s="123" t="s">
        <v>2945</v>
      </c>
      <c r="AJ65" s="123">
        <v>100</v>
      </c>
      <c r="AK65" s="123">
        <v>83.5</v>
      </c>
      <c r="AL65" s="123">
        <v>38.5</v>
      </c>
      <c r="AM65" s="123">
        <v>20</v>
      </c>
      <c r="AN65" s="123" t="s">
        <v>2332</v>
      </c>
      <c r="AO65" s="123">
        <f t="shared" si="7"/>
        <v>4.1479999999999997</v>
      </c>
      <c r="AP65" s="213"/>
      <c r="AQ65" s="214">
        <f t="shared" si="11"/>
        <v>0</v>
      </c>
    </row>
    <row r="66" spans="1:43" ht="24.95" customHeight="1">
      <c r="A66" s="144">
        <v>65</v>
      </c>
      <c r="B66" s="145">
        <v>75</v>
      </c>
      <c r="C66" s="146">
        <v>40</v>
      </c>
      <c r="D66" s="146">
        <v>74.5</v>
      </c>
      <c r="E66" s="146">
        <v>205</v>
      </c>
      <c r="F66" s="146">
        <v>75</v>
      </c>
      <c r="G66" s="147" t="s">
        <v>1778</v>
      </c>
      <c r="H66" s="146">
        <f t="shared" ref="H66:H85" si="14">ROUND(C66*D66*0.0254*E66/1000*F66/1000,3)</f>
        <v>1.1639999999999999</v>
      </c>
      <c r="I66" s="186"/>
      <c r="J66" s="187">
        <f t="shared" ref="J66:J99" si="15">+H66*I66</f>
        <v>0</v>
      </c>
      <c r="L66" s="133">
        <v>65</v>
      </c>
      <c r="M66" s="134">
        <v>69</v>
      </c>
      <c r="N66" s="134">
        <v>40</v>
      </c>
      <c r="O66" s="134">
        <v>65.5</v>
      </c>
      <c r="P66" s="134">
        <v>175</v>
      </c>
      <c r="Q66" s="134">
        <v>40</v>
      </c>
      <c r="R66" s="134" t="s">
        <v>1849</v>
      </c>
      <c r="S66" s="134">
        <f t="shared" si="13"/>
        <v>0.46600000000000003</v>
      </c>
      <c r="T66" s="196"/>
      <c r="U66" s="209">
        <f t="shared" ref="U66:U129" si="16">+S66*T66</f>
        <v>0</v>
      </c>
      <c r="W66" s="122">
        <v>65</v>
      </c>
      <c r="X66" s="123" t="s">
        <v>2946</v>
      </c>
      <c r="Y66" s="123">
        <v>32</v>
      </c>
      <c r="Z66" s="123">
        <v>83.5</v>
      </c>
      <c r="AA66" s="123">
        <v>41.5</v>
      </c>
      <c r="AB66" s="123">
        <v>10</v>
      </c>
      <c r="AC66" s="123" t="s">
        <v>726</v>
      </c>
      <c r="AD66" s="123">
        <f t="shared" si="6"/>
        <v>0.71499999999999997</v>
      </c>
      <c r="AE66" s="213"/>
      <c r="AF66" s="214">
        <f t="shared" ref="AF66:AF129" si="17">+AD66*AE66</f>
        <v>0</v>
      </c>
      <c r="AH66" s="122">
        <v>65</v>
      </c>
      <c r="AI66" s="123" t="s">
        <v>2946</v>
      </c>
      <c r="AJ66" s="123">
        <v>100</v>
      </c>
      <c r="AK66" s="123">
        <v>83.5</v>
      </c>
      <c r="AL66" s="123">
        <v>41.5</v>
      </c>
      <c r="AM66" s="123">
        <v>20</v>
      </c>
      <c r="AN66" s="123" t="s">
        <v>1013</v>
      </c>
      <c r="AO66" s="123">
        <f t="shared" si="7"/>
        <v>4.4710000000000001</v>
      </c>
      <c r="AP66" s="213"/>
      <c r="AQ66" s="214">
        <f t="shared" ref="AQ66:AQ78" si="18">+AO66*AP66</f>
        <v>0</v>
      </c>
    </row>
    <row r="67" spans="1:43" ht="24.95" customHeight="1">
      <c r="A67" s="144">
        <v>66</v>
      </c>
      <c r="B67" s="145">
        <v>78</v>
      </c>
      <c r="C67" s="146">
        <v>40</v>
      </c>
      <c r="D67" s="146">
        <v>77.5</v>
      </c>
      <c r="E67" s="146">
        <v>205</v>
      </c>
      <c r="F67" s="146">
        <v>75</v>
      </c>
      <c r="G67" s="147" t="s">
        <v>1779</v>
      </c>
      <c r="H67" s="146">
        <f t="shared" si="14"/>
        <v>1.2110000000000001</v>
      </c>
      <c r="I67" s="186"/>
      <c r="J67" s="187">
        <f t="shared" si="15"/>
        <v>0</v>
      </c>
      <c r="L67" s="133">
        <v>66</v>
      </c>
      <c r="M67" s="134">
        <v>72</v>
      </c>
      <c r="N67" s="134">
        <v>40</v>
      </c>
      <c r="O67" s="134">
        <v>68.5</v>
      </c>
      <c r="P67" s="134">
        <v>175</v>
      </c>
      <c r="Q67" s="134">
        <v>40</v>
      </c>
      <c r="R67" s="134" t="s">
        <v>1850</v>
      </c>
      <c r="S67" s="134">
        <f t="shared" si="13"/>
        <v>0.48699999999999999</v>
      </c>
      <c r="T67" s="196"/>
      <c r="U67" s="209">
        <f t="shared" si="16"/>
        <v>0</v>
      </c>
      <c r="W67" s="122">
        <v>66</v>
      </c>
      <c r="X67" s="123" t="s">
        <v>2947</v>
      </c>
      <c r="Y67" s="123">
        <v>32</v>
      </c>
      <c r="Z67" s="123">
        <v>83.5</v>
      </c>
      <c r="AA67" s="123">
        <v>44.5</v>
      </c>
      <c r="AB67" s="123">
        <v>10</v>
      </c>
      <c r="AC67" s="123" t="s">
        <v>2062</v>
      </c>
      <c r="AD67" s="123">
        <f t="shared" ref="AD67:AD79" si="19">+ROUND((Y67*Z67*0.0254*AA67*0.0254*(AB67/1000)),3)</f>
        <v>0.76700000000000002</v>
      </c>
      <c r="AE67" s="213"/>
      <c r="AF67" s="214">
        <f t="shared" si="17"/>
        <v>0</v>
      </c>
      <c r="AH67" s="122">
        <v>66</v>
      </c>
      <c r="AI67" s="123" t="s">
        <v>2947</v>
      </c>
      <c r="AJ67" s="123">
        <v>100</v>
      </c>
      <c r="AK67" s="123">
        <v>83.5</v>
      </c>
      <c r="AL67" s="123">
        <v>44.5</v>
      </c>
      <c r="AM67" s="123">
        <v>20</v>
      </c>
      <c r="AN67" s="123" t="s">
        <v>2333</v>
      </c>
      <c r="AO67" s="123">
        <f t="shared" ref="AO67:AO78" si="20">+ROUND((AJ67*AK67*0.0254*AL67*0.0254*(AM67/1000)),3)</f>
        <v>4.7949999999999999</v>
      </c>
      <c r="AP67" s="213"/>
      <c r="AQ67" s="214">
        <f t="shared" si="18"/>
        <v>0</v>
      </c>
    </row>
    <row r="68" spans="1:43" ht="24.95" customHeight="1">
      <c r="A68" s="144">
        <v>67</v>
      </c>
      <c r="B68" s="145">
        <v>80</v>
      </c>
      <c r="C68" s="146">
        <v>40</v>
      </c>
      <c r="D68" s="146">
        <v>79.5</v>
      </c>
      <c r="E68" s="146">
        <v>205</v>
      </c>
      <c r="F68" s="146">
        <v>75</v>
      </c>
      <c r="G68" s="147" t="s">
        <v>1780</v>
      </c>
      <c r="H68" s="146">
        <f t="shared" si="14"/>
        <v>1.242</v>
      </c>
      <c r="I68" s="186"/>
      <c r="J68" s="187">
        <f t="shared" si="15"/>
        <v>0</v>
      </c>
      <c r="L68" s="133">
        <v>67</v>
      </c>
      <c r="M68" s="134">
        <v>13</v>
      </c>
      <c r="N68" s="134">
        <v>40</v>
      </c>
      <c r="O68" s="134">
        <v>9.5</v>
      </c>
      <c r="P68" s="134">
        <v>175</v>
      </c>
      <c r="Q68" s="134">
        <v>40</v>
      </c>
      <c r="R68" s="134" t="s">
        <v>1851</v>
      </c>
      <c r="S68" s="134">
        <f t="shared" si="13"/>
        <v>6.8000000000000005E-2</v>
      </c>
      <c r="T68" s="196"/>
      <c r="U68" s="209">
        <f t="shared" si="16"/>
        <v>0</v>
      </c>
      <c r="W68" s="122">
        <v>67</v>
      </c>
      <c r="X68" s="123" t="s">
        <v>2948</v>
      </c>
      <c r="Y68" s="123">
        <v>32</v>
      </c>
      <c r="Z68" s="123">
        <v>83.5</v>
      </c>
      <c r="AA68" s="123">
        <v>47.5</v>
      </c>
      <c r="AB68" s="123">
        <v>10</v>
      </c>
      <c r="AC68" s="123" t="s">
        <v>728</v>
      </c>
      <c r="AD68" s="123">
        <f t="shared" si="19"/>
        <v>0.81899999999999995</v>
      </c>
      <c r="AE68" s="213"/>
      <c r="AF68" s="214">
        <f t="shared" si="17"/>
        <v>0</v>
      </c>
      <c r="AH68" s="122">
        <v>67</v>
      </c>
      <c r="AI68" s="123" t="s">
        <v>2948</v>
      </c>
      <c r="AJ68" s="123">
        <v>100</v>
      </c>
      <c r="AK68" s="123">
        <v>83.5</v>
      </c>
      <c r="AL68" s="123">
        <v>47.5</v>
      </c>
      <c r="AM68" s="123">
        <v>20</v>
      </c>
      <c r="AN68" s="123" t="s">
        <v>1016</v>
      </c>
      <c r="AO68" s="123">
        <f t="shared" si="20"/>
        <v>5.1180000000000003</v>
      </c>
      <c r="AP68" s="213"/>
      <c r="AQ68" s="214">
        <f t="shared" si="18"/>
        <v>0</v>
      </c>
    </row>
    <row r="69" spans="1:43" ht="24.95" customHeight="1">
      <c r="A69" s="144">
        <v>68</v>
      </c>
      <c r="B69" s="145">
        <v>84</v>
      </c>
      <c r="C69" s="146">
        <v>40</v>
      </c>
      <c r="D69" s="146">
        <v>83.5</v>
      </c>
      <c r="E69" s="146">
        <v>205</v>
      </c>
      <c r="F69" s="146">
        <v>75</v>
      </c>
      <c r="G69" s="147" t="s">
        <v>1781</v>
      </c>
      <c r="H69" s="146">
        <f t="shared" si="14"/>
        <v>1.304</v>
      </c>
      <c r="I69" s="186"/>
      <c r="J69" s="187">
        <f t="shared" si="15"/>
        <v>0</v>
      </c>
      <c r="L69" s="182">
        <v>68</v>
      </c>
      <c r="M69" s="183">
        <v>18</v>
      </c>
      <c r="N69" s="183">
        <v>40</v>
      </c>
      <c r="O69" s="183">
        <v>14.5</v>
      </c>
      <c r="P69" s="183">
        <v>175</v>
      </c>
      <c r="Q69" s="183">
        <v>40</v>
      </c>
      <c r="R69" s="183" t="s">
        <v>1852</v>
      </c>
      <c r="S69" s="183">
        <f t="shared" si="13"/>
        <v>0.10299999999999999</v>
      </c>
      <c r="T69" s="196"/>
      <c r="U69" s="229">
        <f t="shared" si="16"/>
        <v>0</v>
      </c>
      <c r="W69" s="122">
        <v>68</v>
      </c>
      <c r="X69" s="123" t="s">
        <v>2949</v>
      </c>
      <c r="Y69" s="123">
        <v>32</v>
      </c>
      <c r="Z69" s="123">
        <v>83.5</v>
      </c>
      <c r="AA69" s="123">
        <v>50.5</v>
      </c>
      <c r="AB69" s="123">
        <v>10</v>
      </c>
      <c r="AC69" s="123" t="s">
        <v>2063</v>
      </c>
      <c r="AD69" s="123">
        <f t="shared" si="19"/>
        <v>0.871</v>
      </c>
      <c r="AE69" s="213"/>
      <c r="AF69" s="214">
        <f t="shared" si="17"/>
        <v>0</v>
      </c>
      <c r="AH69" s="122">
        <v>68</v>
      </c>
      <c r="AI69" s="123" t="s">
        <v>2949</v>
      </c>
      <c r="AJ69" s="123">
        <v>100</v>
      </c>
      <c r="AK69" s="123">
        <v>83.5</v>
      </c>
      <c r="AL69" s="123">
        <v>50.5</v>
      </c>
      <c r="AM69" s="123">
        <v>20</v>
      </c>
      <c r="AN69" s="123" t="s">
        <v>2334</v>
      </c>
      <c r="AO69" s="123">
        <f t="shared" si="20"/>
        <v>5.4409999999999998</v>
      </c>
      <c r="AP69" s="213"/>
      <c r="AQ69" s="214">
        <f t="shared" si="18"/>
        <v>0</v>
      </c>
    </row>
    <row r="70" spans="1:43" ht="24.95" customHeight="1">
      <c r="A70" s="144">
        <v>69</v>
      </c>
      <c r="B70" s="145">
        <v>13</v>
      </c>
      <c r="C70" s="146">
        <v>40</v>
      </c>
      <c r="D70" s="146">
        <v>12.5</v>
      </c>
      <c r="E70" s="146">
        <v>205</v>
      </c>
      <c r="F70" s="146">
        <v>75</v>
      </c>
      <c r="G70" s="147" t="s">
        <v>1782</v>
      </c>
      <c r="H70" s="146">
        <f t="shared" si="14"/>
        <v>0.19500000000000001</v>
      </c>
      <c r="I70" s="186"/>
      <c r="J70" s="187">
        <f t="shared" si="15"/>
        <v>0</v>
      </c>
      <c r="L70" s="223">
        <v>69</v>
      </c>
      <c r="M70" s="224">
        <v>30</v>
      </c>
      <c r="N70" s="224">
        <v>40</v>
      </c>
      <c r="O70" s="224">
        <v>26.5</v>
      </c>
      <c r="P70" s="224">
        <v>205</v>
      </c>
      <c r="Q70" s="224">
        <v>40</v>
      </c>
      <c r="R70" s="224" t="s">
        <v>1853</v>
      </c>
      <c r="S70" s="224">
        <f t="shared" si="13"/>
        <v>0.221</v>
      </c>
      <c r="T70" s="196"/>
      <c r="U70" s="230">
        <f t="shared" si="16"/>
        <v>0</v>
      </c>
      <c r="W70" s="122">
        <v>69</v>
      </c>
      <c r="X70" s="123" t="s">
        <v>2950</v>
      </c>
      <c r="Y70" s="123">
        <v>32</v>
      </c>
      <c r="Z70" s="123">
        <v>83.5</v>
      </c>
      <c r="AA70" s="123">
        <v>53.5</v>
      </c>
      <c r="AB70" s="123">
        <v>10</v>
      </c>
      <c r="AC70" s="123" t="s">
        <v>2064</v>
      </c>
      <c r="AD70" s="123">
        <f t="shared" si="19"/>
        <v>0.92200000000000004</v>
      </c>
      <c r="AE70" s="213"/>
      <c r="AF70" s="214">
        <f t="shared" si="17"/>
        <v>0</v>
      </c>
      <c r="AH70" s="122">
        <v>69</v>
      </c>
      <c r="AI70" s="123" t="s">
        <v>2950</v>
      </c>
      <c r="AJ70" s="123">
        <v>100</v>
      </c>
      <c r="AK70" s="123">
        <v>83.5</v>
      </c>
      <c r="AL70" s="123">
        <v>53.5</v>
      </c>
      <c r="AM70" s="123">
        <v>20</v>
      </c>
      <c r="AN70" s="123" t="s">
        <v>2335</v>
      </c>
      <c r="AO70" s="123">
        <f t="shared" si="20"/>
        <v>5.7640000000000002</v>
      </c>
      <c r="AP70" s="213"/>
      <c r="AQ70" s="214">
        <f t="shared" si="18"/>
        <v>0</v>
      </c>
    </row>
    <row r="71" spans="1:43" ht="24.95" customHeight="1">
      <c r="A71" s="219">
        <v>70</v>
      </c>
      <c r="B71" s="220">
        <v>20</v>
      </c>
      <c r="C71" s="221">
        <v>40</v>
      </c>
      <c r="D71" s="221">
        <v>19.5</v>
      </c>
      <c r="E71" s="221">
        <v>205</v>
      </c>
      <c r="F71" s="221">
        <v>75</v>
      </c>
      <c r="G71" s="222" t="s">
        <v>1783</v>
      </c>
      <c r="H71" s="221">
        <f t="shared" si="14"/>
        <v>0.30499999999999999</v>
      </c>
      <c r="I71" s="186"/>
      <c r="J71" s="187">
        <f t="shared" si="15"/>
        <v>0</v>
      </c>
      <c r="L71" s="225">
        <v>70</v>
      </c>
      <c r="M71" s="226">
        <v>33</v>
      </c>
      <c r="N71" s="226">
        <v>40</v>
      </c>
      <c r="O71" s="226">
        <v>29.5</v>
      </c>
      <c r="P71" s="226">
        <v>205</v>
      </c>
      <c r="Q71" s="226">
        <v>40</v>
      </c>
      <c r="R71" s="226" t="s">
        <v>2951</v>
      </c>
      <c r="S71" s="226">
        <f t="shared" ref="S71:S87" si="21">ROUND(N71*O71*0.0254*P71/1000*Q71/1000,3)</f>
        <v>0.246</v>
      </c>
      <c r="T71" s="196"/>
      <c r="U71" s="231">
        <f t="shared" si="16"/>
        <v>0</v>
      </c>
      <c r="W71" s="122">
        <v>70</v>
      </c>
      <c r="X71" s="123" t="s">
        <v>2952</v>
      </c>
      <c r="Y71" s="123">
        <v>32</v>
      </c>
      <c r="Z71" s="123">
        <v>83.5</v>
      </c>
      <c r="AA71" s="123">
        <v>56.5</v>
      </c>
      <c r="AB71" s="123">
        <v>10</v>
      </c>
      <c r="AC71" s="123" t="s">
        <v>2065</v>
      </c>
      <c r="AD71" s="123">
        <f t="shared" si="19"/>
        <v>0.97399999999999998</v>
      </c>
      <c r="AE71" s="213"/>
      <c r="AF71" s="214">
        <f t="shared" si="17"/>
        <v>0</v>
      </c>
      <c r="AH71" s="122">
        <v>70</v>
      </c>
      <c r="AI71" s="123" t="s">
        <v>2952</v>
      </c>
      <c r="AJ71" s="123">
        <v>100</v>
      </c>
      <c r="AK71" s="123">
        <v>83.5</v>
      </c>
      <c r="AL71" s="123">
        <v>56.5</v>
      </c>
      <c r="AM71" s="123">
        <v>20</v>
      </c>
      <c r="AN71" s="123" t="s">
        <v>2336</v>
      </c>
      <c r="AO71" s="123">
        <f t="shared" si="20"/>
        <v>6.0869999999999997</v>
      </c>
      <c r="AP71" s="213"/>
      <c r="AQ71" s="214">
        <f t="shared" si="18"/>
        <v>0</v>
      </c>
    </row>
    <row r="72" spans="1:43" ht="24.95" customHeight="1">
      <c r="A72" s="152">
        <v>71</v>
      </c>
      <c r="B72" s="153">
        <v>72</v>
      </c>
      <c r="C72" s="154">
        <v>32</v>
      </c>
      <c r="D72" s="154">
        <v>71.5</v>
      </c>
      <c r="E72" s="154">
        <v>115</v>
      </c>
      <c r="F72" s="154">
        <v>75</v>
      </c>
      <c r="G72" s="155" t="s">
        <v>1784</v>
      </c>
      <c r="H72" s="154">
        <f t="shared" si="14"/>
        <v>0.501</v>
      </c>
      <c r="I72" s="186"/>
      <c r="J72" s="187">
        <f t="shared" si="15"/>
        <v>0</v>
      </c>
      <c r="L72" s="225">
        <v>71</v>
      </c>
      <c r="M72" s="226">
        <v>36</v>
      </c>
      <c r="N72" s="226">
        <v>40</v>
      </c>
      <c r="O72" s="226">
        <v>32.5</v>
      </c>
      <c r="P72" s="226">
        <v>205</v>
      </c>
      <c r="Q72" s="226">
        <v>40</v>
      </c>
      <c r="R72" s="226" t="s">
        <v>2953</v>
      </c>
      <c r="S72" s="226">
        <f t="shared" si="21"/>
        <v>0.27100000000000002</v>
      </c>
      <c r="T72" s="196"/>
      <c r="U72" s="231">
        <f t="shared" si="16"/>
        <v>0</v>
      </c>
      <c r="W72" s="122">
        <v>71</v>
      </c>
      <c r="X72" s="123" t="s">
        <v>2954</v>
      </c>
      <c r="Y72" s="123">
        <v>32</v>
      </c>
      <c r="Z72" s="123">
        <v>83.5</v>
      </c>
      <c r="AA72" s="123">
        <v>59.5</v>
      </c>
      <c r="AB72" s="123">
        <v>10</v>
      </c>
      <c r="AC72" s="123" t="s">
        <v>730</v>
      </c>
      <c r="AD72" s="123">
        <f t="shared" si="19"/>
        <v>1.026</v>
      </c>
      <c r="AE72" s="213"/>
      <c r="AF72" s="214">
        <f t="shared" si="17"/>
        <v>0</v>
      </c>
      <c r="AH72" s="122">
        <v>71</v>
      </c>
      <c r="AI72" s="123" t="s">
        <v>2954</v>
      </c>
      <c r="AJ72" s="123">
        <v>100</v>
      </c>
      <c r="AK72" s="123">
        <v>83.5</v>
      </c>
      <c r="AL72" s="123">
        <v>59.5</v>
      </c>
      <c r="AM72" s="123">
        <v>20</v>
      </c>
      <c r="AN72" s="123" t="s">
        <v>1019</v>
      </c>
      <c r="AO72" s="123">
        <f t="shared" si="20"/>
        <v>6.4109999999999996</v>
      </c>
      <c r="AP72" s="213"/>
      <c r="AQ72" s="214">
        <f t="shared" si="18"/>
        <v>0</v>
      </c>
    </row>
    <row r="73" spans="1:43" ht="24.95" customHeight="1">
      <c r="A73" s="121">
        <v>72</v>
      </c>
      <c r="B73" s="122">
        <v>75</v>
      </c>
      <c r="C73" s="123">
        <v>32</v>
      </c>
      <c r="D73" s="123">
        <v>74.5</v>
      </c>
      <c r="E73" s="123">
        <v>115</v>
      </c>
      <c r="F73" s="123">
        <v>75</v>
      </c>
      <c r="G73" s="156" t="s">
        <v>1785</v>
      </c>
      <c r="H73" s="123">
        <f t="shared" si="14"/>
        <v>0.52200000000000002</v>
      </c>
      <c r="I73" s="186"/>
      <c r="J73" s="187">
        <f t="shared" si="15"/>
        <v>0</v>
      </c>
      <c r="L73" s="225">
        <v>72</v>
      </c>
      <c r="M73" s="226">
        <v>39</v>
      </c>
      <c r="N73" s="226">
        <v>40</v>
      </c>
      <c r="O73" s="226">
        <v>35.5</v>
      </c>
      <c r="P73" s="226">
        <v>205</v>
      </c>
      <c r="Q73" s="226">
        <v>40</v>
      </c>
      <c r="R73" s="226" t="s">
        <v>1854</v>
      </c>
      <c r="S73" s="226">
        <f t="shared" si="21"/>
        <v>0.29599999999999999</v>
      </c>
      <c r="T73" s="196"/>
      <c r="U73" s="231">
        <f t="shared" si="16"/>
        <v>0</v>
      </c>
      <c r="W73" s="122">
        <v>72</v>
      </c>
      <c r="X73" s="123" t="s">
        <v>2955</v>
      </c>
      <c r="Y73" s="123">
        <v>32</v>
      </c>
      <c r="Z73" s="123">
        <v>83.5</v>
      </c>
      <c r="AA73" s="123">
        <v>62.5</v>
      </c>
      <c r="AB73" s="123">
        <v>10</v>
      </c>
      <c r="AC73" s="123" t="s">
        <v>2066</v>
      </c>
      <c r="AD73" s="123">
        <f t="shared" si="19"/>
        <v>1.077</v>
      </c>
      <c r="AE73" s="213"/>
      <c r="AF73" s="214">
        <f t="shared" si="17"/>
        <v>0</v>
      </c>
      <c r="AH73" s="122">
        <v>72</v>
      </c>
      <c r="AI73" s="123" t="s">
        <v>2955</v>
      </c>
      <c r="AJ73" s="123">
        <v>100</v>
      </c>
      <c r="AK73" s="123">
        <v>83.5</v>
      </c>
      <c r="AL73" s="123">
        <v>62.5</v>
      </c>
      <c r="AM73" s="123">
        <v>20</v>
      </c>
      <c r="AN73" s="123" t="s">
        <v>2337</v>
      </c>
      <c r="AO73" s="123">
        <f t="shared" si="20"/>
        <v>6.734</v>
      </c>
      <c r="AP73" s="213"/>
      <c r="AQ73" s="214">
        <f t="shared" si="18"/>
        <v>0</v>
      </c>
    </row>
    <row r="74" spans="1:43" ht="24.95" customHeight="1">
      <c r="A74" s="121">
        <v>73</v>
      </c>
      <c r="B74" s="122">
        <v>78</v>
      </c>
      <c r="C74" s="123">
        <v>32</v>
      </c>
      <c r="D74" s="123">
        <v>77.5</v>
      </c>
      <c r="E74" s="123">
        <v>115</v>
      </c>
      <c r="F74" s="123">
        <v>75</v>
      </c>
      <c r="G74" s="156" t="s">
        <v>1786</v>
      </c>
      <c r="H74" s="123">
        <f t="shared" si="14"/>
        <v>0.54300000000000004</v>
      </c>
      <c r="I74" s="186"/>
      <c r="J74" s="187">
        <f t="shared" si="15"/>
        <v>0</v>
      </c>
      <c r="L74" s="225">
        <v>73</v>
      </c>
      <c r="M74" s="226">
        <v>42</v>
      </c>
      <c r="N74" s="226">
        <v>40</v>
      </c>
      <c r="O74" s="226">
        <v>38.5</v>
      </c>
      <c r="P74" s="226">
        <v>205</v>
      </c>
      <c r="Q74" s="226">
        <v>40</v>
      </c>
      <c r="R74" s="226" t="s">
        <v>1855</v>
      </c>
      <c r="S74" s="226">
        <f t="shared" si="21"/>
        <v>0.32100000000000001</v>
      </c>
      <c r="T74" s="196"/>
      <c r="U74" s="231">
        <f t="shared" si="16"/>
        <v>0</v>
      </c>
      <c r="W74" s="122">
        <v>73</v>
      </c>
      <c r="X74" s="123" t="s">
        <v>2956</v>
      </c>
      <c r="Y74" s="123">
        <v>32</v>
      </c>
      <c r="Z74" s="123">
        <v>83.5</v>
      </c>
      <c r="AA74" s="123">
        <v>65.5</v>
      </c>
      <c r="AB74" s="123">
        <v>10</v>
      </c>
      <c r="AC74" s="123" t="s">
        <v>732</v>
      </c>
      <c r="AD74" s="123">
        <f t="shared" si="19"/>
        <v>1.129</v>
      </c>
      <c r="AE74" s="213"/>
      <c r="AF74" s="214">
        <f t="shared" si="17"/>
        <v>0</v>
      </c>
      <c r="AH74" s="122">
        <v>73</v>
      </c>
      <c r="AI74" s="123" t="s">
        <v>2956</v>
      </c>
      <c r="AJ74" s="123">
        <v>100</v>
      </c>
      <c r="AK74" s="123">
        <v>83.5</v>
      </c>
      <c r="AL74" s="123">
        <v>65.5</v>
      </c>
      <c r="AM74" s="123">
        <v>20</v>
      </c>
      <c r="AN74" s="123" t="s">
        <v>1022</v>
      </c>
      <c r="AO74" s="123">
        <f t="shared" si="20"/>
        <v>7.0570000000000004</v>
      </c>
      <c r="AP74" s="213"/>
      <c r="AQ74" s="214">
        <f t="shared" si="18"/>
        <v>0</v>
      </c>
    </row>
    <row r="75" spans="1:43" ht="24.95" customHeight="1">
      <c r="A75" s="121">
        <v>74</v>
      </c>
      <c r="B75" s="122">
        <v>80</v>
      </c>
      <c r="C75" s="123">
        <v>32</v>
      </c>
      <c r="D75" s="123">
        <v>79.5</v>
      </c>
      <c r="E75" s="123">
        <v>115</v>
      </c>
      <c r="F75" s="123">
        <v>75</v>
      </c>
      <c r="G75" s="156" t="s">
        <v>1787</v>
      </c>
      <c r="H75" s="123">
        <f t="shared" si="14"/>
        <v>0.55700000000000005</v>
      </c>
      <c r="I75" s="186"/>
      <c r="J75" s="187">
        <f t="shared" si="15"/>
        <v>0</v>
      </c>
      <c r="L75" s="225">
        <v>74</v>
      </c>
      <c r="M75" s="226">
        <v>45</v>
      </c>
      <c r="N75" s="226">
        <v>40</v>
      </c>
      <c r="O75" s="226">
        <v>41.5</v>
      </c>
      <c r="P75" s="226">
        <v>205</v>
      </c>
      <c r="Q75" s="226">
        <v>40</v>
      </c>
      <c r="R75" s="226" t="s">
        <v>1856</v>
      </c>
      <c r="S75" s="226">
        <f t="shared" si="21"/>
        <v>0.34599999999999997</v>
      </c>
      <c r="T75" s="196"/>
      <c r="U75" s="231">
        <f t="shared" si="16"/>
        <v>0</v>
      </c>
      <c r="W75" s="122">
        <v>74</v>
      </c>
      <c r="X75" s="123" t="s">
        <v>2957</v>
      </c>
      <c r="Y75" s="123">
        <v>32</v>
      </c>
      <c r="Z75" s="123">
        <v>83.5</v>
      </c>
      <c r="AA75" s="123">
        <v>68.5</v>
      </c>
      <c r="AB75" s="123">
        <v>10</v>
      </c>
      <c r="AC75" s="123" t="s">
        <v>2067</v>
      </c>
      <c r="AD75" s="123">
        <f t="shared" si="19"/>
        <v>1.181</v>
      </c>
      <c r="AE75" s="213"/>
      <c r="AF75" s="214">
        <f t="shared" si="17"/>
        <v>0</v>
      </c>
      <c r="AH75" s="122">
        <v>74</v>
      </c>
      <c r="AI75" s="123" t="s">
        <v>2957</v>
      </c>
      <c r="AJ75" s="123">
        <v>100</v>
      </c>
      <c r="AK75" s="123">
        <v>83.5</v>
      </c>
      <c r="AL75" s="123">
        <v>68.5</v>
      </c>
      <c r="AM75" s="123">
        <v>20</v>
      </c>
      <c r="AN75" s="123" t="s">
        <v>2338</v>
      </c>
      <c r="AO75" s="123">
        <f t="shared" si="20"/>
        <v>7.38</v>
      </c>
      <c r="AP75" s="213"/>
      <c r="AQ75" s="214">
        <f t="shared" si="18"/>
        <v>0</v>
      </c>
    </row>
    <row r="76" spans="1:43" ht="24.95" customHeight="1">
      <c r="A76" s="121">
        <v>75</v>
      </c>
      <c r="B76" s="122">
        <v>84</v>
      </c>
      <c r="C76" s="123">
        <v>32</v>
      </c>
      <c r="D76" s="123">
        <v>83.5</v>
      </c>
      <c r="E76" s="123">
        <v>115</v>
      </c>
      <c r="F76" s="123">
        <v>75</v>
      </c>
      <c r="G76" s="156" t="s">
        <v>1788</v>
      </c>
      <c r="H76" s="123">
        <f t="shared" si="14"/>
        <v>0.58499999999999996</v>
      </c>
      <c r="I76" s="186"/>
      <c r="J76" s="187">
        <f t="shared" si="15"/>
        <v>0</v>
      </c>
      <c r="L76" s="225">
        <v>75</v>
      </c>
      <c r="M76" s="226">
        <v>48</v>
      </c>
      <c r="N76" s="226">
        <v>40</v>
      </c>
      <c r="O76" s="226">
        <v>44.5</v>
      </c>
      <c r="P76" s="226">
        <v>205</v>
      </c>
      <c r="Q76" s="226">
        <v>40</v>
      </c>
      <c r="R76" s="226" t="s">
        <v>1857</v>
      </c>
      <c r="S76" s="226">
        <f t="shared" si="21"/>
        <v>0.371</v>
      </c>
      <c r="T76" s="196"/>
      <c r="U76" s="231">
        <f t="shared" si="16"/>
        <v>0</v>
      </c>
      <c r="W76" s="122">
        <v>75</v>
      </c>
      <c r="X76" s="123" t="s">
        <v>2958</v>
      </c>
      <c r="Y76" s="123">
        <v>32</v>
      </c>
      <c r="Z76" s="123">
        <v>83.5</v>
      </c>
      <c r="AA76" s="123">
        <v>71.5</v>
      </c>
      <c r="AB76" s="123">
        <v>10</v>
      </c>
      <c r="AC76" s="123" t="s">
        <v>734</v>
      </c>
      <c r="AD76" s="123">
        <f t="shared" si="19"/>
        <v>1.2330000000000001</v>
      </c>
      <c r="AE76" s="213"/>
      <c r="AF76" s="214">
        <f t="shared" si="17"/>
        <v>0</v>
      </c>
      <c r="AH76" s="122">
        <v>75</v>
      </c>
      <c r="AI76" s="123" t="s">
        <v>2958</v>
      </c>
      <c r="AJ76" s="123">
        <v>100</v>
      </c>
      <c r="AK76" s="123">
        <v>83.5</v>
      </c>
      <c r="AL76" s="123">
        <v>71.5</v>
      </c>
      <c r="AM76" s="123">
        <v>20</v>
      </c>
      <c r="AN76" s="123" t="s">
        <v>1025</v>
      </c>
      <c r="AO76" s="123">
        <f t="shared" si="20"/>
        <v>7.7039999999999997</v>
      </c>
      <c r="AP76" s="213"/>
      <c r="AQ76" s="214">
        <f t="shared" si="18"/>
        <v>0</v>
      </c>
    </row>
    <row r="77" spans="1:43" ht="24.95" customHeight="1">
      <c r="A77" s="121">
        <v>76</v>
      </c>
      <c r="B77" s="122">
        <v>13</v>
      </c>
      <c r="C77" s="123">
        <v>32</v>
      </c>
      <c r="D77" s="123">
        <v>12.5</v>
      </c>
      <c r="E77" s="123">
        <v>115</v>
      </c>
      <c r="F77" s="123">
        <v>75</v>
      </c>
      <c r="G77" s="156" t="s">
        <v>1789</v>
      </c>
      <c r="H77" s="123">
        <f t="shared" si="14"/>
        <v>8.7999999999999995E-2</v>
      </c>
      <c r="I77" s="186"/>
      <c r="J77" s="187">
        <f t="shared" si="15"/>
        <v>0</v>
      </c>
      <c r="L77" s="225">
        <v>76</v>
      </c>
      <c r="M77" s="226">
        <v>51</v>
      </c>
      <c r="N77" s="226">
        <v>40</v>
      </c>
      <c r="O77" s="226">
        <v>47.5</v>
      </c>
      <c r="P77" s="226">
        <v>205</v>
      </c>
      <c r="Q77" s="226">
        <v>40</v>
      </c>
      <c r="R77" s="226" t="s">
        <v>1858</v>
      </c>
      <c r="S77" s="226">
        <f t="shared" si="21"/>
        <v>0.39600000000000002</v>
      </c>
      <c r="T77" s="196"/>
      <c r="U77" s="231">
        <f t="shared" si="16"/>
        <v>0</v>
      </c>
      <c r="W77" s="122">
        <v>76</v>
      </c>
      <c r="X77" s="123" t="s">
        <v>2959</v>
      </c>
      <c r="Y77" s="123">
        <v>32</v>
      </c>
      <c r="Z77" s="123">
        <v>12.5</v>
      </c>
      <c r="AA77" s="123">
        <v>12.5</v>
      </c>
      <c r="AB77" s="123">
        <v>10</v>
      </c>
      <c r="AC77" s="123" t="s">
        <v>1478</v>
      </c>
      <c r="AD77" s="123">
        <f t="shared" si="19"/>
        <v>3.2000000000000001E-2</v>
      </c>
      <c r="AE77" s="213"/>
      <c r="AF77" s="214">
        <f t="shared" si="17"/>
        <v>0</v>
      </c>
      <c r="AH77" s="122">
        <v>76</v>
      </c>
      <c r="AI77" s="123" t="s">
        <v>2959</v>
      </c>
      <c r="AJ77" s="123">
        <v>100</v>
      </c>
      <c r="AK77" s="123">
        <v>12.5</v>
      </c>
      <c r="AL77" s="123">
        <v>12.5</v>
      </c>
      <c r="AM77" s="123">
        <v>20</v>
      </c>
      <c r="AN77" s="123" t="s">
        <v>1035</v>
      </c>
      <c r="AO77" s="123">
        <f t="shared" si="20"/>
        <v>0.20200000000000001</v>
      </c>
      <c r="AP77" s="213"/>
      <c r="AQ77" s="214">
        <f t="shared" si="18"/>
        <v>0</v>
      </c>
    </row>
    <row r="78" spans="1:43" ht="24.95" customHeight="1">
      <c r="A78" s="157">
        <v>77</v>
      </c>
      <c r="B78" s="158">
        <v>20</v>
      </c>
      <c r="C78" s="159">
        <v>32</v>
      </c>
      <c r="D78" s="159">
        <v>19.5</v>
      </c>
      <c r="E78" s="159">
        <v>115</v>
      </c>
      <c r="F78" s="159">
        <v>75</v>
      </c>
      <c r="G78" s="160" t="s">
        <v>1790</v>
      </c>
      <c r="H78" s="159">
        <f t="shared" si="14"/>
        <v>0.13700000000000001</v>
      </c>
      <c r="I78" s="186"/>
      <c r="J78" s="187">
        <f t="shared" si="15"/>
        <v>0</v>
      </c>
      <c r="L78" s="225">
        <v>77</v>
      </c>
      <c r="M78" s="226">
        <v>54</v>
      </c>
      <c r="N78" s="226">
        <v>40</v>
      </c>
      <c r="O78" s="226">
        <v>50.5</v>
      </c>
      <c r="P78" s="226">
        <v>205</v>
      </c>
      <c r="Q78" s="226">
        <v>40</v>
      </c>
      <c r="R78" s="226" t="s">
        <v>1859</v>
      </c>
      <c r="S78" s="226">
        <f t="shared" si="21"/>
        <v>0.42099999999999999</v>
      </c>
      <c r="T78" s="196"/>
      <c r="U78" s="231">
        <f t="shared" si="16"/>
        <v>0</v>
      </c>
      <c r="W78" s="158">
        <v>77</v>
      </c>
      <c r="X78" s="159" t="s">
        <v>2960</v>
      </c>
      <c r="Y78" s="159">
        <v>32</v>
      </c>
      <c r="Z78" s="159">
        <v>19.5</v>
      </c>
      <c r="AA78" s="159">
        <v>17.5</v>
      </c>
      <c r="AB78" s="159">
        <v>10</v>
      </c>
      <c r="AC78" s="159" t="s">
        <v>738</v>
      </c>
      <c r="AD78" s="159">
        <f t="shared" si="19"/>
        <v>7.0000000000000007E-2</v>
      </c>
      <c r="AE78" s="213"/>
      <c r="AF78" s="233">
        <f t="shared" si="17"/>
        <v>0</v>
      </c>
      <c r="AH78" s="158">
        <v>77</v>
      </c>
      <c r="AI78" s="159" t="s">
        <v>2960</v>
      </c>
      <c r="AJ78" s="159">
        <v>100</v>
      </c>
      <c r="AK78" s="159">
        <v>19.5</v>
      </c>
      <c r="AL78" s="159">
        <v>17.5</v>
      </c>
      <c r="AM78" s="159">
        <v>20</v>
      </c>
      <c r="AN78" s="159" t="s">
        <v>1030</v>
      </c>
      <c r="AO78" s="159">
        <f t="shared" si="20"/>
        <v>0.44</v>
      </c>
      <c r="AP78" s="213"/>
      <c r="AQ78" s="233">
        <f t="shared" si="18"/>
        <v>0</v>
      </c>
    </row>
    <row r="79" spans="1:43" ht="24.95" customHeight="1">
      <c r="A79" s="161">
        <v>78</v>
      </c>
      <c r="B79" s="162">
        <v>72</v>
      </c>
      <c r="C79" s="163">
        <v>32</v>
      </c>
      <c r="D79" s="163">
        <v>71.5</v>
      </c>
      <c r="E79" s="163">
        <v>155</v>
      </c>
      <c r="F79" s="163">
        <v>75</v>
      </c>
      <c r="G79" s="164" t="s">
        <v>1791</v>
      </c>
      <c r="H79" s="163">
        <f t="shared" si="14"/>
        <v>0.67600000000000005</v>
      </c>
      <c r="I79" s="186"/>
      <c r="J79" s="187">
        <f t="shared" si="15"/>
        <v>0</v>
      </c>
      <c r="L79" s="225">
        <v>78</v>
      </c>
      <c r="M79" s="226">
        <v>57</v>
      </c>
      <c r="N79" s="226">
        <v>40</v>
      </c>
      <c r="O79" s="226">
        <v>53.5</v>
      </c>
      <c r="P79" s="226">
        <v>205</v>
      </c>
      <c r="Q79" s="226">
        <v>40</v>
      </c>
      <c r="R79" s="226" t="s">
        <v>1860</v>
      </c>
      <c r="S79" s="226">
        <f t="shared" si="21"/>
        <v>0.44600000000000001</v>
      </c>
      <c r="T79" s="196"/>
      <c r="U79" s="231">
        <f t="shared" si="16"/>
        <v>0</v>
      </c>
      <c r="W79" s="223">
        <v>1</v>
      </c>
      <c r="X79" s="224" t="s">
        <v>2876</v>
      </c>
      <c r="Y79" s="224">
        <v>18</v>
      </c>
      <c r="Z79" s="224">
        <v>71.5</v>
      </c>
      <c r="AA79" s="224">
        <v>29.5</v>
      </c>
      <c r="AB79" s="224">
        <v>10</v>
      </c>
      <c r="AC79" s="224" t="s">
        <v>2068</v>
      </c>
      <c r="AD79" s="224">
        <f t="shared" si="19"/>
        <v>0.245</v>
      </c>
      <c r="AE79" s="213"/>
      <c r="AF79" s="230">
        <f t="shared" si="17"/>
        <v>0</v>
      </c>
      <c r="AO79" s="234"/>
      <c r="AP79" s="79"/>
      <c r="AQ79" s="235"/>
    </row>
    <row r="80" spans="1:43" ht="24.95" customHeight="1">
      <c r="A80" s="124">
        <v>79</v>
      </c>
      <c r="B80" s="125">
        <v>75</v>
      </c>
      <c r="C80" s="126">
        <v>32</v>
      </c>
      <c r="D80" s="126">
        <v>74.5</v>
      </c>
      <c r="E80" s="126">
        <v>155</v>
      </c>
      <c r="F80" s="126">
        <v>75</v>
      </c>
      <c r="G80" s="127" t="s">
        <v>1792</v>
      </c>
      <c r="H80" s="126">
        <f t="shared" si="14"/>
        <v>0.70399999999999996</v>
      </c>
      <c r="I80" s="186"/>
      <c r="J80" s="187">
        <f t="shared" si="15"/>
        <v>0</v>
      </c>
      <c r="L80" s="225">
        <v>79</v>
      </c>
      <c r="M80" s="226">
        <v>60</v>
      </c>
      <c r="N80" s="226">
        <v>40</v>
      </c>
      <c r="O80" s="226">
        <v>56.5</v>
      </c>
      <c r="P80" s="226">
        <v>205</v>
      </c>
      <c r="Q80" s="226">
        <v>40</v>
      </c>
      <c r="R80" s="226" t="s">
        <v>1861</v>
      </c>
      <c r="S80" s="226">
        <f t="shared" si="21"/>
        <v>0.47099999999999997</v>
      </c>
      <c r="T80" s="196"/>
      <c r="U80" s="231">
        <f t="shared" si="16"/>
        <v>0</v>
      </c>
      <c r="W80" s="225">
        <v>2</v>
      </c>
      <c r="X80" s="226" t="s">
        <v>2877</v>
      </c>
      <c r="Y80" s="226">
        <v>18</v>
      </c>
      <c r="Z80" s="226">
        <v>71.5</v>
      </c>
      <c r="AA80" s="226">
        <v>32.5</v>
      </c>
      <c r="AB80" s="226">
        <v>10</v>
      </c>
      <c r="AC80" s="226" t="s">
        <v>2069</v>
      </c>
      <c r="AD80" s="226">
        <f t="shared" ref="AD80:AD143" si="22">+ROUND((Y80*Z80*0.0254*AA80*0.0254*(AB80/1000)),3)</f>
        <v>0.27</v>
      </c>
      <c r="AE80" s="213"/>
      <c r="AF80" s="231">
        <f t="shared" si="17"/>
        <v>0</v>
      </c>
      <c r="AO80" s="79"/>
      <c r="AP80" s="79"/>
      <c r="AQ80" s="79"/>
    </row>
    <row r="81" spans="1:43" ht="24.95" customHeight="1">
      <c r="A81" s="124">
        <v>80</v>
      </c>
      <c r="B81" s="125">
        <v>78</v>
      </c>
      <c r="C81" s="126">
        <v>32</v>
      </c>
      <c r="D81" s="126">
        <v>77.5</v>
      </c>
      <c r="E81" s="126">
        <v>155</v>
      </c>
      <c r="F81" s="126">
        <v>75</v>
      </c>
      <c r="G81" s="127" t="s">
        <v>1793</v>
      </c>
      <c r="H81" s="126">
        <f t="shared" si="14"/>
        <v>0.73199999999999998</v>
      </c>
      <c r="I81" s="186"/>
      <c r="J81" s="187">
        <f t="shared" si="15"/>
        <v>0</v>
      </c>
      <c r="L81" s="225">
        <v>80</v>
      </c>
      <c r="M81" s="226">
        <v>63</v>
      </c>
      <c r="N81" s="226">
        <v>40</v>
      </c>
      <c r="O81" s="226">
        <v>59.5</v>
      </c>
      <c r="P81" s="226">
        <v>205</v>
      </c>
      <c r="Q81" s="226">
        <v>40</v>
      </c>
      <c r="R81" s="226" t="s">
        <v>1862</v>
      </c>
      <c r="S81" s="226">
        <f t="shared" si="21"/>
        <v>0.496</v>
      </c>
      <c r="T81" s="196"/>
      <c r="U81" s="231">
        <f t="shared" si="16"/>
        <v>0</v>
      </c>
      <c r="W81" s="225">
        <v>3</v>
      </c>
      <c r="X81" s="226" t="s">
        <v>2878</v>
      </c>
      <c r="Y81" s="226">
        <v>18</v>
      </c>
      <c r="Z81" s="226">
        <v>71.5</v>
      </c>
      <c r="AA81" s="226">
        <v>35.5</v>
      </c>
      <c r="AB81" s="226">
        <v>10</v>
      </c>
      <c r="AC81" s="226" t="s">
        <v>2070</v>
      </c>
      <c r="AD81" s="226">
        <f t="shared" si="22"/>
        <v>0.29499999999999998</v>
      </c>
      <c r="AE81" s="213"/>
      <c r="AF81" s="231">
        <f t="shared" si="17"/>
        <v>0</v>
      </c>
      <c r="AO81" s="79"/>
      <c r="AP81" s="79"/>
      <c r="AQ81" s="79"/>
    </row>
    <row r="82" spans="1:43" ht="24.95" customHeight="1">
      <c r="A82" s="124">
        <v>81</v>
      </c>
      <c r="B82" s="125">
        <v>80</v>
      </c>
      <c r="C82" s="126">
        <v>32</v>
      </c>
      <c r="D82" s="126">
        <v>79.5</v>
      </c>
      <c r="E82" s="126">
        <v>155</v>
      </c>
      <c r="F82" s="126">
        <v>75</v>
      </c>
      <c r="G82" s="127" t="s">
        <v>1794</v>
      </c>
      <c r="H82" s="126">
        <f t="shared" si="14"/>
        <v>0.751</v>
      </c>
      <c r="I82" s="186"/>
      <c r="J82" s="187">
        <f t="shared" si="15"/>
        <v>0</v>
      </c>
      <c r="L82" s="225">
        <v>81</v>
      </c>
      <c r="M82" s="226">
        <v>66</v>
      </c>
      <c r="N82" s="226">
        <v>40</v>
      </c>
      <c r="O82" s="226">
        <v>62.5</v>
      </c>
      <c r="P82" s="226">
        <v>205</v>
      </c>
      <c r="Q82" s="226">
        <v>40</v>
      </c>
      <c r="R82" s="226" t="s">
        <v>1863</v>
      </c>
      <c r="S82" s="226">
        <f t="shared" si="21"/>
        <v>0.52100000000000002</v>
      </c>
      <c r="T82" s="196"/>
      <c r="U82" s="231">
        <f t="shared" si="16"/>
        <v>0</v>
      </c>
      <c r="W82" s="225">
        <v>4</v>
      </c>
      <c r="X82" s="226" t="s">
        <v>2879</v>
      </c>
      <c r="Y82" s="226">
        <v>18</v>
      </c>
      <c r="Z82" s="226">
        <v>71.5</v>
      </c>
      <c r="AA82" s="226">
        <v>38.5</v>
      </c>
      <c r="AB82" s="226">
        <v>10</v>
      </c>
      <c r="AC82" s="226" t="s">
        <v>2071</v>
      </c>
      <c r="AD82" s="226">
        <f t="shared" si="22"/>
        <v>0.32</v>
      </c>
      <c r="AE82" s="213"/>
      <c r="AF82" s="231">
        <f t="shared" si="17"/>
        <v>0</v>
      </c>
    </row>
    <row r="83" spans="1:43" ht="24.95" customHeight="1">
      <c r="A83" s="124">
        <v>82</v>
      </c>
      <c r="B83" s="125">
        <v>84</v>
      </c>
      <c r="C83" s="126">
        <v>32</v>
      </c>
      <c r="D83" s="126">
        <v>83.5</v>
      </c>
      <c r="E83" s="126">
        <v>155</v>
      </c>
      <c r="F83" s="126">
        <v>75</v>
      </c>
      <c r="G83" s="127" t="s">
        <v>1795</v>
      </c>
      <c r="H83" s="126">
        <f t="shared" si="14"/>
        <v>0.78900000000000003</v>
      </c>
      <c r="I83" s="186"/>
      <c r="J83" s="187">
        <f t="shared" si="15"/>
        <v>0</v>
      </c>
      <c r="L83" s="225">
        <v>82</v>
      </c>
      <c r="M83" s="226">
        <v>69</v>
      </c>
      <c r="N83" s="226">
        <v>40</v>
      </c>
      <c r="O83" s="226">
        <v>65.5</v>
      </c>
      <c r="P83" s="226">
        <v>205</v>
      </c>
      <c r="Q83" s="226">
        <v>40</v>
      </c>
      <c r="R83" s="226" t="s">
        <v>1864</v>
      </c>
      <c r="S83" s="226">
        <f t="shared" si="21"/>
        <v>0.54600000000000004</v>
      </c>
      <c r="T83" s="196"/>
      <c r="U83" s="231">
        <f t="shared" si="16"/>
        <v>0</v>
      </c>
      <c r="W83" s="225">
        <v>5</v>
      </c>
      <c r="X83" s="226" t="s">
        <v>2880</v>
      </c>
      <c r="Y83" s="226">
        <v>18</v>
      </c>
      <c r="Z83" s="226">
        <v>71.5</v>
      </c>
      <c r="AA83" s="226">
        <v>41.5</v>
      </c>
      <c r="AB83" s="226">
        <v>10</v>
      </c>
      <c r="AC83" s="226" t="s">
        <v>2072</v>
      </c>
      <c r="AD83" s="226">
        <f t="shared" si="22"/>
        <v>0.34499999999999997</v>
      </c>
      <c r="AE83" s="213"/>
      <c r="AF83" s="231">
        <f t="shared" si="17"/>
        <v>0</v>
      </c>
    </row>
    <row r="84" spans="1:43" ht="24.95" customHeight="1">
      <c r="A84" s="124">
        <v>83</v>
      </c>
      <c r="B84" s="125">
        <v>13</v>
      </c>
      <c r="C84" s="126">
        <v>32</v>
      </c>
      <c r="D84" s="126">
        <v>12.5</v>
      </c>
      <c r="E84" s="126">
        <v>155</v>
      </c>
      <c r="F84" s="126">
        <v>75</v>
      </c>
      <c r="G84" s="127" t="s">
        <v>1796</v>
      </c>
      <c r="H84" s="126">
        <f t="shared" si="14"/>
        <v>0.11799999999999999</v>
      </c>
      <c r="I84" s="186"/>
      <c r="J84" s="187">
        <f t="shared" si="15"/>
        <v>0</v>
      </c>
      <c r="L84" s="225">
        <v>83</v>
      </c>
      <c r="M84" s="226">
        <v>72</v>
      </c>
      <c r="N84" s="226">
        <v>40</v>
      </c>
      <c r="O84" s="226">
        <v>68.5</v>
      </c>
      <c r="P84" s="226">
        <v>205</v>
      </c>
      <c r="Q84" s="226">
        <v>40</v>
      </c>
      <c r="R84" s="226" t="s">
        <v>1865</v>
      </c>
      <c r="S84" s="226">
        <f t="shared" si="21"/>
        <v>0.57099999999999995</v>
      </c>
      <c r="T84" s="196"/>
      <c r="U84" s="231">
        <f t="shared" si="16"/>
        <v>0</v>
      </c>
      <c r="W84" s="225">
        <v>6</v>
      </c>
      <c r="X84" s="226" t="s">
        <v>2881</v>
      </c>
      <c r="Y84" s="226">
        <v>18</v>
      </c>
      <c r="Z84" s="226">
        <v>71.5</v>
      </c>
      <c r="AA84" s="226">
        <v>44.5</v>
      </c>
      <c r="AB84" s="226">
        <v>10</v>
      </c>
      <c r="AC84" s="226" t="s">
        <v>2073</v>
      </c>
      <c r="AD84" s="226">
        <f t="shared" si="22"/>
        <v>0.36899999999999999</v>
      </c>
      <c r="AE84" s="213"/>
      <c r="AF84" s="231">
        <f t="shared" si="17"/>
        <v>0</v>
      </c>
      <c r="AN84">
        <f>+AO79*2</f>
        <v>0</v>
      </c>
    </row>
    <row r="85" spans="1:43" ht="24.95" customHeight="1">
      <c r="A85" s="165">
        <v>84</v>
      </c>
      <c r="B85" s="166">
        <v>20</v>
      </c>
      <c r="C85" s="167">
        <v>32</v>
      </c>
      <c r="D85" s="167">
        <v>19.5</v>
      </c>
      <c r="E85" s="167">
        <v>155</v>
      </c>
      <c r="F85" s="167">
        <v>75</v>
      </c>
      <c r="G85" s="168" t="s">
        <v>1797</v>
      </c>
      <c r="H85" s="167">
        <f t="shared" si="14"/>
        <v>0.184</v>
      </c>
      <c r="I85" s="186"/>
      <c r="J85" s="187">
        <f t="shared" si="15"/>
        <v>0</v>
      </c>
      <c r="L85" s="225">
        <v>84</v>
      </c>
      <c r="M85" s="226">
        <v>13</v>
      </c>
      <c r="N85" s="226">
        <v>40</v>
      </c>
      <c r="O85" s="226">
        <v>9.5</v>
      </c>
      <c r="P85" s="226">
        <v>205</v>
      </c>
      <c r="Q85" s="226">
        <v>40</v>
      </c>
      <c r="R85" s="226" t="s">
        <v>1866</v>
      </c>
      <c r="S85" s="226">
        <f t="shared" si="21"/>
        <v>7.9000000000000001E-2</v>
      </c>
      <c r="T85" s="196"/>
      <c r="U85" s="231">
        <f t="shared" si="16"/>
        <v>0</v>
      </c>
      <c r="W85" s="225">
        <v>7</v>
      </c>
      <c r="X85" s="226" t="s">
        <v>2882</v>
      </c>
      <c r="Y85" s="226">
        <v>18</v>
      </c>
      <c r="Z85" s="226">
        <v>71.5</v>
      </c>
      <c r="AA85" s="226">
        <v>47.5</v>
      </c>
      <c r="AB85" s="226">
        <v>10</v>
      </c>
      <c r="AC85" s="226" t="s">
        <v>2074</v>
      </c>
      <c r="AD85" s="226">
        <f t="shared" si="22"/>
        <v>0.39400000000000002</v>
      </c>
      <c r="AE85" s="213"/>
      <c r="AF85" s="231">
        <f t="shared" si="17"/>
        <v>0</v>
      </c>
    </row>
    <row r="86" spans="1:43" ht="24.95" customHeight="1">
      <c r="A86" s="152">
        <v>85</v>
      </c>
      <c r="B86" s="153">
        <v>72</v>
      </c>
      <c r="C86" s="154">
        <v>32</v>
      </c>
      <c r="D86" s="154">
        <v>71.5</v>
      </c>
      <c r="E86" s="154">
        <v>135</v>
      </c>
      <c r="F86" s="154">
        <v>75</v>
      </c>
      <c r="G86" s="155" t="s">
        <v>1956</v>
      </c>
      <c r="H86" s="154">
        <f t="shared" ref="H86:H99" si="23">ROUND(C86*D86*0.0254*E86/1000*F86/1000,3)</f>
        <v>0.58799999999999997</v>
      </c>
      <c r="I86" s="186"/>
      <c r="J86" s="187">
        <f t="shared" si="15"/>
        <v>0</v>
      </c>
      <c r="L86" s="227">
        <v>85</v>
      </c>
      <c r="M86" s="228">
        <v>18</v>
      </c>
      <c r="N86" s="228">
        <v>40</v>
      </c>
      <c r="O86" s="228">
        <v>14.5</v>
      </c>
      <c r="P86" s="228">
        <v>205</v>
      </c>
      <c r="Q86" s="228">
        <v>40</v>
      </c>
      <c r="R86" s="228" t="s">
        <v>1867</v>
      </c>
      <c r="S86" s="228">
        <f t="shared" si="21"/>
        <v>0.121</v>
      </c>
      <c r="T86" s="196"/>
      <c r="U86" s="232">
        <f t="shared" si="16"/>
        <v>0</v>
      </c>
      <c r="W86" s="225">
        <v>8</v>
      </c>
      <c r="X86" s="226" t="s">
        <v>2883</v>
      </c>
      <c r="Y86" s="226">
        <v>18</v>
      </c>
      <c r="Z86" s="226">
        <v>71.5</v>
      </c>
      <c r="AA86" s="226">
        <v>50.5</v>
      </c>
      <c r="AB86" s="226">
        <v>10</v>
      </c>
      <c r="AC86" s="226" t="s">
        <v>2075</v>
      </c>
      <c r="AD86" s="226">
        <f t="shared" si="22"/>
        <v>0.41899999999999998</v>
      </c>
      <c r="AE86" s="213"/>
      <c r="AF86" s="231">
        <f t="shared" si="17"/>
        <v>0</v>
      </c>
    </row>
    <row r="87" spans="1:43" ht="24.95" customHeight="1">
      <c r="A87" s="121">
        <v>86</v>
      </c>
      <c r="B87" s="122">
        <v>75</v>
      </c>
      <c r="C87" s="123">
        <v>32</v>
      </c>
      <c r="D87" s="123">
        <v>74.5</v>
      </c>
      <c r="E87" s="123">
        <v>135</v>
      </c>
      <c r="F87" s="123">
        <v>75</v>
      </c>
      <c r="G87" s="156" t="s">
        <v>1957</v>
      </c>
      <c r="H87" s="123">
        <f t="shared" si="23"/>
        <v>0.61299999999999999</v>
      </c>
      <c r="I87" s="186"/>
      <c r="J87" s="187">
        <f t="shared" si="15"/>
        <v>0</v>
      </c>
      <c r="L87" s="152">
        <v>1</v>
      </c>
      <c r="M87" s="153">
        <v>30</v>
      </c>
      <c r="N87" s="154">
        <v>40</v>
      </c>
      <c r="O87" s="154">
        <v>24</v>
      </c>
      <c r="P87" s="154">
        <v>115</v>
      </c>
      <c r="Q87" s="154">
        <v>75</v>
      </c>
      <c r="R87" s="155" t="s">
        <v>655</v>
      </c>
      <c r="S87" s="154">
        <f t="shared" si="21"/>
        <v>0.21</v>
      </c>
      <c r="T87" s="196"/>
      <c r="U87" s="197">
        <f t="shared" si="16"/>
        <v>0</v>
      </c>
      <c r="W87" s="225">
        <v>9</v>
      </c>
      <c r="X87" s="226" t="s">
        <v>2884</v>
      </c>
      <c r="Y87" s="226">
        <v>18</v>
      </c>
      <c r="Z87" s="226">
        <v>71.5</v>
      </c>
      <c r="AA87" s="226">
        <v>53.5</v>
      </c>
      <c r="AB87" s="226">
        <v>10</v>
      </c>
      <c r="AC87" s="226" t="s">
        <v>2076</v>
      </c>
      <c r="AD87" s="226">
        <f t="shared" si="22"/>
        <v>0.44400000000000001</v>
      </c>
      <c r="AE87" s="213"/>
      <c r="AF87" s="231">
        <f t="shared" si="17"/>
        <v>0</v>
      </c>
    </row>
    <row r="88" spans="1:43" ht="24.95" customHeight="1">
      <c r="A88" s="121">
        <v>87</v>
      </c>
      <c r="B88" s="122">
        <v>78</v>
      </c>
      <c r="C88" s="123">
        <v>32</v>
      </c>
      <c r="D88" s="123">
        <v>77.5</v>
      </c>
      <c r="E88" s="123">
        <v>135</v>
      </c>
      <c r="F88" s="123">
        <v>75</v>
      </c>
      <c r="G88" s="156" t="s">
        <v>1958</v>
      </c>
      <c r="H88" s="123">
        <f t="shared" si="23"/>
        <v>0.63800000000000001</v>
      </c>
      <c r="I88" s="186"/>
      <c r="J88" s="187">
        <f t="shared" si="15"/>
        <v>0</v>
      </c>
      <c r="L88" s="121">
        <v>2</v>
      </c>
      <c r="M88" s="122">
        <v>33</v>
      </c>
      <c r="N88" s="123">
        <v>40</v>
      </c>
      <c r="O88" s="123">
        <v>27</v>
      </c>
      <c r="P88" s="123">
        <v>115</v>
      </c>
      <c r="Q88" s="123">
        <v>75</v>
      </c>
      <c r="R88" s="120" t="s">
        <v>1868</v>
      </c>
      <c r="S88" s="123">
        <f t="shared" ref="S88:S104" si="24">ROUND(N88*O88*0.0254*P88/1000*Q88/1000,3)</f>
        <v>0.23699999999999999</v>
      </c>
      <c r="T88" s="196"/>
      <c r="U88" s="187">
        <f t="shared" si="16"/>
        <v>0</v>
      </c>
      <c r="W88" s="225">
        <v>10</v>
      </c>
      <c r="X88" s="226" t="s">
        <v>2885</v>
      </c>
      <c r="Y88" s="226">
        <v>18</v>
      </c>
      <c r="Z88" s="226">
        <v>71.5</v>
      </c>
      <c r="AA88" s="226">
        <v>56.5</v>
      </c>
      <c r="AB88" s="226">
        <v>10</v>
      </c>
      <c r="AC88" s="226" t="s">
        <v>2077</v>
      </c>
      <c r="AD88" s="226">
        <f t="shared" si="22"/>
        <v>0.46899999999999997</v>
      </c>
      <c r="AE88" s="213"/>
      <c r="AF88" s="231">
        <f t="shared" si="17"/>
        <v>0</v>
      </c>
    </row>
    <row r="89" spans="1:43" ht="24.95" customHeight="1">
      <c r="A89" s="121">
        <v>88</v>
      </c>
      <c r="B89" s="122">
        <v>80</v>
      </c>
      <c r="C89" s="123">
        <v>32</v>
      </c>
      <c r="D89" s="123">
        <v>79.5</v>
      </c>
      <c r="E89" s="123">
        <v>135</v>
      </c>
      <c r="F89" s="123">
        <v>75</v>
      </c>
      <c r="G89" s="156" t="s">
        <v>1959</v>
      </c>
      <c r="H89" s="123">
        <f t="shared" si="23"/>
        <v>0.65400000000000003</v>
      </c>
      <c r="I89" s="186"/>
      <c r="J89" s="187">
        <f t="shared" si="15"/>
        <v>0</v>
      </c>
      <c r="L89" s="121">
        <v>3</v>
      </c>
      <c r="M89" s="122">
        <v>36</v>
      </c>
      <c r="N89" s="123">
        <v>40</v>
      </c>
      <c r="O89" s="123">
        <v>30</v>
      </c>
      <c r="P89" s="123">
        <v>115</v>
      </c>
      <c r="Q89" s="123">
        <v>75</v>
      </c>
      <c r="R89" s="120" t="s">
        <v>658</v>
      </c>
      <c r="S89" s="123">
        <f t="shared" si="24"/>
        <v>0.26300000000000001</v>
      </c>
      <c r="T89" s="196"/>
      <c r="U89" s="187">
        <f t="shared" si="16"/>
        <v>0</v>
      </c>
      <c r="W89" s="225">
        <v>11</v>
      </c>
      <c r="X89" s="226" t="s">
        <v>2886</v>
      </c>
      <c r="Y89" s="226">
        <v>18</v>
      </c>
      <c r="Z89" s="226">
        <v>71.5</v>
      </c>
      <c r="AA89" s="226">
        <v>59.5</v>
      </c>
      <c r="AB89" s="226">
        <v>10</v>
      </c>
      <c r="AC89" s="226" t="s">
        <v>2078</v>
      </c>
      <c r="AD89" s="226">
        <f t="shared" si="22"/>
        <v>0.49399999999999999</v>
      </c>
      <c r="AE89" s="213"/>
      <c r="AF89" s="231">
        <f t="shared" si="17"/>
        <v>0</v>
      </c>
    </row>
    <row r="90" spans="1:43" ht="24.95" customHeight="1">
      <c r="A90" s="121">
        <v>89</v>
      </c>
      <c r="B90" s="122">
        <v>84</v>
      </c>
      <c r="C90" s="123">
        <v>32</v>
      </c>
      <c r="D90" s="123">
        <v>83.5</v>
      </c>
      <c r="E90" s="123">
        <v>135</v>
      </c>
      <c r="F90" s="123">
        <v>75</v>
      </c>
      <c r="G90" s="156" t="s">
        <v>1960</v>
      </c>
      <c r="H90" s="123">
        <f t="shared" si="23"/>
        <v>0.68700000000000006</v>
      </c>
      <c r="I90" s="186"/>
      <c r="J90" s="187">
        <f t="shared" si="15"/>
        <v>0</v>
      </c>
      <c r="L90" s="121">
        <v>4</v>
      </c>
      <c r="M90" s="122">
        <v>39</v>
      </c>
      <c r="N90" s="123">
        <v>40</v>
      </c>
      <c r="O90" s="123">
        <v>33</v>
      </c>
      <c r="P90" s="123">
        <v>115</v>
      </c>
      <c r="Q90" s="123">
        <v>75</v>
      </c>
      <c r="R90" s="120" t="s">
        <v>1869</v>
      </c>
      <c r="S90" s="123">
        <f t="shared" si="24"/>
        <v>0.28899999999999998</v>
      </c>
      <c r="T90" s="196"/>
      <c r="U90" s="187">
        <f t="shared" si="16"/>
        <v>0</v>
      </c>
      <c r="W90" s="225">
        <v>12</v>
      </c>
      <c r="X90" s="226" t="s">
        <v>2887</v>
      </c>
      <c r="Y90" s="226">
        <v>18</v>
      </c>
      <c r="Z90" s="226">
        <v>71.5</v>
      </c>
      <c r="AA90" s="226">
        <v>62.5</v>
      </c>
      <c r="AB90" s="226">
        <v>10</v>
      </c>
      <c r="AC90" s="226" t="s">
        <v>2079</v>
      </c>
      <c r="AD90" s="226">
        <f t="shared" si="22"/>
        <v>0.51900000000000002</v>
      </c>
      <c r="AE90" s="213"/>
      <c r="AF90" s="231">
        <f t="shared" si="17"/>
        <v>0</v>
      </c>
    </row>
    <row r="91" spans="1:43" ht="24.95" customHeight="1">
      <c r="A91" s="121">
        <v>90</v>
      </c>
      <c r="B91" s="122">
        <v>13</v>
      </c>
      <c r="C91" s="123">
        <v>32</v>
      </c>
      <c r="D91" s="123">
        <v>12.5</v>
      </c>
      <c r="E91" s="123">
        <v>135</v>
      </c>
      <c r="F91" s="123">
        <v>75</v>
      </c>
      <c r="G91" s="156" t="s">
        <v>1961</v>
      </c>
      <c r="H91" s="123">
        <f t="shared" si="23"/>
        <v>0.10299999999999999</v>
      </c>
      <c r="I91" s="186"/>
      <c r="J91" s="187">
        <f t="shared" si="15"/>
        <v>0</v>
      </c>
      <c r="L91" s="121">
        <v>5</v>
      </c>
      <c r="M91" s="122">
        <v>42</v>
      </c>
      <c r="N91" s="123">
        <v>40</v>
      </c>
      <c r="O91" s="123">
        <v>36</v>
      </c>
      <c r="P91" s="123">
        <v>115</v>
      </c>
      <c r="Q91" s="123">
        <v>75</v>
      </c>
      <c r="R91" s="120" t="s">
        <v>661</v>
      </c>
      <c r="S91" s="123">
        <f t="shared" si="24"/>
        <v>0.315</v>
      </c>
      <c r="T91" s="196"/>
      <c r="U91" s="187">
        <f t="shared" si="16"/>
        <v>0</v>
      </c>
      <c r="W91" s="225">
        <v>13</v>
      </c>
      <c r="X91" s="226" t="s">
        <v>2888</v>
      </c>
      <c r="Y91" s="226">
        <v>18</v>
      </c>
      <c r="Z91" s="226">
        <v>71.5</v>
      </c>
      <c r="AA91" s="226">
        <v>65.5</v>
      </c>
      <c r="AB91" s="226">
        <v>10</v>
      </c>
      <c r="AC91" s="226" t="s">
        <v>2080</v>
      </c>
      <c r="AD91" s="226">
        <f t="shared" si="22"/>
        <v>0.54400000000000004</v>
      </c>
      <c r="AE91" s="213"/>
      <c r="AF91" s="231">
        <f t="shared" si="17"/>
        <v>0</v>
      </c>
    </row>
    <row r="92" spans="1:43" ht="24.95" customHeight="1">
      <c r="A92" s="157">
        <v>91</v>
      </c>
      <c r="B92" s="158">
        <v>20</v>
      </c>
      <c r="C92" s="159">
        <v>32</v>
      </c>
      <c r="D92" s="159">
        <v>19.5</v>
      </c>
      <c r="E92" s="123">
        <v>135</v>
      </c>
      <c r="F92" s="159">
        <v>75</v>
      </c>
      <c r="G92" s="160" t="s">
        <v>1962</v>
      </c>
      <c r="H92" s="159">
        <f t="shared" si="23"/>
        <v>0.16</v>
      </c>
      <c r="I92" s="186"/>
      <c r="J92" s="187">
        <f t="shared" si="15"/>
        <v>0</v>
      </c>
      <c r="L92" s="121">
        <v>6</v>
      </c>
      <c r="M92" s="122">
        <v>45</v>
      </c>
      <c r="N92" s="123">
        <v>40</v>
      </c>
      <c r="O92" s="123">
        <v>39</v>
      </c>
      <c r="P92" s="123">
        <v>115</v>
      </c>
      <c r="Q92" s="123">
        <v>75</v>
      </c>
      <c r="R92" s="120" t="s">
        <v>1870</v>
      </c>
      <c r="S92" s="123">
        <f t="shared" si="24"/>
        <v>0.34200000000000003</v>
      </c>
      <c r="T92" s="196"/>
      <c r="U92" s="187">
        <f t="shared" si="16"/>
        <v>0</v>
      </c>
      <c r="W92" s="225">
        <v>14</v>
      </c>
      <c r="X92" s="226" t="s">
        <v>2889</v>
      </c>
      <c r="Y92" s="226">
        <v>18</v>
      </c>
      <c r="Z92" s="226">
        <v>71.5</v>
      </c>
      <c r="AA92" s="226">
        <v>68.5</v>
      </c>
      <c r="AB92" s="226">
        <v>10</v>
      </c>
      <c r="AC92" s="226" t="s">
        <v>2081</v>
      </c>
      <c r="AD92" s="226">
        <f t="shared" si="22"/>
        <v>0.56899999999999995</v>
      </c>
      <c r="AE92" s="213"/>
      <c r="AF92" s="231">
        <f t="shared" si="17"/>
        <v>0</v>
      </c>
    </row>
    <row r="93" spans="1:43" ht="24.95" customHeight="1">
      <c r="A93" s="161">
        <v>92</v>
      </c>
      <c r="B93" s="162">
        <v>72</v>
      </c>
      <c r="C93" s="163">
        <v>32</v>
      </c>
      <c r="D93" s="163">
        <v>71.5</v>
      </c>
      <c r="E93" s="163">
        <v>205</v>
      </c>
      <c r="F93" s="163">
        <v>75</v>
      </c>
      <c r="G93" s="164" t="s">
        <v>1963</v>
      </c>
      <c r="H93" s="163">
        <f t="shared" si="23"/>
        <v>0.89400000000000002</v>
      </c>
      <c r="I93" s="186"/>
      <c r="J93" s="187">
        <f t="shared" si="15"/>
        <v>0</v>
      </c>
      <c r="L93" s="121">
        <v>7</v>
      </c>
      <c r="M93" s="122">
        <v>48</v>
      </c>
      <c r="N93" s="123">
        <v>40</v>
      </c>
      <c r="O93" s="123">
        <v>42</v>
      </c>
      <c r="P93" s="123">
        <v>115</v>
      </c>
      <c r="Q93" s="123">
        <v>75</v>
      </c>
      <c r="R93" s="120" t="s">
        <v>664</v>
      </c>
      <c r="S93" s="123">
        <f t="shared" si="24"/>
        <v>0.36799999999999999</v>
      </c>
      <c r="T93" s="196"/>
      <c r="U93" s="187">
        <f t="shared" si="16"/>
        <v>0</v>
      </c>
      <c r="W93" s="225">
        <v>15</v>
      </c>
      <c r="X93" s="226" t="s">
        <v>2890</v>
      </c>
      <c r="Y93" s="226">
        <v>18</v>
      </c>
      <c r="Z93" s="226">
        <v>71.5</v>
      </c>
      <c r="AA93" s="226">
        <v>71.5</v>
      </c>
      <c r="AB93" s="226">
        <v>10</v>
      </c>
      <c r="AC93" s="226" t="s">
        <v>2082</v>
      </c>
      <c r="AD93" s="226">
        <f t="shared" si="22"/>
        <v>0.59399999999999997</v>
      </c>
      <c r="AE93" s="213"/>
      <c r="AF93" s="231">
        <f t="shared" si="17"/>
        <v>0</v>
      </c>
    </row>
    <row r="94" spans="1:43" ht="24.95" customHeight="1">
      <c r="A94" s="124">
        <v>93</v>
      </c>
      <c r="B94" s="125">
        <v>75</v>
      </c>
      <c r="C94" s="126">
        <v>32</v>
      </c>
      <c r="D94" s="126">
        <v>74.5</v>
      </c>
      <c r="E94" s="126">
        <v>205</v>
      </c>
      <c r="F94" s="126">
        <v>75</v>
      </c>
      <c r="G94" s="127" t="s">
        <v>1964</v>
      </c>
      <c r="H94" s="126">
        <f t="shared" si="23"/>
        <v>0.93100000000000005</v>
      </c>
      <c r="I94" s="186"/>
      <c r="J94" s="187">
        <f t="shared" si="15"/>
        <v>0</v>
      </c>
      <c r="L94" s="121">
        <v>8</v>
      </c>
      <c r="M94" s="121">
        <v>51</v>
      </c>
      <c r="N94" s="122">
        <v>40</v>
      </c>
      <c r="O94" s="123">
        <v>45</v>
      </c>
      <c r="P94" s="123">
        <v>115</v>
      </c>
      <c r="Q94" s="123">
        <v>75</v>
      </c>
      <c r="R94" s="120" t="s">
        <v>1871</v>
      </c>
      <c r="S94" s="123">
        <f t="shared" si="24"/>
        <v>0.39400000000000002</v>
      </c>
      <c r="T94" s="196"/>
      <c r="U94" s="187">
        <f t="shared" si="16"/>
        <v>0</v>
      </c>
      <c r="W94" s="225">
        <v>16</v>
      </c>
      <c r="X94" s="226" t="s">
        <v>2891</v>
      </c>
      <c r="Y94" s="226">
        <v>18</v>
      </c>
      <c r="Z94" s="226">
        <v>74.5</v>
      </c>
      <c r="AA94" s="226">
        <v>29.5</v>
      </c>
      <c r="AB94" s="226">
        <v>10</v>
      </c>
      <c r="AC94" s="226" t="s">
        <v>2083</v>
      </c>
      <c r="AD94" s="226">
        <f t="shared" si="22"/>
        <v>0.255</v>
      </c>
      <c r="AE94" s="213"/>
      <c r="AF94" s="231">
        <f t="shared" si="17"/>
        <v>0</v>
      </c>
    </row>
    <row r="95" spans="1:43" ht="24.95" customHeight="1">
      <c r="A95" s="124">
        <v>94</v>
      </c>
      <c r="B95" s="125">
        <v>78</v>
      </c>
      <c r="C95" s="126">
        <v>32</v>
      </c>
      <c r="D95" s="126">
        <v>77.5</v>
      </c>
      <c r="E95" s="126">
        <v>205</v>
      </c>
      <c r="F95" s="126">
        <v>75</v>
      </c>
      <c r="G95" s="127" t="s">
        <v>1965</v>
      </c>
      <c r="H95" s="126">
        <f t="shared" si="23"/>
        <v>0.96899999999999997</v>
      </c>
      <c r="I95" s="186"/>
      <c r="J95" s="187">
        <f t="shared" si="15"/>
        <v>0</v>
      </c>
      <c r="L95" s="121">
        <v>9</v>
      </c>
      <c r="M95" s="121">
        <v>54</v>
      </c>
      <c r="N95" s="122">
        <v>40</v>
      </c>
      <c r="O95" s="123">
        <v>48</v>
      </c>
      <c r="P95" s="123">
        <v>115</v>
      </c>
      <c r="Q95" s="123">
        <v>75</v>
      </c>
      <c r="R95" s="120" t="s">
        <v>1872</v>
      </c>
      <c r="S95" s="123">
        <f t="shared" si="24"/>
        <v>0.42099999999999999</v>
      </c>
      <c r="T95" s="196"/>
      <c r="U95" s="187">
        <f t="shared" si="16"/>
        <v>0</v>
      </c>
      <c r="W95" s="225">
        <v>17</v>
      </c>
      <c r="X95" s="226" t="s">
        <v>2892</v>
      </c>
      <c r="Y95" s="226">
        <v>18</v>
      </c>
      <c r="Z95" s="226">
        <v>74.5</v>
      </c>
      <c r="AA95" s="226">
        <v>32.5</v>
      </c>
      <c r="AB95" s="226">
        <v>10</v>
      </c>
      <c r="AC95" s="226" t="s">
        <v>2084</v>
      </c>
      <c r="AD95" s="226">
        <f t="shared" si="22"/>
        <v>0.28100000000000003</v>
      </c>
      <c r="AE95" s="213"/>
      <c r="AF95" s="231">
        <f t="shared" si="17"/>
        <v>0</v>
      </c>
    </row>
    <row r="96" spans="1:43" ht="24.95" customHeight="1">
      <c r="A96" s="124">
        <v>95</v>
      </c>
      <c r="B96" s="125">
        <v>80</v>
      </c>
      <c r="C96" s="126">
        <v>32</v>
      </c>
      <c r="D96" s="126">
        <v>79.5</v>
      </c>
      <c r="E96" s="126">
        <v>205</v>
      </c>
      <c r="F96" s="126">
        <v>75</v>
      </c>
      <c r="G96" s="127" t="s">
        <v>1966</v>
      </c>
      <c r="H96" s="126">
        <f t="shared" si="23"/>
        <v>0.99299999999999999</v>
      </c>
      <c r="I96" s="186"/>
      <c r="J96" s="187">
        <f t="shared" si="15"/>
        <v>0</v>
      </c>
      <c r="L96" s="121">
        <v>10</v>
      </c>
      <c r="M96" s="121">
        <v>57</v>
      </c>
      <c r="N96" s="122">
        <v>40</v>
      </c>
      <c r="O96" s="123">
        <v>51</v>
      </c>
      <c r="P96" s="123">
        <v>115</v>
      </c>
      <c r="Q96" s="123">
        <v>75</v>
      </c>
      <c r="R96" s="120" t="s">
        <v>1873</v>
      </c>
      <c r="S96" s="123">
        <f t="shared" si="24"/>
        <v>0.44700000000000001</v>
      </c>
      <c r="T96" s="196"/>
      <c r="U96" s="187">
        <f t="shared" si="16"/>
        <v>0</v>
      </c>
      <c r="W96" s="225">
        <v>18</v>
      </c>
      <c r="X96" s="226" t="s">
        <v>2893</v>
      </c>
      <c r="Y96" s="226">
        <v>18</v>
      </c>
      <c r="Z96" s="226">
        <v>74.5</v>
      </c>
      <c r="AA96" s="226">
        <v>35.5</v>
      </c>
      <c r="AB96" s="226">
        <v>10</v>
      </c>
      <c r="AC96" s="226" t="s">
        <v>2085</v>
      </c>
      <c r="AD96" s="226">
        <f t="shared" si="22"/>
        <v>0.307</v>
      </c>
      <c r="AE96" s="213"/>
      <c r="AF96" s="231">
        <f t="shared" si="17"/>
        <v>0</v>
      </c>
    </row>
    <row r="97" spans="1:32" ht="24.95" customHeight="1">
      <c r="A97" s="124">
        <v>96</v>
      </c>
      <c r="B97" s="125">
        <v>84</v>
      </c>
      <c r="C97" s="126">
        <v>32</v>
      </c>
      <c r="D97" s="126">
        <v>83.5</v>
      </c>
      <c r="E97" s="126">
        <v>205</v>
      </c>
      <c r="F97" s="126">
        <v>75</v>
      </c>
      <c r="G97" s="127" t="s">
        <v>1967</v>
      </c>
      <c r="H97" s="126">
        <f t="shared" si="23"/>
        <v>1.0429999999999999</v>
      </c>
      <c r="I97" s="186"/>
      <c r="J97" s="187">
        <f t="shared" si="15"/>
        <v>0</v>
      </c>
      <c r="L97" s="121">
        <v>11</v>
      </c>
      <c r="M97" s="121">
        <v>60</v>
      </c>
      <c r="N97" s="122">
        <v>40</v>
      </c>
      <c r="O97" s="123">
        <v>54</v>
      </c>
      <c r="P97" s="123">
        <v>115</v>
      </c>
      <c r="Q97" s="123">
        <v>75</v>
      </c>
      <c r="R97" s="120" t="s">
        <v>667</v>
      </c>
      <c r="S97" s="123">
        <f t="shared" si="24"/>
        <v>0.47299999999999998</v>
      </c>
      <c r="T97" s="196"/>
      <c r="U97" s="187">
        <f t="shared" si="16"/>
        <v>0</v>
      </c>
      <c r="W97" s="225">
        <v>19</v>
      </c>
      <c r="X97" s="226" t="s">
        <v>2895</v>
      </c>
      <c r="Y97" s="226">
        <v>18</v>
      </c>
      <c r="Z97" s="226">
        <v>74.5</v>
      </c>
      <c r="AA97" s="226">
        <v>38.5</v>
      </c>
      <c r="AB97" s="226">
        <v>10</v>
      </c>
      <c r="AC97" s="226" t="s">
        <v>2086</v>
      </c>
      <c r="AD97" s="226">
        <f t="shared" si="22"/>
        <v>0.33300000000000002</v>
      </c>
      <c r="AE97" s="213"/>
      <c r="AF97" s="231">
        <f t="shared" si="17"/>
        <v>0</v>
      </c>
    </row>
    <row r="98" spans="1:32" ht="24.95" customHeight="1">
      <c r="A98" s="124">
        <v>97</v>
      </c>
      <c r="B98" s="125">
        <v>13</v>
      </c>
      <c r="C98" s="126">
        <v>32</v>
      </c>
      <c r="D98" s="126">
        <v>12.5</v>
      </c>
      <c r="E98" s="126">
        <v>205</v>
      </c>
      <c r="F98" s="126">
        <v>75</v>
      </c>
      <c r="G98" s="127" t="s">
        <v>1968</v>
      </c>
      <c r="H98" s="126">
        <f t="shared" si="23"/>
        <v>0.156</v>
      </c>
      <c r="I98" s="186"/>
      <c r="J98" s="187">
        <f t="shared" si="15"/>
        <v>0</v>
      </c>
      <c r="L98" s="121">
        <v>12</v>
      </c>
      <c r="M98" s="121">
        <v>63</v>
      </c>
      <c r="N98" s="122">
        <v>40</v>
      </c>
      <c r="O98" s="123">
        <v>57</v>
      </c>
      <c r="P98" s="123">
        <v>115</v>
      </c>
      <c r="Q98" s="123">
        <v>75</v>
      </c>
      <c r="R98" s="120" t="s">
        <v>1874</v>
      </c>
      <c r="S98" s="123">
        <f t="shared" si="24"/>
        <v>0.499</v>
      </c>
      <c r="T98" s="196"/>
      <c r="U98" s="187">
        <f t="shared" si="16"/>
        <v>0</v>
      </c>
      <c r="W98" s="225">
        <v>20</v>
      </c>
      <c r="X98" s="226" t="s">
        <v>2897</v>
      </c>
      <c r="Y98" s="226">
        <v>18</v>
      </c>
      <c r="Z98" s="226">
        <v>74.5</v>
      </c>
      <c r="AA98" s="226">
        <v>41.5</v>
      </c>
      <c r="AB98" s="226">
        <v>10</v>
      </c>
      <c r="AC98" s="226" t="s">
        <v>2087</v>
      </c>
      <c r="AD98" s="226">
        <f t="shared" si="22"/>
        <v>0.35899999999999999</v>
      </c>
      <c r="AE98" s="213"/>
      <c r="AF98" s="231">
        <f t="shared" si="17"/>
        <v>0</v>
      </c>
    </row>
    <row r="99" spans="1:32" ht="24.95" customHeight="1">
      <c r="A99" s="165">
        <v>98</v>
      </c>
      <c r="B99" s="166">
        <v>20</v>
      </c>
      <c r="C99" s="167">
        <v>32</v>
      </c>
      <c r="D99" s="167">
        <v>19.5</v>
      </c>
      <c r="E99" s="167">
        <v>205</v>
      </c>
      <c r="F99" s="167">
        <v>75</v>
      </c>
      <c r="G99" s="168" t="s">
        <v>1969</v>
      </c>
      <c r="H99" s="167">
        <f t="shared" si="23"/>
        <v>0.24399999999999999</v>
      </c>
      <c r="I99" s="186"/>
      <c r="J99" s="187">
        <f t="shared" si="15"/>
        <v>0</v>
      </c>
      <c r="L99" s="121">
        <v>13</v>
      </c>
      <c r="M99" s="121">
        <v>66</v>
      </c>
      <c r="N99" s="122">
        <v>40</v>
      </c>
      <c r="O99" s="123">
        <v>60</v>
      </c>
      <c r="P99" s="123">
        <v>115</v>
      </c>
      <c r="Q99" s="123">
        <v>75</v>
      </c>
      <c r="R99" s="120" t="s">
        <v>670</v>
      </c>
      <c r="S99" s="123">
        <f t="shared" si="24"/>
        <v>0.52600000000000002</v>
      </c>
      <c r="T99" s="196"/>
      <c r="U99" s="187">
        <f t="shared" si="16"/>
        <v>0</v>
      </c>
      <c r="W99" s="225">
        <v>21</v>
      </c>
      <c r="X99" s="226" t="s">
        <v>2898</v>
      </c>
      <c r="Y99" s="226">
        <v>18</v>
      </c>
      <c r="Z99" s="226">
        <v>74.5</v>
      </c>
      <c r="AA99" s="226">
        <v>44.5</v>
      </c>
      <c r="AB99" s="226">
        <v>10</v>
      </c>
      <c r="AC99" s="226" t="s">
        <v>2088</v>
      </c>
      <c r="AD99" s="226">
        <f t="shared" si="22"/>
        <v>0.38500000000000001</v>
      </c>
      <c r="AE99" s="213"/>
      <c r="AF99" s="231">
        <f t="shared" si="17"/>
        <v>0</v>
      </c>
    </row>
    <row r="100" spans="1:32" ht="24.95" customHeight="1">
      <c r="A100" s="153">
        <v>99</v>
      </c>
      <c r="B100" s="153">
        <v>72</v>
      </c>
      <c r="C100" s="154">
        <v>40</v>
      </c>
      <c r="D100" s="154">
        <v>71.5</v>
      </c>
      <c r="E100" s="154">
        <v>95</v>
      </c>
      <c r="F100" s="154">
        <v>75</v>
      </c>
      <c r="G100" s="155" t="s">
        <v>1970</v>
      </c>
      <c r="H100" s="154">
        <f t="shared" ref="H100:H106" si="25">ROUND(C100*D100*0.0254*E100/1000*F100/1000,3)</f>
        <v>0.51800000000000002</v>
      </c>
      <c r="I100" s="186"/>
      <c r="J100" s="187">
        <f t="shared" ref="J100:J106" si="26">+H100*I100</f>
        <v>0</v>
      </c>
      <c r="L100" s="188">
        <v>14</v>
      </c>
      <c r="M100" s="188">
        <v>69</v>
      </c>
      <c r="N100" s="189">
        <v>40</v>
      </c>
      <c r="O100" s="190">
        <v>63</v>
      </c>
      <c r="P100" s="190">
        <v>115</v>
      </c>
      <c r="Q100" s="190">
        <v>75</v>
      </c>
      <c r="R100" s="120" t="s">
        <v>1875</v>
      </c>
      <c r="S100" s="190">
        <f t="shared" si="24"/>
        <v>0.55200000000000005</v>
      </c>
      <c r="T100" s="196"/>
      <c r="U100" s="187">
        <f t="shared" si="16"/>
        <v>0</v>
      </c>
      <c r="W100" s="225">
        <v>22</v>
      </c>
      <c r="X100" s="226" t="s">
        <v>2899</v>
      </c>
      <c r="Y100" s="226">
        <v>18</v>
      </c>
      <c r="Z100" s="226">
        <v>74.5</v>
      </c>
      <c r="AA100" s="226">
        <v>47.5</v>
      </c>
      <c r="AB100" s="226">
        <v>10</v>
      </c>
      <c r="AC100" s="226" t="s">
        <v>2089</v>
      </c>
      <c r="AD100" s="226">
        <f t="shared" si="22"/>
        <v>0.41099999999999998</v>
      </c>
      <c r="AE100" s="213"/>
      <c r="AF100" s="231">
        <f t="shared" si="17"/>
        <v>0</v>
      </c>
    </row>
    <row r="101" spans="1:32" ht="24.95" customHeight="1">
      <c r="A101" s="122">
        <v>100</v>
      </c>
      <c r="B101" s="122">
        <v>75</v>
      </c>
      <c r="C101" s="123">
        <v>40</v>
      </c>
      <c r="D101" s="123">
        <v>74.5</v>
      </c>
      <c r="E101" s="123">
        <v>95</v>
      </c>
      <c r="F101" s="123">
        <v>75</v>
      </c>
      <c r="G101" s="156" t="s">
        <v>1971</v>
      </c>
      <c r="H101" s="123">
        <f t="shared" si="25"/>
        <v>0.53900000000000003</v>
      </c>
      <c r="I101" s="186"/>
      <c r="J101" s="187">
        <f t="shared" si="26"/>
        <v>0</v>
      </c>
      <c r="L101" s="121">
        <v>15</v>
      </c>
      <c r="M101" s="121">
        <v>72</v>
      </c>
      <c r="N101" s="122">
        <v>40</v>
      </c>
      <c r="O101" s="123">
        <v>66</v>
      </c>
      <c r="P101" s="123">
        <v>115</v>
      </c>
      <c r="Q101" s="123">
        <v>75</v>
      </c>
      <c r="R101" s="120" t="s">
        <v>673</v>
      </c>
      <c r="S101" s="123">
        <f t="shared" si="24"/>
        <v>0.57799999999999996</v>
      </c>
      <c r="T101" s="196"/>
      <c r="U101" s="187">
        <f t="shared" si="16"/>
        <v>0</v>
      </c>
      <c r="W101" s="225">
        <v>23</v>
      </c>
      <c r="X101" s="226" t="s">
        <v>2900</v>
      </c>
      <c r="Y101" s="226">
        <v>18</v>
      </c>
      <c r="Z101" s="226">
        <v>74.5</v>
      </c>
      <c r="AA101" s="226">
        <v>50.5</v>
      </c>
      <c r="AB101" s="226">
        <v>10</v>
      </c>
      <c r="AC101" s="226" t="s">
        <v>2090</v>
      </c>
      <c r="AD101" s="226">
        <f t="shared" si="22"/>
        <v>0.437</v>
      </c>
      <c r="AE101" s="213"/>
      <c r="AF101" s="231">
        <f t="shared" si="17"/>
        <v>0</v>
      </c>
    </row>
    <row r="102" spans="1:32" ht="24.95" customHeight="1">
      <c r="A102" s="122">
        <v>101</v>
      </c>
      <c r="B102" s="122">
        <v>78</v>
      </c>
      <c r="C102" s="123">
        <v>40</v>
      </c>
      <c r="D102" s="123">
        <v>77.5</v>
      </c>
      <c r="E102" s="123">
        <v>95</v>
      </c>
      <c r="F102" s="123">
        <v>75</v>
      </c>
      <c r="G102" s="156" t="s">
        <v>1972</v>
      </c>
      <c r="H102" s="123">
        <f t="shared" si="25"/>
        <v>0.56100000000000005</v>
      </c>
      <c r="I102" s="186"/>
      <c r="J102" s="187">
        <f t="shared" si="26"/>
        <v>0</v>
      </c>
      <c r="L102" s="121">
        <v>16</v>
      </c>
      <c r="M102" s="121">
        <v>13</v>
      </c>
      <c r="N102" s="122">
        <v>40</v>
      </c>
      <c r="O102" s="123">
        <v>9</v>
      </c>
      <c r="P102" s="123">
        <v>115</v>
      </c>
      <c r="Q102" s="123">
        <v>75</v>
      </c>
      <c r="R102" s="120" t="s">
        <v>1876</v>
      </c>
      <c r="S102" s="123">
        <f t="shared" si="24"/>
        <v>7.9000000000000001E-2</v>
      </c>
      <c r="T102" s="196"/>
      <c r="U102" s="187">
        <f t="shared" si="16"/>
        <v>0</v>
      </c>
      <c r="W102" s="225">
        <v>24</v>
      </c>
      <c r="X102" s="226" t="s">
        <v>2901</v>
      </c>
      <c r="Y102" s="226">
        <v>18</v>
      </c>
      <c r="Z102" s="226">
        <v>74.5</v>
      </c>
      <c r="AA102" s="226">
        <v>53.5</v>
      </c>
      <c r="AB102" s="226">
        <v>10</v>
      </c>
      <c r="AC102" s="226" t="s">
        <v>2091</v>
      </c>
      <c r="AD102" s="226">
        <f t="shared" si="22"/>
        <v>0.46300000000000002</v>
      </c>
      <c r="AE102" s="213"/>
      <c r="AF102" s="231">
        <f t="shared" si="17"/>
        <v>0</v>
      </c>
    </row>
    <row r="103" spans="1:32" ht="24.95" customHeight="1">
      <c r="A103" s="122">
        <v>102</v>
      </c>
      <c r="B103" s="122">
        <v>80</v>
      </c>
      <c r="C103" s="123">
        <v>40</v>
      </c>
      <c r="D103" s="123">
        <v>79.5</v>
      </c>
      <c r="E103" s="123">
        <v>95</v>
      </c>
      <c r="F103" s="123">
        <v>75</v>
      </c>
      <c r="G103" s="156" t="s">
        <v>1973</v>
      </c>
      <c r="H103" s="123">
        <f t="shared" si="25"/>
        <v>0.57599999999999996</v>
      </c>
      <c r="I103" s="186"/>
      <c r="J103" s="187">
        <f t="shared" si="26"/>
        <v>0</v>
      </c>
      <c r="L103" s="157">
        <v>17</v>
      </c>
      <c r="M103" s="157">
        <v>18</v>
      </c>
      <c r="N103" s="158">
        <v>40</v>
      </c>
      <c r="O103" s="159">
        <v>12</v>
      </c>
      <c r="P103" s="159">
        <v>115</v>
      </c>
      <c r="Q103" s="159">
        <v>75</v>
      </c>
      <c r="R103" s="198" t="s">
        <v>737</v>
      </c>
      <c r="S103" s="159">
        <f t="shared" si="24"/>
        <v>0.105</v>
      </c>
      <c r="T103" s="196"/>
      <c r="U103" s="199">
        <f t="shared" si="16"/>
        <v>0</v>
      </c>
      <c r="W103" s="225">
        <v>25</v>
      </c>
      <c r="X103" s="226" t="s">
        <v>2902</v>
      </c>
      <c r="Y103" s="226">
        <v>18</v>
      </c>
      <c r="Z103" s="226">
        <v>74.5</v>
      </c>
      <c r="AA103" s="226">
        <v>56.5</v>
      </c>
      <c r="AB103" s="226">
        <v>10</v>
      </c>
      <c r="AC103" s="226" t="s">
        <v>2092</v>
      </c>
      <c r="AD103" s="226">
        <f t="shared" si="22"/>
        <v>0.48899999999999999</v>
      </c>
      <c r="AE103" s="213"/>
      <c r="AF103" s="231">
        <f t="shared" si="17"/>
        <v>0</v>
      </c>
    </row>
    <row r="104" spans="1:32" ht="24.95" customHeight="1">
      <c r="A104" s="122">
        <v>103</v>
      </c>
      <c r="B104" s="122">
        <v>84</v>
      </c>
      <c r="C104" s="123">
        <v>40</v>
      </c>
      <c r="D104" s="123">
        <v>83.5</v>
      </c>
      <c r="E104" s="123">
        <v>95</v>
      </c>
      <c r="F104" s="123">
        <v>75</v>
      </c>
      <c r="G104" s="156" t="s">
        <v>1974</v>
      </c>
      <c r="H104" s="123">
        <f t="shared" si="25"/>
        <v>0.60399999999999998</v>
      </c>
      <c r="I104" s="186"/>
      <c r="J104" s="187">
        <f t="shared" si="26"/>
        <v>0</v>
      </c>
      <c r="L104" s="162">
        <v>18</v>
      </c>
      <c r="M104" s="163">
        <v>30</v>
      </c>
      <c r="N104" s="163">
        <v>40</v>
      </c>
      <c r="O104" s="163">
        <v>24</v>
      </c>
      <c r="P104" s="163">
        <v>135</v>
      </c>
      <c r="Q104" s="163">
        <v>75</v>
      </c>
      <c r="R104" s="163" t="s">
        <v>912</v>
      </c>
      <c r="S104" s="163">
        <f t="shared" si="24"/>
        <v>0.247</v>
      </c>
      <c r="T104" s="196"/>
      <c r="U104" s="200">
        <f t="shared" si="16"/>
        <v>0</v>
      </c>
      <c r="W104" s="225">
        <v>26</v>
      </c>
      <c r="X104" s="226" t="s">
        <v>2903</v>
      </c>
      <c r="Y104" s="226">
        <v>18</v>
      </c>
      <c r="Z104" s="226">
        <v>74.5</v>
      </c>
      <c r="AA104" s="226">
        <v>59.5</v>
      </c>
      <c r="AB104" s="226">
        <v>10</v>
      </c>
      <c r="AC104" s="226" t="s">
        <v>2093</v>
      </c>
      <c r="AD104" s="226">
        <f t="shared" si="22"/>
        <v>0.51500000000000001</v>
      </c>
      <c r="AE104" s="213"/>
      <c r="AF104" s="231">
        <f t="shared" si="17"/>
        <v>0</v>
      </c>
    </row>
    <row r="105" spans="1:32" ht="24.95" customHeight="1">
      <c r="A105" s="122">
        <v>104</v>
      </c>
      <c r="B105" s="122">
        <v>13</v>
      </c>
      <c r="C105" s="123">
        <v>40</v>
      </c>
      <c r="D105" s="123">
        <v>12.5</v>
      </c>
      <c r="E105" s="123">
        <v>95</v>
      </c>
      <c r="F105" s="123">
        <v>75</v>
      </c>
      <c r="G105" s="156" t="s">
        <v>1975</v>
      </c>
      <c r="H105" s="123">
        <f t="shared" si="25"/>
        <v>0.09</v>
      </c>
      <c r="I105" s="186"/>
      <c r="J105" s="187">
        <f t="shared" si="26"/>
        <v>0</v>
      </c>
      <c r="L105" s="125">
        <v>19</v>
      </c>
      <c r="M105" s="126">
        <v>33</v>
      </c>
      <c r="N105" s="126">
        <v>40</v>
      </c>
      <c r="O105" s="126">
        <v>27</v>
      </c>
      <c r="P105" s="126">
        <v>135</v>
      </c>
      <c r="Q105" s="126">
        <v>75</v>
      </c>
      <c r="R105" s="126" t="s">
        <v>1877</v>
      </c>
      <c r="S105" s="126">
        <f t="shared" ref="S105:S121" si="27">ROUND(N105*O105*0.0254*P105/1000*Q105/1000,3)</f>
        <v>0.27800000000000002</v>
      </c>
      <c r="T105" s="196"/>
      <c r="U105" s="201">
        <f t="shared" si="16"/>
        <v>0</v>
      </c>
      <c r="W105" s="225">
        <v>27</v>
      </c>
      <c r="X105" s="226" t="s">
        <v>2904</v>
      </c>
      <c r="Y105" s="226">
        <v>18</v>
      </c>
      <c r="Z105" s="226">
        <v>74.5</v>
      </c>
      <c r="AA105" s="226">
        <v>62.5</v>
      </c>
      <c r="AB105" s="226">
        <v>10</v>
      </c>
      <c r="AC105" s="226" t="s">
        <v>2094</v>
      </c>
      <c r="AD105" s="226">
        <f t="shared" si="22"/>
        <v>0.54100000000000004</v>
      </c>
      <c r="AE105" s="213"/>
      <c r="AF105" s="231">
        <f t="shared" si="17"/>
        <v>0</v>
      </c>
    </row>
    <row r="106" spans="1:32" ht="24.95" customHeight="1">
      <c r="A106" s="158">
        <v>105</v>
      </c>
      <c r="B106" s="158">
        <v>20</v>
      </c>
      <c r="C106" s="159">
        <v>40</v>
      </c>
      <c r="D106" s="159">
        <v>19.5</v>
      </c>
      <c r="E106" s="159">
        <v>95</v>
      </c>
      <c r="F106" s="159">
        <v>75</v>
      </c>
      <c r="G106" s="160" t="s">
        <v>1976</v>
      </c>
      <c r="H106" s="159">
        <f t="shared" si="25"/>
        <v>0.14099999999999999</v>
      </c>
      <c r="I106" s="186"/>
      <c r="J106" s="187">
        <f t="shared" si="26"/>
        <v>0</v>
      </c>
      <c r="L106" s="125">
        <v>20</v>
      </c>
      <c r="M106" s="126">
        <v>36</v>
      </c>
      <c r="N106" s="126">
        <v>40</v>
      </c>
      <c r="O106" s="126">
        <v>30</v>
      </c>
      <c r="P106" s="126">
        <v>135</v>
      </c>
      <c r="Q106" s="126">
        <v>75</v>
      </c>
      <c r="R106" s="126" t="s">
        <v>916</v>
      </c>
      <c r="S106" s="126">
        <f t="shared" si="27"/>
        <v>0.309</v>
      </c>
      <c r="T106" s="196"/>
      <c r="U106" s="201">
        <f t="shared" si="16"/>
        <v>0</v>
      </c>
      <c r="W106" s="225">
        <v>28</v>
      </c>
      <c r="X106" s="226" t="s">
        <v>2905</v>
      </c>
      <c r="Y106" s="226">
        <v>18</v>
      </c>
      <c r="Z106" s="226">
        <v>74.5</v>
      </c>
      <c r="AA106" s="226">
        <v>65.5</v>
      </c>
      <c r="AB106" s="226">
        <v>10</v>
      </c>
      <c r="AC106" s="226" t="s">
        <v>2095</v>
      </c>
      <c r="AD106" s="226">
        <f t="shared" si="22"/>
        <v>0.56699999999999995</v>
      </c>
      <c r="AE106" s="213"/>
      <c r="AF106" s="231">
        <f t="shared" si="17"/>
        <v>0</v>
      </c>
    </row>
    <row r="107" spans="1:32" ht="24.95" customHeight="1">
      <c r="L107" s="125">
        <v>21</v>
      </c>
      <c r="M107" s="126">
        <v>39</v>
      </c>
      <c r="N107" s="126">
        <v>40</v>
      </c>
      <c r="O107" s="126">
        <v>33</v>
      </c>
      <c r="P107" s="126">
        <v>135</v>
      </c>
      <c r="Q107" s="126">
        <v>75</v>
      </c>
      <c r="R107" s="126" t="s">
        <v>1878</v>
      </c>
      <c r="S107" s="126">
        <f t="shared" si="27"/>
        <v>0.33900000000000002</v>
      </c>
      <c r="T107" s="196"/>
      <c r="U107" s="201">
        <f t="shared" si="16"/>
        <v>0</v>
      </c>
      <c r="W107" s="225">
        <v>29</v>
      </c>
      <c r="X107" s="226" t="s">
        <v>2906</v>
      </c>
      <c r="Y107" s="226">
        <v>18</v>
      </c>
      <c r="Z107" s="226">
        <v>74.5</v>
      </c>
      <c r="AA107" s="226">
        <v>68.5</v>
      </c>
      <c r="AB107" s="226">
        <v>10</v>
      </c>
      <c r="AC107" s="226" t="s">
        <v>2096</v>
      </c>
      <c r="AD107" s="226">
        <f t="shared" si="22"/>
        <v>0.59299999999999997</v>
      </c>
      <c r="AE107" s="213"/>
      <c r="AF107" s="231">
        <f t="shared" si="17"/>
        <v>0</v>
      </c>
    </row>
    <row r="108" spans="1:32" ht="24.95" customHeight="1">
      <c r="L108" s="125">
        <v>22</v>
      </c>
      <c r="M108" s="126">
        <v>42</v>
      </c>
      <c r="N108" s="126">
        <v>40</v>
      </c>
      <c r="O108" s="126">
        <v>36</v>
      </c>
      <c r="P108" s="126">
        <v>135</v>
      </c>
      <c r="Q108" s="126">
        <v>75</v>
      </c>
      <c r="R108" s="126" t="s">
        <v>920</v>
      </c>
      <c r="S108" s="126">
        <f t="shared" si="27"/>
        <v>0.37</v>
      </c>
      <c r="T108" s="196"/>
      <c r="U108" s="201">
        <f t="shared" si="16"/>
        <v>0</v>
      </c>
      <c r="W108" s="225">
        <v>30</v>
      </c>
      <c r="X108" s="226" t="s">
        <v>2907</v>
      </c>
      <c r="Y108" s="226">
        <v>18</v>
      </c>
      <c r="Z108" s="226">
        <v>74.5</v>
      </c>
      <c r="AA108" s="226">
        <v>71.5</v>
      </c>
      <c r="AB108" s="226">
        <v>10</v>
      </c>
      <c r="AC108" s="226" t="s">
        <v>2097</v>
      </c>
      <c r="AD108" s="226">
        <f t="shared" si="22"/>
        <v>0.61899999999999999</v>
      </c>
      <c r="AE108" s="213"/>
      <c r="AF108" s="231">
        <f t="shared" si="17"/>
        <v>0</v>
      </c>
    </row>
    <row r="109" spans="1:32" ht="24.95" customHeight="1">
      <c r="L109" s="125">
        <v>23</v>
      </c>
      <c r="M109" s="126">
        <v>45</v>
      </c>
      <c r="N109" s="126">
        <v>40</v>
      </c>
      <c r="O109" s="126">
        <v>39</v>
      </c>
      <c r="P109" s="126">
        <v>135</v>
      </c>
      <c r="Q109" s="126">
        <v>75</v>
      </c>
      <c r="R109" s="126" t="s">
        <v>1879</v>
      </c>
      <c r="S109" s="126">
        <f t="shared" si="27"/>
        <v>0.40100000000000002</v>
      </c>
      <c r="T109" s="196"/>
      <c r="U109" s="201">
        <f t="shared" si="16"/>
        <v>0</v>
      </c>
      <c r="W109" s="225">
        <v>31</v>
      </c>
      <c r="X109" s="226" t="s">
        <v>2908</v>
      </c>
      <c r="Y109" s="226">
        <v>18</v>
      </c>
      <c r="Z109" s="226">
        <v>77.5</v>
      </c>
      <c r="AA109" s="226">
        <v>29.5</v>
      </c>
      <c r="AB109" s="226">
        <v>10</v>
      </c>
      <c r="AC109" s="226" t="s">
        <v>2098</v>
      </c>
      <c r="AD109" s="226">
        <f t="shared" si="22"/>
        <v>0.26500000000000001</v>
      </c>
      <c r="AE109" s="213"/>
      <c r="AF109" s="231">
        <f t="shared" si="17"/>
        <v>0</v>
      </c>
    </row>
    <row r="110" spans="1:32" ht="24.95" customHeight="1">
      <c r="L110" s="125">
        <v>24</v>
      </c>
      <c r="M110" s="126">
        <v>48</v>
      </c>
      <c r="N110" s="126">
        <v>40</v>
      </c>
      <c r="O110" s="126">
        <v>42</v>
      </c>
      <c r="P110" s="126">
        <v>135</v>
      </c>
      <c r="Q110" s="126">
        <v>75</v>
      </c>
      <c r="R110" s="126" t="s">
        <v>924</v>
      </c>
      <c r="S110" s="126">
        <f t="shared" si="27"/>
        <v>0.432</v>
      </c>
      <c r="T110" s="196"/>
      <c r="U110" s="201">
        <f t="shared" si="16"/>
        <v>0</v>
      </c>
      <c r="W110" s="225">
        <v>32</v>
      </c>
      <c r="X110" s="226" t="s">
        <v>2909</v>
      </c>
      <c r="Y110" s="226">
        <v>18</v>
      </c>
      <c r="Z110" s="226">
        <v>77.5</v>
      </c>
      <c r="AA110" s="226">
        <v>32.5</v>
      </c>
      <c r="AB110" s="226">
        <v>10</v>
      </c>
      <c r="AC110" s="226" t="s">
        <v>2099</v>
      </c>
      <c r="AD110" s="226">
        <f t="shared" si="22"/>
        <v>0.29199999999999998</v>
      </c>
      <c r="AE110" s="213"/>
      <c r="AF110" s="231">
        <f t="shared" si="17"/>
        <v>0</v>
      </c>
    </row>
    <row r="111" spans="1:32" ht="24.95" customHeight="1">
      <c r="L111" s="125">
        <v>25</v>
      </c>
      <c r="M111" s="126">
        <v>51</v>
      </c>
      <c r="N111" s="126">
        <v>40</v>
      </c>
      <c r="O111" s="126">
        <v>45</v>
      </c>
      <c r="P111" s="126">
        <v>135</v>
      </c>
      <c r="Q111" s="126">
        <v>75</v>
      </c>
      <c r="R111" s="126" t="s">
        <v>1880</v>
      </c>
      <c r="S111" s="126">
        <f t="shared" si="27"/>
        <v>0.46300000000000002</v>
      </c>
      <c r="T111" s="196"/>
      <c r="U111" s="201">
        <f t="shared" si="16"/>
        <v>0</v>
      </c>
      <c r="W111" s="225">
        <v>33</v>
      </c>
      <c r="X111" s="226" t="s">
        <v>2910</v>
      </c>
      <c r="Y111" s="226">
        <v>18</v>
      </c>
      <c r="Z111" s="226">
        <v>77.5</v>
      </c>
      <c r="AA111" s="226">
        <v>35.5</v>
      </c>
      <c r="AB111" s="226">
        <v>10</v>
      </c>
      <c r="AC111" s="226" t="s">
        <v>2100</v>
      </c>
      <c r="AD111" s="226">
        <f t="shared" si="22"/>
        <v>0.31900000000000001</v>
      </c>
      <c r="AE111" s="213"/>
      <c r="AF111" s="231">
        <f t="shared" si="17"/>
        <v>0</v>
      </c>
    </row>
    <row r="112" spans="1:32" ht="24.95" customHeight="1">
      <c r="L112" s="125">
        <v>26</v>
      </c>
      <c r="M112" s="126">
        <v>54</v>
      </c>
      <c r="N112" s="126">
        <v>40</v>
      </c>
      <c r="O112" s="126">
        <v>48</v>
      </c>
      <c r="P112" s="126">
        <v>135</v>
      </c>
      <c r="Q112" s="126">
        <v>75</v>
      </c>
      <c r="R112" s="126" t="s">
        <v>1881</v>
      </c>
      <c r="S112" s="126">
        <f t="shared" si="27"/>
        <v>0.49399999999999999</v>
      </c>
      <c r="T112" s="196"/>
      <c r="U112" s="201">
        <f t="shared" si="16"/>
        <v>0</v>
      </c>
      <c r="W112" s="225">
        <v>34</v>
      </c>
      <c r="X112" s="226" t="s">
        <v>2911</v>
      </c>
      <c r="Y112" s="226">
        <v>18</v>
      </c>
      <c r="Z112" s="226">
        <v>77.5</v>
      </c>
      <c r="AA112" s="226">
        <v>38.5</v>
      </c>
      <c r="AB112" s="226">
        <v>10</v>
      </c>
      <c r="AC112" s="226" t="s">
        <v>2101</v>
      </c>
      <c r="AD112" s="226">
        <f t="shared" si="22"/>
        <v>0.34599999999999997</v>
      </c>
      <c r="AE112" s="213"/>
      <c r="AF112" s="231">
        <f t="shared" si="17"/>
        <v>0</v>
      </c>
    </row>
    <row r="113" spans="12:32" ht="24.95" customHeight="1">
      <c r="L113" s="125">
        <v>27</v>
      </c>
      <c r="M113" s="126">
        <v>57</v>
      </c>
      <c r="N113" s="126">
        <v>40</v>
      </c>
      <c r="O113" s="126">
        <v>51</v>
      </c>
      <c r="P113" s="126">
        <v>135</v>
      </c>
      <c r="Q113" s="126">
        <v>75</v>
      </c>
      <c r="R113" s="126" t="s">
        <v>1882</v>
      </c>
      <c r="S113" s="126">
        <f t="shared" si="27"/>
        <v>0.52500000000000002</v>
      </c>
      <c r="T113" s="196"/>
      <c r="U113" s="201">
        <f t="shared" si="16"/>
        <v>0</v>
      </c>
      <c r="W113" s="225">
        <v>35</v>
      </c>
      <c r="X113" s="226" t="s">
        <v>2912</v>
      </c>
      <c r="Y113" s="226">
        <v>18</v>
      </c>
      <c r="Z113" s="226">
        <v>77.5</v>
      </c>
      <c r="AA113" s="226">
        <v>41.5</v>
      </c>
      <c r="AB113" s="226">
        <v>10</v>
      </c>
      <c r="AC113" s="226" t="s">
        <v>2102</v>
      </c>
      <c r="AD113" s="226">
        <f t="shared" si="22"/>
        <v>0.373</v>
      </c>
      <c r="AE113" s="213"/>
      <c r="AF113" s="231">
        <f t="shared" si="17"/>
        <v>0</v>
      </c>
    </row>
    <row r="114" spans="12:32" ht="24.95" customHeight="1">
      <c r="L114" s="125">
        <v>28</v>
      </c>
      <c r="M114" s="126">
        <v>60</v>
      </c>
      <c r="N114" s="126">
        <v>40</v>
      </c>
      <c r="O114" s="126">
        <v>54</v>
      </c>
      <c r="P114" s="126">
        <v>135</v>
      </c>
      <c r="Q114" s="126">
        <v>75</v>
      </c>
      <c r="R114" s="126" t="s">
        <v>928</v>
      </c>
      <c r="S114" s="126">
        <f t="shared" si="27"/>
        <v>0.55500000000000005</v>
      </c>
      <c r="T114" s="196"/>
      <c r="U114" s="201">
        <f t="shared" si="16"/>
        <v>0</v>
      </c>
      <c r="W114" s="225">
        <v>36</v>
      </c>
      <c r="X114" s="226" t="s">
        <v>2914</v>
      </c>
      <c r="Y114" s="226">
        <v>18</v>
      </c>
      <c r="Z114" s="226">
        <v>77.5</v>
      </c>
      <c r="AA114" s="226">
        <v>44.5</v>
      </c>
      <c r="AB114" s="226">
        <v>10</v>
      </c>
      <c r="AC114" s="226" t="s">
        <v>2103</v>
      </c>
      <c r="AD114" s="226">
        <f t="shared" si="22"/>
        <v>0.4</v>
      </c>
      <c r="AE114" s="213"/>
      <c r="AF114" s="231">
        <f t="shared" si="17"/>
        <v>0</v>
      </c>
    </row>
    <row r="115" spans="12:32" ht="24.95" customHeight="1">
      <c r="L115" s="125">
        <v>29</v>
      </c>
      <c r="M115" s="126">
        <v>63</v>
      </c>
      <c r="N115" s="126">
        <v>40</v>
      </c>
      <c r="O115" s="126">
        <v>57</v>
      </c>
      <c r="P115" s="126">
        <v>135</v>
      </c>
      <c r="Q115" s="126">
        <v>75</v>
      </c>
      <c r="R115" s="126" t="s">
        <v>1883</v>
      </c>
      <c r="S115" s="126">
        <f t="shared" si="27"/>
        <v>0.58599999999999997</v>
      </c>
      <c r="T115" s="196"/>
      <c r="U115" s="201">
        <f t="shared" si="16"/>
        <v>0</v>
      </c>
      <c r="W115" s="225">
        <v>37</v>
      </c>
      <c r="X115" s="226" t="s">
        <v>2916</v>
      </c>
      <c r="Y115" s="226">
        <v>18</v>
      </c>
      <c r="Z115" s="226">
        <v>77.5</v>
      </c>
      <c r="AA115" s="226">
        <v>47.5</v>
      </c>
      <c r="AB115" s="226">
        <v>10</v>
      </c>
      <c r="AC115" s="226" t="s">
        <v>2104</v>
      </c>
      <c r="AD115" s="226">
        <f t="shared" si="22"/>
        <v>0.42699999999999999</v>
      </c>
      <c r="AE115" s="213"/>
      <c r="AF115" s="231">
        <f t="shared" si="17"/>
        <v>0</v>
      </c>
    </row>
    <row r="116" spans="12:32" ht="24.95" customHeight="1">
      <c r="L116" s="125">
        <v>30</v>
      </c>
      <c r="M116" s="126">
        <v>66</v>
      </c>
      <c r="N116" s="126">
        <v>40</v>
      </c>
      <c r="O116" s="126">
        <v>60</v>
      </c>
      <c r="P116" s="126">
        <v>135</v>
      </c>
      <c r="Q116" s="126">
        <v>75</v>
      </c>
      <c r="R116" s="126" t="s">
        <v>932</v>
      </c>
      <c r="S116" s="126">
        <f t="shared" si="27"/>
        <v>0.61699999999999999</v>
      </c>
      <c r="T116" s="196"/>
      <c r="U116" s="201">
        <f t="shared" si="16"/>
        <v>0</v>
      </c>
      <c r="W116" s="225">
        <v>38</v>
      </c>
      <c r="X116" s="226" t="s">
        <v>2917</v>
      </c>
      <c r="Y116" s="226">
        <v>18</v>
      </c>
      <c r="Z116" s="226">
        <v>77.5</v>
      </c>
      <c r="AA116" s="226">
        <v>50.5</v>
      </c>
      <c r="AB116" s="226">
        <v>10</v>
      </c>
      <c r="AC116" s="226" t="s">
        <v>2105</v>
      </c>
      <c r="AD116" s="226">
        <f t="shared" si="22"/>
        <v>0.45400000000000001</v>
      </c>
      <c r="AE116" s="213"/>
      <c r="AF116" s="231">
        <f t="shared" si="17"/>
        <v>0</v>
      </c>
    </row>
    <row r="117" spans="12:32" ht="24.95" customHeight="1">
      <c r="L117" s="125">
        <v>31</v>
      </c>
      <c r="M117" s="126">
        <v>69</v>
      </c>
      <c r="N117" s="126">
        <v>40</v>
      </c>
      <c r="O117" s="126">
        <v>63</v>
      </c>
      <c r="P117" s="126">
        <v>135</v>
      </c>
      <c r="Q117" s="126">
        <v>75</v>
      </c>
      <c r="R117" s="126" t="s">
        <v>1884</v>
      </c>
      <c r="S117" s="126">
        <f t="shared" si="27"/>
        <v>0.64800000000000002</v>
      </c>
      <c r="T117" s="196"/>
      <c r="U117" s="201">
        <f t="shared" si="16"/>
        <v>0</v>
      </c>
      <c r="W117" s="225">
        <v>39</v>
      </c>
      <c r="X117" s="226" t="s">
        <v>2918</v>
      </c>
      <c r="Y117" s="226">
        <v>18</v>
      </c>
      <c r="Z117" s="226">
        <v>77.5</v>
      </c>
      <c r="AA117" s="226">
        <v>53.5</v>
      </c>
      <c r="AB117" s="226">
        <v>10</v>
      </c>
      <c r="AC117" s="226" t="s">
        <v>2106</v>
      </c>
      <c r="AD117" s="226">
        <f t="shared" si="22"/>
        <v>0.48099999999999998</v>
      </c>
      <c r="AE117" s="213"/>
      <c r="AF117" s="231">
        <f t="shared" si="17"/>
        <v>0</v>
      </c>
    </row>
    <row r="118" spans="12:32" ht="24.95" customHeight="1">
      <c r="L118" s="125">
        <v>32</v>
      </c>
      <c r="M118" s="126">
        <v>72</v>
      </c>
      <c r="N118" s="126">
        <v>40</v>
      </c>
      <c r="O118" s="126">
        <v>66</v>
      </c>
      <c r="P118" s="126">
        <v>135</v>
      </c>
      <c r="Q118" s="126">
        <v>75</v>
      </c>
      <c r="R118" s="126" t="s">
        <v>936</v>
      </c>
      <c r="S118" s="126">
        <f t="shared" si="27"/>
        <v>0.67900000000000005</v>
      </c>
      <c r="T118" s="196">
        <v>80</v>
      </c>
      <c r="U118" s="201">
        <f t="shared" si="16"/>
        <v>54.320000000000007</v>
      </c>
      <c r="W118" s="225">
        <v>40</v>
      </c>
      <c r="X118" s="226" t="s">
        <v>2919</v>
      </c>
      <c r="Y118" s="226">
        <v>18</v>
      </c>
      <c r="Z118" s="226">
        <v>77.5</v>
      </c>
      <c r="AA118" s="226">
        <v>56.5</v>
      </c>
      <c r="AB118" s="226">
        <v>10</v>
      </c>
      <c r="AC118" s="226" t="s">
        <v>2107</v>
      </c>
      <c r="AD118" s="226">
        <f t="shared" si="22"/>
        <v>0.50800000000000001</v>
      </c>
      <c r="AE118" s="213"/>
      <c r="AF118" s="231">
        <f t="shared" si="17"/>
        <v>0</v>
      </c>
    </row>
    <row r="119" spans="12:32" ht="24.95" customHeight="1">
      <c r="L119" s="125">
        <v>33</v>
      </c>
      <c r="M119" s="126">
        <v>13</v>
      </c>
      <c r="N119" s="126">
        <v>40</v>
      </c>
      <c r="O119" s="126">
        <v>9</v>
      </c>
      <c r="P119" s="126">
        <v>135</v>
      </c>
      <c r="Q119" s="126">
        <v>75</v>
      </c>
      <c r="R119" s="126" t="s">
        <v>1885</v>
      </c>
      <c r="S119" s="126">
        <f t="shared" si="27"/>
        <v>9.2999999999999999E-2</v>
      </c>
      <c r="T119" s="196"/>
      <c r="U119" s="201">
        <f t="shared" si="16"/>
        <v>0</v>
      </c>
      <c r="W119" s="225">
        <v>41</v>
      </c>
      <c r="X119" s="226" t="s">
        <v>2920</v>
      </c>
      <c r="Y119" s="226">
        <v>18</v>
      </c>
      <c r="Z119" s="226">
        <v>77.5</v>
      </c>
      <c r="AA119" s="226">
        <v>59.5</v>
      </c>
      <c r="AB119" s="226">
        <v>10</v>
      </c>
      <c r="AC119" s="226" t="s">
        <v>2108</v>
      </c>
      <c r="AD119" s="226">
        <f t="shared" si="22"/>
        <v>0.53500000000000003</v>
      </c>
      <c r="AE119" s="213"/>
      <c r="AF119" s="231">
        <f t="shared" si="17"/>
        <v>0</v>
      </c>
    </row>
    <row r="120" spans="12:32" ht="24.95" customHeight="1">
      <c r="L120" s="166">
        <v>34</v>
      </c>
      <c r="M120" s="167">
        <v>18</v>
      </c>
      <c r="N120" s="167">
        <v>40</v>
      </c>
      <c r="O120" s="167">
        <v>12</v>
      </c>
      <c r="P120" s="167">
        <v>135</v>
      </c>
      <c r="Q120" s="167">
        <v>75</v>
      </c>
      <c r="R120" s="167" t="s">
        <v>1029</v>
      </c>
      <c r="S120" s="167">
        <f t="shared" si="27"/>
        <v>0.123</v>
      </c>
      <c r="T120" s="196"/>
      <c r="U120" s="202">
        <f t="shared" si="16"/>
        <v>0</v>
      </c>
      <c r="W120" s="225">
        <v>42</v>
      </c>
      <c r="X120" s="226" t="s">
        <v>2921</v>
      </c>
      <c r="Y120" s="226">
        <v>18</v>
      </c>
      <c r="Z120" s="226">
        <v>77.5</v>
      </c>
      <c r="AA120" s="226">
        <v>62.5</v>
      </c>
      <c r="AB120" s="226">
        <v>10</v>
      </c>
      <c r="AC120" s="226" t="s">
        <v>2109</v>
      </c>
      <c r="AD120" s="226">
        <f t="shared" si="22"/>
        <v>0.56200000000000006</v>
      </c>
      <c r="AE120" s="213"/>
      <c r="AF120" s="231">
        <f t="shared" si="17"/>
        <v>0</v>
      </c>
    </row>
    <row r="121" spans="12:32" ht="24.95" customHeight="1">
      <c r="L121" s="169">
        <v>35</v>
      </c>
      <c r="M121" s="170">
        <v>30</v>
      </c>
      <c r="N121" s="171">
        <v>40</v>
      </c>
      <c r="O121" s="171">
        <v>24</v>
      </c>
      <c r="P121" s="171">
        <v>155</v>
      </c>
      <c r="Q121" s="171">
        <v>75</v>
      </c>
      <c r="R121" s="172" t="s">
        <v>1040</v>
      </c>
      <c r="S121" s="171">
        <f t="shared" si="27"/>
        <v>0.28299999999999997</v>
      </c>
      <c r="T121" s="196"/>
      <c r="U121" s="203">
        <f t="shared" si="16"/>
        <v>0</v>
      </c>
      <c r="W121" s="225">
        <v>43</v>
      </c>
      <c r="X121" s="226" t="s">
        <v>2922</v>
      </c>
      <c r="Y121" s="226">
        <v>18</v>
      </c>
      <c r="Z121" s="226">
        <v>77.5</v>
      </c>
      <c r="AA121" s="226">
        <v>65.5</v>
      </c>
      <c r="AB121" s="226">
        <v>10</v>
      </c>
      <c r="AC121" s="226" t="s">
        <v>2110</v>
      </c>
      <c r="AD121" s="226">
        <f t="shared" si="22"/>
        <v>0.58899999999999997</v>
      </c>
      <c r="AE121" s="213"/>
      <c r="AF121" s="231">
        <f t="shared" si="17"/>
        <v>0</v>
      </c>
    </row>
    <row r="122" spans="12:32" ht="24.95" customHeight="1">
      <c r="L122" s="128">
        <v>36</v>
      </c>
      <c r="M122" s="129">
        <v>33</v>
      </c>
      <c r="N122" s="130">
        <v>40</v>
      </c>
      <c r="O122" s="130">
        <v>27</v>
      </c>
      <c r="P122" s="130">
        <v>155</v>
      </c>
      <c r="Q122" s="130">
        <v>75</v>
      </c>
      <c r="R122" s="204" t="s">
        <v>1886</v>
      </c>
      <c r="S122" s="130">
        <f t="shared" ref="S122:S138" si="28">ROUND(N122*O122*0.0254*P122/1000*Q122/1000,3)</f>
        <v>0.31900000000000001</v>
      </c>
      <c r="T122" s="196"/>
      <c r="U122" s="205">
        <f t="shared" si="16"/>
        <v>0</v>
      </c>
      <c r="W122" s="225">
        <v>44</v>
      </c>
      <c r="X122" s="226" t="s">
        <v>2923</v>
      </c>
      <c r="Y122" s="226">
        <v>18</v>
      </c>
      <c r="Z122" s="226">
        <v>77.5</v>
      </c>
      <c r="AA122" s="226">
        <v>68.5</v>
      </c>
      <c r="AB122" s="226">
        <v>10</v>
      </c>
      <c r="AC122" s="226" t="s">
        <v>2111</v>
      </c>
      <c r="AD122" s="226">
        <f t="shared" si="22"/>
        <v>0.61599999999999999</v>
      </c>
      <c r="AE122" s="213"/>
      <c r="AF122" s="231">
        <f t="shared" si="17"/>
        <v>0</v>
      </c>
    </row>
    <row r="123" spans="12:32" ht="24.95" customHeight="1">
      <c r="L123" s="128">
        <v>37</v>
      </c>
      <c r="M123" s="129">
        <v>36</v>
      </c>
      <c r="N123" s="130">
        <v>40</v>
      </c>
      <c r="O123" s="130">
        <v>30</v>
      </c>
      <c r="P123" s="130">
        <v>155</v>
      </c>
      <c r="Q123" s="130">
        <v>75</v>
      </c>
      <c r="R123" s="204" t="s">
        <v>1043</v>
      </c>
      <c r="S123" s="130">
        <f t="shared" si="28"/>
        <v>0.35399999999999998</v>
      </c>
      <c r="T123" s="196"/>
      <c r="U123" s="205">
        <f t="shared" si="16"/>
        <v>0</v>
      </c>
      <c r="W123" s="225">
        <v>45</v>
      </c>
      <c r="X123" s="226" t="s">
        <v>2924</v>
      </c>
      <c r="Y123" s="226">
        <v>18</v>
      </c>
      <c r="Z123" s="226">
        <v>77.5</v>
      </c>
      <c r="AA123" s="226">
        <v>71.5</v>
      </c>
      <c r="AB123" s="226">
        <v>10</v>
      </c>
      <c r="AC123" s="226" t="s">
        <v>2112</v>
      </c>
      <c r="AD123" s="226">
        <f t="shared" si="22"/>
        <v>0.64300000000000002</v>
      </c>
      <c r="AE123" s="213"/>
      <c r="AF123" s="231">
        <f t="shared" si="17"/>
        <v>0</v>
      </c>
    </row>
    <row r="124" spans="12:32" ht="24.95" customHeight="1">
      <c r="L124" s="128">
        <v>38</v>
      </c>
      <c r="M124" s="129">
        <v>39</v>
      </c>
      <c r="N124" s="130">
        <v>40</v>
      </c>
      <c r="O124" s="130">
        <v>33</v>
      </c>
      <c r="P124" s="130">
        <v>155</v>
      </c>
      <c r="Q124" s="130">
        <v>75</v>
      </c>
      <c r="R124" s="204" t="s">
        <v>1887</v>
      </c>
      <c r="S124" s="130">
        <f t="shared" si="28"/>
        <v>0.39</v>
      </c>
      <c r="T124" s="196"/>
      <c r="U124" s="205">
        <f t="shared" si="16"/>
        <v>0</v>
      </c>
      <c r="W124" s="225">
        <v>46</v>
      </c>
      <c r="X124" s="226" t="s">
        <v>2925</v>
      </c>
      <c r="Y124" s="226">
        <v>18</v>
      </c>
      <c r="Z124" s="226">
        <v>79.5</v>
      </c>
      <c r="AA124" s="226">
        <v>29.5</v>
      </c>
      <c r="AB124" s="226">
        <v>10</v>
      </c>
      <c r="AC124" s="226" t="s">
        <v>2113</v>
      </c>
      <c r="AD124" s="226">
        <f t="shared" si="22"/>
        <v>0.27200000000000002</v>
      </c>
      <c r="AE124" s="213"/>
      <c r="AF124" s="231">
        <f t="shared" si="17"/>
        <v>0</v>
      </c>
    </row>
    <row r="125" spans="12:32" ht="24.95" customHeight="1">
      <c r="L125" s="128">
        <v>39</v>
      </c>
      <c r="M125" s="129">
        <v>42</v>
      </c>
      <c r="N125" s="130">
        <v>40</v>
      </c>
      <c r="O125" s="130">
        <v>36</v>
      </c>
      <c r="P125" s="130">
        <v>155</v>
      </c>
      <c r="Q125" s="130">
        <v>75</v>
      </c>
      <c r="R125" s="204" t="s">
        <v>1046</v>
      </c>
      <c r="S125" s="130">
        <f t="shared" si="28"/>
        <v>0.42499999999999999</v>
      </c>
      <c r="T125" s="196"/>
      <c r="U125" s="205">
        <f t="shared" si="16"/>
        <v>0</v>
      </c>
      <c r="W125" s="225">
        <v>47</v>
      </c>
      <c r="X125" s="226" t="s">
        <v>2926</v>
      </c>
      <c r="Y125" s="226">
        <v>18</v>
      </c>
      <c r="Z125" s="226">
        <v>79.5</v>
      </c>
      <c r="AA125" s="226">
        <v>32.5</v>
      </c>
      <c r="AB125" s="226">
        <v>10</v>
      </c>
      <c r="AC125" s="226" t="s">
        <v>2114</v>
      </c>
      <c r="AD125" s="226">
        <f t="shared" si="22"/>
        <v>0.3</v>
      </c>
      <c r="AE125" s="213"/>
      <c r="AF125" s="231">
        <f t="shared" si="17"/>
        <v>0</v>
      </c>
    </row>
    <row r="126" spans="12:32" ht="24.95" customHeight="1">
      <c r="L126" s="128">
        <v>40</v>
      </c>
      <c r="M126" s="129">
        <v>45</v>
      </c>
      <c r="N126" s="130">
        <v>40</v>
      </c>
      <c r="O126" s="130">
        <v>39</v>
      </c>
      <c r="P126" s="130">
        <v>155</v>
      </c>
      <c r="Q126" s="130">
        <v>75</v>
      </c>
      <c r="R126" s="204" t="s">
        <v>1888</v>
      </c>
      <c r="S126" s="130">
        <f t="shared" si="28"/>
        <v>0.46100000000000002</v>
      </c>
      <c r="T126" s="196"/>
      <c r="U126" s="205">
        <f t="shared" si="16"/>
        <v>0</v>
      </c>
      <c r="W126" s="225">
        <v>48</v>
      </c>
      <c r="X126" s="226" t="s">
        <v>2927</v>
      </c>
      <c r="Y126" s="226">
        <v>18</v>
      </c>
      <c r="Z126" s="226">
        <v>79.5</v>
      </c>
      <c r="AA126" s="226">
        <v>35.5</v>
      </c>
      <c r="AB126" s="226">
        <v>10</v>
      </c>
      <c r="AC126" s="226" t="s">
        <v>2115</v>
      </c>
      <c r="AD126" s="226">
        <f t="shared" si="22"/>
        <v>0.32800000000000001</v>
      </c>
      <c r="AE126" s="213"/>
      <c r="AF126" s="231">
        <f t="shared" si="17"/>
        <v>0</v>
      </c>
    </row>
    <row r="127" spans="12:32" ht="24.95" customHeight="1">
      <c r="L127" s="128">
        <v>41</v>
      </c>
      <c r="M127" s="129">
        <v>48</v>
      </c>
      <c r="N127" s="130">
        <v>40</v>
      </c>
      <c r="O127" s="130">
        <v>42</v>
      </c>
      <c r="P127" s="130">
        <v>155</v>
      </c>
      <c r="Q127" s="130">
        <v>75</v>
      </c>
      <c r="R127" s="204" t="s">
        <v>1049</v>
      </c>
      <c r="S127" s="130">
        <f t="shared" si="28"/>
        <v>0.496</v>
      </c>
      <c r="T127" s="196"/>
      <c r="U127" s="205">
        <f t="shared" si="16"/>
        <v>0</v>
      </c>
      <c r="W127" s="225">
        <v>49</v>
      </c>
      <c r="X127" s="226" t="s">
        <v>2928</v>
      </c>
      <c r="Y127" s="226">
        <v>18</v>
      </c>
      <c r="Z127" s="226">
        <v>79.5</v>
      </c>
      <c r="AA127" s="226">
        <v>38.5</v>
      </c>
      <c r="AB127" s="226">
        <v>10</v>
      </c>
      <c r="AC127" s="226" t="s">
        <v>2116</v>
      </c>
      <c r="AD127" s="226">
        <f t="shared" si="22"/>
        <v>0.35499999999999998</v>
      </c>
      <c r="AE127" s="213"/>
      <c r="AF127" s="231">
        <f t="shared" si="17"/>
        <v>0</v>
      </c>
    </row>
    <row r="128" spans="12:32" ht="24.95" customHeight="1">
      <c r="L128" s="128">
        <v>42</v>
      </c>
      <c r="M128" s="128">
        <v>51</v>
      </c>
      <c r="N128" s="129">
        <v>40</v>
      </c>
      <c r="O128" s="130">
        <v>45</v>
      </c>
      <c r="P128" s="130">
        <v>155</v>
      </c>
      <c r="Q128" s="130">
        <v>75</v>
      </c>
      <c r="R128" s="204" t="s">
        <v>1889</v>
      </c>
      <c r="S128" s="130">
        <f t="shared" si="28"/>
        <v>0.53100000000000003</v>
      </c>
      <c r="T128" s="196"/>
      <c r="U128" s="205">
        <f t="shared" si="16"/>
        <v>0</v>
      </c>
      <c r="W128" s="225">
        <v>50</v>
      </c>
      <c r="X128" s="226" t="s">
        <v>2929</v>
      </c>
      <c r="Y128" s="226">
        <v>18</v>
      </c>
      <c r="Z128" s="226">
        <v>79.5</v>
      </c>
      <c r="AA128" s="226">
        <v>41.5</v>
      </c>
      <c r="AB128" s="226">
        <v>10</v>
      </c>
      <c r="AC128" s="226" t="s">
        <v>2117</v>
      </c>
      <c r="AD128" s="226">
        <f t="shared" si="22"/>
        <v>0.38300000000000001</v>
      </c>
      <c r="AE128" s="213"/>
      <c r="AF128" s="231">
        <f t="shared" si="17"/>
        <v>0</v>
      </c>
    </row>
    <row r="129" spans="12:32" ht="24.95" customHeight="1">
      <c r="L129" s="128">
        <v>43</v>
      </c>
      <c r="M129" s="128">
        <v>54</v>
      </c>
      <c r="N129" s="129">
        <v>40</v>
      </c>
      <c r="O129" s="130">
        <v>48</v>
      </c>
      <c r="P129" s="130">
        <v>155</v>
      </c>
      <c r="Q129" s="130">
        <v>75</v>
      </c>
      <c r="R129" s="204" t="s">
        <v>1890</v>
      </c>
      <c r="S129" s="130">
        <f t="shared" si="28"/>
        <v>0.56699999999999995</v>
      </c>
      <c r="T129" s="196"/>
      <c r="U129" s="205">
        <f t="shared" si="16"/>
        <v>0</v>
      </c>
      <c r="W129" s="225">
        <v>51</v>
      </c>
      <c r="X129" s="226" t="s">
        <v>2930</v>
      </c>
      <c r="Y129" s="226">
        <v>18</v>
      </c>
      <c r="Z129" s="226">
        <v>79.5</v>
      </c>
      <c r="AA129" s="226">
        <v>44.5</v>
      </c>
      <c r="AB129" s="226">
        <v>10</v>
      </c>
      <c r="AC129" s="226" t="s">
        <v>2118</v>
      </c>
      <c r="AD129" s="226">
        <f t="shared" si="22"/>
        <v>0.41099999999999998</v>
      </c>
      <c r="AE129" s="213"/>
      <c r="AF129" s="231">
        <f t="shared" si="17"/>
        <v>0</v>
      </c>
    </row>
    <row r="130" spans="12:32" ht="24.95" customHeight="1">
      <c r="L130" s="128">
        <v>44</v>
      </c>
      <c r="M130" s="128">
        <v>57</v>
      </c>
      <c r="N130" s="129">
        <v>40</v>
      </c>
      <c r="O130" s="130">
        <v>51</v>
      </c>
      <c r="P130" s="130">
        <v>155</v>
      </c>
      <c r="Q130" s="130">
        <v>75</v>
      </c>
      <c r="R130" s="204" t="s">
        <v>1891</v>
      </c>
      <c r="S130" s="130">
        <f t="shared" si="28"/>
        <v>0.60199999999999998</v>
      </c>
      <c r="T130" s="196"/>
      <c r="U130" s="205">
        <f t="shared" ref="U130:U193" si="29">+S130*T130</f>
        <v>0</v>
      </c>
      <c r="W130" s="225">
        <v>52</v>
      </c>
      <c r="X130" s="226" t="s">
        <v>2931</v>
      </c>
      <c r="Y130" s="226">
        <v>18</v>
      </c>
      <c r="Z130" s="226">
        <v>79.5</v>
      </c>
      <c r="AA130" s="226">
        <v>47.5</v>
      </c>
      <c r="AB130" s="226">
        <v>10</v>
      </c>
      <c r="AC130" s="226" t="s">
        <v>2119</v>
      </c>
      <c r="AD130" s="226">
        <f t="shared" si="22"/>
        <v>0.439</v>
      </c>
      <c r="AE130" s="213"/>
      <c r="AF130" s="231">
        <f t="shared" ref="AF130:AF193" si="30">+AD130*AE130</f>
        <v>0</v>
      </c>
    </row>
    <row r="131" spans="12:32" ht="24.95" customHeight="1">
      <c r="L131" s="128">
        <v>45</v>
      </c>
      <c r="M131" s="128">
        <v>60</v>
      </c>
      <c r="N131" s="129">
        <v>40</v>
      </c>
      <c r="O131" s="130">
        <v>54</v>
      </c>
      <c r="P131" s="130">
        <v>155</v>
      </c>
      <c r="Q131" s="130">
        <v>75</v>
      </c>
      <c r="R131" s="204" t="s">
        <v>1052</v>
      </c>
      <c r="S131" s="130">
        <f t="shared" si="28"/>
        <v>0.63800000000000001</v>
      </c>
      <c r="T131" s="196"/>
      <c r="U131" s="205">
        <f t="shared" si="29"/>
        <v>0</v>
      </c>
      <c r="W131" s="225">
        <v>53</v>
      </c>
      <c r="X131" s="226" t="s">
        <v>2933</v>
      </c>
      <c r="Y131" s="226">
        <v>18</v>
      </c>
      <c r="Z131" s="226">
        <v>79.5</v>
      </c>
      <c r="AA131" s="226">
        <v>50.5</v>
      </c>
      <c r="AB131" s="226">
        <v>10</v>
      </c>
      <c r="AC131" s="226" t="s">
        <v>2120</v>
      </c>
      <c r="AD131" s="226">
        <f t="shared" si="22"/>
        <v>0.46600000000000003</v>
      </c>
      <c r="AE131" s="213"/>
      <c r="AF131" s="231">
        <f t="shared" si="30"/>
        <v>0</v>
      </c>
    </row>
    <row r="132" spans="12:32" ht="24.95" customHeight="1">
      <c r="L132" s="128">
        <v>46</v>
      </c>
      <c r="M132" s="128">
        <v>63</v>
      </c>
      <c r="N132" s="129">
        <v>40</v>
      </c>
      <c r="O132" s="130">
        <v>57</v>
      </c>
      <c r="P132" s="130">
        <v>155</v>
      </c>
      <c r="Q132" s="130">
        <v>75</v>
      </c>
      <c r="R132" s="204" t="s">
        <v>1892</v>
      </c>
      <c r="S132" s="130">
        <f t="shared" si="28"/>
        <v>0.67300000000000004</v>
      </c>
      <c r="T132" s="196"/>
      <c r="U132" s="205">
        <f t="shared" si="29"/>
        <v>0</v>
      </c>
      <c r="W132" s="225">
        <v>54</v>
      </c>
      <c r="X132" s="226" t="s">
        <v>2935</v>
      </c>
      <c r="Y132" s="226">
        <v>18</v>
      </c>
      <c r="Z132" s="226">
        <v>79.5</v>
      </c>
      <c r="AA132" s="226">
        <v>53.5</v>
      </c>
      <c r="AB132" s="226">
        <v>10</v>
      </c>
      <c r="AC132" s="226" t="s">
        <v>2121</v>
      </c>
      <c r="AD132" s="226">
        <f t="shared" si="22"/>
        <v>0.49399999999999999</v>
      </c>
      <c r="AE132" s="213"/>
      <c r="AF132" s="231">
        <f t="shared" si="30"/>
        <v>0</v>
      </c>
    </row>
    <row r="133" spans="12:32" ht="24.95" customHeight="1">
      <c r="L133" s="128">
        <v>47</v>
      </c>
      <c r="M133" s="128">
        <v>66</v>
      </c>
      <c r="N133" s="129">
        <v>40</v>
      </c>
      <c r="O133" s="130">
        <v>60</v>
      </c>
      <c r="P133" s="130">
        <v>155</v>
      </c>
      <c r="Q133" s="130">
        <v>75</v>
      </c>
      <c r="R133" s="204" t="s">
        <v>1055</v>
      </c>
      <c r="S133" s="130">
        <f t="shared" si="28"/>
        <v>0.70899999999999996</v>
      </c>
      <c r="T133" s="196"/>
      <c r="U133" s="205">
        <f t="shared" si="29"/>
        <v>0</v>
      </c>
      <c r="W133" s="225">
        <v>55</v>
      </c>
      <c r="X133" s="226" t="s">
        <v>2936</v>
      </c>
      <c r="Y133" s="226">
        <v>18</v>
      </c>
      <c r="Z133" s="226">
        <v>79.5</v>
      </c>
      <c r="AA133" s="226">
        <v>56.5</v>
      </c>
      <c r="AB133" s="226">
        <v>10</v>
      </c>
      <c r="AC133" s="226" t="s">
        <v>2122</v>
      </c>
      <c r="AD133" s="226">
        <f t="shared" si="22"/>
        <v>0.52200000000000002</v>
      </c>
      <c r="AE133" s="213"/>
      <c r="AF133" s="231">
        <f t="shared" si="30"/>
        <v>0</v>
      </c>
    </row>
    <row r="134" spans="12:32" ht="24.95" customHeight="1">
      <c r="L134" s="191">
        <v>48</v>
      </c>
      <c r="M134" s="191">
        <v>69</v>
      </c>
      <c r="N134" s="192">
        <v>40</v>
      </c>
      <c r="O134" s="193">
        <v>63</v>
      </c>
      <c r="P134" s="193">
        <v>155</v>
      </c>
      <c r="Q134" s="193">
        <v>75</v>
      </c>
      <c r="R134" s="204" t="s">
        <v>1893</v>
      </c>
      <c r="S134" s="193">
        <f t="shared" si="28"/>
        <v>0.74399999999999999</v>
      </c>
      <c r="T134" s="196"/>
      <c r="U134" s="205">
        <f t="shared" si="29"/>
        <v>0</v>
      </c>
      <c r="W134" s="225">
        <v>56</v>
      </c>
      <c r="X134" s="226" t="s">
        <v>2937</v>
      </c>
      <c r="Y134" s="226">
        <v>18</v>
      </c>
      <c r="Z134" s="226">
        <v>79.5</v>
      </c>
      <c r="AA134" s="226">
        <v>59.5</v>
      </c>
      <c r="AB134" s="226">
        <v>10</v>
      </c>
      <c r="AC134" s="226" t="s">
        <v>2123</v>
      </c>
      <c r="AD134" s="226">
        <f t="shared" si="22"/>
        <v>0.54900000000000004</v>
      </c>
      <c r="AE134" s="213"/>
      <c r="AF134" s="231">
        <f t="shared" si="30"/>
        <v>0</v>
      </c>
    </row>
    <row r="135" spans="12:32" ht="24.95" customHeight="1">
      <c r="L135" s="128">
        <v>49</v>
      </c>
      <c r="M135" s="128">
        <v>72</v>
      </c>
      <c r="N135" s="129">
        <v>40</v>
      </c>
      <c r="O135" s="130">
        <v>66</v>
      </c>
      <c r="P135" s="130">
        <v>155</v>
      </c>
      <c r="Q135" s="130">
        <v>75</v>
      </c>
      <c r="R135" s="204" t="s">
        <v>1058</v>
      </c>
      <c r="S135" s="130">
        <f t="shared" si="28"/>
        <v>0.78</v>
      </c>
      <c r="T135" s="196"/>
      <c r="U135" s="205">
        <f t="shared" si="29"/>
        <v>0</v>
      </c>
      <c r="W135" s="225">
        <v>57</v>
      </c>
      <c r="X135" s="226" t="s">
        <v>2938</v>
      </c>
      <c r="Y135" s="226">
        <v>18</v>
      </c>
      <c r="Z135" s="226">
        <v>79.5</v>
      </c>
      <c r="AA135" s="226">
        <v>62.5</v>
      </c>
      <c r="AB135" s="226">
        <v>10</v>
      </c>
      <c r="AC135" s="226" t="s">
        <v>2124</v>
      </c>
      <c r="AD135" s="226">
        <f t="shared" si="22"/>
        <v>0.57699999999999996</v>
      </c>
      <c r="AE135" s="213"/>
      <c r="AF135" s="231">
        <f t="shared" si="30"/>
        <v>0</v>
      </c>
    </row>
    <row r="136" spans="12:32" ht="24.95" customHeight="1">
      <c r="L136" s="128">
        <v>50</v>
      </c>
      <c r="M136" s="128">
        <v>13</v>
      </c>
      <c r="N136" s="129">
        <v>40</v>
      </c>
      <c r="O136" s="130">
        <v>9</v>
      </c>
      <c r="P136" s="130">
        <v>155</v>
      </c>
      <c r="Q136" s="130">
        <v>75</v>
      </c>
      <c r="R136" s="204" t="s">
        <v>1894</v>
      </c>
      <c r="S136" s="130">
        <f t="shared" si="28"/>
        <v>0.106</v>
      </c>
      <c r="T136" s="196"/>
      <c r="U136" s="205">
        <f t="shared" si="29"/>
        <v>0</v>
      </c>
      <c r="W136" s="225">
        <v>58</v>
      </c>
      <c r="X136" s="226" t="s">
        <v>2939</v>
      </c>
      <c r="Y136" s="226">
        <v>18</v>
      </c>
      <c r="Z136" s="226">
        <v>79.5</v>
      </c>
      <c r="AA136" s="226">
        <v>65.5</v>
      </c>
      <c r="AB136" s="226">
        <v>10</v>
      </c>
      <c r="AC136" s="226" t="s">
        <v>2125</v>
      </c>
      <c r="AD136" s="226">
        <f t="shared" si="22"/>
        <v>0.60499999999999998</v>
      </c>
      <c r="AE136" s="213"/>
      <c r="AF136" s="231">
        <f t="shared" si="30"/>
        <v>0</v>
      </c>
    </row>
    <row r="137" spans="12:32" ht="24.95" customHeight="1">
      <c r="L137" s="173">
        <v>51</v>
      </c>
      <c r="M137" s="173">
        <v>18</v>
      </c>
      <c r="N137" s="174">
        <v>40</v>
      </c>
      <c r="O137" s="175">
        <v>12</v>
      </c>
      <c r="P137" s="175">
        <v>155</v>
      </c>
      <c r="Q137" s="175">
        <v>75</v>
      </c>
      <c r="R137" s="206" t="s">
        <v>1122</v>
      </c>
      <c r="S137" s="175">
        <f t="shared" si="28"/>
        <v>0.14199999999999999</v>
      </c>
      <c r="T137" s="196"/>
      <c r="U137" s="207">
        <f t="shared" si="29"/>
        <v>0</v>
      </c>
      <c r="W137" s="225">
        <v>59</v>
      </c>
      <c r="X137" s="226" t="s">
        <v>2940</v>
      </c>
      <c r="Y137" s="226">
        <v>18</v>
      </c>
      <c r="Z137" s="226">
        <v>79.5</v>
      </c>
      <c r="AA137" s="226">
        <v>68.5</v>
      </c>
      <c r="AB137" s="226">
        <v>10</v>
      </c>
      <c r="AC137" s="226" t="s">
        <v>2126</v>
      </c>
      <c r="AD137" s="226">
        <f t="shared" si="22"/>
        <v>0.63200000000000001</v>
      </c>
      <c r="AE137" s="213"/>
      <c r="AF137" s="231">
        <f t="shared" si="30"/>
        <v>0</v>
      </c>
    </row>
    <row r="138" spans="12:32" ht="24.95" customHeight="1">
      <c r="L138" s="178">
        <v>52</v>
      </c>
      <c r="M138" s="179">
        <v>30</v>
      </c>
      <c r="N138" s="179">
        <v>40</v>
      </c>
      <c r="O138" s="179">
        <v>24</v>
      </c>
      <c r="P138" s="179">
        <v>175</v>
      </c>
      <c r="Q138" s="179">
        <v>75</v>
      </c>
      <c r="R138" s="179" t="s">
        <v>1895</v>
      </c>
      <c r="S138" s="179">
        <f t="shared" si="28"/>
        <v>0.32</v>
      </c>
      <c r="T138" s="196"/>
      <c r="U138" s="208">
        <f t="shared" si="29"/>
        <v>0</v>
      </c>
      <c r="W138" s="225">
        <v>60</v>
      </c>
      <c r="X138" s="226" t="s">
        <v>2941</v>
      </c>
      <c r="Y138" s="226">
        <v>18</v>
      </c>
      <c r="Z138" s="226">
        <v>79.5</v>
      </c>
      <c r="AA138" s="226">
        <v>71.5</v>
      </c>
      <c r="AB138" s="226">
        <v>10</v>
      </c>
      <c r="AC138" s="226" t="s">
        <v>2127</v>
      </c>
      <c r="AD138" s="226">
        <f t="shared" si="22"/>
        <v>0.66</v>
      </c>
      <c r="AE138" s="213"/>
      <c r="AF138" s="231">
        <f t="shared" si="30"/>
        <v>0</v>
      </c>
    </row>
    <row r="139" spans="12:32" ht="24.95" customHeight="1">
      <c r="L139" s="133">
        <v>53</v>
      </c>
      <c r="M139" s="134">
        <v>33</v>
      </c>
      <c r="N139" s="134">
        <v>40</v>
      </c>
      <c r="O139" s="134">
        <v>27</v>
      </c>
      <c r="P139" s="134">
        <v>175</v>
      </c>
      <c r="Q139" s="134">
        <v>75</v>
      </c>
      <c r="R139" s="134" t="s">
        <v>1896</v>
      </c>
      <c r="S139" s="134">
        <f t="shared" ref="S139:S155" si="31">ROUND(N139*O139*0.0254*P139/1000*Q139/1000,3)</f>
        <v>0.36</v>
      </c>
      <c r="T139" s="196"/>
      <c r="U139" s="209">
        <f t="shared" si="29"/>
        <v>0</v>
      </c>
      <c r="W139" s="225">
        <v>61</v>
      </c>
      <c r="X139" s="226" t="s">
        <v>2942</v>
      </c>
      <c r="Y139" s="226">
        <v>18</v>
      </c>
      <c r="Z139" s="226">
        <v>83.5</v>
      </c>
      <c r="AA139" s="226">
        <v>29.5</v>
      </c>
      <c r="AB139" s="226">
        <v>10</v>
      </c>
      <c r="AC139" s="226" t="s">
        <v>2128</v>
      </c>
      <c r="AD139" s="226">
        <f t="shared" si="22"/>
        <v>0.28599999999999998</v>
      </c>
      <c r="AE139" s="213"/>
      <c r="AF139" s="231">
        <f t="shared" si="30"/>
        <v>0</v>
      </c>
    </row>
    <row r="140" spans="12:32" ht="24.95" customHeight="1">
      <c r="L140" s="133">
        <v>54</v>
      </c>
      <c r="M140" s="134">
        <v>36</v>
      </c>
      <c r="N140" s="134">
        <v>40</v>
      </c>
      <c r="O140" s="134">
        <v>30</v>
      </c>
      <c r="P140" s="134">
        <v>175</v>
      </c>
      <c r="Q140" s="134">
        <v>75</v>
      </c>
      <c r="R140" s="134" t="s">
        <v>1897</v>
      </c>
      <c r="S140" s="134">
        <f t="shared" si="31"/>
        <v>0.4</v>
      </c>
      <c r="T140" s="196"/>
      <c r="U140" s="209">
        <f t="shared" si="29"/>
        <v>0</v>
      </c>
      <c r="W140" s="225">
        <v>62</v>
      </c>
      <c r="X140" s="226" t="s">
        <v>2943</v>
      </c>
      <c r="Y140" s="226">
        <v>18</v>
      </c>
      <c r="Z140" s="226">
        <v>83.5</v>
      </c>
      <c r="AA140" s="226">
        <v>32.5</v>
      </c>
      <c r="AB140" s="226">
        <v>10</v>
      </c>
      <c r="AC140" s="226" t="s">
        <v>2129</v>
      </c>
      <c r="AD140" s="226">
        <f t="shared" si="22"/>
        <v>0.315</v>
      </c>
      <c r="AE140" s="213"/>
      <c r="AF140" s="231">
        <f t="shared" si="30"/>
        <v>0</v>
      </c>
    </row>
    <row r="141" spans="12:32" ht="24.95" customHeight="1">
      <c r="L141" s="133">
        <v>55</v>
      </c>
      <c r="M141" s="134">
        <v>39</v>
      </c>
      <c r="N141" s="134">
        <v>40</v>
      </c>
      <c r="O141" s="134">
        <v>33</v>
      </c>
      <c r="P141" s="134">
        <v>175</v>
      </c>
      <c r="Q141" s="134">
        <v>75</v>
      </c>
      <c r="R141" s="134" t="s">
        <v>1898</v>
      </c>
      <c r="S141" s="134">
        <f t="shared" si="31"/>
        <v>0.44</v>
      </c>
      <c r="T141" s="196"/>
      <c r="U141" s="209">
        <f t="shared" si="29"/>
        <v>0</v>
      </c>
      <c r="W141" s="225">
        <v>63</v>
      </c>
      <c r="X141" s="226" t="s">
        <v>2944</v>
      </c>
      <c r="Y141" s="226">
        <v>18</v>
      </c>
      <c r="Z141" s="226">
        <v>83.5</v>
      </c>
      <c r="AA141" s="226">
        <v>35.5</v>
      </c>
      <c r="AB141" s="226">
        <v>10</v>
      </c>
      <c r="AC141" s="226" t="s">
        <v>2130</v>
      </c>
      <c r="AD141" s="226">
        <f t="shared" si="22"/>
        <v>0.34399999999999997</v>
      </c>
      <c r="AE141" s="213"/>
      <c r="AF141" s="231">
        <f t="shared" si="30"/>
        <v>0</v>
      </c>
    </row>
    <row r="142" spans="12:32" ht="24.95" customHeight="1">
      <c r="L142" s="133">
        <v>56</v>
      </c>
      <c r="M142" s="134">
        <v>42</v>
      </c>
      <c r="N142" s="134">
        <v>40</v>
      </c>
      <c r="O142" s="134">
        <v>36</v>
      </c>
      <c r="P142" s="134">
        <v>175</v>
      </c>
      <c r="Q142" s="134">
        <v>75</v>
      </c>
      <c r="R142" s="134" t="s">
        <v>1899</v>
      </c>
      <c r="S142" s="134">
        <f t="shared" si="31"/>
        <v>0.48</v>
      </c>
      <c r="T142" s="196"/>
      <c r="U142" s="209">
        <f t="shared" si="29"/>
        <v>0</v>
      </c>
      <c r="W142" s="225">
        <v>64</v>
      </c>
      <c r="X142" s="226" t="s">
        <v>2945</v>
      </c>
      <c r="Y142" s="226">
        <v>18</v>
      </c>
      <c r="Z142" s="226">
        <v>83.5</v>
      </c>
      <c r="AA142" s="226">
        <v>38.5</v>
      </c>
      <c r="AB142" s="226">
        <v>10</v>
      </c>
      <c r="AC142" s="226" t="s">
        <v>2131</v>
      </c>
      <c r="AD142" s="226">
        <f t="shared" si="22"/>
        <v>0.373</v>
      </c>
      <c r="AE142" s="213"/>
      <c r="AF142" s="231">
        <f t="shared" si="30"/>
        <v>0</v>
      </c>
    </row>
    <row r="143" spans="12:32" ht="24.95" customHeight="1">
      <c r="L143" s="133">
        <v>57</v>
      </c>
      <c r="M143" s="134">
        <v>45</v>
      </c>
      <c r="N143" s="134">
        <v>40</v>
      </c>
      <c r="O143" s="134">
        <v>39</v>
      </c>
      <c r="P143" s="134">
        <v>175</v>
      </c>
      <c r="Q143" s="134">
        <v>75</v>
      </c>
      <c r="R143" s="134" t="s">
        <v>1900</v>
      </c>
      <c r="S143" s="134">
        <f t="shared" si="31"/>
        <v>0.52</v>
      </c>
      <c r="T143" s="196"/>
      <c r="U143" s="209">
        <f t="shared" si="29"/>
        <v>0</v>
      </c>
      <c r="W143" s="225">
        <v>65</v>
      </c>
      <c r="X143" s="226" t="s">
        <v>2946</v>
      </c>
      <c r="Y143" s="226">
        <v>18</v>
      </c>
      <c r="Z143" s="226">
        <v>83.5</v>
      </c>
      <c r="AA143" s="226">
        <v>41.5</v>
      </c>
      <c r="AB143" s="226">
        <v>10</v>
      </c>
      <c r="AC143" s="226" t="s">
        <v>2132</v>
      </c>
      <c r="AD143" s="226">
        <f t="shared" si="22"/>
        <v>0.40200000000000002</v>
      </c>
      <c r="AE143" s="213"/>
      <c r="AF143" s="231">
        <f t="shared" si="30"/>
        <v>0</v>
      </c>
    </row>
    <row r="144" spans="12:32" ht="24.95" customHeight="1">
      <c r="L144" s="133">
        <v>58</v>
      </c>
      <c r="M144" s="134">
        <v>48</v>
      </c>
      <c r="N144" s="134">
        <v>40</v>
      </c>
      <c r="O144" s="134">
        <v>42</v>
      </c>
      <c r="P144" s="134">
        <v>175</v>
      </c>
      <c r="Q144" s="134">
        <v>75</v>
      </c>
      <c r="R144" s="134" t="s">
        <v>1901</v>
      </c>
      <c r="S144" s="134">
        <f t="shared" si="31"/>
        <v>0.56000000000000005</v>
      </c>
      <c r="T144" s="196"/>
      <c r="U144" s="209">
        <f t="shared" si="29"/>
        <v>0</v>
      </c>
      <c r="W144" s="225">
        <v>66</v>
      </c>
      <c r="X144" s="226" t="s">
        <v>2947</v>
      </c>
      <c r="Y144" s="226">
        <v>18</v>
      </c>
      <c r="Z144" s="226">
        <v>83.5</v>
      </c>
      <c r="AA144" s="226">
        <v>44.5</v>
      </c>
      <c r="AB144" s="226">
        <v>10</v>
      </c>
      <c r="AC144" s="226" t="s">
        <v>2133</v>
      </c>
      <c r="AD144" s="226">
        <f t="shared" ref="AD144:AD156" si="32">+ROUND((Y144*Z144*0.0254*AA144*0.0254*(AB144/1000)),3)</f>
        <v>0.432</v>
      </c>
      <c r="AE144" s="213"/>
      <c r="AF144" s="231">
        <f t="shared" si="30"/>
        <v>0</v>
      </c>
    </row>
    <row r="145" spans="12:32" ht="24.95" customHeight="1">
      <c r="L145" s="133">
        <v>59</v>
      </c>
      <c r="M145" s="134">
        <v>51</v>
      </c>
      <c r="N145" s="134">
        <v>40</v>
      </c>
      <c r="O145" s="134">
        <v>45</v>
      </c>
      <c r="P145" s="134">
        <v>175</v>
      </c>
      <c r="Q145" s="134">
        <v>75</v>
      </c>
      <c r="R145" s="134" t="s">
        <v>1902</v>
      </c>
      <c r="S145" s="134">
        <f t="shared" si="31"/>
        <v>0.6</v>
      </c>
      <c r="T145" s="196"/>
      <c r="U145" s="209">
        <f t="shared" si="29"/>
        <v>0</v>
      </c>
      <c r="W145" s="225">
        <v>67</v>
      </c>
      <c r="X145" s="226" t="s">
        <v>2948</v>
      </c>
      <c r="Y145" s="226">
        <v>18</v>
      </c>
      <c r="Z145" s="226">
        <v>83.5</v>
      </c>
      <c r="AA145" s="226">
        <v>47.5</v>
      </c>
      <c r="AB145" s="226">
        <v>10</v>
      </c>
      <c r="AC145" s="226" t="s">
        <v>2134</v>
      </c>
      <c r="AD145" s="226">
        <f t="shared" si="32"/>
        <v>0.46100000000000002</v>
      </c>
      <c r="AE145" s="213"/>
      <c r="AF145" s="231">
        <f t="shared" si="30"/>
        <v>0</v>
      </c>
    </row>
    <row r="146" spans="12:32" ht="24.95" customHeight="1">
      <c r="L146" s="133">
        <v>60</v>
      </c>
      <c r="M146" s="134">
        <v>54</v>
      </c>
      <c r="N146" s="134">
        <v>40</v>
      </c>
      <c r="O146" s="134">
        <v>48</v>
      </c>
      <c r="P146" s="134">
        <v>175</v>
      </c>
      <c r="Q146" s="134">
        <v>75</v>
      </c>
      <c r="R146" s="134" t="s">
        <v>1903</v>
      </c>
      <c r="S146" s="134">
        <f t="shared" si="31"/>
        <v>0.64</v>
      </c>
      <c r="T146" s="196"/>
      <c r="U146" s="209">
        <f t="shared" si="29"/>
        <v>0</v>
      </c>
      <c r="W146" s="225">
        <v>68</v>
      </c>
      <c r="X146" s="226" t="s">
        <v>2949</v>
      </c>
      <c r="Y146" s="226">
        <v>18</v>
      </c>
      <c r="Z146" s="226">
        <v>83.5</v>
      </c>
      <c r="AA146" s="226">
        <v>50.5</v>
      </c>
      <c r="AB146" s="226">
        <v>10</v>
      </c>
      <c r="AC146" s="226" t="s">
        <v>2135</v>
      </c>
      <c r="AD146" s="226">
        <f t="shared" si="32"/>
        <v>0.49</v>
      </c>
      <c r="AE146" s="213"/>
      <c r="AF146" s="231">
        <f t="shared" si="30"/>
        <v>0</v>
      </c>
    </row>
    <row r="147" spans="12:32" ht="24.95" customHeight="1">
      <c r="L147" s="133">
        <v>61</v>
      </c>
      <c r="M147" s="134">
        <v>57</v>
      </c>
      <c r="N147" s="134">
        <v>40</v>
      </c>
      <c r="O147" s="134">
        <v>51</v>
      </c>
      <c r="P147" s="134">
        <v>175</v>
      </c>
      <c r="Q147" s="134">
        <v>75</v>
      </c>
      <c r="R147" s="134" t="s">
        <v>1904</v>
      </c>
      <c r="S147" s="134">
        <f t="shared" si="31"/>
        <v>0.68</v>
      </c>
      <c r="T147" s="196"/>
      <c r="U147" s="209">
        <f t="shared" si="29"/>
        <v>0</v>
      </c>
      <c r="W147" s="225">
        <v>69</v>
      </c>
      <c r="X147" s="226" t="s">
        <v>2950</v>
      </c>
      <c r="Y147" s="226">
        <v>18</v>
      </c>
      <c r="Z147" s="226">
        <v>83.5</v>
      </c>
      <c r="AA147" s="226">
        <v>53.5</v>
      </c>
      <c r="AB147" s="226">
        <v>10</v>
      </c>
      <c r="AC147" s="226" t="s">
        <v>2136</v>
      </c>
      <c r="AD147" s="226">
        <f t="shared" si="32"/>
        <v>0.51900000000000002</v>
      </c>
      <c r="AE147" s="213"/>
      <c r="AF147" s="231">
        <f t="shared" si="30"/>
        <v>0</v>
      </c>
    </row>
    <row r="148" spans="12:32" ht="24.95" customHeight="1">
      <c r="L148" s="133">
        <v>62</v>
      </c>
      <c r="M148" s="134">
        <v>60</v>
      </c>
      <c r="N148" s="134">
        <v>40</v>
      </c>
      <c r="O148" s="134">
        <v>54</v>
      </c>
      <c r="P148" s="134">
        <v>175</v>
      </c>
      <c r="Q148" s="134">
        <v>75</v>
      </c>
      <c r="R148" s="134" t="s">
        <v>1905</v>
      </c>
      <c r="S148" s="134">
        <f t="shared" si="31"/>
        <v>0.72</v>
      </c>
      <c r="T148" s="196"/>
      <c r="U148" s="209">
        <f t="shared" si="29"/>
        <v>0</v>
      </c>
      <c r="W148" s="225">
        <v>70</v>
      </c>
      <c r="X148" s="226" t="s">
        <v>2952</v>
      </c>
      <c r="Y148" s="226">
        <v>18</v>
      </c>
      <c r="Z148" s="226">
        <v>83.5</v>
      </c>
      <c r="AA148" s="226">
        <v>56.5</v>
      </c>
      <c r="AB148" s="226">
        <v>10</v>
      </c>
      <c r="AC148" s="226" t="s">
        <v>2137</v>
      </c>
      <c r="AD148" s="226">
        <f t="shared" si="32"/>
        <v>0.54800000000000004</v>
      </c>
      <c r="AE148" s="213"/>
      <c r="AF148" s="231">
        <f t="shared" si="30"/>
        <v>0</v>
      </c>
    </row>
    <row r="149" spans="12:32" ht="24.95" customHeight="1">
      <c r="L149" s="133">
        <v>63</v>
      </c>
      <c r="M149" s="134">
        <v>63</v>
      </c>
      <c r="N149" s="134">
        <v>40</v>
      </c>
      <c r="O149" s="134">
        <v>57</v>
      </c>
      <c r="P149" s="134">
        <v>175</v>
      </c>
      <c r="Q149" s="134">
        <v>75</v>
      </c>
      <c r="R149" s="134" t="s">
        <v>1906</v>
      </c>
      <c r="S149" s="134">
        <f t="shared" si="31"/>
        <v>0.76</v>
      </c>
      <c r="T149" s="196"/>
      <c r="U149" s="209">
        <f t="shared" si="29"/>
        <v>0</v>
      </c>
      <c r="W149" s="225">
        <v>71</v>
      </c>
      <c r="X149" s="226" t="s">
        <v>2954</v>
      </c>
      <c r="Y149" s="226">
        <v>18</v>
      </c>
      <c r="Z149" s="226">
        <v>83.5</v>
      </c>
      <c r="AA149" s="226">
        <v>59.5</v>
      </c>
      <c r="AB149" s="226">
        <v>10</v>
      </c>
      <c r="AC149" s="226" t="s">
        <v>2138</v>
      </c>
      <c r="AD149" s="226">
        <f t="shared" si="32"/>
        <v>0.57699999999999996</v>
      </c>
      <c r="AE149" s="213"/>
      <c r="AF149" s="231">
        <f t="shared" si="30"/>
        <v>0</v>
      </c>
    </row>
    <row r="150" spans="12:32" ht="24.95" customHeight="1">
      <c r="L150" s="133">
        <v>64</v>
      </c>
      <c r="M150" s="134">
        <v>66</v>
      </c>
      <c r="N150" s="134">
        <v>40</v>
      </c>
      <c r="O150" s="134">
        <v>60</v>
      </c>
      <c r="P150" s="134">
        <v>175</v>
      </c>
      <c r="Q150" s="134">
        <v>75</v>
      </c>
      <c r="R150" s="134" t="s">
        <v>1907</v>
      </c>
      <c r="S150" s="134">
        <f t="shared" si="31"/>
        <v>0.8</v>
      </c>
      <c r="T150" s="196"/>
      <c r="U150" s="209">
        <f t="shared" si="29"/>
        <v>0</v>
      </c>
      <c r="W150" s="225">
        <v>72</v>
      </c>
      <c r="X150" s="226" t="s">
        <v>2955</v>
      </c>
      <c r="Y150" s="226">
        <v>18</v>
      </c>
      <c r="Z150" s="226">
        <v>83.5</v>
      </c>
      <c r="AA150" s="226">
        <v>62.5</v>
      </c>
      <c r="AB150" s="226">
        <v>10</v>
      </c>
      <c r="AC150" s="226" t="s">
        <v>2139</v>
      </c>
      <c r="AD150" s="226">
        <f t="shared" si="32"/>
        <v>0.60599999999999998</v>
      </c>
      <c r="AE150" s="213"/>
      <c r="AF150" s="231">
        <f t="shared" si="30"/>
        <v>0</v>
      </c>
    </row>
    <row r="151" spans="12:32" ht="24.95" customHeight="1">
      <c r="L151" s="133">
        <v>65</v>
      </c>
      <c r="M151" s="134">
        <v>69</v>
      </c>
      <c r="N151" s="134">
        <v>40</v>
      </c>
      <c r="O151" s="134">
        <v>63</v>
      </c>
      <c r="P151" s="134">
        <v>175</v>
      </c>
      <c r="Q151" s="134">
        <v>75</v>
      </c>
      <c r="R151" s="134" t="s">
        <v>1908</v>
      </c>
      <c r="S151" s="134">
        <f t="shared" si="31"/>
        <v>0.84</v>
      </c>
      <c r="T151" s="196"/>
      <c r="U151" s="209">
        <f t="shared" si="29"/>
        <v>0</v>
      </c>
      <c r="W151" s="225">
        <v>73</v>
      </c>
      <c r="X151" s="226" t="s">
        <v>2956</v>
      </c>
      <c r="Y151" s="226">
        <v>18</v>
      </c>
      <c r="Z151" s="226">
        <v>83.5</v>
      </c>
      <c r="AA151" s="226">
        <v>65.5</v>
      </c>
      <c r="AB151" s="226">
        <v>10</v>
      </c>
      <c r="AC151" s="226" t="s">
        <v>2140</v>
      </c>
      <c r="AD151" s="226">
        <f t="shared" si="32"/>
        <v>0.63500000000000001</v>
      </c>
      <c r="AE151" s="213"/>
      <c r="AF151" s="231">
        <f t="shared" si="30"/>
        <v>0</v>
      </c>
    </row>
    <row r="152" spans="12:32" ht="24.95" customHeight="1">
      <c r="L152" s="133">
        <v>66</v>
      </c>
      <c r="M152" s="134">
        <v>72</v>
      </c>
      <c r="N152" s="134">
        <v>40</v>
      </c>
      <c r="O152" s="134">
        <v>66</v>
      </c>
      <c r="P152" s="134">
        <v>175</v>
      </c>
      <c r="Q152" s="134">
        <v>75</v>
      </c>
      <c r="R152" s="134" t="s">
        <v>1909</v>
      </c>
      <c r="S152" s="134">
        <f t="shared" si="31"/>
        <v>0.88</v>
      </c>
      <c r="T152" s="196"/>
      <c r="U152" s="209">
        <f t="shared" si="29"/>
        <v>0</v>
      </c>
      <c r="W152" s="225">
        <v>74</v>
      </c>
      <c r="X152" s="226" t="s">
        <v>2957</v>
      </c>
      <c r="Y152" s="226">
        <v>18</v>
      </c>
      <c r="Z152" s="226">
        <v>83.5</v>
      </c>
      <c r="AA152" s="226">
        <v>68.5</v>
      </c>
      <c r="AB152" s="226">
        <v>10</v>
      </c>
      <c r="AC152" s="226" t="s">
        <v>2141</v>
      </c>
      <c r="AD152" s="226">
        <f t="shared" si="32"/>
        <v>0.66400000000000003</v>
      </c>
      <c r="AE152" s="213"/>
      <c r="AF152" s="231">
        <f t="shared" si="30"/>
        <v>0</v>
      </c>
    </row>
    <row r="153" spans="12:32" ht="24.95" customHeight="1">
      <c r="L153" s="133">
        <v>67</v>
      </c>
      <c r="M153" s="134">
        <v>13</v>
      </c>
      <c r="N153" s="134">
        <v>40</v>
      </c>
      <c r="O153" s="134">
        <v>9</v>
      </c>
      <c r="P153" s="134">
        <v>175</v>
      </c>
      <c r="Q153" s="134">
        <v>75</v>
      </c>
      <c r="R153" s="134" t="s">
        <v>1910</v>
      </c>
      <c r="S153" s="134">
        <f t="shared" si="31"/>
        <v>0.12</v>
      </c>
      <c r="T153" s="196"/>
      <c r="U153" s="209">
        <f t="shared" si="29"/>
        <v>0</v>
      </c>
      <c r="W153" s="225">
        <v>75</v>
      </c>
      <c r="X153" s="226" t="s">
        <v>2958</v>
      </c>
      <c r="Y153" s="226">
        <v>18</v>
      </c>
      <c r="Z153" s="226">
        <v>83.5</v>
      </c>
      <c r="AA153" s="226">
        <v>71.5</v>
      </c>
      <c r="AB153" s="226">
        <v>10</v>
      </c>
      <c r="AC153" s="226" t="s">
        <v>2142</v>
      </c>
      <c r="AD153" s="226">
        <f t="shared" si="32"/>
        <v>0.69299999999999995</v>
      </c>
      <c r="AE153" s="213"/>
      <c r="AF153" s="231">
        <f t="shared" si="30"/>
        <v>0</v>
      </c>
    </row>
    <row r="154" spans="12:32" ht="24.95" customHeight="1">
      <c r="L154" s="182">
        <v>68</v>
      </c>
      <c r="M154" s="183">
        <v>18</v>
      </c>
      <c r="N154" s="183">
        <v>40</v>
      </c>
      <c r="O154" s="183">
        <v>12</v>
      </c>
      <c r="P154" s="183">
        <v>175</v>
      </c>
      <c r="Q154" s="183">
        <v>75</v>
      </c>
      <c r="R154" s="183" t="s">
        <v>1911</v>
      </c>
      <c r="S154" s="183">
        <f t="shared" si="31"/>
        <v>0.16</v>
      </c>
      <c r="T154" s="196"/>
      <c r="U154" s="229">
        <f t="shared" si="29"/>
        <v>0</v>
      </c>
      <c r="W154" s="225">
        <v>76</v>
      </c>
      <c r="X154" s="226" t="s">
        <v>2959</v>
      </c>
      <c r="Y154" s="226">
        <v>18</v>
      </c>
      <c r="Z154" s="226">
        <v>12.5</v>
      </c>
      <c r="AA154" s="226">
        <v>12.5</v>
      </c>
      <c r="AB154" s="226">
        <v>10</v>
      </c>
      <c r="AC154" s="226" t="s">
        <v>2143</v>
      </c>
      <c r="AD154" s="226">
        <f t="shared" si="32"/>
        <v>1.7999999999999999E-2</v>
      </c>
      <c r="AE154" s="213"/>
      <c r="AF154" s="231">
        <f t="shared" si="30"/>
        <v>0</v>
      </c>
    </row>
    <row r="155" spans="12:32" ht="24.95" customHeight="1">
      <c r="L155" s="162">
        <v>69</v>
      </c>
      <c r="M155" s="163">
        <v>30</v>
      </c>
      <c r="N155" s="163">
        <v>40</v>
      </c>
      <c r="O155" s="163">
        <v>24</v>
      </c>
      <c r="P155" s="163">
        <v>205</v>
      </c>
      <c r="Q155" s="163">
        <v>75</v>
      </c>
      <c r="R155" s="163" t="s">
        <v>1912</v>
      </c>
      <c r="S155" s="163">
        <f t="shared" si="31"/>
        <v>0.375</v>
      </c>
      <c r="T155" s="196"/>
      <c r="U155" s="200">
        <f t="shared" si="29"/>
        <v>0</v>
      </c>
      <c r="W155" s="227">
        <v>77</v>
      </c>
      <c r="X155" s="228" t="s">
        <v>2960</v>
      </c>
      <c r="Y155" s="228">
        <v>18</v>
      </c>
      <c r="Z155" s="228">
        <v>19.5</v>
      </c>
      <c r="AA155" s="228">
        <v>17.5</v>
      </c>
      <c r="AB155" s="228">
        <v>10</v>
      </c>
      <c r="AC155" s="228" t="s">
        <v>2144</v>
      </c>
      <c r="AD155" s="228">
        <f t="shared" si="32"/>
        <v>0.04</v>
      </c>
      <c r="AE155" s="213"/>
      <c r="AF155" s="232">
        <f t="shared" si="30"/>
        <v>0</v>
      </c>
    </row>
    <row r="156" spans="12:32" ht="24.95" customHeight="1">
      <c r="L156" s="125">
        <v>70</v>
      </c>
      <c r="M156" s="126">
        <v>33</v>
      </c>
      <c r="N156" s="126">
        <v>40</v>
      </c>
      <c r="O156" s="126">
        <v>27</v>
      </c>
      <c r="P156" s="126">
        <v>205</v>
      </c>
      <c r="Q156" s="126">
        <v>75</v>
      </c>
      <c r="R156" s="126" t="s">
        <v>1913</v>
      </c>
      <c r="S156" s="126">
        <f t="shared" ref="S156:S172" si="33">ROUND(N156*O156*0.0254*P156/1000*Q156/1000,3)</f>
        <v>0.42199999999999999</v>
      </c>
      <c r="T156" s="196"/>
      <c r="U156" s="201">
        <f t="shared" si="29"/>
        <v>0</v>
      </c>
      <c r="W156" s="170">
        <v>1</v>
      </c>
      <c r="X156" s="171" t="s">
        <v>2876</v>
      </c>
      <c r="Y156" s="171">
        <v>23</v>
      </c>
      <c r="Z156" s="171">
        <v>71.5</v>
      </c>
      <c r="AA156" s="171">
        <v>29.5</v>
      </c>
      <c r="AB156" s="171">
        <v>15</v>
      </c>
      <c r="AC156" s="171" t="s">
        <v>2145</v>
      </c>
      <c r="AD156" s="171">
        <f t="shared" si="32"/>
        <v>0.46899999999999997</v>
      </c>
      <c r="AE156" s="213"/>
      <c r="AF156" s="203">
        <f t="shared" si="30"/>
        <v>0</v>
      </c>
    </row>
    <row r="157" spans="12:32" ht="24.95" customHeight="1">
      <c r="L157" s="125">
        <v>71</v>
      </c>
      <c r="M157" s="126">
        <v>36</v>
      </c>
      <c r="N157" s="126">
        <v>40</v>
      </c>
      <c r="O157" s="126">
        <v>30</v>
      </c>
      <c r="P157" s="126">
        <v>205</v>
      </c>
      <c r="Q157" s="126">
        <v>75</v>
      </c>
      <c r="R157" s="126" t="s">
        <v>1914</v>
      </c>
      <c r="S157" s="126">
        <f t="shared" si="33"/>
        <v>0.46899999999999997</v>
      </c>
      <c r="T157" s="196"/>
      <c r="U157" s="201">
        <f t="shared" si="29"/>
        <v>0</v>
      </c>
      <c r="W157" s="129">
        <v>2</v>
      </c>
      <c r="X157" s="130" t="s">
        <v>2877</v>
      </c>
      <c r="Y157" s="130">
        <v>23</v>
      </c>
      <c r="Z157" s="130">
        <v>71.5</v>
      </c>
      <c r="AA157" s="130">
        <v>32.5</v>
      </c>
      <c r="AB157" s="130">
        <v>15</v>
      </c>
      <c r="AC157" s="130" t="s">
        <v>2146</v>
      </c>
      <c r="AD157" s="130">
        <f t="shared" ref="AD157:AD220" si="34">+ROUND((Y157*Z157*0.0254*AA157*0.0254*(AB157/1000)),3)</f>
        <v>0.51700000000000002</v>
      </c>
      <c r="AE157" s="213"/>
      <c r="AF157" s="236">
        <f t="shared" si="30"/>
        <v>0</v>
      </c>
    </row>
    <row r="158" spans="12:32" ht="24.95" customHeight="1">
      <c r="L158" s="125">
        <v>72</v>
      </c>
      <c r="M158" s="126">
        <v>39</v>
      </c>
      <c r="N158" s="126">
        <v>40</v>
      </c>
      <c r="O158" s="126">
        <v>33</v>
      </c>
      <c r="P158" s="126">
        <v>205</v>
      </c>
      <c r="Q158" s="126">
        <v>75</v>
      </c>
      <c r="R158" s="126" t="s">
        <v>1915</v>
      </c>
      <c r="S158" s="126">
        <f t="shared" si="33"/>
        <v>0.51500000000000001</v>
      </c>
      <c r="T158" s="196"/>
      <c r="U158" s="201">
        <f t="shared" si="29"/>
        <v>0</v>
      </c>
      <c r="W158" s="129">
        <v>3</v>
      </c>
      <c r="X158" s="130" t="s">
        <v>2878</v>
      </c>
      <c r="Y158" s="130">
        <v>23</v>
      </c>
      <c r="Z158" s="130">
        <v>71.5</v>
      </c>
      <c r="AA158" s="130">
        <v>35.5</v>
      </c>
      <c r="AB158" s="130">
        <v>15</v>
      </c>
      <c r="AC158" s="130" t="s">
        <v>2147</v>
      </c>
      <c r="AD158" s="130">
        <f t="shared" si="34"/>
        <v>0.56499999999999995</v>
      </c>
      <c r="AE158" s="213"/>
      <c r="AF158" s="236">
        <f t="shared" si="30"/>
        <v>0</v>
      </c>
    </row>
    <row r="159" spans="12:32" ht="24.95" customHeight="1">
      <c r="L159" s="125">
        <v>73</v>
      </c>
      <c r="M159" s="126">
        <v>42</v>
      </c>
      <c r="N159" s="126">
        <v>40</v>
      </c>
      <c r="O159" s="126">
        <v>36</v>
      </c>
      <c r="P159" s="126">
        <v>205</v>
      </c>
      <c r="Q159" s="126">
        <v>75</v>
      </c>
      <c r="R159" s="126" t="s">
        <v>1916</v>
      </c>
      <c r="S159" s="126">
        <f t="shared" si="33"/>
        <v>0.56200000000000006</v>
      </c>
      <c r="T159" s="196"/>
      <c r="U159" s="201">
        <f t="shared" si="29"/>
        <v>0</v>
      </c>
      <c r="W159" s="129">
        <v>4</v>
      </c>
      <c r="X159" s="130" t="s">
        <v>2879</v>
      </c>
      <c r="Y159" s="130">
        <v>23</v>
      </c>
      <c r="Z159" s="130">
        <v>71.5</v>
      </c>
      <c r="AA159" s="130">
        <v>38.5</v>
      </c>
      <c r="AB159" s="130">
        <v>15</v>
      </c>
      <c r="AC159" s="130" t="s">
        <v>2148</v>
      </c>
      <c r="AD159" s="130">
        <f t="shared" si="34"/>
        <v>0.61299999999999999</v>
      </c>
      <c r="AE159" s="213"/>
      <c r="AF159" s="236">
        <f t="shared" si="30"/>
        <v>0</v>
      </c>
    </row>
    <row r="160" spans="12:32" ht="24.95" customHeight="1">
      <c r="L160" s="125">
        <v>74</v>
      </c>
      <c r="M160" s="126">
        <v>45</v>
      </c>
      <c r="N160" s="126">
        <v>40</v>
      </c>
      <c r="O160" s="126">
        <v>39</v>
      </c>
      <c r="P160" s="126">
        <v>205</v>
      </c>
      <c r="Q160" s="126">
        <v>75</v>
      </c>
      <c r="R160" s="126" t="s">
        <v>1917</v>
      </c>
      <c r="S160" s="126">
        <f t="shared" si="33"/>
        <v>0.60899999999999999</v>
      </c>
      <c r="T160" s="196"/>
      <c r="U160" s="201">
        <f t="shared" si="29"/>
        <v>0</v>
      </c>
      <c r="W160" s="129">
        <v>5</v>
      </c>
      <c r="X160" s="130" t="s">
        <v>2880</v>
      </c>
      <c r="Y160" s="130">
        <v>23</v>
      </c>
      <c r="Z160" s="130">
        <v>71.5</v>
      </c>
      <c r="AA160" s="130">
        <v>41.5</v>
      </c>
      <c r="AB160" s="130">
        <v>15</v>
      </c>
      <c r="AC160" s="130" t="s">
        <v>2149</v>
      </c>
      <c r="AD160" s="130">
        <f t="shared" si="34"/>
        <v>0.66</v>
      </c>
      <c r="AE160" s="213"/>
      <c r="AF160" s="236">
        <f t="shared" si="30"/>
        <v>0</v>
      </c>
    </row>
    <row r="161" spans="12:32" ht="24.95" customHeight="1">
      <c r="L161" s="125">
        <v>75</v>
      </c>
      <c r="M161" s="126">
        <v>48</v>
      </c>
      <c r="N161" s="126">
        <v>40</v>
      </c>
      <c r="O161" s="126">
        <v>42</v>
      </c>
      <c r="P161" s="126">
        <v>205</v>
      </c>
      <c r="Q161" s="126">
        <v>75</v>
      </c>
      <c r="R161" s="126" t="s">
        <v>1918</v>
      </c>
      <c r="S161" s="126">
        <f t="shared" si="33"/>
        <v>0.65600000000000003</v>
      </c>
      <c r="T161" s="196"/>
      <c r="U161" s="201">
        <f t="shared" si="29"/>
        <v>0</v>
      </c>
      <c r="W161" s="129">
        <v>6</v>
      </c>
      <c r="X161" s="130" t="s">
        <v>2881</v>
      </c>
      <c r="Y161" s="130">
        <v>23</v>
      </c>
      <c r="Z161" s="130">
        <v>71.5</v>
      </c>
      <c r="AA161" s="130">
        <v>44.5</v>
      </c>
      <c r="AB161" s="130">
        <v>15</v>
      </c>
      <c r="AC161" s="130" t="s">
        <v>2150</v>
      </c>
      <c r="AD161" s="130">
        <f t="shared" si="34"/>
        <v>0.70799999999999996</v>
      </c>
      <c r="AE161" s="213"/>
      <c r="AF161" s="236">
        <f t="shared" si="30"/>
        <v>0</v>
      </c>
    </row>
    <row r="162" spans="12:32" ht="24.95" customHeight="1">
      <c r="L162" s="125">
        <v>76</v>
      </c>
      <c r="M162" s="126">
        <v>51</v>
      </c>
      <c r="N162" s="126">
        <v>40</v>
      </c>
      <c r="O162" s="126">
        <v>45</v>
      </c>
      <c r="P162" s="126">
        <v>205</v>
      </c>
      <c r="Q162" s="126">
        <v>75</v>
      </c>
      <c r="R162" s="126" t="s">
        <v>1919</v>
      </c>
      <c r="S162" s="126">
        <f t="shared" si="33"/>
        <v>0.70299999999999996</v>
      </c>
      <c r="T162" s="196"/>
      <c r="U162" s="201">
        <f t="shared" si="29"/>
        <v>0</v>
      </c>
      <c r="W162" s="129">
        <v>7</v>
      </c>
      <c r="X162" s="130" t="s">
        <v>2882</v>
      </c>
      <c r="Y162" s="130">
        <v>23</v>
      </c>
      <c r="Z162" s="130">
        <v>71.5</v>
      </c>
      <c r="AA162" s="130">
        <v>47.5</v>
      </c>
      <c r="AB162" s="130">
        <v>15</v>
      </c>
      <c r="AC162" s="130" t="s">
        <v>2151</v>
      </c>
      <c r="AD162" s="130">
        <f t="shared" si="34"/>
        <v>0.75600000000000001</v>
      </c>
      <c r="AE162" s="213"/>
      <c r="AF162" s="236">
        <f t="shared" si="30"/>
        <v>0</v>
      </c>
    </row>
    <row r="163" spans="12:32" ht="24.95" customHeight="1">
      <c r="L163" s="125">
        <v>77</v>
      </c>
      <c r="M163" s="126">
        <v>54</v>
      </c>
      <c r="N163" s="126">
        <v>40</v>
      </c>
      <c r="O163" s="126">
        <v>48</v>
      </c>
      <c r="P163" s="126">
        <v>205</v>
      </c>
      <c r="Q163" s="126">
        <v>75</v>
      </c>
      <c r="R163" s="126" t="s">
        <v>1920</v>
      </c>
      <c r="S163" s="126">
        <f t="shared" si="33"/>
        <v>0.75</v>
      </c>
      <c r="T163" s="196"/>
      <c r="U163" s="201">
        <f t="shared" si="29"/>
        <v>0</v>
      </c>
      <c r="W163" s="129">
        <v>8</v>
      </c>
      <c r="X163" s="130" t="s">
        <v>2883</v>
      </c>
      <c r="Y163" s="130">
        <v>23</v>
      </c>
      <c r="Z163" s="130">
        <v>71.5</v>
      </c>
      <c r="AA163" s="130">
        <v>50.5</v>
      </c>
      <c r="AB163" s="130">
        <v>15</v>
      </c>
      <c r="AC163" s="130" t="s">
        <v>2152</v>
      </c>
      <c r="AD163" s="130">
        <f t="shared" si="34"/>
        <v>0.80400000000000005</v>
      </c>
      <c r="AE163" s="213"/>
      <c r="AF163" s="236">
        <f t="shared" si="30"/>
        <v>0</v>
      </c>
    </row>
    <row r="164" spans="12:32" ht="24.95" customHeight="1">
      <c r="L164" s="125">
        <v>78</v>
      </c>
      <c r="M164" s="126">
        <v>57</v>
      </c>
      <c r="N164" s="126">
        <v>40</v>
      </c>
      <c r="O164" s="126">
        <v>51</v>
      </c>
      <c r="P164" s="126">
        <v>205</v>
      </c>
      <c r="Q164" s="126">
        <v>75</v>
      </c>
      <c r="R164" s="126" t="s">
        <v>1921</v>
      </c>
      <c r="S164" s="126">
        <f t="shared" si="33"/>
        <v>0.79700000000000004</v>
      </c>
      <c r="T164" s="196"/>
      <c r="U164" s="201">
        <f t="shared" si="29"/>
        <v>0</v>
      </c>
      <c r="W164" s="129">
        <v>9</v>
      </c>
      <c r="X164" s="130" t="s">
        <v>2884</v>
      </c>
      <c r="Y164" s="130">
        <v>23</v>
      </c>
      <c r="Z164" s="130">
        <v>71.5</v>
      </c>
      <c r="AA164" s="130">
        <v>53.5</v>
      </c>
      <c r="AB164" s="130">
        <v>15</v>
      </c>
      <c r="AC164" s="130" t="s">
        <v>2153</v>
      </c>
      <c r="AD164" s="130">
        <f t="shared" si="34"/>
        <v>0.85099999999999998</v>
      </c>
      <c r="AE164" s="213"/>
      <c r="AF164" s="236">
        <f t="shared" si="30"/>
        <v>0</v>
      </c>
    </row>
    <row r="165" spans="12:32" ht="24.95" customHeight="1">
      <c r="L165" s="125">
        <v>79</v>
      </c>
      <c r="M165" s="126">
        <v>60</v>
      </c>
      <c r="N165" s="126">
        <v>40</v>
      </c>
      <c r="O165" s="126">
        <v>54</v>
      </c>
      <c r="P165" s="126">
        <v>205</v>
      </c>
      <c r="Q165" s="126">
        <v>75</v>
      </c>
      <c r="R165" s="126" t="s">
        <v>1922</v>
      </c>
      <c r="S165" s="126">
        <f t="shared" si="33"/>
        <v>0.84399999999999997</v>
      </c>
      <c r="T165" s="196"/>
      <c r="U165" s="201">
        <f t="shared" si="29"/>
        <v>0</v>
      </c>
      <c r="W165" s="129">
        <v>10</v>
      </c>
      <c r="X165" s="130" t="s">
        <v>2885</v>
      </c>
      <c r="Y165" s="130">
        <v>23</v>
      </c>
      <c r="Z165" s="130">
        <v>71.5</v>
      </c>
      <c r="AA165" s="130">
        <v>56.5</v>
      </c>
      <c r="AB165" s="130">
        <v>15</v>
      </c>
      <c r="AC165" s="130" t="s">
        <v>2154</v>
      </c>
      <c r="AD165" s="130">
        <f t="shared" si="34"/>
        <v>0.89900000000000002</v>
      </c>
      <c r="AE165" s="213"/>
      <c r="AF165" s="236">
        <f t="shared" si="30"/>
        <v>0</v>
      </c>
    </row>
    <row r="166" spans="12:32" ht="24.95" customHeight="1">
      <c r="L166" s="125">
        <v>80</v>
      </c>
      <c r="M166" s="126">
        <v>63</v>
      </c>
      <c r="N166" s="126">
        <v>40</v>
      </c>
      <c r="O166" s="126">
        <v>57</v>
      </c>
      <c r="P166" s="126">
        <v>205</v>
      </c>
      <c r="Q166" s="126">
        <v>75</v>
      </c>
      <c r="R166" s="126" t="s">
        <v>1923</v>
      </c>
      <c r="S166" s="126">
        <f t="shared" si="33"/>
        <v>0.89</v>
      </c>
      <c r="T166" s="196"/>
      <c r="U166" s="201">
        <f t="shared" si="29"/>
        <v>0</v>
      </c>
      <c r="W166" s="129">
        <v>11</v>
      </c>
      <c r="X166" s="130" t="s">
        <v>2886</v>
      </c>
      <c r="Y166" s="130">
        <v>23</v>
      </c>
      <c r="Z166" s="130">
        <v>71.5</v>
      </c>
      <c r="AA166" s="130">
        <v>59.5</v>
      </c>
      <c r="AB166" s="130">
        <v>15</v>
      </c>
      <c r="AC166" s="130" t="s">
        <v>2155</v>
      </c>
      <c r="AD166" s="130">
        <f t="shared" si="34"/>
        <v>0.94699999999999995</v>
      </c>
      <c r="AE166" s="213"/>
      <c r="AF166" s="236">
        <f t="shared" si="30"/>
        <v>0</v>
      </c>
    </row>
    <row r="167" spans="12:32" ht="24.95" customHeight="1">
      <c r="L167" s="125">
        <v>81</v>
      </c>
      <c r="M167" s="126">
        <v>66</v>
      </c>
      <c r="N167" s="126">
        <v>40</v>
      </c>
      <c r="O167" s="126">
        <v>60</v>
      </c>
      <c r="P167" s="126">
        <v>205</v>
      </c>
      <c r="Q167" s="126">
        <v>75</v>
      </c>
      <c r="R167" s="126" t="s">
        <v>1924</v>
      </c>
      <c r="S167" s="126">
        <f t="shared" si="33"/>
        <v>0.93700000000000006</v>
      </c>
      <c r="T167" s="196"/>
      <c r="U167" s="201">
        <f t="shared" si="29"/>
        <v>0</v>
      </c>
      <c r="W167" s="129">
        <v>12</v>
      </c>
      <c r="X167" s="130" t="s">
        <v>2887</v>
      </c>
      <c r="Y167" s="130">
        <v>23</v>
      </c>
      <c r="Z167" s="130">
        <v>71.5</v>
      </c>
      <c r="AA167" s="130">
        <v>62.5</v>
      </c>
      <c r="AB167" s="130">
        <v>15</v>
      </c>
      <c r="AC167" s="130" t="s">
        <v>2156</v>
      </c>
      <c r="AD167" s="130">
        <f t="shared" si="34"/>
        <v>0.995</v>
      </c>
      <c r="AE167" s="213"/>
      <c r="AF167" s="236">
        <f t="shared" si="30"/>
        <v>0</v>
      </c>
    </row>
    <row r="168" spans="12:32" ht="24.95" customHeight="1">
      <c r="L168" s="125">
        <v>82</v>
      </c>
      <c r="M168" s="126">
        <v>69</v>
      </c>
      <c r="N168" s="126">
        <v>40</v>
      </c>
      <c r="O168" s="126">
        <v>63</v>
      </c>
      <c r="P168" s="126">
        <v>205</v>
      </c>
      <c r="Q168" s="126">
        <v>75</v>
      </c>
      <c r="R168" s="126" t="s">
        <v>1925</v>
      </c>
      <c r="S168" s="126">
        <f t="shared" si="33"/>
        <v>0.98399999999999999</v>
      </c>
      <c r="T168" s="196"/>
      <c r="U168" s="201">
        <f t="shared" si="29"/>
        <v>0</v>
      </c>
      <c r="W168" s="129">
        <v>13</v>
      </c>
      <c r="X168" s="130" t="s">
        <v>2888</v>
      </c>
      <c r="Y168" s="130">
        <v>23</v>
      </c>
      <c r="Z168" s="130">
        <v>71.5</v>
      </c>
      <c r="AA168" s="130">
        <v>65.5</v>
      </c>
      <c r="AB168" s="130">
        <v>15</v>
      </c>
      <c r="AC168" s="130" t="s">
        <v>2157</v>
      </c>
      <c r="AD168" s="130">
        <f t="shared" si="34"/>
        <v>1.042</v>
      </c>
      <c r="AE168" s="213"/>
      <c r="AF168" s="236">
        <f t="shared" si="30"/>
        <v>0</v>
      </c>
    </row>
    <row r="169" spans="12:32" ht="24.95" customHeight="1">
      <c r="L169" s="125">
        <v>83</v>
      </c>
      <c r="M169" s="126">
        <v>72</v>
      </c>
      <c r="N169" s="126">
        <v>40</v>
      </c>
      <c r="O169" s="126">
        <v>66</v>
      </c>
      <c r="P169" s="126">
        <v>205</v>
      </c>
      <c r="Q169" s="126">
        <v>75</v>
      </c>
      <c r="R169" s="126" t="s">
        <v>1926</v>
      </c>
      <c r="S169" s="126">
        <f t="shared" si="33"/>
        <v>1.0309999999999999</v>
      </c>
      <c r="T169" s="196"/>
      <c r="U169" s="201">
        <f t="shared" si="29"/>
        <v>0</v>
      </c>
      <c r="W169" s="129">
        <v>14</v>
      </c>
      <c r="X169" s="130" t="s">
        <v>2889</v>
      </c>
      <c r="Y169" s="130">
        <v>23</v>
      </c>
      <c r="Z169" s="130">
        <v>71.5</v>
      </c>
      <c r="AA169" s="130">
        <v>68.5</v>
      </c>
      <c r="AB169" s="130">
        <v>15</v>
      </c>
      <c r="AC169" s="130" t="s">
        <v>2158</v>
      </c>
      <c r="AD169" s="130">
        <f t="shared" si="34"/>
        <v>1.0900000000000001</v>
      </c>
      <c r="AE169" s="213"/>
      <c r="AF169" s="236">
        <f t="shared" si="30"/>
        <v>0</v>
      </c>
    </row>
    <row r="170" spans="12:32" ht="24.95" customHeight="1">
      <c r="L170" s="125">
        <v>84</v>
      </c>
      <c r="M170" s="126">
        <v>13</v>
      </c>
      <c r="N170" s="126">
        <v>40</v>
      </c>
      <c r="O170" s="126">
        <v>9</v>
      </c>
      <c r="P170" s="126">
        <v>205</v>
      </c>
      <c r="Q170" s="126">
        <v>75</v>
      </c>
      <c r="R170" s="126" t="s">
        <v>1927</v>
      </c>
      <c r="S170" s="126">
        <f t="shared" si="33"/>
        <v>0.14099999999999999</v>
      </c>
      <c r="T170" s="196"/>
      <c r="U170" s="201">
        <f t="shared" si="29"/>
        <v>0</v>
      </c>
      <c r="W170" s="129">
        <v>15</v>
      </c>
      <c r="X170" s="130" t="s">
        <v>2890</v>
      </c>
      <c r="Y170" s="130">
        <v>23</v>
      </c>
      <c r="Z170" s="130">
        <v>71.5</v>
      </c>
      <c r="AA170" s="130">
        <v>71.5</v>
      </c>
      <c r="AB170" s="130">
        <v>15</v>
      </c>
      <c r="AC170" s="130" t="s">
        <v>2159</v>
      </c>
      <c r="AD170" s="130">
        <f t="shared" si="34"/>
        <v>1.1379999999999999</v>
      </c>
      <c r="AE170" s="213"/>
      <c r="AF170" s="236">
        <f t="shared" si="30"/>
        <v>0</v>
      </c>
    </row>
    <row r="171" spans="12:32" ht="24.95" customHeight="1">
      <c r="L171" s="166">
        <v>85</v>
      </c>
      <c r="M171" s="167">
        <v>18</v>
      </c>
      <c r="N171" s="167">
        <v>40</v>
      </c>
      <c r="O171" s="167">
        <v>12</v>
      </c>
      <c r="P171" s="167">
        <v>205</v>
      </c>
      <c r="Q171" s="167">
        <v>75</v>
      </c>
      <c r="R171" s="167" t="s">
        <v>1928</v>
      </c>
      <c r="S171" s="167">
        <f t="shared" si="33"/>
        <v>0.187</v>
      </c>
      <c r="T171" s="196"/>
      <c r="U171" s="202">
        <f t="shared" si="29"/>
        <v>0</v>
      </c>
      <c r="W171" s="129">
        <v>16</v>
      </c>
      <c r="X171" s="130" t="s">
        <v>2891</v>
      </c>
      <c r="Y171" s="130">
        <v>23</v>
      </c>
      <c r="Z171" s="130">
        <v>74.5</v>
      </c>
      <c r="AA171" s="130">
        <v>29.5</v>
      </c>
      <c r="AB171" s="130">
        <v>15</v>
      </c>
      <c r="AC171" s="130" t="s">
        <v>2160</v>
      </c>
      <c r="AD171" s="130">
        <f t="shared" si="34"/>
        <v>0.48899999999999999</v>
      </c>
      <c r="AE171" s="213"/>
      <c r="AF171" s="236">
        <f t="shared" si="30"/>
        <v>0</v>
      </c>
    </row>
    <row r="172" spans="12:32" ht="24.95" customHeight="1">
      <c r="L172" s="152">
        <v>1</v>
      </c>
      <c r="M172" s="153">
        <v>30</v>
      </c>
      <c r="N172" s="154">
        <v>32</v>
      </c>
      <c r="O172" s="154">
        <v>24</v>
      </c>
      <c r="P172" s="154">
        <v>115</v>
      </c>
      <c r="Q172" s="154">
        <v>75</v>
      </c>
      <c r="R172" s="154" t="s">
        <v>1456</v>
      </c>
      <c r="S172" s="154">
        <f t="shared" si="33"/>
        <v>0.16800000000000001</v>
      </c>
      <c r="T172" s="196"/>
      <c r="U172" s="197">
        <f t="shared" si="29"/>
        <v>0</v>
      </c>
      <c r="W172" s="129">
        <v>17</v>
      </c>
      <c r="X172" s="130" t="s">
        <v>2892</v>
      </c>
      <c r="Y172" s="130">
        <v>23</v>
      </c>
      <c r="Z172" s="130">
        <v>74.5</v>
      </c>
      <c r="AA172" s="130">
        <v>32.5</v>
      </c>
      <c r="AB172" s="130">
        <v>15</v>
      </c>
      <c r="AC172" s="130" t="s">
        <v>2161</v>
      </c>
      <c r="AD172" s="130">
        <f t="shared" si="34"/>
        <v>0.53900000000000003</v>
      </c>
      <c r="AE172" s="213"/>
      <c r="AF172" s="236">
        <f t="shared" si="30"/>
        <v>0</v>
      </c>
    </row>
    <row r="173" spans="12:32" ht="24.95" customHeight="1">
      <c r="L173" s="121">
        <v>2</v>
      </c>
      <c r="M173" s="122">
        <v>33</v>
      </c>
      <c r="N173" s="123">
        <v>32</v>
      </c>
      <c r="O173" s="123">
        <v>27</v>
      </c>
      <c r="P173" s="123">
        <v>115</v>
      </c>
      <c r="Q173" s="123">
        <v>75</v>
      </c>
      <c r="R173" s="123" t="s">
        <v>1929</v>
      </c>
      <c r="S173" s="123">
        <f t="shared" ref="S173:S189" si="35">ROUND(N173*O173*0.0254*P173/1000*Q173/1000,3)</f>
        <v>0.189</v>
      </c>
      <c r="T173" s="196"/>
      <c r="U173" s="187">
        <f t="shared" si="29"/>
        <v>0</v>
      </c>
      <c r="W173" s="129">
        <v>18</v>
      </c>
      <c r="X173" s="130" t="s">
        <v>2893</v>
      </c>
      <c r="Y173" s="130">
        <v>23</v>
      </c>
      <c r="Z173" s="130">
        <v>74.5</v>
      </c>
      <c r="AA173" s="130">
        <v>35.5</v>
      </c>
      <c r="AB173" s="130">
        <v>15</v>
      </c>
      <c r="AC173" s="130" t="s">
        <v>2162</v>
      </c>
      <c r="AD173" s="130">
        <f t="shared" si="34"/>
        <v>0.58899999999999997</v>
      </c>
      <c r="AE173" s="213"/>
      <c r="AF173" s="236">
        <f t="shared" si="30"/>
        <v>0</v>
      </c>
    </row>
    <row r="174" spans="12:32" ht="24.95" customHeight="1">
      <c r="L174" s="121">
        <v>3</v>
      </c>
      <c r="M174" s="122">
        <v>36</v>
      </c>
      <c r="N174" s="123">
        <v>32</v>
      </c>
      <c r="O174" s="123">
        <v>30</v>
      </c>
      <c r="P174" s="123">
        <v>115</v>
      </c>
      <c r="Q174" s="123">
        <v>75</v>
      </c>
      <c r="R174" s="123" t="s">
        <v>1457</v>
      </c>
      <c r="S174" s="123">
        <f t="shared" si="35"/>
        <v>0.21</v>
      </c>
      <c r="T174" s="196"/>
      <c r="U174" s="187">
        <f t="shared" si="29"/>
        <v>0</v>
      </c>
      <c r="W174" s="129">
        <v>19</v>
      </c>
      <c r="X174" s="130" t="s">
        <v>2895</v>
      </c>
      <c r="Y174" s="130">
        <v>23</v>
      </c>
      <c r="Z174" s="130">
        <v>74.5</v>
      </c>
      <c r="AA174" s="130">
        <v>38.5</v>
      </c>
      <c r="AB174" s="130">
        <v>15</v>
      </c>
      <c r="AC174" s="130" t="s">
        <v>2163</v>
      </c>
      <c r="AD174" s="130">
        <f t="shared" si="34"/>
        <v>0.63800000000000001</v>
      </c>
      <c r="AE174" s="213"/>
      <c r="AF174" s="236">
        <f t="shared" si="30"/>
        <v>0</v>
      </c>
    </row>
    <row r="175" spans="12:32" ht="24.95" customHeight="1">
      <c r="L175" s="121">
        <v>4</v>
      </c>
      <c r="M175" s="122">
        <v>39</v>
      </c>
      <c r="N175" s="123">
        <v>32</v>
      </c>
      <c r="O175" s="123">
        <v>33</v>
      </c>
      <c r="P175" s="123">
        <v>115</v>
      </c>
      <c r="Q175" s="123">
        <v>75</v>
      </c>
      <c r="R175" s="123" t="s">
        <v>1930</v>
      </c>
      <c r="S175" s="123">
        <f t="shared" si="35"/>
        <v>0.23100000000000001</v>
      </c>
      <c r="T175" s="196"/>
      <c r="U175" s="187">
        <f t="shared" si="29"/>
        <v>0</v>
      </c>
      <c r="W175" s="129">
        <v>20</v>
      </c>
      <c r="X175" s="130" t="s">
        <v>2897</v>
      </c>
      <c r="Y175" s="130">
        <v>23</v>
      </c>
      <c r="Z175" s="130">
        <v>74.5</v>
      </c>
      <c r="AA175" s="130">
        <v>41.5</v>
      </c>
      <c r="AB175" s="130">
        <v>15</v>
      </c>
      <c r="AC175" s="130" t="s">
        <v>2164</v>
      </c>
      <c r="AD175" s="130">
        <f t="shared" si="34"/>
        <v>0.68799999999999994</v>
      </c>
      <c r="AE175" s="213"/>
      <c r="AF175" s="236">
        <f t="shared" si="30"/>
        <v>0</v>
      </c>
    </row>
    <row r="176" spans="12:32" ht="24.95" customHeight="1">
      <c r="L176" s="121">
        <v>5</v>
      </c>
      <c r="M176" s="122">
        <v>42</v>
      </c>
      <c r="N176" s="123">
        <v>32</v>
      </c>
      <c r="O176" s="123">
        <v>36</v>
      </c>
      <c r="P176" s="123">
        <v>115</v>
      </c>
      <c r="Q176" s="123">
        <v>75</v>
      </c>
      <c r="R176" s="123" t="s">
        <v>1458</v>
      </c>
      <c r="S176" s="123">
        <f t="shared" si="35"/>
        <v>0.252</v>
      </c>
      <c r="T176" s="196"/>
      <c r="U176" s="187">
        <f t="shared" si="29"/>
        <v>0</v>
      </c>
      <c r="W176" s="129">
        <v>21</v>
      </c>
      <c r="X176" s="130" t="s">
        <v>2898</v>
      </c>
      <c r="Y176" s="130">
        <v>23</v>
      </c>
      <c r="Z176" s="130">
        <v>74.5</v>
      </c>
      <c r="AA176" s="130">
        <v>44.5</v>
      </c>
      <c r="AB176" s="130">
        <v>15</v>
      </c>
      <c r="AC176" s="130" t="s">
        <v>2165</v>
      </c>
      <c r="AD176" s="130">
        <f t="shared" si="34"/>
        <v>0.73799999999999999</v>
      </c>
      <c r="AE176" s="213"/>
      <c r="AF176" s="236">
        <f t="shared" si="30"/>
        <v>0</v>
      </c>
    </row>
    <row r="177" spans="12:32" ht="24.95" customHeight="1">
      <c r="L177" s="121">
        <v>6</v>
      </c>
      <c r="M177" s="122">
        <v>45</v>
      </c>
      <c r="N177" s="123">
        <v>32</v>
      </c>
      <c r="O177" s="123">
        <v>39</v>
      </c>
      <c r="P177" s="123">
        <v>115</v>
      </c>
      <c r="Q177" s="123">
        <v>75</v>
      </c>
      <c r="R177" s="123" t="s">
        <v>1931</v>
      </c>
      <c r="S177" s="123">
        <f t="shared" si="35"/>
        <v>0.27300000000000002</v>
      </c>
      <c r="T177" s="196"/>
      <c r="U177" s="187">
        <f t="shared" si="29"/>
        <v>0</v>
      </c>
      <c r="W177" s="129">
        <v>22</v>
      </c>
      <c r="X177" s="130" t="s">
        <v>2899</v>
      </c>
      <c r="Y177" s="130">
        <v>23</v>
      </c>
      <c r="Z177" s="130">
        <v>74.5</v>
      </c>
      <c r="AA177" s="130">
        <v>47.5</v>
      </c>
      <c r="AB177" s="130">
        <v>15</v>
      </c>
      <c r="AC177" s="130" t="s">
        <v>2166</v>
      </c>
      <c r="AD177" s="130">
        <f t="shared" si="34"/>
        <v>0.78800000000000003</v>
      </c>
      <c r="AE177" s="213"/>
      <c r="AF177" s="236">
        <f t="shared" si="30"/>
        <v>0</v>
      </c>
    </row>
    <row r="178" spans="12:32" ht="24.95" customHeight="1">
      <c r="L178" s="121">
        <v>7</v>
      </c>
      <c r="M178" s="122">
        <v>48</v>
      </c>
      <c r="N178" s="123">
        <v>32</v>
      </c>
      <c r="O178" s="123">
        <v>42</v>
      </c>
      <c r="P178" s="123">
        <v>115</v>
      </c>
      <c r="Q178" s="123">
        <v>75</v>
      </c>
      <c r="R178" s="123" t="s">
        <v>1459</v>
      </c>
      <c r="S178" s="123">
        <f t="shared" si="35"/>
        <v>0.29399999999999998</v>
      </c>
      <c r="T178" s="196"/>
      <c r="U178" s="187">
        <f t="shared" si="29"/>
        <v>0</v>
      </c>
      <c r="W178" s="129">
        <v>23</v>
      </c>
      <c r="X178" s="130" t="s">
        <v>2900</v>
      </c>
      <c r="Y178" s="130">
        <v>23</v>
      </c>
      <c r="Z178" s="130">
        <v>74.5</v>
      </c>
      <c r="AA178" s="130">
        <v>50.5</v>
      </c>
      <c r="AB178" s="130">
        <v>15</v>
      </c>
      <c r="AC178" s="130" t="s">
        <v>2167</v>
      </c>
      <c r="AD178" s="130">
        <f t="shared" si="34"/>
        <v>0.83699999999999997</v>
      </c>
      <c r="AE178" s="213"/>
      <c r="AF178" s="236">
        <f t="shared" si="30"/>
        <v>0</v>
      </c>
    </row>
    <row r="179" spans="12:32" ht="24.95" customHeight="1">
      <c r="L179" s="121">
        <v>8</v>
      </c>
      <c r="M179" s="121">
        <v>51</v>
      </c>
      <c r="N179" s="122">
        <v>32</v>
      </c>
      <c r="O179" s="123">
        <v>45</v>
      </c>
      <c r="P179" s="123">
        <v>115</v>
      </c>
      <c r="Q179" s="123">
        <v>75</v>
      </c>
      <c r="R179" s="123" t="s">
        <v>1932</v>
      </c>
      <c r="S179" s="123">
        <f t="shared" si="35"/>
        <v>0.315</v>
      </c>
      <c r="T179" s="196"/>
      <c r="U179" s="187">
        <f t="shared" si="29"/>
        <v>0</v>
      </c>
      <c r="W179" s="129">
        <v>24</v>
      </c>
      <c r="X179" s="130" t="s">
        <v>2901</v>
      </c>
      <c r="Y179" s="130">
        <v>23</v>
      </c>
      <c r="Z179" s="130">
        <v>74.5</v>
      </c>
      <c r="AA179" s="130">
        <v>53.5</v>
      </c>
      <c r="AB179" s="130">
        <v>15</v>
      </c>
      <c r="AC179" s="130" t="s">
        <v>2168</v>
      </c>
      <c r="AD179" s="130">
        <f t="shared" si="34"/>
        <v>0.88700000000000001</v>
      </c>
      <c r="AE179" s="213"/>
      <c r="AF179" s="236">
        <f t="shared" si="30"/>
        <v>0</v>
      </c>
    </row>
    <row r="180" spans="12:32" ht="24.95" customHeight="1">
      <c r="L180" s="121">
        <v>9</v>
      </c>
      <c r="M180" s="121">
        <v>54</v>
      </c>
      <c r="N180" s="122">
        <v>32</v>
      </c>
      <c r="O180" s="123">
        <v>48</v>
      </c>
      <c r="P180" s="123">
        <v>115</v>
      </c>
      <c r="Q180" s="123">
        <v>75</v>
      </c>
      <c r="R180" s="123" t="s">
        <v>1933</v>
      </c>
      <c r="S180" s="123">
        <f t="shared" si="35"/>
        <v>0.33600000000000002</v>
      </c>
      <c r="T180" s="196"/>
      <c r="U180" s="187">
        <f t="shared" si="29"/>
        <v>0</v>
      </c>
      <c r="W180" s="129">
        <v>25</v>
      </c>
      <c r="X180" s="130" t="s">
        <v>2902</v>
      </c>
      <c r="Y180" s="130">
        <v>23</v>
      </c>
      <c r="Z180" s="130">
        <v>74.5</v>
      </c>
      <c r="AA180" s="130">
        <v>56.5</v>
      </c>
      <c r="AB180" s="130">
        <v>15</v>
      </c>
      <c r="AC180" s="130" t="s">
        <v>2169</v>
      </c>
      <c r="AD180" s="130">
        <f t="shared" si="34"/>
        <v>0.93700000000000006</v>
      </c>
      <c r="AE180" s="213"/>
      <c r="AF180" s="236">
        <f t="shared" si="30"/>
        <v>0</v>
      </c>
    </row>
    <row r="181" spans="12:32" ht="24.95" customHeight="1">
      <c r="L181" s="121">
        <v>10</v>
      </c>
      <c r="M181" s="121">
        <v>57</v>
      </c>
      <c r="N181" s="122">
        <v>32</v>
      </c>
      <c r="O181" s="123">
        <v>51</v>
      </c>
      <c r="P181" s="123">
        <v>115</v>
      </c>
      <c r="Q181" s="123">
        <v>75</v>
      </c>
      <c r="R181" s="123" t="s">
        <v>1934</v>
      </c>
      <c r="S181" s="123">
        <f t="shared" si="35"/>
        <v>0.35799999999999998</v>
      </c>
      <c r="T181" s="196"/>
      <c r="U181" s="187">
        <f t="shared" si="29"/>
        <v>0</v>
      </c>
      <c r="W181" s="129">
        <v>26</v>
      </c>
      <c r="X181" s="130" t="s">
        <v>2903</v>
      </c>
      <c r="Y181" s="130">
        <v>23</v>
      </c>
      <c r="Z181" s="130">
        <v>74.5</v>
      </c>
      <c r="AA181" s="130">
        <v>59.5</v>
      </c>
      <c r="AB181" s="130">
        <v>15</v>
      </c>
      <c r="AC181" s="130" t="s">
        <v>2170</v>
      </c>
      <c r="AD181" s="130">
        <f t="shared" si="34"/>
        <v>0.98699999999999999</v>
      </c>
      <c r="AE181" s="213"/>
      <c r="AF181" s="236">
        <f t="shared" si="30"/>
        <v>0</v>
      </c>
    </row>
    <row r="182" spans="12:32" ht="24.95" customHeight="1">
      <c r="L182" s="121">
        <v>11</v>
      </c>
      <c r="M182" s="121">
        <v>60</v>
      </c>
      <c r="N182" s="122">
        <v>32</v>
      </c>
      <c r="O182" s="123">
        <v>54</v>
      </c>
      <c r="P182" s="123">
        <v>115</v>
      </c>
      <c r="Q182" s="123">
        <v>75</v>
      </c>
      <c r="R182" s="123" t="s">
        <v>1460</v>
      </c>
      <c r="S182" s="123">
        <f t="shared" si="35"/>
        <v>0.379</v>
      </c>
      <c r="T182" s="196"/>
      <c r="U182" s="187">
        <f t="shared" si="29"/>
        <v>0</v>
      </c>
      <c r="W182" s="129">
        <v>27</v>
      </c>
      <c r="X182" s="130" t="s">
        <v>2904</v>
      </c>
      <c r="Y182" s="130">
        <v>23</v>
      </c>
      <c r="Z182" s="130">
        <v>74.5</v>
      </c>
      <c r="AA182" s="130">
        <v>62.5</v>
      </c>
      <c r="AB182" s="130">
        <v>15</v>
      </c>
      <c r="AC182" s="130" t="s">
        <v>2171</v>
      </c>
      <c r="AD182" s="130">
        <f t="shared" si="34"/>
        <v>1.036</v>
      </c>
      <c r="AE182" s="213"/>
      <c r="AF182" s="236">
        <f t="shared" si="30"/>
        <v>0</v>
      </c>
    </row>
    <row r="183" spans="12:32" ht="24.95" customHeight="1">
      <c r="L183" s="121">
        <v>12</v>
      </c>
      <c r="M183" s="121">
        <v>63</v>
      </c>
      <c r="N183" s="122">
        <v>32</v>
      </c>
      <c r="O183" s="123">
        <v>57</v>
      </c>
      <c r="P183" s="123">
        <v>115</v>
      </c>
      <c r="Q183" s="123">
        <v>75</v>
      </c>
      <c r="R183" s="123" t="s">
        <v>1935</v>
      </c>
      <c r="S183" s="123">
        <f t="shared" si="35"/>
        <v>0.4</v>
      </c>
      <c r="T183" s="196"/>
      <c r="U183" s="187">
        <f t="shared" si="29"/>
        <v>0</v>
      </c>
      <c r="W183" s="129">
        <v>28</v>
      </c>
      <c r="X183" s="130" t="s">
        <v>2905</v>
      </c>
      <c r="Y183" s="130">
        <v>23</v>
      </c>
      <c r="Z183" s="130">
        <v>74.5</v>
      </c>
      <c r="AA183" s="130">
        <v>65.5</v>
      </c>
      <c r="AB183" s="130">
        <v>15</v>
      </c>
      <c r="AC183" s="130" t="s">
        <v>2172</v>
      </c>
      <c r="AD183" s="130">
        <f t="shared" si="34"/>
        <v>1.0860000000000001</v>
      </c>
      <c r="AE183" s="213"/>
      <c r="AF183" s="236">
        <f t="shared" si="30"/>
        <v>0</v>
      </c>
    </row>
    <row r="184" spans="12:32" ht="24.95" customHeight="1">
      <c r="L184" s="121">
        <v>13</v>
      </c>
      <c r="M184" s="121">
        <v>66</v>
      </c>
      <c r="N184" s="122">
        <v>32</v>
      </c>
      <c r="O184" s="123">
        <v>60</v>
      </c>
      <c r="P184" s="123">
        <v>115</v>
      </c>
      <c r="Q184" s="123">
        <v>75</v>
      </c>
      <c r="R184" s="123" t="s">
        <v>1461</v>
      </c>
      <c r="S184" s="123">
        <f t="shared" si="35"/>
        <v>0.42099999999999999</v>
      </c>
      <c r="T184" s="196"/>
      <c r="U184" s="187">
        <f t="shared" si="29"/>
        <v>0</v>
      </c>
      <c r="W184" s="129">
        <v>29</v>
      </c>
      <c r="X184" s="130" t="s">
        <v>2906</v>
      </c>
      <c r="Y184" s="130">
        <v>23</v>
      </c>
      <c r="Z184" s="130">
        <v>74.5</v>
      </c>
      <c r="AA184" s="130">
        <v>68.5</v>
      </c>
      <c r="AB184" s="130">
        <v>15</v>
      </c>
      <c r="AC184" s="130" t="s">
        <v>2173</v>
      </c>
      <c r="AD184" s="130">
        <f t="shared" si="34"/>
        <v>1.1359999999999999</v>
      </c>
      <c r="AE184" s="213"/>
      <c r="AF184" s="236">
        <f t="shared" si="30"/>
        <v>0</v>
      </c>
    </row>
    <row r="185" spans="12:32" ht="24.95" customHeight="1">
      <c r="L185" s="188">
        <v>14</v>
      </c>
      <c r="M185" s="188">
        <v>69</v>
      </c>
      <c r="N185" s="189">
        <v>32</v>
      </c>
      <c r="O185" s="190">
        <v>63</v>
      </c>
      <c r="P185" s="190">
        <v>115</v>
      </c>
      <c r="Q185" s="190">
        <v>75</v>
      </c>
      <c r="R185" s="123" t="s">
        <v>1936</v>
      </c>
      <c r="S185" s="190">
        <f t="shared" si="35"/>
        <v>0.442</v>
      </c>
      <c r="T185" s="196"/>
      <c r="U185" s="187">
        <f t="shared" si="29"/>
        <v>0</v>
      </c>
      <c r="W185" s="129">
        <v>30</v>
      </c>
      <c r="X185" s="130" t="s">
        <v>2907</v>
      </c>
      <c r="Y185" s="130">
        <v>23</v>
      </c>
      <c r="Z185" s="130">
        <v>74.5</v>
      </c>
      <c r="AA185" s="130">
        <v>71.5</v>
      </c>
      <c r="AB185" s="130">
        <v>15</v>
      </c>
      <c r="AC185" s="130" t="s">
        <v>2174</v>
      </c>
      <c r="AD185" s="130">
        <f t="shared" si="34"/>
        <v>1.1859999999999999</v>
      </c>
      <c r="AE185" s="213"/>
      <c r="AF185" s="236">
        <f t="shared" si="30"/>
        <v>0</v>
      </c>
    </row>
    <row r="186" spans="12:32" ht="24.95" customHeight="1">
      <c r="L186" s="121">
        <v>15</v>
      </c>
      <c r="M186" s="121">
        <v>72</v>
      </c>
      <c r="N186" s="122">
        <v>32</v>
      </c>
      <c r="O186" s="123">
        <v>66</v>
      </c>
      <c r="P186" s="123">
        <v>115</v>
      </c>
      <c r="Q186" s="123">
        <v>75</v>
      </c>
      <c r="R186" s="123" t="s">
        <v>1462</v>
      </c>
      <c r="S186" s="123">
        <f t="shared" si="35"/>
        <v>0.46300000000000002</v>
      </c>
      <c r="T186" s="196"/>
      <c r="U186" s="187">
        <f t="shared" si="29"/>
        <v>0</v>
      </c>
      <c r="W186" s="129">
        <v>31</v>
      </c>
      <c r="X186" s="130" t="s">
        <v>2908</v>
      </c>
      <c r="Y186" s="130">
        <v>23</v>
      </c>
      <c r="Z186" s="130">
        <v>77.5</v>
      </c>
      <c r="AA186" s="130">
        <v>29.5</v>
      </c>
      <c r="AB186" s="130">
        <v>15</v>
      </c>
      <c r="AC186" s="130" t="s">
        <v>2175</v>
      </c>
      <c r="AD186" s="130">
        <f t="shared" si="34"/>
        <v>0.50900000000000001</v>
      </c>
      <c r="AE186" s="213"/>
      <c r="AF186" s="236">
        <f t="shared" si="30"/>
        <v>0</v>
      </c>
    </row>
    <row r="187" spans="12:32" ht="24.95" customHeight="1">
      <c r="L187" s="121">
        <v>16</v>
      </c>
      <c r="M187" s="121">
        <v>13</v>
      </c>
      <c r="N187" s="122">
        <v>32</v>
      </c>
      <c r="O187" s="123">
        <v>9</v>
      </c>
      <c r="P187" s="123">
        <v>115</v>
      </c>
      <c r="Q187" s="123">
        <v>75</v>
      </c>
      <c r="R187" s="123" t="s">
        <v>1937</v>
      </c>
      <c r="S187" s="123">
        <f t="shared" si="35"/>
        <v>6.3E-2</v>
      </c>
      <c r="T187" s="196"/>
      <c r="U187" s="187">
        <f t="shared" si="29"/>
        <v>0</v>
      </c>
      <c r="W187" s="129">
        <v>32</v>
      </c>
      <c r="X187" s="130" t="s">
        <v>2909</v>
      </c>
      <c r="Y187" s="130">
        <v>23</v>
      </c>
      <c r="Z187" s="130">
        <v>77.5</v>
      </c>
      <c r="AA187" s="130">
        <v>32.5</v>
      </c>
      <c r="AB187" s="130">
        <v>15</v>
      </c>
      <c r="AC187" s="130" t="s">
        <v>2176</v>
      </c>
      <c r="AD187" s="130">
        <f t="shared" si="34"/>
        <v>0.56100000000000005</v>
      </c>
      <c r="AE187" s="213"/>
      <c r="AF187" s="236">
        <f t="shared" si="30"/>
        <v>0</v>
      </c>
    </row>
    <row r="188" spans="12:32" ht="24.95" customHeight="1">
      <c r="L188" s="157">
        <v>17</v>
      </c>
      <c r="M188" s="157">
        <v>18</v>
      </c>
      <c r="N188" s="158">
        <v>32</v>
      </c>
      <c r="O188" s="159">
        <v>12</v>
      </c>
      <c r="P188" s="159">
        <v>115</v>
      </c>
      <c r="Q188" s="159">
        <v>75</v>
      </c>
      <c r="R188" s="159" t="s">
        <v>1938</v>
      </c>
      <c r="S188" s="159">
        <f t="shared" si="35"/>
        <v>8.4000000000000005E-2</v>
      </c>
      <c r="T188" s="196"/>
      <c r="U188" s="199">
        <f t="shared" si="29"/>
        <v>0</v>
      </c>
      <c r="W188" s="129">
        <v>33</v>
      </c>
      <c r="X188" s="130" t="s">
        <v>2910</v>
      </c>
      <c r="Y188" s="130">
        <v>23</v>
      </c>
      <c r="Z188" s="130">
        <v>77.5</v>
      </c>
      <c r="AA188" s="130">
        <v>35.5</v>
      </c>
      <c r="AB188" s="130">
        <v>15</v>
      </c>
      <c r="AC188" s="130" t="s">
        <v>2177</v>
      </c>
      <c r="AD188" s="130">
        <f t="shared" si="34"/>
        <v>0.61199999999999999</v>
      </c>
      <c r="AE188" s="213"/>
      <c r="AF188" s="236">
        <f t="shared" si="30"/>
        <v>0</v>
      </c>
    </row>
    <row r="189" spans="12:32" ht="24.95" customHeight="1">
      <c r="L189" s="162">
        <v>18</v>
      </c>
      <c r="M189" s="163">
        <v>30</v>
      </c>
      <c r="N189" s="163">
        <v>32</v>
      </c>
      <c r="O189" s="163">
        <v>24</v>
      </c>
      <c r="P189" s="163">
        <v>155</v>
      </c>
      <c r="Q189" s="163">
        <v>75</v>
      </c>
      <c r="R189" s="163" t="s">
        <v>1939</v>
      </c>
      <c r="S189" s="163">
        <f t="shared" si="35"/>
        <v>0.22700000000000001</v>
      </c>
      <c r="T189" s="196"/>
      <c r="U189" s="200">
        <f t="shared" si="29"/>
        <v>0</v>
      </c>
      <c r="W189" s="129">
        <v>34</v>
      </c>
      <c r="X189" s="130" t="s">
        <v>2911</v>
      </c>
      <c r="Y189" s="130">
        <v>23</v>
      </c>
      <c r="Z189" s="130">
        <v>77.5</v>
      </c>
      <c r="AA189" s="130">
        <v>38.5</v>
      </c>
      <c r="AB189" s="130">
        <v>15</v>
      </c>
      <c r="AC189" s="130" t="s">
        <v>2178</v>
      </c>
      <c r="AD189" s="130">
        <f t="shared" si="34"/>
        <v>0.66400000000000003</v>
      </c>
      <c r="AE189" s="213"/>
      <c r="AF189" s="236">
        <f t="shared" si="30"/>
        <v>0</v>
      </c>
    </row>
    <row r="190" spans="12:32" ht="24.95" customHeight="1">
      <c r="L190" s="125">
        <v>19</v>
      </c>
      <c r="M190" s="126">
        <v>33</v>
      </c>
      <c r="N190" s="126">
        <v>32</v>
      </c>
      <c r="O190" s="126">
        <v>27</v>
      </c>
      <c r="P190" s="126">
        <v>155</v>
      </c>
      <c r="Q190" s="126">
        <v>75</v>
      </c>
      <c r="R190" s="126" t="s">
        <v>1940</v>
      </c>
      <c r="S190" s="126">
        <f t="shared" ref="S190:S206" si="36">ROUND(N190*O190*0.0254*P190/1000*Q190/1000,3)</f>
        <v>0.255</v>
      </c>
      <c r="T190" s="196"/>
      <c r="U190" s="201">
        <f t="shared" si="29"/>
        <v>0</v>
      </c>
      <c r="W190" s="129">
        <v>35</v>
      </c>
      <c r="X190" s="130" t="s">
        <v>2912</v>
      </c>
      <c r="Y190" s="130">
        <v>23</v>
      </c>
      <c r="Z190" s="130">
        <v>77.5</v>
      </c>
      <c r="AA190" s="130">
        <v>41.5</v>
      </c>
      <c r="AB190" s="130">
        <v>15</v>
      </c>
      <c r="AC190" s="130" t="s">
        <v>2179</v>
      </c>
      <c r="AD190" s="130">
        <f t="shared" si="34"/>
        <v>0.71599999999999997</v>
      </c>
      <c r="AE190" s="213"/>
      <c r="AF190" s="236">
        <f t="shared" si="30"/>
        <v>0</v>
      </c>
    </row>
    <row r="191" spans="12:32" ht="24.95" customHeight="1">
      <c r="L191" s="125">
        <v>20</v>
      </c>
      <c r="M191" s="126">
        <v>36</v>
      </c>
      <c r="N191" s="126">
        <v>32</v>
      </c>
      <c r="O191" s="126">
        <v>30</v>
      </c>
      <c r="P191" s="126">
        <v>155</v>
      </c>
      <c r="Q191" s="126">
        <v>75</v>
      </c>
      <c r="R191" s="126" t="s">
        <v>1941</v>
      </c>
      <c r="S191" s="126">
        <f t="shared" si="36"/>
        <v>0.28299999999999997</v>
      </c>
      <c r="T191" s="196"/>
      <c r="U191" s="201">
        <f t="shared" si="29"/>
        <v>0</v>
      </c>
      <c r="W191" s="129">
        <v>36</v>
      </c>
      <c r="X191" s="130" t="s">
        <v>2914</v>
      </c>
      <c r="Y191" s="130">
        <v>23</v>
      </c>
      <c r="Z191" s="130">
        <v>77.5</v>
      </c>
      <c r="AA191" s="130">
        <v>44.5</v>
      </c>
      <c r="AB191" s="130">
        <v>15</v>
      </c>
      <c r="AC191" s="130" t="s">
        <v>2180</v>
      </c>
      <c r="AD191" s="130">
        <f t="shared" si="34"/>
        <v>0.76800000000000002</v>
      </c>
      <c r="AE191" s="213"/>
      <c r="AF191" s="236">
        <f t="shared" si="30"/>
        <v>0</v>
      </c>
    </row>
    <row r="192" spans="12:32" ht="24.95" customHeight="1">
      <c r="L192" s="125">
        <v>21</v>
      </c>
      <c r="M192" s="126">
        <v>39</v>
      </c>
      <c r="N192" s="126">
        <v>32</v>
      </c>
      <c r="O192" s="126">
        <v>33</v>
      </c>
      <c r="P192" s="126">
        <v>155</v>
      </c>
      <c r="Q192" s="126">
        <v>75</v>
      </c>
      <c r="R192" s="126" t="s">
        <v>1942</v>
      </c>
      <c r="S192" s="126">
        <f t="shared" si="36"/>
        <v>0.312</v>
      </c>
      <c r="T192" s="196"/>
      <c r="U192" s="201">
        <f t="shared" si="29"/>
        <v>0</v>
      </c>
      <c r="W192" s="129">
        <v>37</v>
      </c>
      <c r="X192" s="130" t="s">
        <v>2916</v>
      </c>
      <c r="Y192" s="130">
        <v>23</v>
      </c>
      <c r="Z192" s="130">
        <v>77.5</v>
      </c>
      <c r="AA192" s="130">
        <v>47.5</v>
      </c>
      <c r="AB192" s="130">
        <v>15</v>
      </c>
      <c r="AC192" s="130" t="s">
        <v>2181</v>
      </c>
      <c r="AD192" s="130">
        <f t="shared" si="34"/>
        <v>0.81899999999999995</v>
      </c>
      <c r="AE192" s="213"/>
      <c r="AF192" s="236">
        <f t="shared" si="30"/>
        <v>0</v>
      </c>
    </row>
    <row r="193" spans="12:32" ht="24.95" customHeight="1">
      <c r="L193" s="125">
        <v>22</v>
      </c>
      <c r="M193" s="126">
        <v>42</v>
      </c>
      <c r="N193" s="126">
        <v>32</v>
      </c>
      <c r="O193" s="126">
        <v>36</v>
      </c>
      <c r="P193" s="126">
        <v>155</v>
      </c>
      <c r="Q193" s="126">
        <v>75</v>
      </c>
      <c r="R193" s="126" t="s">
        <v>1943</v>
      </c>
      <c r="S193" s="126">
        <f t="shared" si="36"/>
        <v>0.34</v>
      </c>
      <c r="T193" s="196"/>
      <c r="U193" s="201">
        <f t="shared" si="29"/>
        <v>0</v>
      </c>
      <c r="W193" s="129">
        <v>38</v>
      </c>
      <c r="X193" s="130" t="s">
        <v>2917</v>
      </c>
      <c r="Y193" s="130">
        <v>23</v>
      </c>
      <c r="Z193" s="130">
        <v>77.5</v>
      </c>
      <c r="AA193" s="130">
        <v>50.5</v>
      </c>
      <c r="AB193" s="130">
        <v>15</v>
      </c>
      <c r="AC193" s="130" t="s">
        <v>2182</v>
      </c>
      <c r="AD193" s="130">
        <f t="shared" si="34"/>
        <v>0.871</v>
      </c>
      <c r="AE193" s="213"/>
      <c r="AF193" s="236">
        <f t="shared" si="30"/>
        <v>0</v>
      </c>
    </row>
    <row r="194" spans="12:32" ht="24.95" customHeight="1">
      <c r="L194" s="125">
        <v>23</v>
      </c>
      <c r="M194" s="126">
        <v>45</v>
      </c>
      <c r="N194" s="126">
        <v>32</v>
      </c>
      <c r="O194" s="126">
        <v>39</v>
      </c>
      <c r="P194" s="126">
        <v>155</v>
      </c>
      <c r="Q194" s="126">
        <v>75</v>
      </c>
      <c r="R194" s="126" t="s">
        <v>1944</v>
      </c>
      <c r="S194" s="126">
        <f t="shared" si="36"/>
        <v>0.36899999999999999</v>
      </c>
      <c r="T194" s="196"/>
      <c r="U194" s="201">
        <f t="shared" ref="U194:U227" si="37">+S194*T194</f>
        <v>0</v>
      </c>
      <c r="W194" s="129">
        <v>39</v>
      </c>
      <c r="X194" s="130" t="s">
        <v>2918</v>
      </c>
      <c r="Y194" s="130">
        <v>23</v>
      </c>
      <c r="Z194" s="130">
        <v>77.5</v>
      </c>
      <c r="AA194" s="130">
        <v>53.5</v>
      </c>
      <c r="AB194" s="130">
        <v>15</v>
      </c>
      <c r="AC194" s="130" t="s">
        <v>2183</v>
      </c>
      <c r="AD194" s="130">
        <f t="shared" si="34"/>
        <v>0.92300000000000004</v>
      </c>
      <c r="AE194" s="213"/>
      <c r="AF194" s="236">
        <f t="shared" ref="AF194:AF257" si="38">+AD194*AE194</f>
        <v>0</v>
      </c>
    </row>
    <row r="195" spans="12:32" ht="24.95" customHeight="1">
      <c r="L195" s="125">
        <v>24</v>
      </c>
      <c r="M195" s="126">
        <v>48</v>
      </c>
      <c r="N195" s="126">
        <v>32</v>
      </c>
      <c r="O195" s="126">
        <v>42</v>
      </c>
      <c r="P195" s="126">
        <v>155</v>
      </c>
      <c r="Q195" s="126">
        <v>75</v>
      </c>
      <c r="R195" s="126" t="s">
        <v>1945</v>
      </c>
      <c r="S195" s="126">
        <f t="shared" si="36"/>
        <v>0.39700000000000002</v>
      </c>
      <c r="T195" s="196"/>
      <c r="U195" s="201">
        <f t="shared" si="37"/>
        <v>0</v>
      </c>
      <c r="W195" s="129">
        <v>40</v>
      </c>
      <c r="X195" s="130" t="s">
        <v>2919</v>
      </c>
      <c r="Y195" s="130">
        <v>23</v>
      </c>
      <c r="Z195" s="130">
        <v>77.5</v>
      </c>
      <c r="AA195" s="130">
        <v>56.5</v>
      </c>
      <c r="AB195" s="130">
        <v>15</v>
      </c>
      <c r="AC195" s="130" t="s">
        <v>2184</v>
      </c>
      <c r="AD195" s="130">
        <f t="shared" si="34"/>
        <v>0.97499999999999998</v>
      </c>
      <c r="AE195" s="213"/>
      <c r="AF195" s="236">
        <f t="shared" si="38"/>
        <v>0</v>
      </c>
    </row>
    <row r="196" spans="12:32" ht="24.95" customHeight="1">
      <c r="L196" s="125">
        <v>25</v>
      </c>
      <c r="M196" s="126">
        <v>51</v>
      </c>
      <c r="N196" s="126">
        <v>32</v>
      </c>
      <c r="O196" s="126">
        <v>45</v>
      </c>
      <c r="P196" s="126">
        <v>155</v>
      </c>
      <c r="Q196" s="126">
        <v>75</v>
      </c>
      <c r="R196" s="126" t="s">
        <v>1946</v>
      </c>
      <c r="S196" s="126">
        <f t="shared" si="36"/>
        <v>0.42499999999999999</v>
      </c>
      <c r="T196" s="196"/>
      <c r="U196" s="201">
        <f t="shared" si="37"/>
        <v>0</v>
      </c>
      <c r="W196" s="129">
        <v>41</v>
      </c>
      <c r="X196" s="130" t="s">
        <v>2920</v>
      </c>
      <c r="Y196" s="130">
        <v>23</v>
      </c>
      <c r="Z196" s="130">
        <v>77.5</v>
      </c>
      <c r="AA196" s="130">
        <v>59.5</v>
      </c>
      <c r="AB196" s="130">
        <v>15</v>
      </c>
      <c r="AC196" s="130" t="s">
        <v>2185</v>
      </c>
      <c r="AD196" s="130">
        <f t="shared" si="34"/>
        <v>1.026</v>
      </c>
      <c r="AE196" s="213"/>
      <c r="AF196" s="236">
        <f t="shared" si="38"/>
        <v>0</v>
      </c>
    </row>
    <row r="197" spans="12:32" ht="24.95" customHeight="1">
      <c r="L197" s="125">
        <v>26</v>
      </c>
      <c r="M197" s="126">
        <v>54</v>
      </c>
      <c r="N197" s="126">
        <v>32</v>
      </c>
      <c r="O197" s="126">
        <v>48</v>
      </c>
      <c r="P197" s="126">
        <v>155</v>
      </c>
      <c r="Q197" s="126">
        <v>75</v>
      </c>
      <c r="R197" s="126" t="s">
        <v>1947</v>
      </c>
      <c r="S197" s="126">
        <f t="shared" si="36"/>
        <v>0.45400000000000001</v>
      </c>
      <c r="T197" s="196"/>
      <c r="U197" s="201">
        <f t="shared" si="37"/>
        <v>0</v>
      </c>
      <c r="W197" s="129">
        <v>42</v>
      </c>
      <c r="X197" s="130" t="s">
        <v>2921</v>
      </c>
      <c r="Y197" s="130">
        <v>23</v>
      </c>
      <c r="Z197" s="130">
        <v>77.5</v>
      </c>
      <c r="AA197" s="130">
        <v>62.5</v>
      </c>
      <c r="AB197" s="130">
        <v>15</v>
      </c>
      <c r="AC197" s="130" t="s">
        <v>2186</v>
      </c>
      <c r="AD197" s="130">
        <f t="shared" si="34"/>
        <v>1.0780000000000001</v>
      </c>
      <c r="AE197" s="213"/>
      <c r="AF197" s="236">
        <f t="shared" si="38"/>
        <v>0</v>
      </c>
    </row>
    <row r="198" spans="12:32" ht="24.95" customHeight="1">
      <c r="L198" s="125">
        <v>27</v>
      </c>
      <c r="M198" s="126">
        <v>57</v>
      </c>
      <c r="N198" s="126">
        <v>32</v>
      </c>
      <c r="O198" s="126">
        <v>51</v>
      </c>
      <c r="P198" s="126">
        <v>155</v>
      </c>
      <c r="Q198" s="126">
        <v>75</v>
      </c>
      <c r="R198" s="126" t="s">
        <v>1948</v>
      </c>
      <c r="S198" s="126">
        <f t="shared" si="36"/>
        <v>0.48199999999999998</v>
      </c>
      <c r="T198" s="196"/>
      <c r="U198" s="201">
        <f t="shared" si="37"/>
        <v>0</v>
      </c>
      <c r="W198" s="129">
        <v>43</v>
      </c>
      <c r="X198" s="130" t="s">
        <v>2922</v>
      </c>
      <c r="Y198" s="130">
        <v>23</v>
      </c>
      <c r="Z198" s="130">
        <v>77.5</v>
      </c>
      <c r="AA198" s="130">
        <v>65.5</v>
      </c>
      <c r="AB198" s="130">
        <v>15</v>
      </c>
      <c r="AC198" s="130" t="s">
        <v>2187</v>
      </c>
      <c r="AD198" s="130">
        <f t="shared" si="34"/>
        <v>1.1299999999999999</v>
      </c>
      <c r="AE198" s="213"/>
      <c r="AF198" s="236">
        <f t="shared" si="38"/>
        <v>0</v>
      </c>
    </row>
    <row r="199" spans="12:32" ht="24.95" customHeight="1">
      <c r="L199" s="125">
        <v>28</v>
      </c>
      <c r="M199" s="126">
        <v>60</v>
      </c>
      <c r="N199" s="126">
        <v>32</v>
      </c>
      <c r="O199" s="126">
        <v>54</v>
      </c>
      <c r="P199" s="126">
        <v>155</v>
      </c>
      <c r="Q199" s="126">
        <v>75</v>
      </c>
      <c r="R199" s="126" t="s">
        <v>1949</v>
      </c>
      <c r="S199" s="126">
        <f t="shared" si="36"/>
        <v>0.51</v>
      </c>
      <c r="T199" s="196"/>
      <c r="U199" s="201">
        <f t="shared" si="37"/>
        <v>0</v>
      </c>
      <c r="W199" s="129">
        <v>44</v>
      </c>
      <c r="X199" s="130" t="s">
        <v>2923</v>
      </c>
      <c r="Y199" s="130">
        <v>23</v>
      </c>
      <c r="Z199" s="130">
        <v>77.5</v>
      </c>
      <c r="AA199" s="130">
        <v>68.5</v>
      </c>
      <c r="AB199" s="130">
        <v>15</v>
      </c>
      <c r="AC199" s="130" t="s">
        <v>2188</v>
      </c>
      <c r="AD199" s="130">
        <f t="shared" si="34"/>
        <v>1.1819999999999999</v>
      </c>
      <c r="AE199" s="213"/>
      <c r="AF199" s="236">
        <f t="shared" si="38"/>
        <v>0</v>
      </c>
    </row>
    <row r="200" spans="12:32" ht="24.95" customHeight="1">
      <c r="L200" s="125">
        <v>29</v>
      </c>
      <c r="M200" s="126">
        <v>63</v>
      </c>
      <c r="N200" s="126">
        <v>32</v>
      </c>
      <c r="O200" s="126">
        <v>57</v>
      </c>
      <c r="P200" s="126">
        <v>155</v>
      </c>
      <c r="Q200" s="126">
        <v>75</v>
      </c>
      <c r="R200" s="126" t="s">
        <v>1950</v>
      </c>
      <c r="S200" s="126">
        <f t="shared" si="36"/>
        <v>0.53900000000000003</v>
      </c>
      <c r="T200" s="196"/>
      <c r="U200" s="201">
        <f t="shared" si="37"/>
        <v>0</v>
      </c>
      <c r="W200" s="129">
        <v>45</v>
      </c>
      <c r="X200" s="130" t="s">
        <v>2924</v>
      </c>
      <c r="Y200" s="130">
        <v>23</v>
      </c>
      <c r="Z200" s="130">
        <v>77.5</v>
      </c>
      <c r="AA200" s="130">
        <v>71.5</v>
      </c>
      <c r="AB200" s="130">
        <v>15</v>
      </c>
      <c r="AC200" s="130" t="s">
        <v>2189</v>
      </c>
      <c r="AD200" s="130">
        <f t="shared" si="34"/>
        <v>1.2330000000000001</v>
      </c>
      <c r="AE200" s="213"/>
      <c r="AF200" s="236">
        <f t="shared" si="38"/>
        <v>0</v>
      </c>
    </row>
    <row r="201" spans="12:32" ht="24.95" customHeight="1">
      <c r="L201" s="125">
        <v>30</v>
      </c>
      <c r="M201" s="126">
        <v>66</v>
      </c>
      <c r="N201" s="126">
        <v>32</v>
      </c>
      <c r="O201" s="126">
        <v>60</v>
      </c>
      <c r="P201" s="126">
        <v>155</v>
      </c>
      <c r="Q201" s="126">
        <v>75</v>
      </c>
      <c r="R201" s="126" t="s">
        <v>1951</v>
      </c>
      <c r="S201" s="126">
        <f t="shared" si="36"/>
        <v>0.56699999999999995</v>
      </c>
      <c r="T201" s="196"/>
      <c r="U201" s="201">
        <f t="shared" si="37"/>
        <v>0</v>
      </c>
      <c r="W201" s="129">
        <v>46</v>
      </c>
      <c r="X201" s="130" t="s">
        <v>2925</v>
      </c>
      <c r="Y201" s="130">
        <v>23</v>
      </c>
      <c r="Z201" s="130">
        <v>79.5</v>
      </c>
      <c r="AA201" s="130">
        <v>29.5</v>
      </c>
      <c r="AB201" s="130">
        <v>15</v>
      </c>
      <c r="AC201" s="130" t="s">
        <v>2190</v>
      </c>
      <c r="AD201" s="130">
        <f t="shared" si="34"/>
        <v>0.52200000000000002</v>
      </c>
      <c r="AE201" s="213"/>
      <c r="AF201" s="236">
        <f t="shared" si="38"/>
        <v>0</v>
      </c>
    </row>
    <row r="202" spans="12:32" ht="24.95" customHeight="1">
      <c r="L202" s="125">
        <v>31</v>
      </c>
      <c r="M202" s="126">
        <v>69</v>
      </c>
      <c r="N202" s="126">
        <v>32</v>
      </c>
      <c r="O202" s="126">
        <v>63</v>
      </c>
      <c r="P202" s="126">
        <v>155</v>
      </c>
      <c r="Q202" s="126">
        <v>75</v>
      </c>
      <c r="R202" s="126" t="s">
        <v>1952</v>
      </c>
      <c r="S202" s="126">
        <f t="shared" si="36"/>
        <v>0.59499999999999997</v>
      </c>
      <c r="T202" s="196"/>
      <c r="U202" s="201">
        <f t="shared" si="37"/>
        <v>0</v>
      </c>
      <c r="W202" s="129">
        <v>47</v>
      </c>
      <c r="X202" s="130" t="s">
        <v>2926</v>
      </c>
      <c r="Y202" s="130">
        <v>23</v>
      </c>
      <c r="Z202" s="130">
        <v>79.5</v>
      </c>
      <c r="AA202" s="130">
        <v>32.5</v>
      </c>
      <c r="AB202" s="130">
        <v>15</v>
      </c>
      <c r="AC202" s="130" t="s">
        <v>2191</v>
      </c>
      <c r="AD202" s="130">
        <f t="shared" si="34"/>
        <v>0.57499999999999996</v>
      </c>
      <c r="AE202" s="213"/>
      <c r="AF202" s="236">
        <f t="shared" si="38"/>
        <v>0</v>
      </c>
    </row>
    <row r="203" spans="12:32" ht="24.95" customHeight="1">
      <c r="L203" s="125">
        <v>32</v>
      </c>
      <c r="M203" s="126">
        <v>72</v>
      </c>
      <c r="N203" s="126">
        <v>32</v>
      </c>
      <c r="O203" s="126">
        <v>66</v>
      </c>
      <c r="P203" s="126">
        <v>155</v>
      </c>
      <c r="Q203" s="126">
        <v>75</v>
      </c>
      <c r="R203" s="126" t="s">
        <v>1953</v>
      </c>
      <c r="S203" s="126">
        <f t="shared" si="36"/>
        <v>0.624</v>
      </c>
      <c r="T203" s="196"/>
      <c r="U203" s="201">
        <f t="shared" si="37"/>
        <v>0</v>
      </c>
      <c r="W203" s="129">
        <v>48</v>
      </c>
      <c r="X203" s="130" t="s">
        <v>2927</v>
      </c>
      <c r="Y203" s="130">
        <v>23</v>
      </c>
      <c r="Z203" s="130">
        <v>79.5</v>
      </c>
      <c r="AA203" s="130">
        <v>35.5</v>
      </c>
      <c r="AB203" s="130">
        <v>15</v>
      </c>
      <c r="AC203" s="130" t="s">
        <v>2192</v>
      </c>
      <c r="AD203" s="130">
        <f t="shared" si="34"/>
        <v>0.628</v>
      </c>
      <c r="AE203" s="213"/>
      <c r="AF203" s="236">
        <f t="shared" si="38"/>
        <v>0</v>
      </c>
    </row>
    <row r="204" spans="12:32" ht="24.95" customHeight="1">
      <c r="L204" s="125">
        <v>33</v>
      </c>
      <c r="M204" s="126">
        <v>13</v>
      </c>
      <c r="N204" s="126">
        <v>32</v>
      </c>
      <c r="O204" s="126">
        <v>9</v>
      </c>
      <c r="P204" s="126">
        <v>155</v>
      </c>
      <c r="Q204" s="126">
        <v>75</v>
      </c>
      <c r="R204" s="126" t="s">
        <v>1954</v>
      </c>
      <c r="S204" s="126">
        <f t="shared" si="36"/>
        <v>8.5000000000000006E-2</v>
      </c>
      <c r="T204" s="196"/>
      <c r="U204" s="201">
        <f t="shared" si="37"/>
        <v>0</v>
      </c>
      <c r="W204" s="129">
        <v>49</v>
      </c>
      <c r="X204" s="130" t="s">
        <v>2928</v>
      </c>
      <c r="Y204" s="130">
        <v>23</v>
      </c>
      <c r="Z204" s="130">
        <v>79.5</v>
      </c>
      <c r="AA204" s="130">
        <v>38.5</v>
      </c>
      <c r="AB204" s="130">
        <v>15</v>
      </c>
      <c r="AC204" s="130" t="s">
        <v>2193</v>
      </c>
      <c r="AD204" s="130">
        <f t="shared" si="34"/>
        <v>0.68100000000000005</v>
      </c>
      <c r="AE204" s="213"/>
      <c r="AF204" s="236">
        <f t="shared" si="38"/>
        <v>0</v>
      </c>
    </row>
    <row r="205" spans="12:32" ht="24.95" customHeight="1">
      <c r="L205" s="166">
        <v>34</v>
      </c>
      <c r="M205" s="167">
        <v>18</v>
      </c>
      <c r="N205" s="167">
        <v>32</v>
      </c>
      <c r="O205" s="167">
        <v>12</v>
      </c>
      <c r="P205" s="167">
        <v>155</v>
      </c>
      <c r="Q205" s="167">
        <v>75</v>
      </c>
      <c r="R205" s="167" t="s">
        <v>1955</v>
      </c>
      <c r="S205" s="167">
        <f t="shared" si="36"/>
        <v>0.113</v>
      </c>
      <c r="T205" s="196"/>
      <c r="U205" s="202">
        <f t="shared" si="37"/>
        <v>0</v>
      </c>
      <c r="W205" s="129">
        <v>50</v>
      </c>
      <c r="X205" s="130" t="s">
        <v>2929</v>
      </c>
      <c r="Y205" s="130">
        <v>23</v>
      </c>
      <c r="Z205" s="130">
        <v>79.5</v>
      </c>
      <c r="AA205" s="130">
        <v>41.5</v>
      </c>
      <c r="AB205" s="130">
        <v>15</v>
      </c>
      <c r="AC205" s="130" t="s">
        <v>2194</v>
      </c>
      <c r="AD205" s="130">
        <f t="shared" si="34"/>
        <v>0.73399999999999999</v>
      </c>
      <c r="AE205" s="213"/>
      <c r="AF205" s="236">
        <f t="shared" si="38"/>
        <v>0</v>
      </c>
    </row>
    <row r="206" spans="12:32" ht="24.95" customHeight="1">
      <c r="L206" s="152">
        <v>1</v>
      </c>
      <c r="M206" s="153">
        <v>30</v>
      </c>
      <c r="N206" s="154">
        <v>32</v>
      </c>
      <c r="O206" s="154">
        <v>24</v>
      </c>
      <c r="P206" s="154">
        <v>135</v>
      </c>
      <c r="Q206" s="154">
        <v>75</v>
      </c>
      <c r="R206" s="154" t="s">
        <v>1977</v>
      </c>
      <c r="S206" s="154">
        <f t="shared" si="36"/>
        <v>0.19800000000000001</v>
      </c>
      <c r="T206" s="196"/>
      <c r="U206" s="197">
        <f t="shared" si="37"/>
        <v>0</v>
      </c>
      <c r="W206" s="129">
        <v>51</v>
      </c>
      <c r="X206" s="130" t="s">
        <v>2930</v>
      </c>
      <c r="Y206" s="130">
        <v>23</v>
      </c>
      <c r="Z206" s="130">
        <v>79.5</v>
      </c>
      <c r="AA206" s="130">
        <v>44.5</v>
      </c>
      <c r="AB206" s="130">
        <v>15</v>
      </c>
      <c r="AC206" s="130" t="s">
        <v>2195</v>
      </c>
      <c r="AD206" s="130">
        <f t="shared" si="34"/>
        <v>0.78700000000000003</v>
      </c>
      <c r="AE206" s="213"/>
      <c r="AF206" s="236">
        <f t="shared" si="38"/>
        <v>0</v>
      </c>
    </row>
    <row r="207" spans="12:32" ht="24.95" customHeight="1">
      <c r="L207" s="121">
        <v>2</v>
      </c>
      <c r="M207" s="122">
        <v>33</v>
      </c>
      <c r="N207" s="123">
        <v>32</v>
      </c>
      <c r="O207" s="123">
        <v>27</v>
      </c>
      <c r="P207" s="123">
        <v>135</v>
      </c>
      <c r="Q207" s="123">
        <v>75</v>
      </c>
      <c r="R207" s="123" t="s">
        <v>1978</v>
      </c>
      <c r="S207" s="123">
        <f t="shared" ref="S207:S223" si="39">ROUND(N207*O207*0.0254*P207/1000*Q207/1000,3)</f>
        <v>0.222</v>
      </c>
      <c r="T207" s="196"/>
      <c r="U207" s="187">
        <f t="shared" si="37"/>
        <v>0</v>
      </c>
      <c r="W207" s="129">
        <v>52</v>
      </c>
      <c r="X207" s="130" t="s">
        <v>2931</v>
      </c>
      <c r="Y207" s="130">
        <v>23</v>
      </c>
      <c r="Z207" s="130">
        <v>79.5</v>
      </c>
      <c r="AA207" s="130">
        <v>47.5</v>
      </c>
      <c r="AB207" s="130">
        <v>15</v>
      </c>
      <c r="AC207" s="130" t="s">
        <v>2196</v>
      </c>
      <c r="AD207" s="130">
        <f t="shared" si="34"/>
        <v>0.84099999999999997</v>
      </c>
      <c r="AE207" s="213"/>
      <c r="AF207" s="236">
        <f t="shared" si="38"/>
        <v>0</v>
      </c>
    </row>
    <row r="208" spans="12:32" ht="24.95" customHeight="1">
      <c r="L208" s="121">
        <v>3</v>
      </c>
      <c r="M208" s="122">
        <v>36</v>
      </c>
      <c r="N208" s="123">
        <v>32</v>
      </c>
      <c r="O208" s="123">
        <v>30</v>
      </c>
      <c r="P208" s="123">
        <v>135</v>
      </c>
      <c r="Q208" s="123">
        <v>75</v>
      </c>
      <c r="R208" s="123" t="s">
        <v>1979</v>
      </c>
      <c r="S208" s="123">
        <f t="shared" si="39"/>
        <v>0.247</v>
      </c>
      <c r="T208" s="196"/>
      <c r="U208" s="187">
        <f t="shared" si="37"/>
        <v>0</v>
      </c>
      <c r="W208" s="129">
        <v>53</v>
      </c>
      <c r="X208" s="130" t="s">
        <v>2933</v>
      </c>
      <c r="Y208" s="130">
        <v>23</v>
      </c>
      <c r="Z208" s="130">
        <v>79.5</v>
      </c>
      <c r="AA208" s="130">
        <v>50.5</v>
      </c>
      <c r="AB208" s="130">
        <v>15</v>
      </c>
      <c r="AC208" s="130" t="s">
        <v>2197</v>
      </c>
      <c r="AD208" s="130">
        <f t="shared" si="34"/>
        <v>0.89400000000000002</v>
      </c>
      <c r="AE208" s="213"/>
      <c r="AF208" s="236">
        <f t="shared" si="38"/>
        <v>0</v>
      </c>
    </row>
    <row r="209" spans="12:32" ht="24.95" customHeight="1">
      <c r="L209" s="121">
        <v>4</v>
      </c>
      <c r="M209" s="122">
        <v>39</v>
      </c>
      <c r="N209" s="123">
        <v>32</v>
      </c>
      <c r="O209" s="123">
        <v>33</v>
      </c>
      <c r="P209" s="123">
        <v>135</v>
      </c>
      <c r="Q209" s="123">
        <v>75</v>
      </c>
      <c r="R209" s="123" t="s">
        <v>1980</v>
      </c>
      <c r="S209" s="123">
        <f t="shared" si="39"/>
        <v>0.27200000000000002</v>
      </c>
      <c r="T209" s="196"/>
      <c r="U209" s="187">
        <f t="shared" si="37"/>
        <v>0</v>
      </c>
      <c r="W209" s="129">
        <v>54</v>
      </c>
      <c r="X209" s="130" t="s">
        <v>2935</v>
      </c>
      <c r="Y209" s="130">
        <v>23</v>
      </c>
      <c r="Z209" s="130">
        <v>79.5</v>
      </c>
      <c r="AA209" s="130">
        <v>53.5</v>
      </c>
      <c r="AB209" s="130">
        <v>15</v>
      </c>
      <c r="AC209" s="130" t="s">
        <v>2198</v>
      </c>
      <c r="AD209" s="130">
        <f t="shared" si="34"/>
        <v>0.94699999999999995</v>
      </c>
      <c r="AE209" s="213"/>
      <c r="AF209" s="236">
        <f t="shared" si="38"/>
        <v>0</v>
      </c>
    </row>
    <row r="210" spans="12:32" ht="24.95" customHeight="1">
      <c r="L210" s="121">
        <v>5</v>
      </c>
      <c r="M210" s="122">
        <v>42</v>
      </c>
      <c r="N210" s="123">
        <v>32</v>
      </c>
      <c r="O210" s="123">
        <v>36</v>
      </c>
      <c r="P210" s="123">
        <v>135</v>
      </c>
      <c r="Q210" s="123">
        <v>75</v>
      </c>
      <c r="R210" s="123" t="s">
        <v>1981</v>
      </c>
      <c r="S210" s="123">
        <f t="shared" si="39"/>
        <v>0.29599999999999999</v>
      </c>
      <c r="T210" s="196"/>
      <c r="U210" s="187">
        <f t="shared" si="37"/>
        <v>0</v>
      </c>
      <c r="W210" s="129">
        <v>55</v>
      </c>
      <c r="X210" s="130" t="s">
        <v>2936</v>
      </c>
      <c r="Y210" s="130">
        <v>23</v>
      </c>
      <c r="Z210" s="130">
        <v>79.5</v>
      </c>
      <c r="AA210" s="130">
        <v>56.5</v>
      </c>
      <c r="AB210" s="130">
        <v>15</v>
      </c>
      <c r="AC210" s="130" t="s">
        <v>2199</v>
      </c>
      <c r="AD210" s="130">
        <f t="shared" si="34"/>
        <v>1</v>
      </c>
      <c r="AE210" s="213"/>
      <c r="AF210" s="236">
        <f t="shared" si="38"/>
        <v>0</v>
      </c>
    </row>
    <row r="211" spans="12:32" ht="24.95" customHeight="1">
      <c r="L211" s="121">
        <v>6</v>
      </c>
      <c r="M211" s="122">
        <v>45</v>
      </c>
      <c r="N211" s="123">
        <v>32</v>
      </c>
      <c r="O211" s="123">
        <v>39</v>
      </c>
      <c r="P211" s="123">
        <v>135</v>
      </c>
      <c r="Q211" s="123">
        <v>75</v>
      </c>
      <c r="R211" s="123" t="s">
        <v>1982</v>
      </c>
      <c r="S211" s="123">
        <f t="shared" si="39"/>
        <v>0.32100000000000001</v>
      </c>
      <c r="T211" s="196"/>
      <c r="U211" s="187">
        <f t="shared" si="37"/>
        <v>0</v>
      </c>
      <c r="W211" s="129">
        <v>56</v>
      </c>
      <c r="X211" s="130" t="s">
        <v>2937</v>
      </c>
      <c r="Y211" s="130">
        <v>23</v>
      </c>
      <c r="Z211" s="130">
        <v>79.5</v>
      </c>
      <c r="AA211" s="130">
        <v>59.5</v>
      </c>
      <c r="AB211" s="130">
        <v>15</v>
      </c>
      <c r="AC211" s="130" t="s">
        <v>2200</v>
      </c>
      <c r="AD211" s="130">
        <f t="shared" si="34"/>
        <v>1.0529999999999999</v>
      </c>
      <c r="AE211" s="213"/>
      <c r="AF211" s="236">
        <f t="shared" si="38"/>
        <v>0</v>
      </c>
    </row>
    <row r="212" spans="12:32" ht="24.95" customHeight="1">
      <c r="L212" s="121">
        <v>7</v>
      </c>
      <c r="M212" s="122">
        <v>48</v>
      </c>
      <c r="N212" s="123">
        <v>32</v>
      </c>
      <c r="O212" s="123">
        <v>42</v>
      </c>
      <c r="P212" s="123">
        <v>135</v>
      </c>
      <c r="Q212" s="123">
        <v>75</v>
      </c>
      <c r="R212" s="123" t="s">
        <v>1983</v>
      </c>
      <c r="S212" s="123">
        <f t="shared" si="39"/>
        <v>0.34599999999999997</v>
      </c>
      <c r="T212" s="196"/>
      <c r="U212" s="187">
        <f t="shared" si="37"/>
        <v>0</v>
      </c>
      <c r="W212" s="129">
        <v>57</v>
      </c>
      <c r="X212" s="130" t="s">
        <v>2938</v>
      </c>
      <c r="Y212" s="130">
        <v>23</v>
      </c>
      <c r="Z212" s="130">
        <v>79.5</v>
      </c>
      <c r="AA212" s="130">
        <v>62.5</v>
      </c>
      <c r="AB212" s="130">
        <v>15</v>
      </c>
      <c r="AC212" s="130" t="s">
        <v>2201</v>
      </c>
      <c r="AD212" s="130">
        <f t="shared" si="34"/>
        <v>1.1060000000000001</v>
      </c>
      <c r="AE212" s="213"/>
      <c r="AF212" s="236">
        <f t="shared" si="38"/>
        <v>0</v>
      </c>
    </row>
    <row r="213" spans="12:32" ht="24.95" customHeight="1">
      <c r="L213" s="121">
        <v>8</v>
      </c>
      <c r="M213" s="121">
        <v>51</v>
      </c>
      <c r="N213" s="122">
        <v>32</v>
      </c>
      <c r="O213" s="123">
        <v>45</v>
      </c>
      <c r="P213" s="123">
        <v>135</v>
      </c>
      <c r="Q213" s="123">
        <v>75</v>
      </c>
      <c r="R213" s="123" t="s">
        <v>1984</v>
      </c>
      <c r="S213" s="123">
        <f t="shared" si="39"/>
        <v>0.37</v>
      </c>
      <c r="T213" s="196"/>
      <c r="U213" s="187">
        <f t="shared" si="37"/>
        <v>0</v>
      </c>
      <c r="W213" s="129">
        <v>58</v>
      </c>
      <c r="X213" s="130" t="s">
        <v>2939</v>
      </c>
      <c r="Y213" s="130">
        <v>23</v>
      </c>
      <c r="Z213" s="130">
        <v>79.5</v>
      </c>
      <c r="AA213" s="130">
        <v>65.5</v>
      </c>
      <c r="AB213" s="130">
        <v>15</v>
      </c>
      <c r="AC213" s="130" t="s">
        <v>2202</v>
      </c>
      <c r="AD213" s="130">
        <f t="shared" si="34"/>
        <v>1.159</v>
      </c>
      <c r="AE213" s="213"/>
      <c r="AF213" s="236">
        <f t="shared" si="38"/>
        <v>0</v>
      </c>
    </row>
    <row r="214" spans="12:32" ht="24.95" customHeight="1">
      <c r="L214" s="121">
        <v>9</v>
      </c>
      <c r="M214" s="121">
        <v>54</v>
      </c>
      <c r="N214" s="122">
        <v>32</v>
      </c>
      <c r="O214" s="123">
        <v>48</v>
      </c>
      <c r="P214" s="123">
        <v>135</v>
      </c>
      <c r="Q214" s="123">
        <v>75</v>
      </c>
      <c r="R214" s="123" t="s">
        <v>1985</v>
      </c>
      <c r="S214" s="123">
        <f t="shared" si="39"/>
        <v>0.39500000000000002</v>
      </c>
      <c r="T214" s="196"/>
      <c r="U214" s="187">
        <f t="shared" si="37"/>
        <v>0</v>
      </c>
      <c r="W214" s="129">
        <v>59</v>
      </c>
      <c r="X214" s="130" t="s">
        <v>2940</v>
      </c>
      <c r="Y214" s="130">
        <v>23</v>
      </c>
      <c r="Z214" s="130">
        <v>79.5</v>
      </c>
      <c r="AA214" s="130">
        <v>68.5</v>
      </c>
      <c r="AB214" s="130">
        <v>15</v>
      </c>
      <c r="AC214" s="130" t="s">
        <v>2203</v>
      </c>
      <c r="AD214" s="130">
        <f t="shared" si="34"/>
        <v>1.212</v>
      </c>
      <c r="AE214" s="213"/>
      <c r="AF214" s="236">
        <f t="shared" si="38"/>
        <v>0</v>
      </c>
    </row>
    <row r="215" spans="12:32" ht="24.95" customHeight="1">
      <c r="L215" s="121">
        <v>10</v>
      </c>
      <c r="M215" s="121">
        <v>57</v>
      </c>
      <c r="N215" s="122">
        <v>32</v>
      </c>
      <c r="O215" s="123">
        <v>51</v>
      </c>
      <c r="P215" s="123">
        <v>135</v>
      </c>
      <c r="Q215" s="123">
        <v>75</v>
      </c>
      <c r="R215" s="123" t="s">
        <v>1986</v>
      </c>
      <c r="S215" s="123">
        <f t="shared" si="39"/>
        <v>0.42</v>
      </c>
      <c r="T215" s="196"/>
      <c r="U215" s="187">
        <f t="shared" si="37"/>
        <v>0</v>
      </c>
      <c r="W215" s="129">
        <v>60</v>
      </c>
      <c r="X215" s="130" t="s">
        <v>2941</v>
      </c>
      <c r="Y215" s="130">
        <v>23</v>
      </c>
      <c r="Z215" s="130">
        <v>79.5</v>
      </c>
      <c r="AA215" s="130">
        <v>71.5</v>
      </c>
      <c r="AB215" s="130">
        <v>15</v>
      </c>
      <c r="AC215" s="130" t="s">
        <v>2204</v>
      </c>
      <c r="AD215" s="130">
        <f t="shared" si="34"/>
        <v>1.2649999999999999</v>
      </c>
      <c r="AE215" s="213"/>
      <c r="AF215" s="236">
        <f t="shared" si="38"/>
        <v>0</v>
      </c>
    </row>
    <row r="216" spans="12:32" ht="24.95" customHeight="1">
      <c r="L216" s="121">
        <v>11</v>
      </c>
      <c r="M216" s="121">
        <v>60</v>
      </c>
      <c r="N216" s="122">
        <v>32</v>
      </c>
      <c r="O216" s="123">
        <v>54</v>
      </c>
      <c r="P216" s="123">
        <v>135</v>
      </c>
      <c r="Q216" s="123">
        <v>75</v>
      </c>
      <c r="R216" s="123" t="s">
        <v>1987</v>
      </c>
      <c r="S216" s="123">
        <f t="shared" si="39"/>
        <v>0.44400000000000001</v>
      </c>
      <c r="T216" s="196"/>
      <c r="U216" s="187">
        <f t="shared" si="37"/>
        <v>0</v>
      </c>
      <c r="W216" s="129">
        <v>61</v>
      </c>
      <c r="X216" s="130" t="s">
        <v>2942</v>
      </c>
      <c r="Y216" s="130">
        <v>23</v>
      </c>
      <c r="Z216" s="130">
        <v>83.5</v>
      </c>
      <c r="AA216" s="130">
        <v>29.5</v>
      </c>
      <c r="AB216" s="130">
        <v>15</v>
      </c>
      <c r="AC216" s="130" t="s">
        <v>2205</v>
      </c>
      <c r="AD216" s="130">
        <f t="shared" si="34"/>
        <v>0.54800000000000004</v>
      </c>
      <c r="AE216" s="213"/>
      <c r="AF216" s="236">
        <f t="shared" si="38"/>
        <v>0</v>
      </c>
    </row>
    <row r="217" spans="12:32" ht="24.95" customHeight="1">
      <c r="L217" s="121">
        <v>12</v>
      </c>
      <c r="M217" s="121">
        <v>63</v>
      </c>
      <c r="N217" s="122">
        <v>32</v>
      </c>
      <c r="O217" s="123">
        <v>57</v>
      </c>
      <c r="P217" s="123">
        <v>135</v>
      </c>
      <c r="Q217" s="123">
        <v>75</v>
      </c>
      <c r="R217" s="123" t="s">
        <v>1988</v>
      </c>
      <c r="S217" s="123">
        <f t="shared" si="39"/>
        <v>0.46899999999999997</v>
      </c>
      <c r="T217" s="196"/>
      <c r="U217" s="187">
        <f t="shared" si="37"/>
        <v>0</v>
      </c>
      <c r="W217" s="129">
        <v>62</v>
      </c>
      <c r="X217" s="130" t="s">
        <v>2943</v>
      </c>
      <c r="Y217" s="130">
        <v>23</v>
      </c>
      <c r="Z217" s="130">
        <v>83.5</v>
      </c>
      <c r="AA217" s="130">
        <v>32.5</v>
      </c>
      <c r="AB217" s="130">
        <v>15</v>
      </c>
      <c r="AC217" s="130" t="s">
        <v>2206</v>
      </c>
      <c r="AD217" s="130">
        <f t="shared" si="34"/>
        <v>0.60399999999999998</v>
      </c>
      <c r="AE217" s="213"/>
      <c r="AF217" s="236">
        <f t="shared" si="38"/>
        <v>0</v>
      </c>
    </row>
    <row r="218" spans="12:32" ht="24.95" customHeight="1">
      <c r="L218" s="121">
        <v>13</v>
      </c>
      <c r="M218" s="121">
        <v>66</v>
      </c>
      <c r="N218" s="122">
        <v>32</v>
      </c>
      <c r="O218" s="123">
        <v>60</v>
      </c>
      <c r="P218" s="123">
        <v>135</v>
      </c>
      <c r="Q218" s="123">
        <v>75</v>
      </c>
      <c r="R218" s="123" t="s">
        <v>1989</v>
      </c>
      <c r="S218" s="123">
        <f t="shared" si="39"/>
        <v>0.49399999999999999</v>
      </c>
      <c r="T218" s="196"/>
      <c r="U218" s="187">
        <f t="shared" si="37"/>
        <v>0</v>
      </c>
      <c r="W218" s="129">
        <v>63</v>
      </c>
      <c r="X218" s="130" t="s">
        <v>2944</v>
      </c>
      <c r="Y218" s="130">
        <v>23</v>
      </c>
      <c r="Z218" s="130">
        <v>83.5</v>
      </c>
      <c r="AA218" s="130">
        <v>35.5</v>
      </c>
      <c r="AB218" s="130">
        <v>15</v>
      </c>
      <c r="AC218" s="130" t="s">
        <v>2207</v>
      </c>
      <c r="AD218" s="130">
        <f t="shared" si="34"/>
        <v>0.66</v>
      </c>
      <c r="AE218" s="213"/>
      <c r="AF218" s="236">
        <f t="shared" si="38"/>
        <v>0</v>
      </c>
    </row>
    <row r="219" spans="12:32" ht="24.95" customHeight="1">
      <c r="L219" s="188">
        <v>14</v>
      </c>
      <c r="M219" s="188">
        <v>69</v>
      </c>
      <c r="N219" s="189">
        <v>32</v>
      </c>
      <c r="O219" s="190">
        <v>63</v>
      </c>
      <c r="P219" s="190">
        <v>135</v>
      </c>
      <c r="Q219" s="190">
        <v>75</v>
      </c>
      <c r="R219" s="123" t="s">
        <v>1990</v>
      </c>
      <c r="S219" s="190">
        <f t="shared" si="39"/>
        <v>0.51800000000000002</v>
      </c>
      <c r="T219" s="196"/>
      <c r="U219" s="187">
        <f t="shared" si="37"/>
        <v>0</v>
      </c>
      <c r="W219" s="129">
        <v>64</v>
      </c>
      <c r="X219" s="130" t="s">
        <v>2945</v>
      </c>
      <c r="Y219" s="130">
        <v>23</v>
      </c>
      <c r="Z219" s="130">
        <v>83.5</v>
      </c>
      <c r="AA219" s="130">
        <v>38.5</v>
      </c>
      <c r="AB219" s="130">
        <v>15</v>
      </c>
      <c r="AC219" s="130" t="s">
        <v>2208</v>
      </c>
      <c r="AD219" s="130">
        <f t="shared" si="34"/>
        <v>0.71599999999999997</v>
      </c>
      <c r="AE219" s="213"/>
      <c r="AF219" s="236">
        <f t="shared" si="38"/>
        <v>0</v>
      </c>
    </row>
    <row r="220" spans="12:32" ht="24.95" customHeight="1">
      <c r="L220" s="121">
        <v>15</v>
      </c>
      <c r="M220" s="121">
        <v>72</v>
      </c>
      <c r="N220" s="122">
        <v>32</v>
      </c>
      <c r="O220" s="123">
        <v>66</v>
      </c>
      <c r="P220" s="123">
        <v>135</v>
      </c>
      <c r="Q220" s="123">
        <v>75</v>
      </c>
      <c r="R220" s="123" t="s">
        <v>1991</v>
      </c>
      <c r="S220" s="123">
        <f t="shared" si="39"/>
        <v>0.54300000000000004</v>
      </c>
      <c r="T220" s="196"/>
      <c r="U220" s="187">
        <f t="shared" si="37"/>
        <v>0</v>
      </c>
      <c r="W220" s="129">
        <v>65</v>
      </c>
      <c r="X220" s="130" t="s">
        <v>2946</v>
      </c>
      <c r="Y220" s="130">
        <v>23</v>
      </c>
      <c r="Z220" s="130">
        <v>83.5</v>
      </c>
      <c r="AA220" s="130">
        <v>41.5</v>
      </c>
      <c r="AB220" s="130">
        <v>15</v>
      </c>
      <c r="AC220" s="130" t="s">
        <v>2209</v>
      </c>
      <c r="AD220" s="130">
        <f t="shared" si="34"/>
        <v>0.77100000000000002</v>
      </c>
      <c r="AE220" s="213"/>
      <c r="AF220" s="236">
        <f t="shared" si="38"/>
        <v>0</v>
      </c>
    </row>
    <row r="221" spans="12:32" ht="24.95" customHeight="1">
      <c r="L221" s="121">
        <v>16</v>
      </c>
      <c r="M221" s="121">
        <v>13</v>
      </c>
      <c r="N221" s="122">
        <v>32</v>
      </c>
      <c r="O221" s="123">
        <v>9</v>
      </c>
      <c r="P221" s="123">
        <v>135</v>
      </c>
      <c r="Q221" s="123">
        <v>75</v>
      </c>
      <c r="R221" s="123" t="s">
        <v>1992</v>
      </c>
      <c r="S221" s="123">
        <f t="shared" si="39"/>
        <v>7.3999999999999996E-2</v>
      </c>
      <c r="T221" s="196"/>
      <c r="U221" s="187">
        <f t="shared" si="37"/>
        <v>0</v>
      </c>
      <c r="W221" s="129">
        <v>66</v>
      </c>
      <c r="X221" s="130" t="s">
        <v>2947</v>
      </c>
      <c r="Y221" s="130">
        <v>23</v>
      </c>
      <c r="Z221" s="130">
        <v>83.5</v>
      </c>
      <c r="AA221" s="130">
        <v>44.5</v>
      </c>
      <c r="AB221" s="130">
        <v>15</v>
      </c>
      <c r="AC221" s="130" t="s">
        <v>2210</v>
      </c>
      <c r="AD221" s="130">
        <f t="shared" ref="AD221:AD233" si="40">+ROUND((Y221*Z221*0.0254*AA221*0.0254*(AB221/1000)),3)</f>
        <v>0.82699999999999996</v>
      </c>
      <c r="AE221" s="213"/>
      <c r="AF221" s="236">
        <f t="shared" si="38"/>
        <v>0</v>
      </c>
    </row>
    <row r="222" spans="12:32" ht="24.95" customHeight="1">
      <c r="L222" s="157">
        <v>17</v>
      </c>
      <c r="M222" s="157">
        <v>18</v>
      </c>
      <c r="N222" s="158">
        <v>32</v>
      </c>
      <c r="O222" s="159">
        <v>12</v>
      </c>
      <c r="P222" s="159">
        <v>135</v>
      </c>
      <c r="Q222" s="159">
        <v>75</v>
      </c>
      <c r="R222" s="159" t="s">
        <v>1993</v>
      </c>
      <c r="S222" s="159">
        <f t="shared" si="39"/>
        <v>9.9000000000000005E-2</v>
      </c>
      <c r="T222" s="196"/>
      <c r="U222" s="199">
        <f t="shared" si="37"/>
        <v>0</v>
      </c>
      <c r="W222" s="129">
        <v>67</v>
      </c>
      <c r="X222" s="130" t="s">
        <v>2948</v>
      </c>
      <c r="Y222" s="130">
        <v>23</v>
      </c>
      <c r="Z222" s="130">
        <v>83.5</v>
      </c>
      <c r="AA222" s="130">
        <v>47.5</v>
      </c>
      <c r="AB222" s="130">
        <v>15</v>
      </c>
      <c r="AC222" s="130" t="s">
        <v>2211</v>
      </c>
      <c r="AD222" s="130">
        <f t="shared" si="40"/>
        <v>0.88300000000000001</v>
      </c>
      <c r="AE222" s="213"/>
      <c r="AF222" s="236">
        <f t="shared" si="38"/>
        <v>0</v>
      </c>
    </row>
    <row r="223" spans="12:32" ht="24.95" customHeight="1">
      <c r="L223" s="162">
        <v>18</v>
      </c>
      <c r="M223" s="163">
        <v>30</v>
      </c>
      <c r="N223" s="163">
        <v>32</v>
      </c>
      <c r="O223" s="163">
        <v>24</v>
      </c>
      <c r="P223" s="163">
        <v>205</v>
      </c>
      <c r="Q223" s="163">
        <v>75</v>
      </c>
      <c r="R223" s="163" t="s">
        <v>1994</v>
      </c>
      <c r="S223" s="163">
        <f t="shared" si="39"/>
        <v>0.3</v>
      </c>
      <c r="T223" s="196"/>
      <c r="U223" s="200">
        <f t="shared" si="37"/>
        <v>0</v>
      </c>
      <c r="W223" s="129">
        <v>68</v>
      </c>
      <c r="X223" s="130" t="s">
        <v>2949</v>
      </c>
      <c r="Y223" s="130">
        <v>23</v>
      </c>
      <c r="Z223" s="130">
        <v>83.5</v>
      </c>
      <c r="AA223" s="130">
        <v>50.5</v>
      </c>
      <c r="AB223" s="130">
        <v>15</v>
      </c>
      <c r="AC223" s="130" t="s">
        <v>2212</v>
      </c>
      <c r="AD223" s="130">
        <f t="shared" si="40"/>
        <v>0.93899999999999995</v>
      </c>
      <c r="AE223" s="213"/>
      <c r="AF223" s="236">
        <f t="shared" si="38"/>
        <v>0</v>
      </c>
    </row>
    <row r="224" spans="12:32" ht="24.95" customHeight="1">
      <c r="L224" s="125">
        <v>19</v>
      </c>
      <c r="M224" s="126">
        <v>33</v>
      </c>
      <c r="N224" s="126">
        <v>32</v>
      </c>
      <c r="O224" s="126">
        <v>27</v>
      </c>
      <c r="P224" s="126">
        <v>205</v>
      </c>
      <c r="Q224" s="126">
        <v>75</v>
      </c>
      <c r="R224" s="126" t="s">
        <v>1995</v>
      </c>
      <c r="S224" s="126">
        <f t="shared" ref="S224:S240" si="41">ROUND(N224*O224*0.0254*P224/1000*Q224/1000,3)</f>
        <v>0.33700000000000002</v>
      </c>
      <c r="T224" s="196"/>
      <c r="U224" s="201">
        <f t="shared" si="37"/>
        <v>0</v>
      </c>
      <c r="W224" s="129">
        <v>69</v>
      </c>
      <c r="X224" s="130" t="s">
        <v>2950</v>
      </c>
      <c r="Y224" s="130">
        <v>23</v>
      </c>
      <c r="Z224" s="130">
        <v>83.5</v>
      </c>
      <c r="AA224" s="130">
        <v>53.5</v>
      </c>
      <c r="AB224" s="130">
        <v>15</v>
      </c>
      <c r="AC224" s="130" t="s">
        <v>2213</v>
      </c>
      <c r="AD224" s="130">
        <f t="shared" si="40"/>
        <v>0.99399999999999999</v>
      </c>
      <c r="AE224" s="213"/>
      <c r="AF224" s="236">
        <f t="shared" si="38"/>
        <v>0</v>
      </c>
    </row>
    <row r="225" spans="12:32" ht="24.95" customHeight="1">
      <c r="L225" s="125">
        <v>20</v>
      </c>
      <c r="M225" s="126">
        <v>36</v>
      </c>
      <c r="N225" s="126">
        <v>32</v>
      </c>
      <c r="O225" s="126">
        <v>30</v>
      </c>
      <c r="P225" s="126">
        <v>205</v>
      </c>
      <c r="Q225" s="126">
        <v>75</v>
      </c>
      <c r="R225" s="126" t="s">
        <v>1996</v>
      </c>
      <c r="S225" s="126">
        <f t="shared" si="41"/>
        <v>0.375</v>
      </c>
      <c r="T225" s="196"/>
      <c r="U225" s="201">
        <f t="shared" si="37"/>
        <v>0</v>
      </c>
      <c r="W225" s="129">
        <v>70</v>
      </c>
      <c r="X225" s="130" t="s">
        <v>2952</v>
      </c>
      <c r="Y225" s="130">
        <v>23</v>
      </c>
      <c r="Z225" s="130">
        <v>83.5</v>
      </c>
      <c r="AA225" s="130">
        <v>56.5</v>
      </c>
      <c r="AB225" s="130">
        <v>15</v>
      </c>
      <c r="AC225" s="130" t="s">
        <v>2214</v>
      </c>
      <c r="AD225" s="130">
        <f t="shared" si="40"/>
        <v>1.05</v>
      </c>
      <c r="AE225" s="213"/>
      <c r="AF225" s="236">
        <f t="shared" si="38"/>
        <v>0</v>
      </c>
    </row>
    <row r="226" spans="12:32" ht="24.95" customHeight="1">
      <c r="L226" s="125">
        <v>21</v>
      </c>
      <c r="M226" s="126">
        <v>39</v>
      </c>
      <c r="N226" s="126">
        <v>32</v>
      </c>
      <c r="O226" s="126">
        <v>33</v>
      </c>
      <c r="P226" s="126">
        <v>205</v>
      </c>
      <c r="Q226" s="126">
        <v>75</v>
      </c>
      <c r="R226" s="126" t="s">
        <v>1997</v>
      </c>
      <c r="S226" s="126">
        <f t="shared" si="41"/>
        <v>0.41199999999999998</v>
      </c>
      <c r="T226" s="196"/>
      <c r="U226" s="201">
        <f t="shared" si="37"/>
        <v>0</v>
      </c>
      <c r="W226" s="129">
        <v>71</v>
      </c>
      <c r="X226" s="130" t="s">
        <v>2954</v>
      </c>
      <c r="Y226" s="130">
        <v>23</v>
      </c>
      <c r="Z226" s="130">
        <v>83.5</v>
      </c>
      <c r="AA226" s="130">
        <v>59.5</v>
      </c>
      <c r="AB226" s="130">
        <v>15</v>
      </c>
      <c r="AC226" s="130" t="s">
        <v>2215</v>
      </c>
      <c r="AD226" s="130">
        <f t="shared" si="40"/>
        <v>1.1060000000000001</v>
      </c>
      <c r="AE226" s="213"/>
      <c r="AF226" s="236">
        <f t="shared" si="38"/>
        <v>0</v>
      </c>
    </row>
    <row r="227" spans="12:32" ht="24.95" customHeight="1">
      <c r="L227" s="125">
        <v>22</v>
      </c>
      <c r="M227" s="126">
        <v>42</v>
      </c>
      <c r="N227" s="126">
        <v>32</v>
      </c>
      <c r="O227" s="126">
        <v>36</v>
      </c>
      <c r="P227" s="126">
        <v>205</v>
      </c>
      <c r="Q227" s="126">
        <v>75</v>
      </c>
      <c r="R227" s="126" t="s">
        <v>1998</v>
      </c>
      <c r="S227" s="126">
        <f t="shared" si="41"/>
        <v>0.45</v>
      </c>
      <c r="T227" s="196"/>
      <c r="U227" s="201">
        <f t="shared" si="37"/>
        <v>0</v>
      </c>
      <c r="W227" s="129">
        <v>72</v>
      </c>
      <c r="X227" s="130" t="s">
        <v>2955</v>
      </c>
      <c r="Y227" s="130">
        <v>23</v>
      </c>
      <c r="Z227" s="130">
        <v>83.5</v>
      </c>
      <c r="AA227" s="130">
        <v>62.5</v>
      </c>
      <c r="AB227" s="130">
        <v>15</v>
      </c>
      <c r="AC227" s="130" t="s">
        <v>2216</v>
      </c>
      <c r="AD227" s="130">
        <f t="shared" si="40"/>
        <v>1.1619999999999999</v>
      </c>
      <c r="AE227" s="213"/>
      <c r="AF227" s="236">
        <f t="shared" si="38"/>
        <v>0</v>
      </c>
    </row>
    <row r="228" spans="12:32" ht="24.95" customHeight="1">
      <c r="L228" s="125">
        <v>23</v>
      </c>
      <c r="M228" s="126">
        <v>45</v>
      </c>
      <c r="N228" s="126">
        <v>32</v>
      </c>
      <c r="O228" s="126">
        <v>39</v>
      </c>
      <c r="P228" s="126">
        <v>205</v>
      </c>
      <c r="Q228" s="126">
        <v>75</v>
      </c>
      <c r="R228" s="126" t="s">
        <v>1999</v>
      </c>
      <c r="S228" s="126">
        <f t="shared" si="41"/>
        <v>0.48699999999999999</v>
      </c>
      <c r="T228" s="196"/>
      <c r="U228" s="201">
        <f t="shared" ref="U228:U239" si="42">+S228*T228</f>
        <v>0</v>
      </c>
      <c r="W228" s="129">
        <v>73</v>
      </c>
      <c r="X228" s="130" t="s">
        <v>2956</v>
      </c>
      <c r="Y228" s="130">
        <v>23</v>
      </c>
      <c r="Z228" s="130">
        <v>83.5</v>
      </c>
      <c r="AA228" s="130">
        <v>65.5</v>
      </c>
      <c r="AB228" s="130">
        <v>15</v>
      </c>
      <c r="AC228" s="130" t="s">
        <v>2217</v>
      </c>
      <c r="AD228" s="130">
        <f t="shared" si="40"/>
        <v>1.2170000000000001</v>
      </c>
      <c r="AE228" s="213"/>
      <c r="AF228" s="236">
        <f t="shared" si="38"/>
        <v>0</v>
      </c>
    </row>
    <row r="229" spans="12:32" ht="24.95" customHeight="1">
      <c r="L229" s="125">
        <v>24</v>
      </c>
      <c r="M229" s="126">
        <v>48</v>
      </c>
      <c r="N229" s="126">
        <v>32</v>
      </c>
      <c r="O229" s="126">
        <v>42</v>
      </c>
      <c r="P229" s="126">
        <v>205</v>
      </c>
      <c r="Q229" s="126">
        <v>75</v>
      </c>
      <c r="R229" s="126" t="s">
        <v>2000</v>
      </c>
      <c r="S229" s="126">
        <f t="shared" si="41"/>
        <v>0.52500000000000002</v>
      </c>
      <c r="T229" s="196"/>
      <c r="U229" s="201">
        <f t="shared" si="42"/>
        <v>0</v>
      </c>
      <c r="W229" s="129">
        <v>74</v>
      </c>
      <c r="X229" s="130" t="s">
        <v>2957</v>
      </c>
      <c r="Y229" s="130">
        <v>23</v>
      </c>
      <c r="Z229" s="130">
        <v>83.5</v>
      </c>
      <c r="AA229" s="130">
        <v>68.5</v>
      </c>
      <c r="AB229" s="130">
        <v>15</v>
      </c>
      <c r="AC229" s="130" t="s">
        <v>2218</v>
      </c>
      <c r="AD229" s="130">
        <f t="shared" si="40"/>
        <v>1.2729999999999999</v>
      </c>
      <c r="AE229" s="213"/>
      <c r="AF229" s="236">
        <f t="shared" si="38"/>
        <v>0</v>
      </c>
    </row>
    <row r="230" spans="12:32" ht="24.95" customHeight="1">
      <c r="L230" s="125">
        <v>25</v>
      </c>
      <c r="M230" s="126">
        <v>51</v>
      </c>
      <c r="N230" s="126">
        <v>32</v>
      </c>
      <c r="O230" s="126">
        <v>45</v>
      </c>
      <c r="P230" s="126">
        <v>205</v>
      </c>
      <c r="Q230" s="126">
        <v>75</v>
      </c>
      <c r="R230" s="126" t="s">
        <v>2001</v>
      </c>
      <c r="S230" s="126">
        <f t="shared" si="41"/>
        <v>0.56200000000000006</v>
      </c>
      <c r="T230" s="196"/>
      <c r="U230" s="201">
        <f t="shared" si="42"/>
        <v>0</v>
      </c>
      <c r="W230" s="129">
        <v>75</v>
      </c>
      <c r="X230" s="130" t="s">
        <v>2958</v>
      </c>
      <c r="Y230" s="130">
        <v>23</v>
      </c>
      <c r="Z230" s="130">
        <v>83.5</v>
      </c>
      <c r="AA230" s="130">
        <v>71.5</v>
      </c>
      <c r="AB230" s="130">
        <v>15</v>
      </c>
      <c r="AC230" s="130" t="s">
        <v>2219</v>
      </c>
      <c r="AD230" s="130">
        <f t="shared" si="40"/>
        <v>1.329</v>
      </c>
      <c r="AE230" s="213"/>
      <c r="AF230" s="236">
        <f t="shared" si="38"/>
        <v>0</v>
      </c>
    </row>
    <row r="231" spans="12:32" ht="24.95" customHeight="1">
      <c r="L231" s="125">
        <v>26</v>
      </c>
      <c r="M231" s="126">
        <v>54</v>
      </c>
      <c r="N231" s="126">
        <v>32</v>
      </c>
      <c r="O231" s="126">
        <v>48</v>
      </c>
      <c r="P231" s="126">
        <v>205</v>
      </c>
      <c r="Q231" s="126">
        <v>75</v>
      </c>
      <c r="R231" s="126" t="s">
        <v>2002</v>
      </c>
      <c r="S231" s="126">
        <f t="shared" si="41"/>
        <v>0.6</v>
      </c>
      <c r="T231" s="196"/>
      <c r="U231" s="201">
        <f t="shared" si="42"/>
        <v>0</v>
      </c>
      <c r="W231" s="129">
        <v>76</v>
      </c>
      <c r="X231" s="130" t="s">
        <v>2959</v>
      </c>
      <c r="Y231" s="130">
        <v>23</v>
      </c>
      <c r="Z231" s="130">
        <v>12.5</v>
      </c>
      <c r="AA231" s="130">
        <v>12.5</v>
      </c>
      <c r="AB231" s="130">
        <v>15</v>
      </c>
      <c r="AC231" s="130" t="s">
        <v>2220</v>
      </c>
      <c r="AD231" s="130">
        <f t="shared" si="40"/>
        <v>3.5000000000000003E-2</v>
      </c>
      <c r="AE231" s="213"/>
      <c r="AF231" s="236">
        <f t="shared" si="38"/>
        <v>0</v>
      </c>
    </row>
    <row r="232" spans="12:32" ht="24.95" customHeight="1">
      <c r="L232" s="125">
        <v>27</v>
      </c>
      <c r="M232" s="126">
        <v>57</v>
      </c>
      <c r="N232" s="126">
        <v>32</v>
      </c>
      <c r="O232" s="126">
        <v>51</v>
      </c>
      <c r="P232" s="126">
        <v>205</v>
      </c>
      <c r="Q232" s="126">
        <v>75</v>
      </c>
      <c r="R232" s="126" t="s">
        <v>2003</v>
      </c>
      <c r="S232" s="126">
        <f t="shared" si="41"/>
        <v>0.63700000000000001</v>
      </c>
      <c r="T232" s="196"/>
      <c r="U232" s="201">
        <f t="shared" si="42"/>
        <v>0</v>
      </c>
      <c r="W232" s="174">
        <v>77</v>
      </c>
      <c r="X232" s="175" t="s">
        <v>2960</v>
      </c>
      <c r="Y232" s="175">
        <v>23</v>
      </c>
      <c r="Z232" s="175">
        <v>19.5</v>
      </c>
      <c r="AA232" s="175">
        <v>17.5</v>
      </c>
      <c r="AB232" s="175">
        <v>15</v>
      </c>
      <c r="AC232" s="175" t="s">
        <v>2221</v>
      </c>
      <c r="AD232" s="175">
        <f t="shared" si="40"/>
        <v>7.5999999999999998E-2</v>
      </c>
      <c r="AE232" s="213"/>
      <c r="AF232" s="237">
        <f t="shared" si="38"/>
        <v>0</v>
      </c>
    </row>
    <row r="233" spans="12:32" ht="24.95" customHeight="1">
      <c r="L233" s="125">
        <v>28</v>
      </c>
      <c r="M233" s="126">
        <v>60</v>
      </c>
      <c r="N233" s="126">
        <v>32</v>
      </c>
      <c r="O233" s="126">
        <v>54</v>
      </c>
      <c r="P233" s="126">
        <v>205</v>
      </c>
      <c r="Q233" s="126">
        <v>75</v>
      </c>
      <c r="R233" s="126" t="s">
        <v>2004</v>
      </c>
      <c r="S233" s="126">
        <f t="shared" si="41"/>
        <v>0.67500000000000004</v>
      </c>
      <c r="T233" s="196"/>
      <c r="U233" s="201">
        <f t="shared" si="42"/>
        <v>0</v>
      </c>
      <c r="W233" s="178">
        <v>1</v>
      </c>
      <c r="X233" s="179" t="s">
        <v>2876</v>
      </c>
      <c r="Y233" s="179">
        <v>25</v>
      </c>
      <c r="Z233" s="179">
        <v>71.5</v>
      </c>
      <c r="AA233" s="179">
        <v>29.5</v>
      </c>
      <c r="AB233" s="179">
        <v>15</v>
      </c>
      <c r="AC233" s="179" t="s">
        <v>2222</v>
      </c>
      <c r="AD233" s="179">
        <f t="shared" si="40"/>
        <v>0.51</v>
      </c>
      <c r="AE233" s="213"/>
      <c r="AF233" s="208">
        <f t="shared" si="38"/>
        <v>0</v>
      </c>
    </row>
    <row r="234" spans="12:32" ht="24.95" customHeight="1">
      <c r="L234" s="125">
        <v>29</v>
      </c>
      <c r="M234" s="126">
        <v>63</v>
      </c>
      <c r="N234" s="126">
        <v>32</v>
      </c>
      <c r="O234" s="126">
        <v>57</v>
      </c>
      <c r="P234" s="126">
        <v>205</v>
      </c>
      <c r="Q234" s="126">
        <v>75</v>
      </c>
      <c r="R234" s="126" t="s">
        <v>2005</v>
      </c>
      <c r="S234" s="126">
        <f t="shared" si="41"/>
        <v>0.71199999999999997</v>
      </c>
      <c r="T234" s="196"/>
      <c r="U234" s="201">
        <f t="shared" si="42"/>
        <v>0</v>
      </c>
      <c r="W234" s="133">
        <v>2</v>
      </c>
      <c r="X234" s="134" t="s">
        <v>2877</v>
      </c>
      <c r="Y234" s="134">
        <v>25</v>
      </c>
      <c r="Z234" s="134">
        <v>71.5</v>
      </c>
      <c r="AA234" s="134">
        <v>32.5</v>
      </c>
      <c r="AB234" s="134">
        <v>15</v>
      </c>
      <c r="AC234" s="134" t="s">
        <v>2223</v>
      </c>
      <c r="AD234" s="134">
        <f t="shared" ref="AD234:AD297" si="43">+ROUND((Y234*Z234*0.0254*AA234*0.0254*(AB234/1000)),3)</f>
        <v>0.56200000000000006</v>
      </c>
      <c r="AE234" s="213"/>
      <c r="AF234" s="209">
        <f t="shared" si="38"/>
        <v>0</v>
      </c>
    </row>
    <row r="235" spans="12:32" ht="24.95" customHeight="1">
      <c r="L235" s="125">
        <v>30</v>
      </c>
      <c r="M235" s="126">
        <v>66</v>
      </c>
      <c r="N235" s="126">
        <v>32</v>
      </c>
      <c r="O235" s="126">
        <v>60</v>
      </c>
      <c r="P235" s="126">
        <v>205</v>
      </c>
      <c r="Q235" s="126">
        <v>75</v>
      </c>
      <c r="R235" s="126" t="s">
        <v>2006</v>
      </c>
      <c r="S235" s="126">
        <f t="shared" si="41"/>
        <v>0.75</v>
      </c>
      <c r="T235" s="196"/>
      <c r="U235" s="201">
        <f t="shared" si="42"/>
        <v>0</v>
      </c>
      <c r="W235" s="133">
        <v>3</v>
      </c>
      <c r="X235" s="134" t="s">
        <v>2878</v>
      </c>
      <c r="Y235" s="134">
        <v>25</v>
      </c>
      <c r="Z235" s="134">
        <v>71.5</v>
      </c>
      <c r="AA235" s="134">
        <v>35.5</v>
      </c>
      <c r="AB235" s="134">
        <v>15</v>
      </c>
      <c r="AC235" s="134" t="s">
        <v>2224</v>
      </c>
      <c r="AD235" s="134">
        <f t="shared" si="43"/>
        <v>0.61399999999999999</v>
      </c>
      <c r="AE235" s="213"/>
      <c r="AF235" s="209">
        <f t="shared" si="38"/>
        <v>0</v>
      </c>
    </row>
    <row r="236" spans="12:32" ht="24.95" customHeight="1">
      <c r="L236" s="125">
        <v>31</v>
      </c>
      <c r="M236" s="126">
        <v>69</v>
      </c>
      <c r="N236" s="126">
        <v>32</v>
      </c>
      <c r="O236" s="126">
        <v>63</v>
      </c>
      <c r="P236" s="126">
        <v>205</v>
      </c>
      <c r="Q236" s="126">
        <v>75</v>
      </c>
      <c r="R236" s="126" t="s">
        <v>2007</v>
      </c>
      <c r="S236" s="126">
        <f t="shared" si="41"/>
        <v>0.78700000000000003</v>
      </c>
      <c r="T236" s="196"/>
      <c r="U236" s="201">
        <f t="shared" si="42"/>
        <v>0</v>
      </c>
      <c r="W236" s="133">
        <v>4</v>
      </c>
      <c r="X236" s="134" t="s">
        <v>2879</v>
      </c>
      <c r="Y236" s="134">
        <v>25</v>
      </c>
      <c r="Z236" s="134">
        <v>71.5</v>
      </c>
      <c r="AA236" s="134">
        <v>38.5</v>
      </c>
      <c r="AB236" s="134">
        <v>15</v>
      </c>
      <c r="AC236" s="134" t="s">
        <v>2225</v>
      </c>
      <c r="AD236" s="134">
        <f t="shared" si="43"/>
        <v>0.66600000000000004</v>
      </c>
      <c r="AE236" s="213"/>
      <c r="AF236" s="209">
        <f t="shared" si="38"/>
        <v>0</v>
      </c>
    </row>
    <row r="237" spans="12:32" ht="24.95" customHeight="1">
      <c r="L237" s="125">
        <v>32</v>
      </c>
      <c r="M237" s="126">
        <v>72</v>
      </c>
      <c r="N237" s="126">
        <v>32</v>
      </c>
      <c r="O237" s="126">
        <v>66</v>
      </c>
      <c r="P237" s="126">
        <v>205</v>
      </c>
      <c r="Q237" s="126">
        <v>75</v>
      </c>
      <c r="R237" s="126" t="s">
        <v>2008</v>
      </c>
      <c r="S237" s="126">
        <f t="shared" si="41"/>
        <v>0.82499999999999996</v>
      </c>
      <c r="T237" s="196"/>
      <c r="U237" s="201">
        <f t="shared" si="42"/>
        <v>0</v>
      </c>
      <c r="W237" s="133">
        <v>5</v>
      </c>
      <c r="X237" s="134" t="s">
        <v>2880</v>
      </c>
      <c r="Y237" s="134">
        <v>25</v>
      </c>
      <c r="Z237" s="134">
        <v>71.5</v>
      </c>
      <c r="AA237" s="134">
        <v>41.5</v>
      </c>
      <c r="AB237" s="134">
        <v>15</v>
      </c>
      <c r="AC237" s="134" t="s">
        <v>2226</v>
      </c>
      <c r="AD237" s="134">
        <f t="shared" si="43"/>
        <v>0.71799999999999997</v>
      </c>
      <c r="AE237" s="213"/>
      <c r="AF237" s="209">
        <f t="shared" si="38"/>
        <v>0</v>
      </c>
    </row>
    <row r="238" spans="12:32" ht="24.95" customHeight="1">
      <c r="L238" s="125">
        <v>33</v>
      </c>
      <c r="M238" s="126">
        <v>13</v>
      </c>
      <c r="N238" s="126">
        <v>32</v>
      </c>
      <c r="O238" s="126">
        <v>9</v>
      </c>
      <c r="P238" s="126">
        <v>205</v>
      </c>
      <c r="Q238" s="126">
        <v>75</v>
      </c>
      <c r="R238" s="126" t="s">
        <v>2009</v>
      </c>
      <c r="S238" s="126">
        <f t="shared" si="41"/>
        <v>0.112</v>
      </c>
      <c r="T238" s="196"/>
      <c r="U238" s="201">
        <f t="shared" si="42"/>
        <v>0</v>
      </c>
      <c r="W238" s="133">
        <v>6</v>
      </c>
      <c r="X238" s="134" t="s">
        <v>2881</v>
      </c>
      <c r="Y238" s="134">
        <v>25</v>
      </c>
      <c r="Z238" s="134">
        <v>71.5</v>
      </c>
      <c r="AA238" s="134">
        <v>44.5</v>
      </c>
      <c r="AB238" s="134">
        <v>15</v>
      </c>
      <c r="AC238" s="134" t="s">
        <v>2227</v>
      </c>
      <c r="AD238" s="134">
        <f t="shared" si="43"/>
        <v>0.77</v>
      </c>
      <c r="AE238" s="213"/>
      <c r="AF238" s="209">
        <f t="shared" si="38"/>
        <v>0</v>
      </c>
    </row>
    <row r="239" spans="12:32" ht="24.95" customHeight="1">
      <c r="L239" s="166">
        <v>34</v>
      </c>
      <c r="M239" s="167">
        <v>18</v>
      </c>
      <c r="N239" s="167">
        <v>32</v>
      </c>
      <c r="O239" s="167">
        <v>12</v>
      </c>
      <c r="P239" s="167">
        <v>205</v>
      </c>
      <c r="Q239" s="167">
        <v>75</v>
      </c>
      <c r="R239" s="167" t="s">
        <v>2010</v>
      </c>
      <c r="S239" s="167">
        <f t="shared" si="41"/>
        <v>0.15</v>
      </c>
      <c r="T239" s="196"/>
      <c r="U239" s="202">
        <f t="shared" si="42"/>
        <v>0</v>
      </c>
      <c r="W239" s="133">
        <v>7</v>
      </c>
      <c r="X239" s="134" t="s">
        <v>2882</v>
      </c>
      <c r="Y239" s="134">
        <v>25</v>
      </c>
      <c r="Z239" s="134">
        <v>71.5</v>
      </c>
      <c r="AA239" s="134">
        <v>47.5</v>
      </c>
      <c r="AB239" s="134">
        <v>15</v>
      </c>
      <c r="AC239" s="134" t="s">
        <v>2228</v>
      </c>
      <c r="AD239" s="134">
        <f t="shared" si="43"/>
        <v>0.82199999999999995</v>
      </c>
      <c r="AE239" s="213">
        <f>+AD239*2</f>
        <v>1.6439999999999999</v>
      </c>
      <c r="AF239" s="209">
        <f t="shared" si="38"/>
        <v>1.3513679999999999</v>
      </c>
    </row>
    <row r="240" spans="12:32" ht="24.95" customHeight="1">
      <c r="L240" s="152">
        <v>1</v>
      </c>
      <c r="M240" s="153">
        <v>30</v>
      </c>
      <c r="N240" s="154">
        <v>40</v>
      </c>
      <c r="O240" s="154">
        <v>24</v>
      </c>
      <c r="P240" s="154">
        <v>95</v>
      </c>
      <c r="Q240" s="154">
        <v>75</v>
      </c>
      <c r="R240" s="154" t="s">
        <v>2011</v>
      </c>
      <c r="S240" s="154">
        <f t="shared" si="41"/>
        <v>0.17399999999999999</v>
      </c>
      <c r="T240" s="196"/>
      <c r="U240" s="202"/>
      <c r="W240" s="133">
        <v>8</v>
      </c>
      <c r="X240" s="134" t="s">
        <v>2883</v>
      </c>
      <c r="Y240" s="134">
        <v>25</v>
      </c>
      <c r="Z240" s="134">
        <v>71.5</v>
      </c>
      <c r="AA240" s="134">
        <v>50.5</v>
      </c>
      <c r="AB240" s="134">
        <v>15</v>
      </c>
      <c r="AC240" s="134" t="s">
        <v>2229</v>
      </c>
      <c r="AD240" s="134">
        <f t="shared" si="43"/>
        <v>0.874</v>
      </c>
      <c r="AE240" s="213"/>
      <c r="AF240" s="209">
        <f t="shared" si="38"/>
        <v>0</v>
      </c>
    </row>
    <row r="241" spans="12:32" ht="24.95" customHeight="1">
      <c r="L241" s="121">
        <v>2</v>
      </c>
      <c r="M241" s="122">
        <v>33</v>
      </c>
      <c r="N241" s="123">
        <v>40</v>
      </c>
      <c r="O241" s="123">
        <v>27</v>
      </c>
      <c r="P241" s="123">
        <v>95</v>
      </c>
      <c r="Q241" s="123">
        <v>75</v>
      </c>
      <c r="R241" s="123" t="s">
        <v>2012</v>
      </c>
      <c r="S241" s="123">
        <f t="shared" ref="S241:S256" si="44">ROUND(N241*O241*0.0254*P241/1000*Q241/1000,3)</f>
        <v>0.19500000000000001</v>
      </c>
      <c r="T241" s="196"/>
      <c r="U241" s="202"/>
      <c r="W241" s="133">
        <v>9</v>
      </c>
      <c r="X241" s="134" t="s">
        <v>2884</v>
      </c>
      <c r="Y241" s="134">
        <v>25</v>
      </c>
      <c r="Z241" s="134">
        <v>71.5</v>
      </c>
      <c r="AA241" s="134">
        <v>53.5</v>
      </c>
      <c r="AB241" s="134">
        <v>15</v>
      </c>
      <c r="AC241" s="134" t="s">
        <v>2230</v>
      </c>
      <c r="AD241" s="134">
        <f t="shared" si="43"/>
        <v>0.92500000000000004</v>
      </c>
      <c r="AE241" s="213"/>
      <c r="AF241" s="209">
        <f t="shared" si="38"/>
        <v>0</v>
      </c>
    </row>
    <row r="242" spans="12:32" ht="24.95" customHeight="1">
      <c r="L242" s="121">
        <v>3</v>
      </c>
      <c r="M242" s="122">
        <v>36</v>
      </c>
      <c r="N242" s="123">
        <v>40</v>
      </c>
      <c r="O242" s="123">
        <v>30</v>
      </c>
      <c r="P242" s="123">
        <v>95</v>
      </c>
      <c r="Q242" s="123">
        <v>75</v>
      </c>
      <c r="R242" s="123" t="s">
        <v>2013</v>
      </c>
      <c r="S242" s="123">
        <f t="shared" si="44"/>
        <v>0.217</v>
      </c>
      <c r="T242" s="196"/>
      <c r="U242" s="202"/>
      <c r="W242" s="133">
        <v>10</v>
      </c>
      <c r="X242" s="134" t="s">
        <v>2885</v>
      </c>
      <c r="Y242" s="134">
        <v>25</v>
      </c>
      <c r="Z242" s="134">
        <v>71.5</v>
      </c>
      <c r="AA242" s="134">
        <v>56.5</v>
      </c>
      <c r="AB242" s="134">
        <v>15</v>
      </c>
      <c r="AC242" s="134" t="s">
        <v>2231</v>
      </c>
      <c r="AD242" s="134">
        <f t="shared" si="43"/>
        <v>0.97699999999999998</v>
      </c>
      <c r="AE242" s="213"/>
      <c r="AF242" s="209">
        <f t="shared" si="38"/>
        <v>0</v>
      </c>
    </row>
    <row r="243" spans="12:32" ht="24.95" customHeight="1">
      <c r="L243" s="121">
        <v>4</v>
      </c>
      <c r="M243" s="122">
        <v>39</v>
      </c>
      <c r="N243" s="123">
        <v>40</v>
      </c>
      <c r="O243" s="123">
        <v>33</v>
      </c>
      <c r="P243" s="123">
        <v>95</v>
      </c>
      <c r="Q243" s="123">
        <v>75</v>
      </c>
      <c r="R243" s="123" t="s">
        <v>2014</v>
      </c>
      <c r="S243" s="123">
        <f t="shared" si="44"/>
        <v>0.23899999999999999</v>
      </c>
      <c r="T243" s="196"/>
      <c r="U243" s="202"/>
      <c r="W243" s="133">
        <v>11</v>
      </c>
      <c r="X243" s="134" t="s">
        <v>2886</v>
      </c>
      <c r="Y243" s="134">
        <v>25</v>
      </c>
      <c r="Z243" s="134">
        <v>71.5</v>
      </c>
      <c r="AA243" s="134">
        <v>59.5</v>
      </c>
      <c r="AB243" s="134">
        <v>15</v>
      </c>
      <c r="AC243" s="134" t="s">
        <v>2232</v>
      </c>
      <c r="AD243" s="134">
        <f t="shared" si="43"/>
        <v>1.0289999999999999</v>
      </c>
      <c r="AE243" s="213"/>
      <c r="AF243" s="209">
        <f t="shared" si="38"/>
        <v>0</v>
      </c>
    </row>
    <row r="244" spans="12:32" ht="24.95" customHeight="1">
      <c r="L244" s="121">
        <v>5</v>
      </c>
      <c r="M244" s="122">
        <v>42</v>
      </c>
      <c r="N244" s="123">
        <v>40</v>
      </c>
      <c r="O244" s="123">
        <v>36</v>
      </c>
      <c r="P244" s="123">
        <v>95</v>
      </c>
      <c r="Q244" s="123">
        <v>75</v>
      </c>
      <c r="R244" s="123" t="s">
        <v>2015</v>
      </c>
      <c r="S244" s="123">
        <f t="shared" si="44"/>
        <v>0.26100000000000001</v>
      </c>
      <c r="T244" s="196"/>
      <c r="U244" s="202"/>
      <c r="W244" s="133">
        <v>12</v>
      </c>
      <c r="X244" s="134" t="s">
        <v>2887</v>
      </c>
      <c r="Y244" s="134">
        <v>25</v>
      </c>
      <c r="Z244" s="134">
        <v>71.5</v>
      </c>
      <c r="AA244" s="134">
        <v>62.5</v>
      </c>
      <c r="AB244" s="134">
        <v>15</v>
      </c>
      <c r="AC244" s="134" t="s">
        <v>2233</v>
      </c>
      <c r="AD244" s="134">
        <f t="shared" si="43"/>
        <v>1.081</v>
      </c>
      <c r="AE244" s="213"/>
      <c r="AF244" s="209">
        <f t="shared" si="38"/>
        <v>0</v>
      </c>
    </row>
    <row r="245" spans="12:32" ht="24.95" customHeight="1">
      <c r="L245" s="121">
        <v>6</v>
      </c>
      <c r="M245" s="122">
        <v>45</v>
      </c>
      <c r="N245" s="123">
        <v>40</v>
      </c>
      <c r="O245" s="123">
        <v>39</v>
      </c>
      <c r="P245" s="123">
        <v>95</v>
      </c>
      <c r="Q245" s="123">
        <v>75</v>
      </c>
      <c r="R245" s="123" t="s">
        <v>2016</v>
      </c>
      <c r="S245" s="123">
        <f t="shared" si="44"/>
        <v>0.28199999999999997</v>
      </c>
      <c r="T245" s="196"/>
      <c r="U245" s="202"/>
      <c r="W245" s="133">
        <v>13</v>
      </c>
      <c r="X245" s="134" t="s">
        <v>2888</v>
      </c>
      <c r="Y245" s="134">
        <v>25</v>
      </c>
      <c r="Z245" s="134">
        <v>71.5</v>
      </c>
      <c r="AA245" s="134">
        <v>65.5</v>
      </c>
      <c r="AB245" s="134">
        <v>15</v>
      </c>
      <c r="AC245" s="134" t="s">
        <v>2234</v>
      </c>
      <c r="AD245" s="134">
        <f t="shared" si="43"/>
        <v>1.133</v>
      </c>
      <c r="AE245" s="213"/>
      <c r="AF245" s="209">
        <f t="shared" si="38"/>
        <v>0</v>
      </c>
    </row>
    <row r="246" spans="12:32" ht="24.95" customHeight="1">
      <c r="L246" s="121">
        <v>7</v>
      </c>
      <c r="M246" s="122">
        <v>48</v>
      </c>
      <c r="N246" s="123">
        <v>40</v>
      </c>
      <c r="O246" s="123">
        <v>42</v>
      </c>
      <c r="P246" s="123">
        <v>95</v>
      </c>
      <c r="Q246" s="123">
        <v>75</v>
      </c>
      <c r="R246" s="123" t="s">
        <v>2017</v>
      </c>
      <c r="S246" s="123">
        <f t="shared" si="44"/>
        <v>0.30399999999999999</v>
      </c>
      <c r="T246" s="196"/>
      <c r="U246" s="202"/>
      <c r="W246" s="133">
        <v>14</v>
      </c>
      <c r="X246" s="134" t="s">
        <v>2889</v>
      </c>
      <c r="Y246" s="134">
        <v>25</v>
      </c>
      <c r="Z246" s="134">
        <v>71.5</v>
      </c>
      <c r="AA246" s="134">
        <v>68.5</v>
      </c>
      <c r="AB246" s="134">
        <v>15</v>
      </c>
      <c r="AC246" s="134" t="s">
        <v>2235</v>
      </c>
      <c r="AD246" s="134">
        <f t="shared" si="43"/>
        <v>1.1850000000000001</v>
      </c>
      <c r="AE246" s="213"/>
      <c r="AF246" s="209">
        <f t="shared" si="38"/>
        <v>0</v>
      </c>
    </row>
    <row r="247" spans="12:32" ht="24.95" customHeight="1">
      <c r="L247" s="121">
        <v>8</v>
      </c>
      <c r="M247" s="121">
        <v>51</v>
      </c>
      <c r="N247" s="122">
        <v>40</v>
      </c>
      <c r="O247" s="123">
        <v>45</v>
      </c>
      <c r="P247" s="123">
        <v>95</v>
      </c>
      <c r="Q247" s="123">
        <v>75</v>
      </c>
      <c r="R247" s="123" t="s">
        <v>2018</v>
      </c>
      <c r="S247" s="123">
        <f t="shared" si="44"/>
        <v>0.32600000000000001</v>
      </c>
      <c r="T247" s="196"/>
      <c r="U247" s="202"/>
      <c r="W247" s="133">
        <v>15</v>
      </c>
      <c r="X247" s="134" t="s">
        <v>2890</v>
      </c>
      <c r="Y247" s="134">
        <v>25</v>
      </c>
      <c r="Z247" s="134">
        <v>71.5</v>
      </c>
      <c r="AA247" s="134">
        <v>71.5</v>
      </c>
      <c r="AB247" s="134">
        <v>15</v>
      </c>
      <c r="AC247" s="134" t="s">
        <v>2236</v>
      </c>
      <c r="AD247" s="134">
        <f t="shared" si="43"/>
        <v>1.2370000000000001</v>
      </c>
      <c r="AE247" s="213"/>
      <c r="AF247" s="209">
        <f t="shared" si="38"/>
        <v>0</v>
      </c>
    </row>
    <row r="248" spans="12:32" ht="24.95" customHeight="1">
      <c r="L248" s="121">
        <v>9</v>
      </c>
      <c r="M248" s="121">
        <v>54</v>
      </c>
      <c r="N248" s="122">
        <v>40</v>
      </c>
      <c r="O248" s="123">
        <v>48</v>
      </c>
      <c r="P248" s="123">
        <v>95</v>
      </c>
      <c r="Q248" s="123">
        <v>75</v>
      </c>
      <c r="R248" s="123" t="s">
        <v>2019</v>
      </c>
      <c r="S248" s="123">
        <f t="shared" si="44"/>
        <v>0.34699999999999998</v>
      </c>
      <c r="T248" s="196"/>
      <c r="U248" s="202"/>
      <c r="W248" s="133">
        <v>16</v>
      </c>
      <c r="X248" s="134" t="s">
        <v>2891</v>
      </c>
      <c r="Y248" s="134">
        <v>25</v>
      </c>
      <c r="Z248" s="134">
        <v>74.5</v>
      </c>
      <c r="AA248" s="134">
        <v>29.5</v>
      </c>
      <c r="AB248" s="134">
        <v>15</v>
      </c>
      <c r="AC248" s="134" t="s">
        <v>2237</v>
      </c>
      <c r="AD248" s="134">
        <f t="shared" si="43"/>
        <v>0.53200000000000003</v>
      </c>
      <c r="AE248" s="213"/>
      <c r="AF248" s="209">
        <f t="shared" si="38"/>
        <v>0</v>
      </c>
    </row>
    <row r="249" spans="12:32" ht="24.95" customHeight="1">
      <c r="L249" s="121">
        <v>10</v>
      </c>
      <c r="M249" s="121">
        <v>57</v>
      </c>
      <c r="N249" s="122">
        <v>40</v>
      </c>
      <c r="O249" s="123">
        <v>51</v>
      </c>
      <c r="P249" s="123">
        <v>95</v>
      </c>
      <c r="Q249" s="123">
        <v>75</v>
      </c>
      <c r="R249" s="123" t="s">
        <v>2020</v>
      </c>
      <c r="S249" s="123">
        <f t="shared" si="44"/>
        <v>0.36899999999999999</v>
      </c>
      <c r="T249" s="196"/>
      <c r="U249" s="202"/>
      <c r="W249" s="133">
        <v>17</v>
      </c>
      <c r="X249" s="134" t="s">
        <v>2892</v>
      </c>
      <c r="Y249" s="134">
        <v>25</v>
      </c>
      <c r="Z249" s="134">
        <v>74.5</v>
      </c>
      <c r="AA249" s="134">
        <v>32.5</v>
      </c>
      <c r="AB249" s="134">
        <v>15</v>
      </c>
      <c r="AC249" s="134" t="s">
        <v>2238</v>
      </c>
      <c r="AD249" s="134">
        <f t="shared" si="43"/>
        <v>0.58599999999999997</v>
      </c>
      <c r="AE249" s="213"/>
      <c r="AF249" s="209">
        <f t="shared" si="38"/>
        <v>0</v>
      </c>
    </row>
    <row r="250" spans="12:32" ht="24.95" customHeight="1">
      <c r="L250" s="121">
        <v>11</v>
      </c>
      <c r="M250" s="121">
        <v>60</v>
      </c>
      <c r="N250" s="122">
        <v>40</v>
      </c>
      <c r="O250" s="123">
        <v>54</v>
      </c>
      <c r="P250" s="123">
        <v>95</v>
      </c>
      <c r="Q250" s="123">
        <v>75</v>
      </c>
      <c r="R250" s="123" t="s">
        <v>2021</v>
      </c>
      <c r="S250" s="123">
        <f t="shared" si="44"/>
        <v>0.39100000000000001</v>
      </c>
      <c r="T250" s="196"/>
      <c r="U250" s="202"/>
      <c r="W250" s="133">
        <v>18</v>
      </c>
      <c r="X250" s="134" t="s">
        <v>2893</v>
      </c>
      <c r="Y250" s="134">
        <v>25</v>
      </c>
      <c r="Z250" s="134">
        <v>74.5</v>
      </c>
      <c r="AA250" s="134">
        <v>35.5</v>
      </c>
      <c r="AB250" s="134">
        <v>15</v>
      </c>
      <c r="AC250" s="134" t="s">
        <v>2239</v>
      </c>
      <c r="AD250" s="134">
        <f t="shared" si="43"/>
        <v>0.64</v>
      </c>
      <c r="AE250" s="213"/>
      <c r="AF250" s="209">
        <f t="shared" si="38"/>
        <v>0</v>
      </c>
    </row>
    <row r="251" spans="12:32" ht="24.95" customHeight="1">
      <c r="L251" s="121">
        <v>12</v>
      </c>
      <c r="M251" s="121">
        <v>63</v>
      </c>
      <c r="N251" s="122">
        <v>40</v>
      </c>
      <c r="O251" s="123">
        <v>57</v>
      </c>
      <c r="P251" s="123">
        <v>95</v>
      </c>
      <c r="Q251" s="123">
        <v>75</v>
      </c>
      <c r="R251" s="123" t="s">
        <v>2022</v>
      </c>
      <c r="S251" s="123">
        <f t="shared" si="44"/>
        <v>0.41299999999999998</v>
      </c>
      <c r="T251" s="196"/>
      <c r="U251" s="202"/>
      <c r="W251" s="133">
        <v>19</v>
      </c>
      <c r="X251" s="134" t="s">
        <v>2895</v>
      </c>
      <c r="Y251" s="134">
        <v>25</v>
      </c>
      <c r="Z251" s="134">
        <v>74.5</v>
      </c>
      <c r="AA251" s="134">
        <v>38.5</v>
      </c>
      <c r="AB251" s="134">
        <v>15</v>
      </c>
      <c r="AC251" s="134" t="s">
        <v>2240</v>
      </c>
      <c r="AD251" s="134">
        <f t="shared" si="43"/>
        <v>0.69399999999999995</v>
      </c>
      <c r="AE251" s="213"/>
      <c r="AF251" s="209">
        <f t="shared" si="38"/>
        <v>0</v>
      </c>
    </row>
    <row r="252" spans="12:32" ht="24.95" customHeight="1">
      <c r="L252" s="121">
        <v>13</v>
      </c>
      <c r="M252" s="121">
        <v>66</v>
      </c>
      <c r="N252" s="122">
        <v>40</v>
      </c>
      <c r="O252" s="123">
        <v>60</v>
      </c>
      <c r="P252" s="123">
        <v>95</v>
      </c>
      <c r="Q252" s="123">
        <v>75</v>
      </c>
      <c r="R252" s="123" t="s">
        <v>2023</v>
      </c>
      <c r="S252" s="123">
        <f t="shared" si="44"/>
        <v>0.434</v>
      </c>
      <c r="T252" s="196"/>
      <c r="U252" s="202"/>
      <c r="W252" s="133">
        <v>20</v>
      </c>
      <c r="X252" s="134" t="s">
        <v>2897</v>
      </c>
      <c r="Y252" s="134">
        <v>25</v>
      </c>
      <c r="Z252" s="134">
        <v>74.5</v>
      </c>
      <c r="AA252" s="134">
        <v>41.5</v>
      </c>
      <c r="AB252" s="134">
        <v>15</v>
      </c>
      <c r="AC252" s="134" t="s">
        <v>2241</v>
      </c>
      <c r="AD252" s="134">
        <f t="shared" si="43"/>
        <v>0.748</v>
      </c>
      <c r="AE252" s="213"/>
      <c r="AF252" s="209">
        <f t="shared" si="38"/>
        <v>0</v>
      </c>
    </row>
    <row r="253" spans="12:32" ht="24.95" customHeight="1">
      <c r="L253" s="188">
        <v>14</v>
      </c>
      <c r="M253" s="188">
        <v>69</v>
      </c>
      <c r="N253" s="189">
        <v>40</v>
      </c>
      <c r="O253" s="190">
        <v>63</v>
      </c>
      <c r="P253" s="190">
        <v>95</v>
      </c>
      <c r="Q253" s="190">
        <v>75</v>
      </c>
      <c r="R253" s="123" t="s">
        <v>2024</v>
      </c>
      <c r="S253" s="190">
        <f t="shared" si="44"/>
        <v>0.45600000000000002</v>
      </c>
      <c r="T253" s="196"/>
      <c r="U253" s="202"/>
      <c r="W253" s="133">
        <v>21</v>
      </c>
      <c r="X253" s="134" t="s">
        <v>2898</v>
      </c>
      <c r="Y253" s="134">
        <v>25</v>
      </c>
      <c r="Z253" s="134">
        <v>74.5</v>
      </c>
      <c r="AA253" s="134">
        <v>44.5</v>
      </c>
      <c r="AB253" s="134">
        <v>15</v>
      </c>
      <c r="AC253" s="134" t="s">
        <v>2242</v>
      </c>
      <c r="AD253" s="134">
        <f t="shared" si="43"/>
        <v>0.80200000000000005</v>
      </c>
      <c r="AE253" s="213"/>
      <c r="AF253" s="209">
        <f t="shared" si="38"/>
        <v>0</v>
      </c>
    </row>
    <row r="254" spans="12:32" ht="24.95" customHeight="1">
      <c r="L254" s="121">
        <v>15</v>
      </c>
      <c r="M254" s="121">
        <v>72</v>
      </c>
      <c r="N254" s="122">
        <v>40</v>
      </c>
      <c r="O254" s="123">
        <v>66</v>
      </c>
      <c r="P254" s="123">
        <v>95</v>
      </c>
      <c r="Q254" s="123">
        <v>75</v>
      </c>
      <c r="R254" s="123" t="s">
        <v>2025</v>
      </c>
      <c r="S254" s="123">
        <f t="shared" si="44"/>
        <v>0.47799999999999998</v>
      </c>
      <c r="T254" s="196"/>
      <c r="U254" s="202"/>
      <c r="W254" s="133">
        <v>22</v>
      </c>
      <c r="X254" s="134" t="s">
        <v>2899</v>
      </c>
      <c r="Y254" s="134">
        <v>25</v>
      </c>
      <c r="Z254" s="134">
        <v>74.5</v>
      </c>
      <c r="AA254" s="134">
        <v>47.5</v>
      </c>
      <c r="AB254" s="134">
        <v>15</v>
      </c>
      <c r="AC254" s="134" t="s">
        <v>2243</v>
      </c>
      <c r="AD254" s="134">
        <f t="shared" si="43"/>
        <v>0.85599999999999998</v>
      </c>
      <c r="AE254" s="213"/>
      <c r="AF254" s="209">
        <f t="shared" si="38"/>
        <v>0</v>
      </c>
    </row>
    <row r="255" spans="12:32" ht="24.95" customHeight="1">
      <c r="L255" s="121">
        <v>16</v>
      </c>
      <c r="M255" s="121">
        <v>13</v>
      </c>
      <c r="N255" s="122">
        <v>40</v>
      </c>
      <c r="O255" s="123">
        <v>9</v>
      </c>
      <c r="P255" s="123">
        <v>95</v>
      </c>
      <c r="Q255" s="123">
        <v>75</v>
      </c>
      <c r="R255" s="123" t="s">
        <v>2026</v>
      </c>
      <c r="S255" s="123">
        <f t="shared" si="44"/>
        <v>6.5000000000000002E-2</v>
      </c>
      <c r="T255" s="196"/>
      <c r="U255" s="202"/>
      <c r="W255" s="133">
        <v>23</v>
      </c>
      <c r="X255" s="134" t="s">
        <v>2900</v>
      </c>
      <c r="Y255" s="134">
        <v>25</v>
      </c>
      <c r="Z255" s="134">
        <v>74.5</v>
      </c>
      <c r="AA255" s="134">
        <v>50.5</v>
      </c>
      <c r="AB255" s="134">
        <v>15</v>
      </c>
      <c r="AC255" s="134" t="s">
        <v>2244</v>
      </c>
      <c r="AD255" s="134">
        <f t="shared" si="43"/>
        <v>0.91</v>
      </c>
      <c r="AE255" s="213"/>
      <c r="AF255" s="209">
        <f t="shared" si="38"/>
        <v>0</v>
      </c>
    </row>
    <row r="256" spans="12:32" ht="24.95" customHeight="1">
      <c r="L256" s="157">
        <v>17</v>
      </c>
      <c r="M256" s="157">
        <v>18</v>
      </c>
      <c r="N256" s="158">
        <v>40</v>
      </c>
      <c r="O256" s="159">
        <v>12</v>
      </c>
      <c r="P256" s="159">
        <v>95</v>
      </c>
      <c r="Q256" s="159">
        <v>75</v>
      </c>
      <c r="R256" s="159" t="s">
        <v>2027</v>
      </c>
      <c r="S256" s="159">
        <f t="shared" si="44"/>
        <v>8.6999999999999994E-2</v>
      </c>
      <c r="T256" s="196"/>
      <c r="U256" s="202"/>
      <c r="W256" s="133">
        <v>24</v>
      </c>
      <c r="X256" s="134" t="s">
        <v>2901</v>
      </c>
      <c r="Y256" s="134">
        <v>25</v>
      </c>
      <c r="Z256" s="134">
        <v>74.5</v>
      </c>
      <c r="AA256" s="134">
        <v>53.5</v>
      </c>
      <c r="AB256" s="134">
        <v>15</v>
      </c>
      <c r="AC256" s="134" t="s">
        <v>2245</v>
      </c>
      <c r="AD256" s="134">
        <f t="shared" si="43"/>
        <v>0.96399999999999997</v>
      </c>
      <c r="AE256" s="213"/>
      <c r="AF256" s="209">
        <f t="shared" si="38"/>
        <v>0</v>
      </c>
    </row>
    <row r="257" spans="23:32" ht="24.95" customHeight="1">
      <c r="W257" s="133">
        <v>25</v>
      </c>
      <c r="X257" s="134" t="s">
        <v>2902</v>
      </c>
      <c r="Y257" s="134">
        <v>25</v>
      </c>
      <c r="Z257" s="134">
        <v>74.5</v>
      </c>
      <c r="AA257" s="134">
        <v>56.5</v>
      </c>
      <c r="AB257" s="134">
        <v>15</v>
      </c>
      <c r="AC257" s="134" t="s">
        <v>2246</v>
      </c>
      <c r="AD257" s="134">
        <f t="shared" si="43"/>
        <v>1.018</v>
      </c>
      <c r="AE257" s="213"/>
      <c r="AF257" s="209">
        <f t="shared" si="38"/>
        <v>0</v>
      </c>
    </row>
    <row r="258" spans="23:32" ht="24.95" customHeight="1">
      <c r="W258" s="133">
        <v>26</v>
      </c>
      <c r="X258" s="134" t="s">
        <v>2903</v>
      </c>
      <c r="Y258" s="134">
        <v>25</v>
      </c>
      <c r="Z258" s="134">
        <v>74.5</v>
      </c>
      <c r="AA258" s="134">
        <v>59.5</v>
      </c>
      <c r="AB258" s="134">
        <v>15</v>
      </c>
      <c r="AC258" s="134" t="s">
        <v>2247</v>
      </c>
      <c r="AD258" s="134">
        <f t="shared" si="43"/>
        <v>1.0720000000000001</v>
      </c>
      <c r="AE258" s="213"/>
      <c r="AF258" s="209">
        <f t="shared" ref="AF258:AF321" si="45">+AD258*AE258</f>
        <v>0</v>
      </c>
    </row>
    <row r="259" spans="23:32" ht="24.95" customHeight="1">
      <c r="W259" s="133">
        <v>27</v>
      </c>
      <c r="X259" s="134" t="s">
        <v>2904</v>
      </c>
      <c r="Y259" s="134">
        <v>25</v>
      </c>
      <c r="Z259" s="134">
        <v>74.5</v>
      </c>
      <c r="AA259" s="134">
        <v>62.5</v>
      </c>
      <c r="AB259" s="134">
        <v>15</v>
      </c>
      <c r="AC259" s="134" t="s">
        <v>2248</v>
      </c>
      <c r="AD259" s="134">
        <f t="shared" si="43"/>
        <v>1.127</v>
      </c>
      <c r="AE259" s="213"/>
      <c r="AF259" s="209">
        <f t="shared" si="45"/>
        <v>0</v>
      </c>
    </row>
    <row r="260" spans="23:32" ht="24.95" customHeight="1">
      <c r="W260" s="133">
        <v>28</v>
      </c>
      <c r="X260" s="134" t="s">
        <v>2905</v>
      </c>
      <c r="Y260" s="134">
        <v>25</v>
      </c>
      <c r="Z260" s="134">
        <v>74.5</v>
      </c>
      <c r="AA260" s="134">
        <v>65.5</v>
      </c>
      <c r="AB260" s="134">
        <v>15</v>
      </c>
      <c r="AC260" s="134" t="s">
        <v>2249</v>
      </c>
      <c r="AD260" s="134">
        <f t="shared" si="43"/>
        <v>1.181</v>
      </c>
      <c r="AE260" s="213"/>
      <c r="AF260" s="209">
        <f t="shared" si="45"/>
        <v>0</v>
      </c>
    </row>
    <row r="261" spans="23:32" ht="24.95" customHeight="1">
      <c r="W261" s="133">
        <v>29</v>
      </c>
      <c r="X261" s="134" t="s">
        <v>2906</v>
      </c>
      <c r="Y261" s="134">
        <v>25</v>
      </c>
      <c r="Z261" s="134">
        <v>74.5</v>
      </c>
      <c r="AA261" s="134">
        <v>68.5</v>
      </c>
      <c r="AB261" s="134">
        <v>15</v>
      </c>
      <c r="AC261" s="134" t="s">
        <v>2250</v>
      </c>
      <c r="AD261" s="134">
        <f t="shared" si="43"/>
        <v>1.2350000000000001</v>
      </c>
      <c r="AE261" s="213"/>
      <c r="AF261" s="209">
        <f t="shared" si="45"/>
        <v>0</v>
      </c>
    </row>
    <row r="262" spans="23:32" ht="24.95" customHeight="1">
      <c r="W262" s="133">
        <v>30</v>
      </c>
      <c r="X262" s="134" t="s">
        <v>2907</v>
      </c>
      <c r="Y262" s="134">
        <v>25</v>
      </c>
      <c r="Z262" s="134">
        <v>74.5</v>
      </c>
      <c r="AA262" s="134">
        <v>71.5</v>
      </c>
      <c r="AB262" s="134">
        <v>15</v>
      </c>
      <c r="AC262" s="134" t="s">
        <v>2251</v>
      </c>
      <c r="AD262" s="134">
        <f t="shared" si="43"/>
        <v>1.2889999999999999</v>
      </c>
      <c r="AE262" s="213"/>
      <c r="AF262" s="209">
        <f t="shared" si="45"/>
        <v>0</v>
      </c>
    </row>
    <row r="263" spans="23:32" ht="24.95" customHeight="1">
      <c r="W263" s="133">
        <v>31</v>
      </c>
      <c r="X263" s="134" t="s">
        <v>2908</v>
      </c>
      <c r="Y263" s="134">
        <v>25</v>
      </c>
      <c r="Z263" s="134">
        <v>77.5</v>
      </c>
      <c r="AA263" s="134">
        <v>29.5</v>
      </c>
      <c r="AB263" s="134">
        <v>15</v>
      </c>
      <c r="AC263" s="134" t="s">
        <v>2252</v>
      </c>
      <c r="AD263" s="134">
        <f t="shared" si="43"/>
        <v>0.55300000000000005</v>
      </c>
      <c r="AE263" s="213"/>
      <c r="AF263" s="209">
        <f t="shared" si="45"/>
        <v>0</v>
      </c>
    </row>
    <row r="264" spans="23:32" ht="24.95" customHeight="1">
      <c r="W264" s="133">
        <v>32</v>
      </c>
      <c r="X264" s="134" t="s">
        <v>2909</v>
      </c>
      <c r="Y264" s="134">
        <v>25</v>
      </c>
      <c r="Z264" s="134">
        <v>77.5</v>
      </c>
      <c r="AA264" s="134">
        <v>32.5</v>
      </c>
      <c r="AB264" s="134">
        <v>15</v>
      </c>
      <c r="AC264" s="134" t="s">
        <v>2253</v>
      </c>
      <c r="AD264" s="134">
        <f t="shared" si="43"/>
        <v>0.60899999999999999</v>
      </c>
      <c r="AE264" s="213"/>
      <c r="AF264" s="209">
        <f t="shared" si="45"/>
        <v>0</v>
      </c>
    </row>
    <row r="265" spans="23:32" ht="24.95" customHeight="1">
      <c r="W265" s="133">
        <v>33</v>
      </c>
      <c r="X265" s="134" t="s">
        <v>2910</v>
      </c>
      <c r="Y265" s="134">
        <v>25</v>
      </c>
      <c r="Z265" s="134">
        <v>77.5</v>
      </c>
      <c r="AA265" s="134">
        <v>35.5</v>
      </c>
      <c r="AB265" s="134">
        <v>15</v>
      </c>
      <c r="AC265" s="134" t="s">
        <v>2254</v>
      </c>
      <c r="AD265" s="134">
        <f t="shared" si="43"/>
        <v>0.66600000000000004</v>
      </c>
      <c r="AE265" s="213"/>
      <c r="AF265" s="209">
        <f t="shared" si="45"/>
        <v>0</v>
      </c>
    </row>
    <row r="266" spans="23:32" ht="24.95" customHeight="1">
      <c r="W266" s="133">
        <v>34</v>
      </c>
      <c r="X266" s="134" t="s">
        <v>2911</v>
      </c>
      <c r="Y266" s="134">
        <v>25</v>
      </c>
      <c r="Z266" s="134">
        <v>77.5</v>
      </c>
      <c r="AA266" s="134">
        <v>38.5</v>
      </c>
      <c r="AB266" s="134">
        <v>15</v>
      </c>
      <c r="AC266" s="134" t="s">
        <v>2255</v>
      </c>
      <c r="AD266" s="134">
        <f t="shared" si="43"/>
        <v>0.72199999999999998</v>
      </c>
      <c r="AE266" s="213"/>
      <c r="AF266" s="209">
        <f t="shared" si="45"/>
        <v>0</v>
      </c>
    </row>
    <row r="267" spans="23:32" ht="24.95" customHeight="1">
      <c r="W267" s="133">
        <v>35</v>
      </c>
      <c r="X267" s="134" t="s">
        <v>2912</v>
      </c>
      <c r="Y267" s="134">
        <v>25</v>
      </c>
      <c r="Z267" s="134">
        <v>77.5</v>
      </c>
      <c r="AA267" s="134">
        <v>41.5</v>
      </c>
      <c r="AB267" s="134">
        <v>15</v>
      </c>
      <c r="AC267" s="134" t="s">
        <v>2256</v>
      </c>
      <c r="AD267" s="134">
        <f t="shared" si="43"/>
        <v>0.77800000000000002</v>
      </c>
      <c r="AE267" s="213"/>
      <c r="AF267" s="209">
        <f t="shared" si="45"/>
        <v>0</v>
      </c>
    </row>
    <row r="268" spans="23:32" ht="24.95" customHeight="1">
      <c r="W268" s="133">
        <v>36</v>
      </c>
      <c r="X268" s="134" t="s">
        <v>2914</v>
      </c>
      <c r="Y268" s="134">
        <v>25</v>
      </c>
      <c r="Z268" s="134">
        <v>77.5</v>
      </c>
      <c r="AA268" s="134">
        <v>44.5</v>
      </c>
      <c r="AB268" s="134">
        <v>15</v>
      </c>
      <c r="AC268" s="134" t="s">
        <v>2257</v>
      </c>
      <c r="AD268" s="134">
        <f t="shared" si="43"/>
        <v>0.83399999999999996</v>
      </c>
      <c r="AE268" s="213"/>
      <c r="AF268" s="209">
        <f t="shared" si="45"/>
        <v>0</v>
      </c>
    </row>
    <row r="269" spans="23:32" ht="24.95" customHeight="1">
      <c r="W269" s="133">
        <v>37</v>
      </c>
      <c r="X269" s="134" t="s">
        <v>2916</v>
      </c>
      <c r="Y269" s="134">
        <v>25</v>
      </c>
      <c r="Z269" s="134">
        <v>77.5</v>
      </c>
      <c r="AA269" s="134">
        <v>47.5</v>
      </c>
      <c r="AB269" s="134">
        <v>15</v>
      </c>
      <c r="AC269" s="134" t="s">
        <v>2258</v>
      </c>
      <c r="AD269" s="134">
        <f t="shared" si="43"/>
        <v>0.89100000000000001</v>
      </c>
      <c r="AE269" s="213"/>
      <c r="AF269" s="209">
        <f t="shared" si="45"/>
        <v>0</v>
      </c>
    </row>
    <row r="270" spans="23:32" ht="24.95" customHeight="1">
      <c r="W270" s="133">
        <v>38</v>
      </c>
      <c r="X270" s="134" t="s">
        <v>2917</v>
      </c>
      <c r="Y270" s="134">
        <v>25</v>
      </c>
      <c r="Z270" s="134">
        <v>77.5</v>
      </c>
      <c r="AA270" s="134">
        <v>50.5</v>
      </c>
      <c r="AB270" s="134">
        <v>15</v>
      </c>
      <c r="AC270" s="134" t="s">
        <v>2259</v>
      </c>
      <c r="AD270" s="134">
        <f t="shared" si="43"/>
        <v>0.94699999999999995</v>
      </c>
      <c r="AE270" s="213"/>
      <c r="AF270" s="209">
        <f t="shared" si="45"/>
        <v>0</v>
      </c>
    </row>
    <row r="271" spans="23:32" ht="24.95" customHeight="1">
      <c r="W271" s="133">
        <v>39</v>
      </c>
      <c r="X271" s="134" t="s">
        <v>2918</v>
      </c>
      <c r="Y271" s="134">
        <v>25</v>
      </c>
      <c r="Z271" s="134">
        <v>77.5</v>
      </c>
      <c r="AA271" s="134">
        <v>53.5</v>
      </c>
      <c r="AB271" s="134">
        <v>15</v>
      </c>
      <c r="AC271" s="134" t="s">
        <v>2260</v>
      </c>
      <c r="AD271" s="134">
        <f t="shared" si="43"/>
        <v>1.0029999999999999</v>
      </c>
      <c r="AE271" s="213"/>
      <c r="AF271" s="209">
        <f t="shared" si="45"/>
        <v>0</v>
      </c>
    </row>
    <row r="272" spans="23:32" ht="24.95" customHeight="1">
      <c r="W272" s="133">
        <v>40</v>
      </c>
      <c r="X272" s="134" t="s">
        <v>2919</v>
      </c>
      <c r="Y272" s="134">
        <v>25</v>
      </c>
      <c r="Z272" s="134">
        <v>77.5</v>
      </c>
      <c r="AA272" s="134">
        <v>56.5</v>
      </c>
      <c r="AB272" s="134">
        <v>15</v>
      </c>
      <c r="AC272" s="134" t="s">
        <v>2261</v>
      </c>
      <c r="AD272" s="134">
        <f t="shared" si="43"/>
        <v>1.0589999999999999</v>
      </c>
      <c r="AE272" s="213"/>
      <c r="AF272" s="209">
        <f t="shared" si="45"/>
        <v>0</v>
      </c>
    </row>
    <row r="273" spans="23:32" ht="24.95" customHeight="1">
      <c r="W273" s="133">
        <v>41</v>
      </c>
      <c r="X273" s="134" t="s">
        <v>2920</v>
      </c>
      <c r="Y273" s="134">
        <v>25</v>
      </c>
      <c r="Z273" s="134">
        <v>77.5</v>
      </c>
      <c r="AA273" s="134">
        <v>59.5</v>
      </c>
      <c r="AB273" s="134">
        <v>15</v>
      </c>
      <c r="AC273" s="134" t="s">
        <v>2262</v>
      </c>
      <c r="AD273" s="134">
        <f t="shared" si="43"/>
        <v>1.1160000000000001</v>
      </c>
      <c r="AE273" s="213"/>
      <c r="AF273" s="209">
        <f t="shared" si="45"/>
        <v>0</v>
      </c>
    </row>
    <row r="274" spans="23:32" ht="24.95" customHeight="1">
      <c r="W274" s="133">
        <v>42</v>
      </c>
      <c r="X274" s="134" t="s">
        <v>2921</v>
      </c>
      <c r="Y274" s="134">
        <v>25</v>
      </c>
      <c r="Z274" s="134">
        <v>77.5</v>
      </c>
      <c r="AA274" s="134">
        <v>62.5</v>
      </c>
      <c r="AB274" s="134">
        <v>15</v>
      </c>
      <c r="AC274" s="134" t="s">
        <v>2263</v>
      </c>
      <c r="AD274" s="134">
        <f t="shared" si="43"/>
        <v>1.1719999999999999</v>
      </c>
      <c r="AE274" s="213"/>
      <c r="AF274" s="209">
        <f t="shared" si="45"/>
        <v>0</v>
      </c>
    </row>
    <row r="275" spans="23:32" ht="24.95" customHeight="1">
      <c r="W275" s="133">
        <v>43</v>
      </c>
      <c r="X275" s="134" t="s">
        <v>2922</v>
      </c>
      <c r="Y275" s="134">
        <v>25</v>
      </c>
      <c r="Z275" s="134">
        <v>77.5</v>
      </c>
      <c r="AA275" s="134">
        <v>65.5</v>
      </c>
      <c r="AB275" s="134">
        <v>15</v>
      </c>
      <c r="AC275" s="134" t="s">
        <v>2264</v>
      </c>
      <c r="AD275" s="134">
        <f t="shared" si="43"/>
        <v>1.228</v>
      </c>
      <c r="AE275" s="213"/>
      <c r="AF275" s="209">
        <f t="shared" si="45"/>
        <v>0</v>
      </c>
    </row>
    <row r="276" spans="23:32" ht="24.95" customHeight="1">
      <c r="W276" s="133">
        <v>44</v>
      </c>
      <c r="X276" s="134" t="s">
        <v>2923</v>
      </c>
      <c r="Y276" s="134">
        <v>25</v>
      </c>
      <c r="Z276" s="134">
        <v>77.5</v>
      </c>
      <c r="AA276" s="134">
        <v>68.5</v>
      </c>
      <c r="AB276" s="134">
        <v>15</v>
      </c>
      <c r="AC276" s="134" t="s">
        <v>2265</v>
      </c>
      <c r="AD276" s="134">
        <f t="shared" si="43"/>
        <v>1.284</v>
      </c>
      <c r="AE276" s="213"/>
      <c r="AF276" s="209">
        <f t="shared" si="45"/>
        <v>0</v>
      </c>
    </row>
    <row r="277" spans="23:32" ht="24.95" customHeight="1">
      <c r="W277" s="133">
        <v>45</v>
      </c>
      <c r="X277" s="134" t="s">
        <v>2924</v>
      </c>
      <c r="Y277" s="134">
        <v>25</v>
      </c>
      <c r="Z277" s="134">
        <v>77.5</v>
      </c>
      <c r="AA277" s="134">
        <v>71.5</v>
      </c>
      <c r="AB277" s="134">
        <v>15</v>
      </c>
      <c r="AC277" s="134" t="s">
        <v>2266</v>
      </c>
      <c r="AD277" s="134">
        <f t="shared" si="43"/>
        <v>1.341</v>
      </c>
      <c r="AE277" s="213"/>
      <c r="AF277" s="209">
        <f t="shared" si="45"/>
        <v>0</v>
      </c>
    </row>
    <row r="278" spans="23:32" ht="24.95" customHeight="1">
      <c r="W278" s="133">
        <v>46</v>
      </c>
      <c r="X278" s="134" t="s">
        <v>2925</v>
      </c>
      <c r="Y278" s="134">
        <v>25</v>
      </c>
      <c r="Z278" s="134">
        <v>79.5</v>
      </c>
      <c r="AA278" s="134">
        <v>29.5</v>
      </c>
      <c r="AB278" s="134">
        <v>15</v>
      </c>
      <c r="AC278" s="134" t="s">
        <v>2267</v>
      </c>
      <c r="AD278" s="134">
        <f t="shared" si="43"/>
        <v>0.56699999999999995</v>
      </c>
      <c r="AE278" s="213"/>
      <c r="AF278" s="209">
        <f t="shared" si="45"/>
        <v>0</v>
      </c>
    </row>
    <row r="279" spans="23:32" ht="24.95" customHeight="1">
      <c r="W279" s="133">
        <v>47</v>
      </c>
      <c r="X279" s="134" t="s">
        <v>2926</v>
      </c>
      <c r="Y279" s="134">
        <v>25</v>
      </c>
      <c r="Z279" s="134">
        <v>79.5</v>
      </c>
      <c r="AA279" s="134">
        <v>32.5</v>
      </c>
      <c r="AB279" s="134">
        <v>15</v>
      </c>
      <c r="AC279" s="134" t="s">
        <v>2268</v>
      </c>
      <c r="AD279" s="134">
        <f t="shared" si="43"/>
        <v>0.625</v>
      </c>
      <c r="AE279" s="213"/>
      <c r="AF279" s="209">
        <f t="shared" si="45"/>
        <v>0</v>
      </c>
    </row>
    <row r="280" spans="23:32" ht="24.95" customHeight="1">
      <c r="W280" s="133">
        <v>48</v>
      </c>
      <c r="X280" s="134" t="s">
        <v>2927</v>
      </c>
      <c r="Y280" s="134">
        <v>25</v>
      </c>
      <c r="Z280" s="134">
        <v>79.5</v>
      </c>
      <c r="AA280" s="134">
        <v>35.5</v>
      </c>
      <c r="AB280" s="134">
        <v>15</v>
      </c>
      <c r="AC280" s="134" t="s">
        <v>2269</v>
      </c>
      <c r="AD280" s="134">
        <f t="shared" si="43"/>
        <v>0.68300000000000005</v>
      </c>
      <c r="AE280" s="213"/>
      <c r="AF280" s="209">
        <f t="shared" si="45"/>
        <v>0</v>
      </c>
    </row>
    <row r="281" spans="23:32" ht="24.95" customHeight="1">
      <c r="W281" s="133">
        <v>49</v>
      </c>
      <c r="X281" s="134" t="s">
        <v>2928</v>
      </c>
      <c r="Y281" s="134">
        <v>25</v>
      </c>
      <c r="Z281" s="134">
        <v>79.5</v>
      </c>
      <c r="AA281" s="134">
        <v>38.5</v>
      </c>
      <c r="AB281" s="134">
        <v>15</v>
      </c>
      <c r="AC281" s="134" t="s">
        <v>2270</v>
      </c>
      <c r="AD281" s="134">
        <f t="shared" si="43"/>
        <v>0.74099999999999999</v>
      </c>
      <c r="AE281" s="213"/>
      <c r="AF281" s="209">
        <f t="shared" si="45"/>
        <v>0</v>
      </c>
    </row>
    <row r="282" spans="23:32" ht="24.95" customHeight="1">
      <c r="W282" s="133">
        <v>50</v>
      </c>
      <c r="X282" s="134" t="s">
        <v>2929</v>
      </c>
      <c r="Y282" s="134">
        <v>25</v>
      </c>
      <c r="Z282" s="134">
        <v>79.5</v>
      </c>
      <c r="AA282" s="134">
        <v>41.5</v>
      </c>
      <c r="AB282" s="134">
        <v>15</v>
      </c>
      <c r="AC282" s="134" t="s">
        <v>2271</v>
      </c>
      <c r="AD282" s="134">
        <f t="shared" si="43"/>
        <v>0.79800000000000004</v>
      </c>
      <c r="AE282" s="213"/>
      <c r="AF282" s="209">
        <f t="shared" si="45"/>
        <v>0</v>
      </c>
    </row>
    <row r="283" spans="23:32" ht="24.95" customHeight="1">
      <c r="W283" s="133">
        <v>51</v>
      </c>
      <c r="X283" s="134" t="s">
        <v>2930</v>
      </c>
      <c r="Y283" s="134">
        <v>25</v>
      </c>
      <c r="Z283" s="134">
        <v>79.5</v>
      </c>
      <c r="AA283" s="134">
        <v>44.5</v>
      </c>
      <c r="AB283" s="134">
        <v>15</v>
      </c>
      <c r="AC283" s="134" t="s">
        <v>2272</v>
      </c>
      <c r="AD283" s="134">
        <f t="shared" si="43"/>
        <v>0.85599999999999998</v>
      </c>
      <c r="AE283" s="213"/>
      <c r="AF283" s="209">
        <f t="shared" si="45"/>
        <v>0</v>
      </c>
    </row>
    <row r="284" spans="23:32" ht="24.95" customHeight="1">
      <c r="W284" s="133">
        <v>52</v>
      </c>
      <c r="X284" s="134" t="s">
        <v>2931</v>
      </c>
      <c r="Y284" s="134">
        <v>25</v>
      </c>
      <c r="Z284" s="134">
        <v>79.5</v>
      </c>
      <c r="AA284" s="134">
        <v>47.5</v>
      </c>
      <c r="AB284" s="134">
        <v>15</v>
      </c>
      <c r="AC284" s="134" t="s">
        <v>2273</v>
      </c>
      <c r="AD284" s="134">
        <f t="shared" si="43"/>
        <v>0.91400000000000003</v>
      </c>
      <c r="AE284" s="213"/>
      <c r="AF284" s="209">
        <f t="shared" si="45"/>
        <v>0</v>
      </c>
    </row>
    <row r="285" spans="23:32" ht="24.95" customHeight="1">
      <c r="W285" s="133">
        <v>53</v>
      </c>
      <c r="X285" s="134" t="s">
        <v>2933</v>
      </c>
      <c r="Y285" s="134">
        <v>25</v>
      </c>
      <c r="Z285" s="134">
        <v>79.5</v>
      </c>
      <c r="AA285" s="134">
        <v>50.5</v>
      </c>
      <c r="AB285" s="134">
        <v>15</v>
      </c>
      <c r="AC285" s="134" t="s">
        <v>2274</v>
      </c>
      <c r="AD285" s="134">
        <f t="shared" si="43"/>
        <v>0.97099999999999997</v>
      </c>
      <c r="AE285" s="213"/>
      <c r="AF285" s="209">
        <f t="shared" si="45"/>
        <v>0</v>
      </c>
    </row>
    <row r="286" spans="23:32" ht="24.95" customHeight="1">
      <c r="W286" s="133">
        <v>54</v>
      </c>
      <c r="X286" s="134" t="s">
        <v>2935</v>
      </c>
      <c r="Y286" s="134">
        <v>25</v>
      </c>
      <c r="Z286" s="134">
        <v>79.5</v>
      </c>
      <c r="AA286" s="134">
        <v>53.5</v>
      </c>
      <c r="AB286" s="134">
        <v>15</v>
      </c>
      <c r="AC286" s="134" t="s">
        <v>2275</v>
      </c>
      <c r="AD286" s="134">
        <f t="shared" si="43"/>
        <v>1.0289999999999999</v>
      </c>
      <c r="AE286" s="213"/>
      <c r="AF286" s="209">
        <f t="shared" si="45"/>
        <v>0</v>
      </c>
    </row>
    <row r="287" spans="23:32" ht="24.95" customHeight="1">
      <c r="W287" s="133">
        <v>55</v>
      </c>
      <c r="X287" s="134" t="s">
        <v>2936</v>
      </c>
      <c r="Y287" s="134">
        <v>25</v>
      </c>
      <c r="Z287" s="134">
        <v>79.5</v>
      </c>
      <c r="AA287" s="134">
        <v>56.5</v>
      </c>
      <c r="AB287" s="134">
        <v>15</v>
      </c>
      <c r="AC287" s="134" t="s">
        <v>2276</v>
      </c>
      <c r="AD287" s="134">
        <f t="shared" si="43"/>
        <v>1.087</v>
      </c>
      <c r="AE287" s="213"/>
      <c r="AF287" s="209">
        <f t="shared" si="45"/>
        <v>0</v>
      </c>
    </row>
    <row r="288" spans="23:32" ht="24.95" customHeight="1">
      <c r="W288" s="133">
        <v>56</v>
      </c>
      <c r="X288" s="134" t="s">
        <v>2937</v>
      </c>
      <c r="Y288" s="134">
        <v>25</v>
      </c>
      <c r="Z288" s="134">
        <v>79.5</v>
      </c>
      <c r="AA288" s="134">
        <v>59.5</v>
      </c>
      <c r="AB288" s="134">
        <v>15</v>
      </c>
      <c r="AC288" s="134" t="s">
        <v>2277</v>
      </c>
      <c r="AD288" s="134">
        <f t="shared" si="43"/>
        <v>1.1439999999999999</v>
      </c>
      <c r="AE288" s="213"/>
      <c r="AF288" s="209">
        <f t="shared" si="45"/>
        <v>0</v>
      </c>
    </row>
    <row r="289" spans="23:32" ht="24.95" customHeight="1">
      <c r="W289" s="133">
        <v>57</v>
      </c>
      <c r="X289" s="134" t="s">
        <v>2938</v>
      </c>
      <c r="Y289" s="134">
        <v>25</v>
      </c>
      <c r="Z289" s="134">
        <v>79.5</v>
      </c>
      <c r="AA289" s="134">
        <v>62.5</v>
      </c>
      <c r="AB289" s="134">
        <v>15</v>
      </c>
      <c r="AC289" s="134" t="s">
        <v>2278</v>
      </c>
      <c r="AD289" s="134">
        <f t="shared" si="43"/>
        <v>1.202</v>
      </c>
      <c r="AE289" s="213"/>
      <c r="AF289" s="209">
        <f t="shared" si="45"/>
        <v>0</v>
      </c>
    </row>
    <row r="290" spans="23:32" ht="24.95" customHeight="1">
      <c r="W290" s="133">
        <v>58</v>
      </c>
      <c r="X290" s="134" t="s">
        <v>2939</v>
      </c>
      <c r="Y290" s="134">
        <v>25</v>
      </c>
      <c r="Z290" s="134">
        <v>79.5</v>
      </c>
      <c r="AA290" s="134">
        <v>65.5</v>
      </c>
      <c r="AB290" s="134">
        <v>15</v>
      </c>
      <c r="AC290" s="134" t="s">
        <v>2279</v>
      </c>
      <c r="AD290" s="134">
        <f t="shared" si="43"/>
        <v>1.26</v>
      </c>
      <c r="AE290" s="213"/>
      <c r="AF290" s="209">
        <f t="shared" si="45"/>
        <v>0</v>
      </c>
    </row>
    <row r="291" spans="23:32" ht="24.95" customHeight="1">
      <c r="W291" s="133">
        <v>59</v>
      </c>
      <c r="X291" s="134" t="s">
        <v>2940</v>
      </c>
      <c r="Y291" s="134">
        <v>25</v>
      </c>
      <c r="Z291" s="134">
        <v>79.5</v>
      </c>
      <c r="AA291" s="134">
        <v>68.5</v>
      </c>
      <c r="AB291" s="134">
        <v>15</v>
      </c>
      <c r="AC291" s="134" t="s">
        <v>2280</v>
      </c>
      <c r="AD291" s="134">
        <f t="shared" si="43"/>
        <v>1.3180000000000001</v>
      </c>
      <c r="AE291" s="213"/>
      <c r="AF291" s="209">
        <f t="shared" si="45"/>
        <v>0</v>
      </c>
    </row>
    <row r="292" spans="23:32" ht="24.95" customHeight="1">
      <c r="W292" s="133">
        <v>60</v>
      </c>
      <c r="X292" s="134" t="s">
        <v>2941</v>
      </c>
      <c r="Y292" s="134">
        <v>25</v>
      </c>
      <c r="Z292" s="134">
        <v>79.5</v>
      </c>
      <c r="AA292" s="134">
        <v>71.5</v>
      </c>
      <c r="AB292" s="134">
        <v>15</v>
      </c>
      <c r="AC292" s="134" t="s">
        <v>2281</v>
      </c>
      <c r="AD292" s="134">
        <f t="shared" si="43"/>
        <v>1.375</v>
      </c>
      <c r="AE292" s="213"/>
      <c r="AF292" s="209">
        <f t="shared" si="45"/>
        <v>0</v>
      </c>
    </row>
    <row r="293" spans="23:32" ht="24.95" customHeight="1">
      <c r="W293" s="133">
        <v>61</v>
      </c>
      <c r="X293" s="134" t="s">
        <v>2942</v>
      </c>
      <c r="Y293" s="134">
        <v>25</v>
      </c>
      <c r="Z293" s="134">
        <v>83.5</v>
      </c>
      <c r="AA293" s="134">
        <v>29.5</v>
      </c>
      <c r="AB293" s="134">
        <v>15</v>
      </c>
      <c r="AC293" s="134" t="s">
        <v>2282</v>
      </c>
      <c r="AD293" s="134">
        <f t="shared" si="43"/>
        <v>0.59599999999999997</v>
      </c>
      <c r="AE293" s="213"/>
      <c r="AF293" s="209">
        <f t="shared" si="45"/>
        <v>0</v>
      </c>
    </row>
    <row r="294" spans="23:32" ht="24.95" customHeight="1">
      <c r="W294" s="133">
        <v>62</v>
      </c>
      <c r="X294" s="134" t="s">
        <v>2943</v>
      </c>
      <c r="Y294" s="134">
        <v>25</v>
      </c>
      <c r="Z294" s="134">
        <v>83.5</v>
      </c>
      <c r="AA294" s="134">
        <v>32.5</v>
      </c>
      <c r="AB294" s="134">
        <v>15</v>
      </c>
      <c r="AC294" s="134" t="s">
        <v>2283</v>
      </c>
      <c r="AD294" s="134">
        <f t="shared" si="43"/>
        <v>0.65700000000000003</v>
      </c>
      <c r="AE294" s="213"/>
      <c r="AF294" s="209">
        <f t="shared" si="45"/>
        <v>0</v>
      </c>
    </row>
    <row r="295" spans="23:32" ht="24.95" customHeight="1">
      <c r="W295" s="133">
        <v>63</v>
      </c>
      <c r="X295" s="134" t="s">
        <v>2944</v>
      </c>
      <c r="Y295" s="134">
        <v>25</v>
      </c>
      <c r="Z295" s="134">
        <v>83.5</v>
      </c>
      <c r="AA295" s="134">
        <v>35.5</v>
      </c>
      <c r="AB295" s="134">
        <v>15</v>
      </c>
      <c r="AC295" s="134" t="s">
        <v>2284</v>
      </c>
      <c r="AD295" s="134">
        <f t="shared" si="43"/>
        <v>0.71699999999999997</v>
      </c>
      <c r="AE295" s="213"/>
      <c r="AF295" s="209">
        <f t="shared" si="45"/>
        <v>0</v>
      </c>
    </row>
    <row r="296" spans="23:32" ht="24.95" customHeight="1">
      <c r="W296" s="133">
        <v>64</v>
      </c>
      <c r="X296" s="134" t="s">
        <v>2945</v>
      </c>
      <c r="Y296" s="134">
        <v>25</v>
      </c>
      <c r="Z296" s="134">
        <v>83.5</v>
      </c>
      <c r="AA296" s="134">
        <v>38.5</v>
      </c>
      <c r="AB296" s="134">
        <v>15</v>
      </c>
      <c r="AC296" s="134" t="s">
        <v>2285</v>
      </c>
      <c r="AD296" s="134">
        <f t="shared" si="43"/>
        <v>0.77800000000000002</v>
      </c>
      <c r="AE296" s="213"/>
      <c r="AF296" s="209">
        <f t="shared" si="45"/>
        <v>0</v>
      </c>
    </row>
    <row r="297" spans="23:32" ht="24.95" customHeight="1">
      <c r="W297" s="133">
        <v>65</v>
      </c>
      <c r="X297" s="134" t="s">
        <v>2946</v>
      </c>
      <c r="Y297" s="134">
        <v>25</v>
      </c>
      <c r="Z297" s="134">
        <v>83.5</v>
      </c>
      <c r="AA297" s="134">
        <v>41.5</v>
      </c>
      <c r="AB297" s="134">
        <v>15</v>
      </c>
      <c r="AC297" s="134" t="s">
        <v>2286</v>
      </c>
      <c r="AD297" s="134">
        <f t="shared" si="43"/>
        <v>0.83799999999999997</v>
      </c>
      <c r="AE297" s="213"/>
      <c r="AF297" s="209">
        <f t="shared" si="45"/>
        <v>0</v>
      </c>
    </row>
    <row r="298" spans="23:32" ht="24.95" customHeight="1">
      <c r="W298" s="133">
        <v>66</v>
      </c>
      <c r="X298" s="134" t="s">
        <v>2947</v>
      </c>
      <c r="Y298" s="134">
        <v>25</v>
      </c>
      <c r="Z298" s="134">
        <v>83.5</v>
      </c>
      <c r="AA298" s="134">
        <v>44.5</v>
      </c>
      <c r="AB298" s="134">
        <v>15</v>
      </c>
      <c r="AC298" s="134" t="s">
        <v>2287</v>
      </c>
      <c r="AD298" s="134">
        <f t="shared" ref="AD298:AD310" si="46">+ROUND((Y298*Z298*0.0254*AA298*0.0254*(AB298/1000)),3)</f>
        <v>0.89900000000000002</v>
      </c>
      <c r="AE298" s="213"/>
      <c r="AF298" s="209">
        <f t="shared" si="45"/>
        <v>0</v>
      </c>
    </row>
    <row r="299" spans="23:32" ht="24.95" customHeight="1">
      <c r="W299" s="133">
        <v>67</v>
      </c>
      <c r="X299" s="134" t="s">
        <v>2948</v>
      </c>
      <c r="Y299" s="134">
        <v>25</v>
      </c>
      <c r="Z299" s="134">
        <v>83.5</v>
      </c>
      <c r="AA299" s="134">
        <v>47.5</v>
      </c>
      <c r="AB299" s="134">
        <v>15</v>
      </c>
      <c r="AC299" s="134" t="s">
        <v>2288</v>
      </c>
      <c r="AD299" s="134">
        <f t="shared" si="46"/>
        <v>0.96</v>
      </c>
      <c r="AE299" s="213"/>
      <c r="AF299" s="209">
        <f t="shared" si="45"/>
        <v>0</v>
      </c>
    </row>
    <row r="300" spans="23:32" ht="24.95" customHeight="1">
      <c r="W300" s="133">
        <v>68</v>
      </c>
      <c r="X300" s="134" t="s">
        <v>2949</v>
      </c>
      <c r="Y300" s="134">
        <v>25</v>
      </c>
      <c r="Z300" s="134">
        <v>83.5</v>
      </c>
      <c r="AA300" s="134">
        <v>50.5</v>
      </c>
      <c r="AB300" s="134">
        <v>15</v>
      </c>
      <c r="AC300" s="134" t="s">
        <v>2289</v>
      </c>
      <c r="AD300" s="134">
        <f t="shared" si="46"/>
        <v>1.02</v>
      </c>
      <c r="AE300" s="213"/>
      <c r="AF300" s="209">
        <f t="shared" si="45"/>
        <v>0</v>
      </c>
    </row>
    <row r="301" spans="23:32" ht="24.95" customHeight="1">
      <c r="W301" s="133">
        <v>69</v>
      </c>
      <c r="X301" s="134" t="s">
        <v>2950</v>
      </c>
      <c r="Y301" s="134">
        <v>25</v>
      </c>
      <c r="Z301" s="134">
        <v>83.5</v>
      </c>
      <c r="AA301" s="134">
        <v>53.5</v>
      </c>
      <c r="AB301" s="134">
        <v>15</v>
      </c>
      <c r="AC301" s="134" t="s">
        <v>2290</v>
      </c>
      <c r="AD301" s="134">
        <f t="shared" si="46"/>
        <v>1.081</v>
      </c>
      <c r="AE301" s="213"/>
      <c r="AF301" s="209">
        <f t="shared" si="45"/>
        <v>0</v>
      </c>
    </row>
    <row r="302" spans="23:32" ht="24.95" customHeight="1">
      <c r="W302" s="133">
        <v>70</v>
      </c>
      <c r="X302" s="134" t="s">
        <v>2952</v>
      </c>
      <c r="Y302" s="134">
        <v>25</v>
      </c>
      <c r="Z302" s="134">
        <v>83.5</v>
      </c>
      <c r="AA302" s="134">
        <v>56.5</v>
      </c>
      <c r="AB302" s="134">
        <v>15</v>
      </c>
      <c r="AC302" s="134" t="s">
        <v>2291</v>
      </c>
      <c r="AD302" s="134">
        <f t="shared" si="46"/>
        <v>1.141</v>
      </c>
      <c r="AE302" s="213"/>
      <c r="AF302" s="209">
        <f t="shared" si="45"/>
        <v>0</v>
      </c>
    </row>
    <row r="303" spans="23:32" ht="24.95" customHeight="1">
      <c r="W303" s="133">
        <v>71</v>
      </c>
      <c r="X303" s="134" t="s">
        <v>2954</v>
      </c>
      <c r="Y303" s="134">
        <v>25</v>
      </c>
      <c r="Z303" s="134">
        <v>83.5</v>
      </c>
      <c r="AA303" s="134">
        <v>59.5</v>
      </c>
      <c r="AB303" s="134">
        <v>15</v>
      </c>
      <c r="AC303" s="134" t="s">
        <v>2292</v>
      </c>
      <c r="AD303" s="134">
        <f t="shared" si="46"/>
        <v>1.202</v>
      </c>
      <c r="AE303" s="213"/>
      <c r="AF303" s="209">
        <f t="shared" si="45"/>
        <v>0</v>
      </c>
    </row>
    <row r="304" spans="23:32" ht="24.95" customHeight="1">
      <c r="W304" s="133">
        <v>72</v>
      </c>
      <c r="X304" s="134" t="s">
        <v>2955</v>
      </c>
      <c r="Y304" s="134">
        <v>25</v>
      </c>
      <c r="Z304" s="134">
        <v>83.5</v>
      </c>
      <c r="AA304" s="134">
        <v>62.5</v>
      </c>
      <c r="AB304" s="134">
        <v>15</v>
      </c>
      <c r="AC304" s="134" t="s">
        <v>2293</v>
      </c>
      <c r="AD304" s="134">
        <f t="shared" si="46"/>
        <v>1.2629999999999999</v>
      </c>
      <c r="AE304" s="213"/>
      <c r="AF304" s="209">
        <f t="shared" si="45"/>
        <v>0</v>
      </c>
    </row>
    <row r="305" spans="23:32" ht="24.95" customHeight="1">
      <c r="W305" s="133">
        <v>73</v>
      </c>
      <c r="X305" s="134" t="s">
        <v>2956</v>
      </c>
      <c r="Y305" s="134">
        <v>25</v>
      </c>
      <c r="Z305" s="134">
        <v>83.5</v>
      </c>
      <c r="AA305" s="134">
        <v>65.5</v>
      </c>
      <c r="AB305" s="134">
        <v>15</v>
      </c>
      <c r="AC305" s="134" t="s">
        <v>2294</v>
      </c>
      <c r="AD305" s="134">
        <f t="shared" si="46"/>
        <v>1.323</v>
      </c>
      <c r="AE305" s="213"/>
      <c r="AF305" s="209">
        <f t="shared" si="45"/>
        <v>0</v>
      </c>
    </row>
    <row r="306" spans="23:32" ht="24.95" customHeight="1">
      <c r="W306" s="133">
        <v>74</v>
      </c>
      <c r="X306" s="134" t="s">
        <v>2957</v>
      </c>
      <c r="Y306" s="134">
        <v>25</v>
      </c>
      <c r="Z306" s="134">
        <v>83.5</v>
      </c>
      <c r="AA306" s="134">
        <v>68.5</v>
      </c>
      <c r="AB306" s="134">
        <v>15</v>
      </c>
      <c r="AC306" s="134" t="s">
        <v>2295</v>
      </c>
      <c r="AD306" s="134">
        <f t="shared" si="46"/>
        <v>1.3839999999999999</v>
      </c>
      <c r="AE306" s="213"/>
      <c r="AF306" s="209">
        <f t="shared" si="45"/>
        <v>0</v>
      </c>
    </row>
    <row r="307" spans="23:32" ht="24.95" customHeight="1">
      <c r="W307" s="133">
        <v>75</v>
      </c>
      <c r="X307" s="134" t="s">
        <v>2958</v>
      </c>
      <c r="Y307" s="134">
        <v>25</v>
      </c>
      <c r="Z307" s="134">
        <v>83.5</v>
      </c>
      <c r="AA307" s="134">
        <v>71.5</v>
      </c>
      <c r="AB307" s="134">
        <v>15</v>
      </c>
      <c r="AC307" s="134" t="s">
        <v>2296</v>
      </c>
      <c r="AD307" s="134">
        <f t="shared" si="46"/>
        <v>1.444</v>
      </c>
      <c r="AE307" s="213"/>
      <c r="AF307" s="209">
        <f t="shared" si="45"/>
        <v>0</v>
      </c>
    </row>
    <row r="308" spans="23:32" ht="24.95" customHeight="1">
      <c r="W308" s="133">
        <v>76</v>
      </c>
      <c r="X308" s="134" t="s">
        <v>2959</v>
      </c>
      <c r="Y308" s="134">
        <v>25</v>
      </c>
      <c r="Z308" s="134">
        <v>12.5</v>
      </c>
      <c r="AA308" s="134">
        <v>12.5</v>
      </c>
      <c r="AB308" s="134">
        <v>15</v>
      </c>
      <c r="AC308" s="134" t="s">
        <v>2297</v>
      </c>
      <c r="AD308" s="134">
        <f t="shared" si="46"/>
        <v>3.7999999999999999E-2</v>
      </c>
      <c r="AE308" s="213"/>
      <c r="AF308" s="209">
        <f t="shared" si="45"/>
        <v>0</v>
      </c>
    </row>
    <row r="309" spans="23:32" ht="24.95" customHeight="1">
      <c r="W309" s="182">
        <v>77</v>
      </c>
      <c r="X309" s="183" t="s">
        <v>2960</v>
      </c>
      <c r="Y309" s="183">
        <v>25</v>
      </c>
      <c r="Z309" s="183">
        <v>19.5</v>
      </c>
      <c r="AA309" s="183">
        <v>17.5</v>
      </c>
      <c r="AB309" s="183">
        <v>15</v>
      </c>
      <c r="AC309" s="183" t="s">
        <v>2298</v>
      </c>
      <c r="AD309" s="183">
        <f t="shared" si="46"/>
        <v>8.3000000000000004E-2</v>
      </c>
      <c r="AE309" s="213"/>
      <c r="AF309" s="229">
        <f t="shared" si="45"/>
        <v>0</v>
      </c>
    </row>
    <row r="310" spans="23:32" ht="18">
      <c r="W310" s="153">
        <v>1</v>
      </c>
      <c r="X310" s="154" t="s">
        <v>2876</v>
      </c>
      <c r="Y310" s="154">
        <v>25</v>
      </c>
      <c r="Z310" s="154">
        <v>71.5</v>
      </c>
      <c r="AA310" s="154">
        <v>29.5</v>
      </c>
      <c r="AB310" s="154">
        <v>25</v>
      </c>
      <c r="AC310" s="154" t="s">
        <v>2339</v>
      </c>
      <c r="AD310" s="154">
        <f t="shared" si="46"/>
        <v>0.85099999999999998</v>
      </c>
      <c r="AE310" s="213"/>
      <c r="AF310" s="197">
        <f t="shared" si="45"/>
        <v>0</v>
      </c>
    </row>
    <row r="311" spans="23:32" ht="18">
      <c r="W311" s="122">
        <v>2</v>
      </c>
      <c r="X311" s="123" t="s">
        <v>2877</v>
      </c>
      <c r="Y311" s="123">
        <v>25</v>
      </c>
      <c r="Z311" s="123">
        <v>71.5</v>
      </c>
      <c r="AA311" s="123">
        <v>32.5</v>
      </c>
      <c r="AB311" s="123">
        <v>25</v>
      </c>
      <c r="AC311" s="123" t="s">
        <v>2340</v>
      </c>
      <c r="AD311" s="123">
        <f t="shared" ref="AD311:AD374" si="47">+ROUND((Y311*Z311*0.0254*AA311*0.0254*(AB311/1000)),3)</f>
        <v>0.93700000000000006</v>
      </c>
      <c r="AE311" s="213"/>
      <c r="AF311" s="214">
        <f t="shared" si="45"/>
        <v>0</v>
      </c>
    </row>
    <row r="312" spans="23:32" ht="18">
      <c r="W312" s="122">
        <v>3</v>
      </c>
      <c r="X312" s="123" t="s">
        <v>2878</v>
      </c>
      <c r="Y312" s="123">
        <v>25</v>
      </c>
      <c r="Z312" s="123">
        <v>71.5</v>
      </c>
      <c r="AA312" s="123">
        <v>35.5</v>
      </c>
      <c r="AB312" s="123">
        <v>25</v>
      </c>
      <c r="AC312" s="123" t="s">
        <v>2341</v>
      </c>
      <c r="AD312" s="123">
        <f t="shared" si="47"/>
        <v>1.0229999999999999</v>
      </c>
      <c r="AE312" s="213"/>
      <c r="AF312" s="214">
        <f t="shared" si="45"/>
        <v>0</v>
      </c>
    </row>
    <row r="313" spans="23:32" ht="18">
      <c r="W313" s="122">
        <v>4</v>
      </c>
      <c r="X313" s="123" t="s">
        <v>2879</v>
      </c>
      <c r="Y313" s="123">
        <v>25</v>
      </c>
      <c r="Z313" s="123">
        <v>71.5</v>
      </c>
      <c r="AA313" s="123">
        <v>38.5</v>
      </c>
      <c r="AB313" s="123">
        <v>25</v>
      </c>
      <c r="AC313" s="123" t="s">
        <v>2342</v>
      </c>
      <c r="AD313" s="123">
        <f t="shared" si="47"/>
        <v>1.1100000000000001</v>
      </c>
      <c r="AE313" s="213"/>
      <c r="AF313" s="214">
        <f t="shared" si="45"/>
        <v>0</v>
      </c>
    </row>
    <row r="314" spans="23:32" ht="18">
      <c r="W314" s="122">
        <v>5</v>
      </c>
      <c r="X314" s="123" t="s">
        <v>2880</v>
      </c>
      <c r="Y314" s="123">
        <v>25</v>
      </c>
      <c r="Z314" s="123">
        <v>71.5</v>
      </c>
      <c r="AA314" s="123">
        <v>41.5</v>
      </c>
      <c r="AB314" s="123">
        <v>25</v>
      </c>
      <c r="AC314" s="123" t="s">
        <v>2343</v>
      </c>
      <c r="AD314" s="123">
        <f t="shared" si="47"/>
        <v>1.196</v>
      </c>
      <c r="AE314" s="213"/>
      <c r="AF314" s="214">
        <f t="shared" si="45"/>
        <v>0</v>
      </c>
    </row>
    <row r="315" spans="23:32" ht="18">
      <c r="W315" s="122">
        <v>6</v>
      </c>
      <c r="X315" s="123" t="s">
        <v>2881</v>
      </c>
      <c r="Y315" s="123">
        <v>25</v>
      </c>
      <c r="Z315" s="123">
        <v>71.5</v>
      </c>
      <c r="AA315" s="123">
        <v>44.5</v>
      </c>
      <c r="AB315" s="123">
        <v>25</v>
      </c>
      <c r="AC315" s="123" t="s">
        <v>2344</v>
      </c>
      <c r="AD315" s="123">
        <f t="shared" si="47"/>
        <v>1.2829999999999999</v>
      </c>
      <c r="AE315" s="213"/>
      <c r="AF315" s="214">
        <f t="shared" si="45"/>
        <v>0</v>
      </c>
    </row>
    <row r="316" spans="23:32" ht="18">
      <c r="W316" s="122">
        <v>7</v>
      </c>
      <c r="X316" s="123" t="s">
        <v>2882</v>
      </c>
      <c r="Y316" s="123">
        <v>25</v>
      </c>
      <c r="Z316" s="123">
        <v>71.5</v>
      </c>
      <c r="AA316" s="123">
        <v>47.5</v>
      </c>
      <c r="AB316" s="123">
        <v>25</v>
      </c>
      <c r="AC316" s="123" t="s">
        <v>2345</v>
      </c>
      <c r="AD316" s="123">
        <f t="shared" si="47"/>
        <v>1.369</v>
      </c>
      <c r="AE316" s="213"/>
      <c r="AF316" s="214">
        <f t="shared" si="45"/>
        <v>0</v>
      </c>
    </row>
    <row r="317" spans="23:32" ht="18">
      <c r="W317" s="122">
        <v>8</v>
      </c>
      <c r="X317" s="123" t="s">
        <v>2883</v>
      </c>
      <c r="Y317" s="123">
        <v>25</v>
      </c>
      <c r="Z317" s="123">
        <v>71.5</v>
      </c>
      <c r="AA317" s="123">
        <v>50.5</v>
      </c>
      <c r="AB317" s="123">
        <v>25</v>
      </c>
      <c r="AC317" s="123" t="s">
        <v>2346</v>
      </c>
      <c r="AD317" s="123">
        <f t="shared" si="47"/>
        <v>1.456</v>
      </c>
      <c r="AE317" s="213"/>
      <c r="AF317" s="214">
        <f t="shared" si="45"/>
        <v>0</v>
      </c>
    </row>
    <row r="318" spans="23:32" ht="18">
      <c r="W318" s="122">
        <v>9</v>
      </c>
      <c r="X318" s="123" t="s">
        <v>2884</v>
      </c>
      <c r="Y318" s="123">
        <v>25</v>
      </c>
      <c r="Z318" s="123">
        <v>71.5</v>
      </c>
      <c r="AA318" s="123">
        <v>53.5</v>
      </c>
      <c r="AB318" s="123">
        <v>25</v>
      </c>
      <c r="AC318" s="123" t="s">
        <v>2347</v>
      </c>
      <c r="AD318" s="123">
        <f t="shared" si="47"/>
        <v>1.542</v>
      </c>
      <c r="AE318" s="213"/>
      <c r="AF318" s="214">
        <f t="shared" si="45"/>
        <v>0</v>
      </c>
    </row>
    <row r="319" spans="23:32" ht="18">
      <c r="W319" s="122">
        <v>10</v>
      </c>
      <c r="X319" s="123" t="s">
        <v>2885</v>
      </c>
      <c r="Y319" s="123">
        <v>25</v>
      </c>
      <c r="Z319" s="123">
        <v>71.5</v>
      </c>
      <c r="AA319" s="123">
        <v>56.5</v>
      </c>
      <c r="AB319" s="123">
        <v>25</v>
      </c>
      <c r="AC319" s="123" t="s">
        <v>2348</v>
      </c>
      <c r="AD319" s="123">
        <f t="shared" si="47"/>
        <v>1.629</v>
      </c>
      <c r="AE319" s="213"/>
      <c r="AF319" s="214">
        <f t="shared" si="45"/>
        <v>0</v>
      </c>
    </row>
    <row r="320" spans="23:32" ht="18">
      <c r="W320" s="122">
        <v>11</v>
      </c>
      <c r="X320" s="123" t="s">
        <v>2886</v>
      </c>
      <c r="Y320" s="123">
        <v>25</v>
      </c>
      <c r="Z320" s="123">
        <v>71.5</v>
      </c>
      <c r="AA320" s="123">
        <v>59.5</v>
      </c>
      <c r="AB320" s="123">
        <v>25</v>
      </c>
      <c r="AC320" s="123" t="s">
        <v>2349</v>
      </c>
      <c r="AD320" s="123">
        <f t="shared" si="47"/>
        <v>1.7150000000000001</v>
      </c>
      <c r="AE320" s="213"/>
      <c r="AF320" s="214">
        <f t="shared" si="45"/>
        <v>0</v>
      </c>
    </row>
    <row r="321" spans="23:32" ht="18">
      <c r="W321" s="122">
        <v>12</v>
      </c>
      <c r="X321" s="123" t="s">
        <v>2887</v>
      </c>
      <c r="Y321" s="123">
        <v>25</v>
      </c>
      <c r="Z321" s="123">
        <v>71.5</v>
      </c>
      <c r="AA321" s="123">
        <v>62.5</v>
      </c>
      <c r="AB321" s="123">
        <v>25</v>
      </c>
      <c r="AC321" s="123" t="s">
        <v>2350</v>
      </c>
      <c r="AD321" s="123">
        <f t="shared" si="47"/>
        <v>1.802</v>
      </c>
      <c r="AE321" s="213"/>
      <c r="AF321" s="214">
        <f t="shared" si="45"/>
        <v>0</v>
      </c>
    </row>
    <row r="322" spans="23:32" ht="18">
      <c r="W322" s="122">
        <v>13</v>
      </c>
      <c r="X322" s="123" t="s">
        <v>2888</v>
      </c>
      <c r="Y322" s="123">
        <v>25</v>
      </c>
      <c r="Z322" s="123">
        <v>71.5</v>
      </c>
      <c r="AA322" s="123">
        <v>65.5</v>
      </c>
      <c r="AB322" s="123">
        <v>25</v>
      </c>
      <c r="AC322" s="123" t="s">
        <v>2351</v>
      </c>
      <c r="AD322" s="123">
        <f t="shared" si="47"/>
        <v>1.8879999999999999</v>
      </c>
      <c r="AE322" s="213"/>
      <c r="AF322" s="214">
        <f t="shared" ref="AF322:AF385" si="48">+AD322*AE322</f>
        <v>0</v>
      </c>
    </row>
    <row r="323" spans="23:32" ht="18">
      <c r="W323" s="122">
        <v>14</v>
      </c>
      <c r="X323" s="123" t="s">
        <v>2889</v>
      </c>
      <c r="Y323" s="123">
        <v>25</v>
      </c>
      <c r="Z323" s="123">
        <v>71.5</v>
      </c>
      <c r="AA323" s="123">
        <v>68.5</v>
      </c>
      <c r="AB323" s="123">
        <v>25</v>
      </c>
      <c r="AC323" s="123" t="s">
        <v>2352</v>
      </c>
      <c r="AD323" s="123">
        <f t="shared" si="47"/>
        <v>1.9750000000000001</v>
      </c>
      <c r="AE323" s="213"/>
      <c r="AF323" s="214">
        <f t="shared" si="48"/>
        <v>0</v>
      </c>
    </row>
    <row r="324" spans="23:32" ht="18">
      <c r="W324" s="122">
        <v>15</v>
      </c>
      <c r="X324" s="123" t="s">
        <v>2890</v>
      </c>
      <c r="Y324" s="123">
        <v>25</v>
      </c>
      <c r="Z324" s="123">
        <v>71.5</v>
      </c>
      <c r="AA324" s="123">
        <v>71.5</v>
      </c>
      <c r="AB324" s="123">
        <v>25</v>
      </c>
      <c r="AC324" s="123" t="s">
        <v>2353</v>
      </c>
      <c r="AD324" s="123">
        <f t="shared" si="47"/>
        <v>2.0609999999999999</v>
      </c>
      <c r="AE324" s="213"/>
      <c r="AF324" s="214">
        <f t="shared" si="48"/>
        <v>0</v>
      </c>
    </row>
    <row r="325" spans="23:32" ht="18">
      <c r="W325" s="122">
        <v>16</v>
      </c>
      <c r="X325" s="123" t="s">
        <v>2891</v>
      </c>
      <c r="Y325" s="123">
        <v>25</v>
      </c>
      <c r="Z325" s="123">
        <v>74.5</v>
      </c>
      <c r="AA325" s="123">
        <v>29.5</v>
      </c>
      <c r="AB325" s="123">
        <v>25</v>
      </c>
      <c r="AC325" s="123" t="s">
        <v>2354</v>
      </c>
      <c r="AD325" s="123">
        <f t="shared" si="47"/>
        <v>0.88600000000000001</v>
      </c>
      <c r="AE325" s="213"/>
      <c r="AF325" s="214">
        <f t="shared" si="48"/>
        <v>0</v>
      </c>
    </row>
    <row r="326" spans="23:32" ht="18">
      <c r="W326" s="122">
        <v>17</v>
      </c>
      <c r="X326" s="123" t="s">
        <v>2892</v>
      </c>
      <c r="Y326" s="123">
        <v>25</v>
      </c>
      <c r="Z326" s="123">
        <v>74.5</v>
      </c>
      <c r="AA326" s="123">
        <v>32.5</v>
      </c>
      <c r="AB326" s="123">
        <v>25</v>
      </c>
      <c r="AC326" s="123" t="s">
        <v>2355</v>
      </c>
      <c r="AD326" s="123">
        <f t="shared" si="47"/>
        <v>0.97599999999999998</v>
      </c>
      <c r="AE326" s="213"/>
      <c r="AF326" s="214">
        <f t="shared" si="48"/>
        <v>0</v>
      </c>
    </row>
    <row r="327" spans="23:32" ht="18">
      <c r="W327" s="122">
        <v>18</v>
      </c>
      <c r="X327" s="123" t="s">
        <v>2893</v>
      </c>
      <c r="Y327" s="123">
        <v>25</v>
      </c>
      <c r="Z327" s="123">
        <v>74.5</v>
      </c>
      <c r="AA327" s="123">
        <v>35.5</v>
      </c>
      <c r="AB327" s="123">
        <v>25</v>
      </c>
      <c r="AC327" s="123" t="s">
        <v>2356</v>
      </c>
      <c r="AD327" s="123">
        <f t="shared" si="47"/>
        <v>1.0660000000000001</v>
      </c>
      <c r="AE327" s="213"/>
      <c r="AF327" s="214">
        <f t="shared" si="48"/>
        <v>0</v>
      </c>
    </row>
    <row r="328" spans="23:32" ht="18">
      <c r="W328" s="122">
        <v>19</v>
      </c>
      <c r="X328" s="123" t="s">
        <v>2895</v>
      </c>
      <c r="Y328" s="123">
        <v>25</v>
      </c>
      <c r="Z328" s="123">
        <v>74.5</v>
      </c>
      <c r="AA328" s="123">
        <v>38.5</v>
      </c>
      <c r="AB328" s="123">
        <v>25</v>
      </c>
      <c r="AC328" s="123" t="s">
        <v>2357</v>
      </c>
      <c r="AD328" s="123">
        <f t="shared" si="47"/>
        <v>1.157</v>
      </c>
      <c r="AE328" s="213"/>
      <c r="AF328" s="214">
        <f t="shared" si="48"/>
        <v>0</v>
      </c>
    </row>
    <row r="329" spans="23:32" ht="18">
      <c r="W329" s="122">
        <v>20</v>
      </c>
      <c r="X329" s="123" t="s">
        <v>2897</v>
      </c>
      <c r="Y329" s="123">
        <v>25</v>
      </c>
      <c r="Z329" s="123">
        <v>74.5</v>
      </c>
      <c r="AA329" s="123">
        <v>41.5</v>
      </c>
      <c r="AB329" s="123">
        <v>25</v>
      </c>
      <c r="AC329" s="123" t="s">
        <v>2358</v>
      </c>
      <c r="AD329" s="123">
        <f t="shared" si="47"/>
        <v>1.2470000000000001</v>
      </c>
      <c r="AE329" s="213"/>
      <c r="AF329" s="214">
        <f t="shared" si="48"/>
        <v>0</v>
      </c>
    </row>
    <row r="330" spans="23:32" ht="18">
      <c r="W330" s="122">
        <v>21</v>
      </c>
      <c r="X330" s="123" t="s">
        <v>2898</v>
      </c>
      <c r="Y330" s="123">
        <v>25</v>
      </c>
      <c r="Z330" s="123">
        <v>74.5</v>
      </c>
      <c r="AA330" s="123">
        <v>44.5</v>
      </c>
      <c r="AB330" s="123">
        <v>25</v>
      </c>
      <c r="AC330" s="123" t="s">
        <v>2359</v>
      </c>
      <c r="AD330" s="123">
        <f t="shared" si="47"/>
        <v>1.337</v>
      </c>
      <c r="AE330" s="213"/>
      <c r="AF330" s="214">
        <f t="shared" si="48"/>
        <v>0</v>
      </c>
    </row>
    <row r="331" spans="23:32" ht="18">
      <c r="W331" s="122">
        <v>22</v>
      </c>
      <c r="X331" s="123" t="s">
        <v>2899</v>
      </c>
      <c r="Y331" s="123">
        <v>25</v>
      </c>
      <c r="Z331" s="123">
        <v>74.5</v>
      </c>
      <c r="AA331" s="123">
        <v>47.5</v>
      </c>
      <c r="AB331" s="123">
        <v>25</v>
      </c>
      <c r="AC331" s="123" t="s">
        <v>2360</v>
      </c>
      <c r="AD331" s="123">
        <f t="shared" si="47"/>
        <v>1.427</v>
      </c>
      <c r="AE331" s="213"/>
      <c r="AF331" s="214">
        <f t="shared" si="48"/>
        <v>0</v>
      </c>
    </row>
    <row r="332" spans="23:32" ht="18">
      <c r="W332" s="122">
        <v>23</v>
      </c>
      <c r="X332" s="123" t="s">
        <v>2900</v>
      </c>
      <c r="Y332" s="123">
        <v>25</v>
      </c>
      <c r="Z332" s="123">
        <v>74.5</v>
      </c>
      <c r="AA332" s="123">
        <v>50.5</v>
      </c>
      <c r="AB332" s="123">
        <v>25</v>
      </c>
      <c r="AC332" s="123" t="s">
        <v>2361</v>
      </c>
      <c r="AD332" s="123">
        <f t="shared" si="47"/>
        <v>1.5169999999999999</v>
      </c>
      <c r="AE332" s="213"/>
      <c r="AF332" s="214">
        <f t="shared" si="48"/>
        <v>0</v>
      </c>
    </row>
    <row r="333" spans="23:32" ht="18">
      <c r="W333" s="122">
        <v>24</v>
      </c>
      <c r="X333" s="123" t="s">
        <v>2901</v>
      </c>
      <c r="Y333" s="123">
        <v>25</v>
      </c>
      <c r="Z333" s="123">
        <v>74.5</v>
      </c>
      <c r="AA333" s="123">
        <v>53.5</v>
      </c>
      <c r="AB333" s="123">
        <v>25</v>
      </c>
      <c r="AC333" s="123" t="s">
        <v>2362</v>
      </c>
      <c r="AD333" s="123">
        <f t="shared" si="47"/>
        <v>1.607</v>
      </c>
      <c r="AE333" s="213"/>
      <c r="AF333" s="214">
        <f t="shared" si="48"/>
        <v>0</v>
      </c>
    </row>
    <row r="334" spans="23:32" ht="18">
      <c r="W334" s="122">
        <v>25</v>
      </c>
      <c r="X334" s="123" t="s">
        <v>2902</v>
      </c>
      <c r="Y334" s="123">
        <v>25</v>
      </c>
      <c r="Z334" s="123">
        <v>74.5</v>
      </c>
      <c r="AA334" s="123">
        <v>56.5</v>
      </c>
      <c r="AB334" s="123">
        <v>25</v>
      </c>
      <c r="AC334" s="123" t="s">
        <v>2363</v>
      </c>
      <c r="AD334" s="123">
        <f t="shared" si="47"/>
        <v>1.6970000000000001</v>
      </c>
      <c r="AE334" s="213"/>
      <c r="AF334" s="214">
        <f t="shared" si="48"/>
        <v>0</v>
      </c>
    </row>
    <row r="335" spans="23:32" ht="18">
      <c r="W335" s="122">
        <v>26</v>
      </c>
      <c r="X335" s="123" t="s">
        <v>2903</v>
      </c>
      <c r="Y335" s="123">
        <v>25</v>
      </c>
      <c r="Z335" s="123">
        <v>74.5</v>
      </c>
      <c r="AA335" s="123">
        <v>59.5</v>
      </c>
      <c r="AB335" s="123">
        <v>25</v>
      </c>
      <c r="AC335" s="123" t="s">
        <v>2364</v>
      </c>
      <c r="AD335" s="123">
        <f t="shared" si="47"/>
        <v>1.7869999999999999</v>
      </c>
      <c r="AE335" s="213"/>
      <c r="AF335" s="214">
        <f t="shared" si="48"/>
        <v>0</v>
      </c>
    </row>
    <row r="336" spans="23:32" ht="18">
      <c r="W336" s="122">
        <v>27</v>
      </c>
      <c r="X336" s="123" t="s">
        <v>2904</v>
      </c>
      <c r="Y336" s="123">
        <v>25</v>
      </c>
      <c r="Z336" s="123">
        <v>74.5</v>
      </c>
      <c r="AA336" s="123">
        <v>62.5</v>
      </c>
      <c r="AB336" s="123">
        <v>25</v>
      </c>
      <c r="AC336" s="123" t="s">
        <v>2365</v>
      </c>
      <c r="AD336" s="123">
        <f t="shared" si="47"/>
        <v>1.8779999999999999</v>
      </c>
      <c r="AE336" s="213"/>
      <c r="AF336" s="214">
        <f t="shared" si="48"/>
        <v>0</v>
      </c>
    </row>
    <row r="337" spans="23:32" ht="18">
      <c r="W337" s="122">
        <v>28</v>
      </c>
      <c r="X337" s="123" t="s">
        <v>2905</v>
      </c>
      <c r="Y337" s="123">
        <v>25</v>
      </c>
      <c r="Z337" s="123">
        <v>74.5</v>
      </c>
      <c r="AA337" s="123">
        <v>65.5</v>
      </c>
      <c r="AB337" s="123">
        <v>25</v>
      </c>
      <c r="AC337" s="123" t="s">
        <v>2366</v>
      </c>
      <c r="AD337" s="123">
        <f t="shared" si="47"/>
        <v>1.968</v>
      </c>
      <c r="AE337" s="213"/>
      <c r="AF337" s="214">
        <f t="shared" si="48"/>
        <v>0</v>
      </c>
    </row>
    <row r="338" spans="23:32" ht="18">
      <c r="W338" s="122">
        <v>29</v>
      </c>
      <c r="X338" s="123" t="s">
        <v>2906</v>
      </c>
      <c r="Y338" s="123">
        <v>25</v>
      </c>
      <c r="Z338" s="123">
        <v>74.5</v>
      </c>
      <c r="AA338" s="123">
        <v>68.5</v>
      </c>
      <c r="AB338" s="123">
        <v>25</v>
      </c>
      <c r="AC338" s="123" t="s">
        <v>2367</v>
      </c>
      <c r="AD338" s="123">
        <f t="shared" si="47"/>
        <v>2.0579999999999998</v>
      </c>
      <c r="AE338" s="213"/>
      <c r="AF338" s="214">
        <f t="shared" si="48"/>
        <v>0</v>
      </c>
    </row>
    <row r="339" spans="23:32" ht="18">
      <c r="W339" s="122">
        <v>30</v>
      </c>
      <c r="X339" s="123" t="s">
        <v>2907</v>
      </c>
      <c r="Y339" s="123">
        <v>25</v>
      </c>
      <c r="Z339" s="123">
        <v>74.5</v>
      </c>
      <c r="AA339" s="123">
        <v>71.5</v>
      </c>
      <c r="AB339" s="123">
        <v>25</v>
      </c>
      <c r="AC339" s="123" t="s">
        <v>2368</v>
      </c>
      <c r="AD339" s="123">
        <f t="shared" si="47"/>
        <v>2.1480000000000001</v>
      </c>
      <c r="AE339" s="213"/>
      <c r="AF339" s="214">
        <f t="shared" si="48"/>
        <v>0</v>
      </c>
    </row>
    <row r="340" spans="23:32" ht="18">
      <c r="W340" s="122">
        <v>31</v>
      </c>
      <c r="X340" s="123" t="s">
        <v>2908</v>
      </c>
      <c r="Y340" s="123">
        <v>25</v>
      </c>
      <c r="Z340" s="123">
        <v>77.5</v>
      </c>
      <c r="AA340" s="123">
        <v>29.5</v>
      </c>
      <c r="AB340" s="123">
        <v>25</v>
      </c>
      <c r="AC340" s="123" t="s">
        <v>2369</v>
      </c>
      <c r="AD340" s="123">
        <f t="shared" si="47"/>
        <v>0.92200000000000004</v>
      </c>
      <c r="AE340" s="213"/>
      <c r="AF340" s="214">
        <f t="shared" si="48"/>
        <v>0</v>
      </c>
    </row>
    <row r="341" spans="23:32" ht="18">
      <c r="W341" s="122">
        <v>32</v>
      </c>
      <c r="X341" s="123" t="s">
        <v>2909</v>
      </c>
      <c r="Y341" s="123">
        <v>25</v>
      </c>
      <c r="Z341" s="123">
        <v>77.5</v>
      </c>
      <c r="AA341" s="123">
        <v>32.5</v>
      </c>
      <c r="AB341" s="123">
        <v>25</v>
      </c>
      <c r="AC341" s="123" t="s">
        <v>2370</v>
      </c>
      <c r="AD341" s="123">
        <f t="shared" si="47"/>
        <v>1.016</v>
      </c>
      <c r="AE341" s="213"/>
      <c r="AF341" s="214">
        <f t="shared" si="48"/>
        <v>0</v>
      </c>
    </row>
    <row r="342" spans="23:32" ht="18">
      <c r="W342" s="122">
        <v>33</v>
      </c>
      <c r="X342" s="123" t="s">
        <v>2910</v>
      </c>
      <c r="Y342" s="123">
        <v>25</v>
      </c>
      <c r="Z342" s="123">
        <v>77.5</v>
      </c>
      <c r="AA342" s="123">
        <v>35.5</v>
      </c>
      <c r="AB342" s="123">
        <v>25</v>
      </c>
      <c r="AC342" s="123" t="s">
        <v>2371</v>
      </c>
      <c r="AD342" s="123">
        <f t="shared" si="47"/>
        <v>1.109</v>
      </c>
      <c r="AE342" s="213"/>
      <c r="AF342" s="214">
        <f t="shared" si="48"/>
        <v>0</v>
      </c>
    </row>
    <row r="343" spans="23:32" ht="18">
      <c r="W343" s="122">
        <v>34</v>
      </c>
      <c r="X343" s="123" t="s">
        <v>2911</v>
      </c>
      <c r="Y343" s="123">
        <v>25</v>
      </c>
      <c r="Z343" s="123">
        <v>77.5</v>
      </c>
      <c r="AA343" s="123">
        <v>38.5</v>
      </c>
      <c r="AB343" s="123">
        <v>25</v>
      </c>
      <c r="AC343" s="123" t="s">
        <v>2372</v>
      </c>
      <c r="AD343" s="123">
        <f t="shared" si="47"/>
        <v>1.2030000000000001</v>
      </c>
      <c r="AE343" s="213"/>
      <c r="AF343" s="214">
        <f t="shared" si="48"/>
        <v>0</v>
      </c>
    </row>
    <row r="344" spans="23:32" ht="18">
      <c r="W344" s="122">
        <v>35</v>
      </c>
      <c r="X344" s="123" t="s">
        <v>2912</v>
      </c>
      <c r="Y344" s="123">
        <v>25</v>
      </c>
      <c r="Z344" s="123">
        <v>77.5</v>
      </c>
      <c r="AA344" s="123">
        <v>41.5</v>
      </c>
      <c r="AB344" s="123">
        <v>25</v>
      </c>
      <c r="AC344" s="123" t="s">
        <v>2373</v>
      </c>
      <c r="AD344" s="123">
        <f t="shared" si="47"/>
        <v>1.2969999999999999</v>
      </c>
      <c r="AE344" s="213"/>
      <c r="AF344" s="214">
        <f t="shared" si="48"/>
        <v>0</v>
      </c>
    </row>
    <row r="345" spans="23:32" ht="18">
      <c r="W345" s="122">
        <v>36</v>
      </c>
      <c r="X345" s="123" t="s">
        <v>2914</v>
      </c>
      <c r="Y345" s="123">
        <v>25</v>
      </c>
      <c r="Z345" s="123">
        <v>77.5</v>
      </c>
      <c r="AA345" s="123">
        <v>44.5</v>
      </c>
      <c r="AB345" s="123">
        <v>25</v>
      </c>
      <c r="AC345" s="123" t="s">
        <v>2374</v>
      </c>
      <c r="AD345" s="123">
        <f t="shared" si="47"/>
        <v>1.391</v>
      </c>
      <c r="AE345" s="213"/>
      <c r="AF345" s="214">
        <f t="shared" si="48"/>
        <v>0</v>
      </c>
    </row>
    <row r="346" spans="23:32" ht="18">
      <c r="W346" s="122">
        <v>37</v>
      </c>
      <c r="X346" s="123" t="s">
        <v>2916</v>
      </c>
      <c r="Y346" s="123">
        <v>25</v>
      </c>
      <c r="Z346" s="123">
        <v>77.5</v>
      </c>
      <c r="AA346" s="123">
        <v>47.5</v>
      </c>
      <c r="AB346" s="123">
        <v>25</v>
      </c>
      <c r="AC346" s="123" t="s">
        <v>2375</v>
      </c>
      <c r="AD346" s="123">
        <f t="shared" si="47"/>
        <v>1.484</v>
      </c>
      <c r="AE346" s="213"/>
      <c r="AF346" s="214">
        <f t="shared" si="48"/>
        <v>0</v>
      </c>
    </row>
    <row r="347" spans="23:32" ht="18">
      <c r="W347" s="122">
        <v>38</v>
      </c>
      <c r="X347" s="123" t="s">
        <v>2917</v>
      </c>
      <c r="Y347" s="123">
        <v>25</v>
      </c>
      <c r="Z347" s="123">
        <v>77.5</v>
      </c>
      <c r="AA347" s="123">
        <v>50.5</v>
      </c>
      <c r="AB347" s="123">
        <v>25</v>
      </c>
      <c r="AC347" s="123" t="s">
        <v>2376</v>
      </c>
      <c r="AD347" s="123">
        <f t="shared" si="47"/>
        <v>1.5780000000000001</v>
      </c>
      <c r="AE347" s="213"/>
      <c r="AF347" s="214">
        <f t="shared" si="48"/>
        <v>0</v>
      </c>
    </row>
    <row r="348" spans="23:32" ht="18">
      <c r="W348" s="122">
        <v>39</v>
      </c>
      <c r="X348" s="123" t="s">
        <v>2918</v>
      </c>
      <c r="Y348" s="123">
        <v>25</v>
      </c>
      <c r="Z348" s="123">
        <v>77.5</v>
      </c>
      <c r="AA348" s="123">
        <v>53.5</v>
      </c>
      <c r="AB348" s="123">
        <v>25</v>
      </c>
      <c r="AC348" s="123" t="s">
        <v>2377</v>
      </c>
      <c r="AD348" s="123">
        <f t="shared" si="47"/>
        <v>1.6719999999999999</v>
      </c>
      <c r="AE348" s="213"/>
      <c r="AF348" s="214">
        <f t="shared" si="48"/>
        <v>0</v>
      </c>
    </row>
    <row r="349" spans="23:32" ht="18">
      <c r="W349" s="122">
        <v>40</v>
      </c>
      <c r="X349" s="123" t="s">
        <v>2919</v>
      </c>
      <c r="Y349" s="123">
        <v>25</v>
      </c>
      <c r="Z349" s="123">
        <v>77.5</v>
      </c>
      <c r="AA349" s="123">
        <v>56.5</v>
      </c>
      <c r="AB349" s="123">
        <v>25</v>
      </c>
      <c r="AC349" s="123" t="s">
        <v>2378</v>
      </c>
      <c r="AD349" s="123">
        <f t="shared" si="47"/>
        <v>1.766</v>
      </c>
      <c r="AE349" s="213"/>
      <c r="AF349" s="214">
        <f t="shared" si="48"/>
        <v>0</v>
      </c>
    </row>
    <row r="350" spans="23:32" ht="18">
      <c r="W350" s="122">
        <v>41</v>
      </c>
      <c r="X350" s="123" t="s">
        <v>2920</v>
      </c>
      <c r="Y350" s="123">
        <v>25</v>
      </c>
      <c r="Z350" s="123">
        <v>77.5</v>
      </c>
      <c r="AA350" s="123">
        <v>59.5</v>
      </c>
      <c r="AB350" s="123">
        <v>25</v>
      </c>
      <c r="AC350" s="123" t="s">
        <v>2379</v>
      </c>
      <c r="AD350" s="123">
        <f t="shared" si="47"/>
        <v>1.859</v>
      </c>
      <c r="AE350" s="213"/>
      <c r="AF350" s="214">
        <f t="shared" si="48"/>
        <v>0</v>
      </c>
    </row>
    <row r="351" spans="23:32" ht="18">
      <c r="W351" s="122">
        <v>42</v>
      </c>
      <c r="X351" s="123" t="s">
        <v>2921</v>
      </c>
      <c r="Y351" s="123">
        <v>25</v>
      </c>
      <c r="Z351" s="123">
        <v>77.5</v>
      </c>
      <c r="AA351" s="123">
        <v>62.5</v>
      </c>
      <c r="AB351" s="123">
        <v>25</v>
      </c>
      <c r="AC351" s="123" t="s">
        <v>2380</v>
      </c>
      <c r="AD351" s="123">
        <f t="shared" si="47"/>
        <v>1.9530000000000001</v>
      </c>
      <c r="AE351" s="213"/>
      <c r="AF351" s="214">
        <f t="shared" si="48"/>
        <v>0</v>
      </c>
    </row>
    <row r="352" spans="23:32" ht="18">
      <c r="W352" s="122">
        <v>43</v>
      </c>
      <c r="X352" s="123" t="s">
        <v>2922</v>
      </c>
      <c r="Y352" s="123">
        <v>25</v>
      </c>
      <c r="Z352" s="123">
        <v>77.5</v>
      </c>
      <c r="AA352" s="123">
        <v>65.5</v>
      </c>
      <c r="AB352" s="123">
        <v>25</v>
      </c>
      <c r="AC352" s="123" t="s">
        <v>2381</v>
      </c>
      <c r="AD352" s="123">
        <f t="shared" si="47"/>
        <v>2.0470000000000002</v>
      </c>
      <c r="AE352" s="213"/>
      <c r="AF352" s="214">
        <f t="shared" si="48"/>
        <v>0</v>
      </c>
    </row>
    <row r="353" spans="23:32" ht="18">
      <c r="W353" s="122">
        <v>44</v>
      </c>
      <c r="X353" s="123" t="s">
        <v>2923</v>
      </c>
      <c r="Y353" s="123">
        <v>25</v>
      </c>
      <c r="Z353" s="123">
        <v>77.5</v>
      </c>
      <c r="AA353" s="123">
        <v>68.5</v>
      </c>
      <c r="AB353" s="123">
        <v>25</v>
      </c>
      <c r="AC353" s="123" t="s">
        <v>2382</v>
      </c>
      <c r="AD353" s="123">
        <f t="shared" si="47"/>
        <v>2.141</v>
      </c>
      <c r="AE353" s="213"/>
      <c r="AF353" s="214">
        <f t="shared" si="48"/>
        <v>0</v>
      </c>
    </row>
    <row r="354" spans="23:32" ht="18">
      <c r="W354" s="122">
        <v>45</v>
      </c>
      <c r="X354" s="123" t="s">
        <v>2924</v>
      </c>
      <c r="Y354" s="123">
        <v>25</v>
      </c>
      <c r="Z354" s="123">
        <v>77.5</v>
      </c>
      <c r="AA354" s="123">
        <v>71.5</v>
      </c>
      <c r="AB354" s="123">
        <v>25</v>
      </c>
      <c r="AC354" s="123" t="s">
        <v>2383</v>
      </c>
      <c r="AD354" s="123">
        <f t="shared" si="47"/>
        <v>2.234</v>
      </c>
      <c r="AE354" s="213"/>
      <c r="AF354" s="214">
        <f t="shared" si="48"/>
        <v>0</v>
      </c>
    </row>
    <row r="355" spans="23:32" ht="18">
      <c r="W355" s="122">
        <v>46</v>
      </c>
      <c r="X355" s="123" t="s">
        <v>2925</v>
      </c>
      <c r="Y355" s="123">
        <v>25</v>
      </c>
      <c r="Z355" s="123">
        <v>79.5</v>
      </c>
      <c r="AA355" s="123">
        <v>29.5</v>
      </c>
      <c r="AB355" s="123">
        <v>25</v>
      </c>
      <c r="AC355" s="123" t="s">
        <v>2384</v>
      </c>
      <c r="AD355" s="123">
        <f t="shared" si="47"/>
        <v>0.94599999999999995</v>
      </c>
      <c r="AE355" s="213"/>
      <c r="AF355" s="214">
        <f t="shared" si="48"/>
        <v>0</v>
      </c>
    </row>
    <row r="356" spans="23:32" ht="18">
      <c r="W356" s="122">
        <v>47</v>
      </c>
      <c r="X356" s="123" t="s">
        <v>2926</v>
      </c>
      <c r="Y356" s="123">
        <v>25</v>
      </c>
      <c r="Z356" s="123">
        <v>79.5</v>
      </c>
      <c r="AA356" s="123">
        <v>32.5</v>
      </c>
      <c r="AB356" s="123">
        <v>25</v>
      </c>
      <c r="AC356" s="123" t="s">
        <v>2385</v>
      </c>
      <c r="AD356" s="123">
        <f t="shared" si="47"/>
        <v>1.042</v>
      </c>
      <c r="AE356" s="213"/>
      <c r="AF356" s="214">
        <f t="shared" si="48"/>
        <v>0</v>
      </c>
    </row>
    <row r="357" spans="23:32" ht="18">
      <c r="W357" s="122">
        <v>48</v>
      </c>
      <c r="X357" s="123" t="s">
        <v>2927</v>
      </c>
      <c r="Y357" s="123">
        <v>25</v>
      </c>
      <c r="Z357" s="123">
        <v>79.5</v>
      </c>
      <c r="AA357" s="123">
        <v>35.5</v>
      </c>
      <c r="AB357" s="123">
        <v>25</v>
      </c>
      <c r="AC357" s="123" t="s">
        <v>2386</v>
      </c>
      <c r="AD357" s="123">
        <f t="shared" si="47"/>
        <v>1.1379999999999999</v>
      </c>
      <c r="AE357" s="213"/>
      <c r="AF357" s="214">
        <f t="shared" si="48"/>
        <v>0</v>
      </c>
    </row>
    <row r="358" spans="23:32" ht="18">
      <c r="W358" s="122">
        <v>49</v>
      </c>
      <c r="X358" s="123" t="s">
        <v>2928</v>
      </c>
      <c r="Y358" s="123">
        <v>25</v>
      </c>
      <c r="Z358" s="123">
        <v>79.5</v>
      </c>
      <c r="AA358" s="123">
        <v>38.5</v>
      </c>
      <c r="AB358" s="123">
        <v>25</v>
      </c>
      <c r="AC358" s="123" t="s">
        <v>2387</v>
      </c>
      <c r="AD358" s="123">
        <f t="shared" si="47"/>
        <v>1.234</v>
      </c>
      <c r="AE358" s="213"/>
      <c r="AF358" s="214">
        <f t="shared" si="48"/>
        <v>0</v>
      </c>
    </row>
    <row r="359" spans="23:32" ht="18">
      <c r="W359" s="122">
        <v>50</v>
      </c>
      <c r="X359" s="123" t="s">
        <v>2929</v>
      </c>
      <c r="Y359" s="123">
        <v>25</v>
      </c>
      <c r="Z359" s="123">
        <v>79.5</v>
      </c>
      <c r="AA359" s="123">
        <v>41.5</v>
      </c>
      <c r="AB359" s="123">
        <v>25</v>
      </c>
      <c r="AC359" s="123" t="s">
        <v>2388</v>
      </c>
      <c r="AD359" s="123">
        <f t="shared" si="47"/>
        <v>1.33</v>
      </c>
      <c r="AE359" s="213"/>
      <c r="AF359" s="214">
        <f t="shared" si="48"/>
        <v>0</v>
      </c>
    </row>
    <row r="360" spans="23:32" ht="18">
      <c r="W360" s="122">
        <v>51</v>
      </c>
      <c r="X360" s="123" t="s">
        <v>2930</v>
      </c>
      <c r="Y360" s="123">
        <v>25</v>
      </c>
      <c r="Z360" s="123">
        <v>79.5</v>
      </c>
      <c r="AA360" s="123">
        <v>44.5</v>
      </c>
      <c r="AB360" s="123">
        <v>25</v>
      </c>
      <c r="AC360" s="123" t="s">
        <v>2389</v>
      </c>
      <c r="AD360" s="123">
        <f t="shared" si="47"/>
        <v>1.427</v>
      </c>
      <c r="AE360" s="213"/>
      <c r="AF360" s="214">
        <f t="shared" si="48"/>
        <v>0</v>
      </c>
    </row>
    <row r="361" spans="23:32" ht="18">
      <c r="W361" s="122">
        <v>52</v>
      </c>
      <c r="X361" s="123" t="s">
        <v>2931</v>
      </c>
      <c r="Y361" s="123">
        <v>25</v>
      </c>
      <c r="Z361" s="123">
        <v>79.5</v>
      </c>
      <c r="AA361" s="123">
        <v>47.5</v>
      </c>
      <c r="AB361" s="123">
        <v>25</v>
      </c>
      <c r="AC361" s="123" t="s">
        <v>2390</v>
      </c>
      <c r="AD361" s="123">
        <f t="shared" si="47"/>
        <v>1.5229999999999999</v>
      </c>
      <c r="AE361" s="213"/>
      <c r="AF361" s="214">
        <f t="shared" si="48"/>
        <v>0</v>
      </c>
    </row>
    <row r="362" spans="23:32" ht="18">
      <c r="W362" s="122">
        <v>53</v>
      </c>
      <c r="X362" s="123" t="s">
        <v>2933</v>
      </c>
      <c r="Y362" s="123">
        <v>25</v>
      </c>
      <c r="Z362" s="123">
        <v>79.5</v>
      </c>
      <c r="AA362" s="123">
        <v>50.5</v>
      </c>
      <c r="AB362" s="123">
        <v>25</v>
      </c>
      <c r="AC362" s="123" t="s">
        <v>2391</v>
      </c>
      <c r="AD362" s="123">
        <f t="shared" si="47"/>
        <v>1.619</v>
      </c>
      <c r="AE362" s="213"/>
      <c r="AF362" s="214">
        <f t="shared" si="48"/>
        <v>0</v>
      </c>
    </row>
    <row r="363" spans="23:32" ht="18">
      <c r="W363" s="122">
        <v>54</v>
      </c>
      <c r="X363" s="123" t="s">
        <v>2935</v>
      </c>
      <c r="Y363" s="123">
        <v>25</v>
      </c>
      <c r="Z363" s="123">
        <v>79.5</v>
      </c>
      <c r="AA363" s="123">
        <v>53.5</v>
      </c>
      <c r="AB363" s="123">
        <v>25</v>
      </c>
      <c r="AC363" s="123" t="s">
        <v>2392</v>
      </c>
      <c r="AD363" s="123">
        <f t="shared" si="47"/>
        <v>1.7150000000000001</v>
      </c>
      <c r="AE363" s="213"/>
      <c r="AF363" s="214">
        <f t="shared" si="48"/>
        <v>0</v>
      </c>
    </row>
    <row r="364" spans="23:32" ht="18">
      <c r="W364" s="122">
        <v>55</v>
      </c>
      <c r="X364" s="123" t="s">
        <v>2936</v>
      </c>
      <c r="Y364" s="123">
        <v>25</v>
      </c>
      <c r="Z364" s="123">
        <v>79.5</v>
      </c>
      <c r="AA364" s="123">
        <v>56.5</v>
      </c>
      <c r="AB364" s="123">
        <v>25</v>
      </c>
      <c r="AC364" s="123" t="s">
        <v>2393</v>
      </c>
      <c r="AD364" s="123">
        <f t="shared" si="47"/>
        <v>1.8109999999999999</v>
      </c>
      <c r="AE364" s="213"/>
      <c r="AF364" s="214">
        <f t="shared" si="48"/>
        <v>0</v>
      </c>
    </row>
    <row r="365" spans="23:32" ht="18">
      <c r="W365" s="122">
        <v>56</v>
      </c>
      <c r="X365" s="123" t="s">
        <v>2937</v>
      </c>
      <c r="Y365" s="123">
        <v>25</v>
      </c>
      <c r="Z365" s="123">
        <v>79.5</v>
      </c>
      <c r="AA365" s="123">
        <v>59.5</v>
      </c>
      <c r="AB365" s="123">
        <v>25</v>
      </c>
      <c r="AC365" s="123" t="s">
        <v>2394</v>
      </c>
      <c r="AD365" s="123">
        <f t="shared" si="47"/>
        <v>1.907</v>
      </c>
      <c r="AE365" s="213">
        <v>2</v>
      </c>
      <c r="AF365" s="214">
        <f t="shared" si="48"/>
        <v>3.8140000000000001</v>
      </c>
    </row>
    <row r="366" spans="23:32" ht="18">
      <c r="W366" s="122">
        <v>57</v>
      </c>
      <c r="X366" s="123" t="s">
        <v>2938</v>
      </c>
      <c r="Y366" s="123">
        <v>25</v>
      </c>
      <c r="Z366" s="123">
        <v>79.5</v>
      </c>
      <c r="AA366" s="123">
        <v>62.5</v>
      </c>
      <c r="AB366" s="123">
        <v>25</v>
      </c>
      <c r="AC366" s="123" t="s">
        <v>2395</v>
      </c>
      <c r="AD366" s="123">
        <f t="shared" si="47"/>
        <v>2.004</v>
      </c>
      <c r="AE366" s="213"/>
      <c r="AF366" s="214">
        <f t="shared" si="48"/>
        <v>0</v>
      </c>
    </row>
    <row r="367" spans="23:32" ht="18">
      <c r="W367" s="122">
        <v>58</v>
      </c>
      <c r="X367" s="123" t="s">
        <v>2939</v>
      </c>
      <c r="Y367" s="123">
        <v>25</v>
      </c>
      <c r="Z367" s="123">
        <v>79.5</v>
      </c>
      <c r="AA367" s="123">
        <v>65.5</v>
      </c>
      <c r="AB367" s="123">
        <v>25</v>
      </c>
      <c r="AC367" s="123" t="s">
        <v>2396</v>
      </c>
      <c r="AD367" s="123">
        <f t="shared" si="47"/>
        <v>2.1</v>
      </c>
      <c r="AE367" s="213"/>
      <c r="AF367" s="214">
        <f t="shared" si="48"/>
        <v>0</v>
      </c>
    </row>
    <row r="368" spans="23:32" ht="18">
      <c r="W368" s="122">
        <v>59</v>
      </c>
      <c r="X368" s="123" t="s">
        <v>2940</v>
      </c>
      <c r="Y368" s="123">
        <v>25</v>
      </c>
      <c r="Z368" s="123">
        <v>79.5</v>
      </c>
      <c r="AA368" s="123">
        <v>68.5</v>
      </c>
      <c r="AB368" s="123">
        <v>25</v>
      </c>
      <c r="AC368" s="123" t="s">
        <v>2397</v>
      </c>
      <c r="AD368" s="123">
        <f t="shared" si="47"/>
        <v>2.1960000000000002</v>
      </c>
      <c r="AE368" s="213"/>
      <c r="AF368" s="214">
        <f t="shared" si="48"/>
        <v>0</v>
      </c>
    </row>
    <row r="369" spans="23:32" ht="18">
      <c r="W369" s="122">
        <v>60</v>
      </c>
      <c r="X369" s="123" t="s">
        <v>2941</v>
      </c>
      <c r="Y369" s="123">
        <v>25</v>
      </c>
      <c r="Z369" s="123">
        <v>79.5</v>
      </c>
      <c r="AA369" s="123">
        <v>71.5</v>
      </c>
      <c r="AB369" s="123">
        <v>25</v>
      </c>
      <c r="AC369" s="123" t="s">
        <v>2398</v>
      </c>
      <c r="AD369" s="123">
        <f t="shared" si="47"/>
        <v>2.2919999999999998</v>
      </c>
      <c r="AE369" s="213"/>
      <c r="AF369" s="214">
        <f t="shared" si="48"/>
        <v>0</v>
      </c>
    </row>
    <row r="370" spans="23:32" ht="18">
      <c r="W370" s="122">
        <v>61</v>
      </c>
      <c r="X370" s="123" t="s">
        <v>2942</v>
      </c>
      <c r="Y370" s="123">
        <v>25</v>
      </c>
      <c r="Z370" s="123">
        <v>83.5</v>
      </c>
      <c r="AA370" s="123">
        <v>29.5</v>
      </c>
      <c r="AB370" s="123">
        <v>25</v>
      </c>
      <c r="AC370" s="123" t="s">
        <v>2399</v>
      </c>
      <c r="AD370" s="123">
        <f t="shared" si="47"/>
        <v>0.99299999999999999</v>
      </c>
      <c r="AE370" s="213"/>
      <c r="AF370" s="214">
        <f t="shared" si="48"/>
        <v>0</v>
      </c>
    </row>
    <row r="371" spans="23:32" ht="18">
      <c r="W371" s="122">
        <v>62</v>
      </c>
      <c r="X371" s="123" t="s">
        <v>2943</v>
      </c>
      <c r="Y371" s="123">
        <v>25</v>
      </c>
      <c r="Z371" s="123">
        <v>83.5</v>
      </c>
      <c r="AA371" s="123">
        <v>32.5</v>
      </c>
      <c r="AB371" s="123">
        <v>25</v>
      </c>
      <c r="AC371" s="123" t="s">
        <v>2400</v>
      </c>
      <c r="AD371" s="123">
        <f t="shared" si="47"/>
        <v>1.0940000000000001</v>
      </c>
      <c r="AE371" s="213"/>
      <c r="AF371" s="214">
        <f t="shared" si="48"/>
        <v>0</v>
      </c>
    </row>
    <row r="372" spans="23:32" ht="18">
      <c r="W372" s="122">
        <v>63</v>
      </c>
      <c r="X372" s="123" t="s">
        <v>2944</v>
      </c>
      <c r="Y372" s="123">
        <v>25</v>
      </c>
      <c r="Z372" s="123">
        <v>83.5</v>
      </c>
      <c r="AA372" s="123">
        <v>35.5</v>
      </c>
      <c r="AB372" s="123">
        <v>25</v>
      </c>
      <c r="AC372" s="123" t="s">
        <v>2401</v>
      </c>
      <c r="AD372" s="123">
        <f t="shared" si="47"/>
        <v>1.1950000000000001</v>
      </c>
      <c r="AE372" s="213"/>
      <c r="AF372" s="214">
        <f t="shared" si="48"/>
        <v>0</v>
      </c>
    </row>
    <row r="373" spans="23:32" ht="18">
      <c r="W373" s="122">
        <v>64</v>
      </c>
      <c r="X373" s="123" t="s">
        <v>2945</v>
      </c>
      <c r="Y373" s="123">
        <v>25</v>
      </c>
      <c r="Z373" s="123">
        <v>83.5</v>
      </c>
      <c r="AA373" s="123">
        <v>38.5</v>
      </c>
      <c r="AB373" s="123">
        <v>25</v>
      </c>
      <c r="AC373" s="123" t="s">
        <v>2402</v>
      </c>
      <c r="AD373" s="123">
        <f t="shared" si="47"/>
        <v>1.296</v>
      </c>
      <c r="AE373" s="213"/>
      <c r="AF373" s="214">
        <f t="shared" si="48"/>
        <v>0</v>
      </c>
    </row>
    <row r="374" spans="23:32" ht="18">
      <c r="W374" s="122">
        <v>65</v>
      </c>
      <c r="X374" s="123" t="s">
        <v>2946</v>
      </c>
      <c r="Y374" s="123">
        <v>25</v>
      </c>
      <c r="Z374" s="123">
        <v>83.5</v>
      </c>
      <c r="AA374" s="123">
        <v>41.5</v>
      </c>
      <c r="AB374" s="123">
        <v>25</v>
      </c>
      <c r="AC374" s="123" t="s">
        <v>2403</v>
      </c>
      <c r="AD374" s="123">
        <f t="shared" si="47"/>
        <v>1.397</v>
      </c>
      <c r="AE374" s="213"/>
      <c r="AF374" s="214">
        <f t="shared" si="48"/>
        <v>0</v>
      </c>
    </row>
    <row r="375" spans="23:32" ht="18">
      <c r="W375" s="122">
        <v>66</v>
      </c>
      <c r="X375" s="123" t="s">
        <v>2947</v>
      </c>
      <c r="Y375" s="123">
        <v>25</v>
      </c>
      <c r="Z375" s="123">
        <v>83.5</v>
      </c>
      <c r="AA375" s="123">
        <v>44.5</v>
      </c>
      <c r="AB375" s="123">
        <v>25</v>
      </c>
      <c r="AC375" s="123" t="s">
        <v>2404</v>
      </c>
      <c r="AD375" s="123">
        <f t="shared" ref="AD375:AD387" si="49">+ROUND((Y375*Z375*0.0254*AA375*0.0254*(AB375/1000)),3)</f>
        <v>1.498</v>
      </c>
      <c r="AE375" s="213"/>
      <c r="AF375" s="214">
        <f t="shared" si="48"/>
        <v>0</v>
      </c>
    </row>
    <row r="376" spans="23:32" ht="18">
      <c r="W376" s="122">
        <v>67</v>
      </c>
      <c r="X376" s="123" t="s">
        <v>2948</v>
      </c>
      <c r="Y376" s="123">
        <v>25</v>
      </c>
      <c r="Z376" s="123">
        <v>83.5</v>
      </c>
      <c r="AA376" s="123">
        <v>47.5</v>
      </c>
      <c r="AB376" s="123">
        <v>25</v>
      </c>
      <c r="AC376" s="123" t="s">
        <v>2405</v>
      </c>
      <c r="AD376" s="123">
        <f t="shared" si="49"/>
        <v>1.599</v>
      </c>
      <c r="AE376" s="213"/>
      <c r="AF376" s="214">
        <f t="shared" si="48"/>
        <v>0</v>
      </c>
    </row>
    <row r="377" spans="23:32" ht="18">
      <c r="W377" s="122">
        <v>68</v>
      </c>
      <c r="X377" s="123" t="s">
        <v>2949</v>
      </c>
      <c r="Y377" s="123">
        <v>25</v>
      </c>
      <c r="Z377" s="123">
        <v>83.5</v>
      </c>
      <c r="AA377" s="123">
        <v>50.5</v>
      </c>
      <c r="AB377" s="123">
        <v>25</v>
      </c>
      <c r="AC377" s="123" t="s">
        <v>2406</v>
      </c>
      <c r="AD377" s="123">
        <f t="shared" si="49"/>
        <v>1.7</v>
      </c>
      <c r="AE377" s="213"/>
      <c r="AF377" s="214">
        <f t="shared" si="48"/>
        <v>0</v>
      </c>
    </row>
    <row r="378" spans="23:32" ht="18">
      <c r="W378" s="122">
        <v>69</v>
      </c>
      <c r="X378" s="123" t="s">
        <v>2950</v>
      </c>
      <c r="Y378" s="123">
        <v>25</v>
      </c>
      <c r="Z378" s="123">
        <v>83.5</v>
      </c>
      <c r="AA378" s="123">
        <v>53.5</v>
      </c>
      <c r="AB378" s="123">
        <v>25</v>
      </c>
      <c r="AC378" s="123" t="s">
        <v>2407</v>
      </c>
      <c r="AD378" s="123">
        <f t="shared" si="49"/>
        <v>1.8009999999999999</v>
      </c>
      <c r="AE378" s="213"/>
      <c r="AF378" s="214">
        <f t="shared" si="48"/>
        <v>0</v>
      </c>
    </row>
    <row r="379" spans="23:32" ht="18">
      <c r="W379" s="122">
        <v>70</v>
      </c>
      <c r="X379" s="123" t="s">
        <v>2952</v>
      </c>
      <c r="Y379" s="123">
        <v>25</v>
      </c>
      <c r="Z379" s="123">
        <v>83.5</v>
      </c>
      <c r="AA379" s="123">
        <v>56.5</v>
      </c>
      <c r="AB379" s="123">
        <v>25</v>
      </c>
      <c r="AC379" s="123" t="s">
        <v>2408</v>
      </c>
      <c r="AD379" s="123">
        <f t="shared" si="49"/>
        <v>1.9019999999999999</v>
      </c>
      <c r="AE379" s="213"/>
      <c r="AF379" s="214">
        <f t="shared" si="48"/>
        <v>0</v>
      </c>
    </row>
    <row r="380" spans="23:32" ht="18">
      <c r="W380" s="122">
        <v>71</v>
      </c>
      <c r="X380" s="123" t="s">
        <v>2954</v>
      </c>
      <c r="Y380" s="123">
        <v>25</v>
      </c>
      <c r="Z380" s="123">
        <v>83.5</v>
      </c>
      <c r="AA380" s="123">
        <v>59.5</v>
      </c>
      <c r="AB380" s="123">
        <v>25</v>
      </c>
      <c r="AC380" s="123" t="s">
        <v>2409</v>
      </c>
      <c r="AD380" s="123">
        <f t="shared" si="49"/>
        <v>2.0030000000000001</v>
      </c>
      <c r="AE380" s="213"/>
      <c r="AF380" s="214">
        <f t="shared" si="48"/>
        <v>0</v>
      </c>
    </row>
    <row r="381" spans="23:32" ht="18">
      <c r="W381" s="122">
        <v>72</v>
      </c>
      <c r="X381" s="123" t="s">
        <v>2955</v>
      </c>
      <c r="Y381" s="123">
        <v>25</v>
      </c>
      <c r="Z381" s="123">
        <v>83.5</v>
      </c>
      <c r="AA381" s="123">
        <v>62.5</v>
      </c>
      <c r="AB381" s="123">
        <v>25</v>
      </c>
      <c r="AC381" s="123" t="s">
        <v>2410</v>
      </c>
      <c r="AD381" s="123">
        <f t="shared" si="49"/>
        <v>2.1040000000000001</v>
      </c>
      <c r="AE381" s="213"/>
      <c r="AF381" s="214">
        <f t="shared" si="48"/>
        <v>0</v>
      </c>
    </row>
    <row r="382" spans="23:32" ht="18">
      <c r="W382" s="122">
        <v>73</v>
      </c>
      <c r="X382" s="123" t="s">
        <v>2956</v>
      </c>
      <c r="Y382" s="123">
        <v>25</v>
      </c>
      <c r="Z382" s="123">
        <v>83.5</v>
      </c>
      <c r="AA382" s="123">
        <v>65.5</v>
      </c>
      <c r="AB382" s="123">
        <v>25</v>
      </c>
      <c r="AC382" s="123" t="s">
        <v>2411</v>
      </c>
      <c r="AD382" s="123">
        <f t="shared" si="49"/>
        <v>2.2050000000000001</v>
      </c>
      <c r="AE382" s="213"/>
      <c r="AF382" s="214">
        <f t="shared" si="48"/>
        <v>0</v>
      </c>
    </row>
    <row r="383" spans="23:32" ht="18">
      <c r="W383" s="122">
        <v>74</v>
      </c>
      <c r="X383" s="123" t="s">
        <v>2957</v>
      </c>
      <c r="Y383" s="123">
        <v>25</v>
      </c>
      <c r="Z383" s="123">
        <v>83.5</v>
      </c>
      <c r="AA383" s="123">
        <v>68.5</v>
      </c>
      <c r="AB383" s="123">
        <v>25</v>
      </c>
      <c r="AC383" s="123" t="s">
        <v>2412</v>
      </c>
      <c r="AD383" s="123">
        <f t="shared" si="49"/>
        <v>2.306</v>
      </c>
      <c r="AE383" s="213"/>
      <c r="AF383" s="214">
        <f t="shared" si="48"/>
        <v>0</v>
      </c>
    </row>
    <row r="384" spans="23:32" ht="18">
      <c r="W384" s="122">
        <v>75</v>
      </c>
      <c r="X384" s="123" t="s">
        <v>2958</v>
      </c>
      <c r="Y384" s="123">
        <v>25</v>
      </c>
      <c r="Z384" s="123">
        <v>83.5</v>
      </c>
      <c r="AA384" s="123">
        <v>71.5</v>
      </c>
      <c r="AB384" s="123">
        <v>25</v>
      </c>
      <c r="AC384" s="123" t="s">
        <v>2413</v>
      </c>
      <c r="AD384" s="123">
        <f t="shared" si="49"/>
        <v>2.407</v>
      </c>
      <c r="AE384" s="213"/>
      <c r="AF384" s="214">
        <f t="shared" si="48"/>
        <v>0</v>
      </c>
    </row>
    <row r="385" spans="23:32" ht="18">
      <c r="W385" s="122">
        <v>76</v>
      </c>
      <c r="X385" s="123" t="s">
        <v>2959</v>
      </c>
      <c r="Y385" s="123">
        <v>25</v>
      </c>
      <c r="Z385" s="123">
        <v>12.5</v>
      </c>
      <c r="AA385" s="123">
        <v>12.5</v>
      </c>
      <c r="AB385" s="123">
        <v>25</v>
      </c>
      <c r="AC385" s="123" t="s">
        <v>2414</v>
      </c>
      <c r="AD385" s="123">
        <f t="shared" si="49"/>
        <v>6.3E-2</v>
      </c>
      <c r="AE385" s="213"/>
      <c r="AF385" s="214">
        <f t="shared" si="48"/>
        <v>0</v>
      </c>
    </row>
    <row r="386" spans="23:32" ht="18">
      <c r="W386" s="158">
        <v>77</v>
      </c>
      <c r="X386" s="159" t="s">
        <v>2960</v>
      </c>
      <c r="Y386" s="159">
        <v>25</v>
      </c>
      <c r="Z386" s="159">
        <v>19.5</v>
      </c>
      <c r="AA386" s="159">
        <v>17.5</v>
      </c>
      <c r="AB386" s="159">
        <v>25</v>
      </c>
      <c r="AC386" s="159" t="s">
        <v>2415</v>
      </c>
      <c r="AD386" s="159">
        <f t="shared" si="49"/>
        <v>0.13800000000000001</v>
      </c>
      <c r="AE386" s="213"/>
      <c r="AF386" s="233">
        <f t="shared" ref="AF386:AF449" si="50">+AD386*AE386</f>
        <v>0</v>
      </c>
    </row>
    <row r="387" spans="23:32" ht="18">
      <c r="W387" s="170">
        <v>1</v>
      </c>
      <c r="X387" s="171" t="s">
        <v>2876</v>
      </c>
      <c r="Y387" s="171">
        <v>25</v>
      </c>
      <c r="Z387" s="171">
        <v>71.5</v>
      </c>
      <c r="AA387" s="171">
        <v>29.5</v>
      </c>
      <c r="AB387" s="171">
        <v>50</v>
      </c>
      <c r="AC387" s="171" t="s">
        <v>2416</v>
      </c>
      <c r="AD387" s="171">
        <f t="shared" si="49"/>
        <v>1.7010000000000001</v>
      </c>
      <c r="AE387" s="238"/>
      <c r="AF387" s="203">
        <f t="shared" si="50"/>
        <v>0</v>
      </c>
    </row>
    <row r="388" spans="23:32" ht="18">
      <c r="W388" s="129">
        <v>2</v>
      </c>
      <c r="X388" s="130" t="s">
        <v>2877</v>
      </c>
      <c r="Y388" s="130">
        <v>25</v>
      </c>
      <c r="Z388" s="130">
        <v>71.5</v>
      </c>
      <c r="AA388" s="130">
        <v>32.5</v>
      </c>
      <c r="AB388" s="171">
        <v>50</v>
      </c>
      <c r="AC388" s="130" t="s">
        <v>2417</v>
      </c>
      <c r="AD388" s="130">
        <f t="shared" ref="AD388:AD451" si="51">+ROUND((Y388*Z388*0.0254*AA388*0.0254*(AB388/1000)),3)</f>
        <v>1.8740000000000001</v>
      </c>
      <c r="AE388" s="238"/>
      <c r="AF388" s="236">
        <f t="shared" si="50"/>
        <v>0</v>
      </c>
    </row>
    <row r="389" spans="23:32" ht="18">
      <c r="W389" s="129">
        <v>3</v>
      </c>
      <c r="X389" s="130" t="s">
        <v>2878</v>
      </c>
      <c r="Y389" s="130">
        <v>25</v>
      </c>
      <c r="Z389" s="130">
        <v>71.5</v>
      </c>
      <c r="AA389" s="130">
        <v>35.5</v>
      </c>
      <c r="AB389" s="171">
        <v>50</v>
      </c>
      <c r="AC389" s="130" t="s">
        <v>2418</v>
      </c>
      <c r="AD389" s="130">
        <f t="shared" si="51"/>
        <v>2.0470000000000002</v>
      </c>
      <c r="AE389" s="238"/>
      <c r="AF389" s="236">
        <f t="shared" si="50"/>
        <v>0</v>
      </c>
    </row>
    <row r="390" spans="23:32" ht="18">
      <c r="W390" s="129">
        <v>4</v>
      </c>
      <c r="X390" s="130" t="s">
        <v>2879</v>
      </c>
      <c r="Y390" s="130">
        <v>25</v>
      </c>
      <c r="Z390" s="130">
        <v>71.5</v>
      </c>
      <c r="AA390" s="130">
        <v>38.5</v>
      </c>
      <c r="AB390" s="171">
        <v>50</v>
      </c>
      <c r="AC390" s="130" t="s">
        <v>2419</v>
      </c>
      <c r="AD390" s="130">
        <f t="shared" si="51"/>
        <v>2.2200000000000002</v>
      </c>
      <c r="AE390" s="238"/>
      <c r="AF390" s="236">
        <f t="shared" si="50"/>
        <v>0</v>
      </c>
    </row>
    <row r="391" spans="23:32" ht="18">
      <c r="W391" s="129">
        <v>5</v>
      </c>
      <c r="X391" s="130" t="s">
        <v>2880</v>
      </c>
      <c r="Y391" s="130">
        <v>25</v>
      </c>
      <c r="Z391" s="130">
        <v>71.5</v>
      </c>
      <c r="AA391" s="130">
        <v>41.5</v>
      </c>
      <c r="AB391" s="171">
        <v>50</v>
      </c>
      <c r="AC391" s="130" t="s">
        <v>2420</v>
      </c>
      <c r="AD391" s="130">
        <f t="shared" si="51"/>
        <v>2.3929999999999998</v>
      </c>
      <c r="AE391" s="238"/>
      <c r="AF391" s="236">
        <f t="shared" si="50"/>
        <v>0</v>
      </c>
    </row>
    <row r="392" spans="23:32" ht="18">
      <c r="W392" s="129">
        <v>6</v>
      </c>
      <c r="X392" s="130" t="s">
        <v>2881</v>
      </c>
      <c r="Y392" s="130">
        <v>25</v>
      </c>
      <c r="Z392" s="130">
        <v>71.5</v>
      </c>
      <c r="AA392" s="130">
        <v>44.5</v>
      </c>
      <c r="AB392" s="171">
        <v>50</v>
      </c>
      <c r="AC392" s="130" t="s">
        <v>2421</v>
      </c>
      <c r="AD392" s="130">
        <f t="shared" si="51"/>
        <v>2.5659999999999998</v>
      </c>
      <c r="AE392" s="238"/>
      <c r="AF392" s="236">
        <f t="shared" si="50"/>
        <v>0</v>
      </c>
    </row>
    <row r="393" spans="23:32" ht="18">
      <c r="W393" s="129">
        <v>7</v>
      </c>
      <c r="X393" s="130" t="s">
        <v>2882</v>
      </c>
      <c r="Y393" s="130">
        <v>25</v>
      </c>
      <c r="Z393" s="130">
        <v>71.5</v>
      </c>
      <c r="AA393" s="130">
        <v>47.5</v>
      </c>
      <c r="AB393" s="171">
        <v>50</v>
      </c>
      <c r="AC393" s="130" t="s">
        <v>2422</v>
      </c>
      <c r="AD393" s="130">
        <f t="shared" si="51"/>
        <v>2.7389999999999999</v>
      </c>
      <c r="AE393" s="238"/>
      <c r="AF393" s="236">
        <f t="shared" si="50"/>
        <v>0</v>
      </c>
    </row>
    <row r="394" spans="23:32" ht="18">
      <c r="W394" s="129">
        <v>8</v>
      </c>
      <c r="X394" s="130" t="s">
        <v>2883</v>
      </c>
      <c r="Y394" s="130">
        <v>25</v>
      </c>
      <c r="Z394" s="130">
        <v>71.5</v>
      </c>
      <c r="AA394" s="130">
        <v>50.5</v>
      </c>
      <c r="AB394" s="171">
        <v>50</v>
      </c>
      <c r="AC394" s="130" t="s">
        <v>2423</v>
      </c>
      <c r="AD394" s="130">
        <f t="shared" si="51"/>
        <v>2.9119999999999999</v>
      </c>
      <c r="AE394" s="238"/>
      <c r="AF394" s="236">
        <f t="shared" si="50"/>
        <v>0</v>
      </c>
    </row>
    <row r="395" spans="23:32" ht="18">
      <c r="W395" s="129">
        <v>9</v>
      </c>
      <c r="X395" s="130" t="s">
        <v>2884</v>
      </c>
      <c r="Y395" s="130">
        <v>25</v>
      </c>
      <c r="Z395" s="130">
        <v>71.5</v>
      </c>
      <c r="AA395" s="130">
        <v>53.5</v>
      </c>
      <c r="AB395" s="171">
        <v>50</v>
      </c>
      <c r="AC395" s="130" t="s">
        <v>2424</v>
      </c>
      <c r="AD395" s="130">
        <f t="shared" si="51"/>
        <v>3.085</v>
      </c>
      <c r="AE395" s="238"/>
      <c r="AF395" s="236">
        <f t="shared" si="50"/>
        <v>0</v>
      </c>
    </row>
    <row r="396" spans="23:32" ht="18">
      <c r="W396" s="129">
        <v>10</v>
      </c>
      <c r="X396" s="130" t="s">
        <v>2885</v>
      </c>
      <c r="Y396" s="130">
        <v>25</v>
      </c>
      <c r="Z396" s="130">
        <v>71.5</v>
      </c>
      <c r="AA396" s="130">
        <v>56.5</v>
      </c>
      <c r="AB396" s="171">
        <v>50</v>
      </c>
      <c r="AC396" s="130" t="s">
        <v>2425</v>
      </c>
      <c r="AD396" s="130">
        <f t="shared" si="51"/>
        <v>3.258</v>
      </c>
      <c r="AE396" s="238"/>
      <c r="AF396" s="236">
        <f t="shared" si="50"/>
        <v>0</v>
      </c>
    </row>
    <row r="397" spans="23:32" ht="18">
      <c r="W397" s="129">
        <v>11</v>
      </c>
      <c r="X397" s="130" t="s">
        <v>2886</v>
      </c>
      <c r="Y397" s="130">
        <v>25</v>
      </c>
      <c r="Z397" s="130">
        <v>71.5</v>
      </c>
      <c r="AA397" s="130">
        <v>59.5</v>
      </c>
      <c r="AB397" s="171">
        <v>50</v>
      </c>
      <c r="AC397" s="130" t="s">
        <v>2426</v>
      </c>
      <c r="AD397" s="130">
        <f t="shared" si="51"/>
        <v>3.431</v>
      </c>
      <c r="AE397" s="238"/>
      <c r="AF397" s="236">
        <f t="shared" si="50"/>
        <v>0</v>
      </c>
    </row>
    <row r="398" spans="23:32" ht="18">
      <c r="W398" s="129">
        <v>12</v>
      </c>
      <c r="X398" s="130" t="s">
        <v>2887</v>
      </c>
      <c r="Y398" s="130">
        <v>25</v>
      </c>
      <c r="Z398" s="130">
        <v>71.5</v>
      </c>
      <c r="AA398" s="130">
        <v>62.5</v>
      </c>
      <c r="AB398" s="171">
        <v>50</v>
      </c>
      <c r="AC398" s="130" t="s">
        <v>2427</v>
      </c>
      <c r="AD398" s="130">
        <f t="shared" si="51"/>
        <v>3.6040000000000001</v>
      </c>
      <c r="AE398" s="238"/>
      <c r="AF398" s="236">
        <f t="shared" si="50"/>
        <v>0</v>
      </c>
    </row>
    <row r="399" spans="23:32" ht="18">
      <c r="W399" s="129">
        <v>13</v>
      </c>
      <c r="X399" s="130" t="s">
        <v>2888</v>
      </c>
      <c r="Y399" s="130">
        <v>25</v>
      </c>
      <c r="Z399" s="130">
        <v>71.5</v>
      </c>
      <c r="AA399" s="130">
        <v>65.5</v>
      </c>
      <c r="AB399" s="171">
        <v>50</v>
      </c>
      <c r="AC399" s="130" t="s">
        <v>2428</v>
      </c>
      <c r="AD399" s="130">
        <f t="shared" si="51"/>
        <v>3.7770000000000001</v>
      </c>
      <c r="AE399" s="238"/>
      <c r="AF399" s="236">
        <f t="shared" si="50"/>
        <v>0</v>
      </c>
    </row>
    <row r="400" spans="23:32" ht="18">
      <c r="W400" s="129">
        <v>14</v>
      </c>
      <c r="X400" s="130" t="s">
        <v>2889</v>
      </c>
      <c r="Y400" s="130">
        <v>25</v>
      </c>
      <c r="Z400" s="130">
        <v>71.5</v>
      </c>
      <c r="AA400" s="130">
        <v>68.5</v>
      </c>
      <c r="AB400" s="171">
        <v>50</v>
      </c>
      <c r="AC400" s="130" t="s">
        <v>2429</v>
      </c>
      <c r="AD400" s="130">
        <f t="shared" si="51"/>
        <v>3.95</v>
      </c>
      <c r="AE400" s="238"/>
      <c r="AF400" s="236">
        <f t="shared" si="50"/>
        <v>0</v>
      </c>
    </row>
    <row r="401" spans="23:32" ht="18">
      <c r="W401" s="129">
        <v>15</v>
      </c>
      <c r="X401" s="130" t="s">
        <v>2890</v>
      </c>
      <c r="Y401" s="130">
        <v>25</v>
      </c>
      <c r="Z401" s="130">
        <v>71.5</v>
      </c>
      <c r="AA401" s="130">
        <v>71.5</v>
      </c>
      <c r="AB401" s="171">
        <v>50</v>
      </c>
      <c r="AC401" s="130" t="s">
        <v>2430</v>
      </c>
      <c r="AD401" s="130">
        <f t="shared" si="51"/>
        <v>4.1230000000000002</v>
      </c>
      <c r="AE401" s="238"/>
      <c r="AF401" s="236">
        <f t="shared" si="50"/>
        <v>0</v>
      </c>
    </row>
    <row r="402" spans="23:32" ht="18">
      <c r="W402" s="129">
        <v>16</v>
      </c>
      <c r="X402" s="130" t="s">
        <v>2891</v>
      </c>
      <c r="Y402" s="130">
        <v>25</v>
      </c>
      <c r="Z402" s="130">
        <v>74.5</v>
      </c>
      <c r="AA402" s="130">
        <v>29.5</v>
      </c>
      <c r="AB402" s="171">
        <v>50</v>
      </c>
      <c r="AC402" s="130" t="s">
        <v>2431</v>
      </c>
      <c r="AD402" s="130">
        <f t="shared" si="51"/>
        <v>1.772</v>
      </c>
      <c r="AE402" s="238"/>
      <c r="AF402" s="236">
        <f t="shared" si="50"/>
        <v>0</v>
      </c>
    </row>
    <row r="403" spans="23:32" ht="18">
      <c r="W403" s="129">
        <v>17</v>
      </c>
      <c r="X403" s="130" t="s">
        <v>2892</v>
      </c>
      <c r="Y403" s="130">
        <v>25</v>
      </c>
      <c r="Z403" s="130">
        <v>74.5</v>
      </c>
      <c r="AA403" s="130">
        <v>32.5</v>
      </c>
      <c r="AB403" s="171">
        <v>50</v>
      </c>
      <c r="AC403" s="130" t="s">
        <v>2432</v>
      </c>
      <c r="AD403" s="130">
        <f t="shared" si="51"/>
        <v>1.9530000000000001</v>
      </c>
      <c r="AE403" s="238"/>
      <c r="AF403" s="236">
        <f t="shared" si="50"/>
        <v>0</v>
      </c>
    </row>
    <row r="404" spans="23:32" ht="18">
      <c r="W404" s="129">
        <v>18</v>
      </c>
      <c r="X404" s="130" t="s">
        <v>2893</v>
      </c>
      <c r="Y404" s="130">
        <v>25</v>
      </c>
      <c r="Z404" s="130">
        <v>74.5</v>
      </c>
      <c r="AA404" s="130">
        <v>35.5</v>
      </c>
      <c r="AB404" s="171">
        <v>50</v>
      </c>
      <c r="AC404" s="130" t="s">
        <v>2433</v>
      </c>
      <c r="AD404" s="130">
        <f t="shared" si="51"/>
        <v>2.133</v>
      </c>
      <c r="AE404" s="238"/>
      <c r="AF404" s="236">
        <f t="shared" si="50"/>
        <v>0</v>
      </c>
    </row>
    <row r="405" spans="23:32" ht="18">
      <c r="W405" s="129">
        <v>19</v>
      </c>
      <c r="X405" s="130" t="s">
        <v>2895</v>
      </c>
      <c r="Y405" s="130">
        <v>25</v>
      </c>
      <c r="Z405" s="130">
        <v>74.5</v>
      </c>
      <c r="AA405" s="130">
        <v>38.5</v>
      </c>
      <c r="AB405" s="171">
        <v>50</v>
      </c>
      <c r="AC405" s="130" t="s">
        <v>2434</v>
      </c>
      <c r="AD405" s="130">
        <f t="shared" si="51"/>
        <v>2.3130000000000002</v>
      </c>
      <c r="AE405" s="238"/>
      <c r="AF405" s="236">
        <f t="shared" si="50"/>
        <v>0</v>
      </c>
    </row>
    <row r="406" spans="23:32" ht="18">
      <c r="W406" s="129">
        <v>20</v>
      </c>
      <c r="X406" s="130" t="s">
        <v>2897</v>
      </c>
      <c r="Y406" s="130">
        <v>25</v>
      </c>
      <c r="Z406" s="130">
        <v>74.5</v>
      </c>
      <c r="AA406" s="130">
        <v>41.5</v>
      </c>
      <c r="AB406" s="171">
        <v>50</v>
      </c>
      <c r="AC406" s="130" t="s">
        <v>2435</v>
      </c>
      <c r="AD406" s="130">
        <f t="shared" si="51"/>
        <v>2.4929999999999999</v>
      </c>
      <c r="AE406" s="238"/>
      <c r="AF406" s="236">
        <f t="shared" si="50"/>
        <v>0</v>
      </c>
    </row>
    <row r="407" spans="23:32" ht="18">
      <c r="W407" s="129">
        <v>21</v>
      </c>
      <c r="X407" s="130" t="s">
        <v>2898</v>
      </c>
      <c r="Y407" s="130">
        <v>25</v>
      </c>
      <c r="Z407" s="130">
        <v>74.5</v>
      </c>
      <c r="AA407" s="130">
        <v>44.5</v>
      </c>
      <c r="AB407" s="171">
        <v>50</v>
      </c>
      <c r="AC407" s="130" t="s">
        <v>2436</v>
      </c>
      <c r="AD407" s="130">
        <f t="shared" si="51"/>
        <v>2.6739999999999999</v>
      </c>
      <c r="AE407" s="238"/>
      <c r="AF407" s="236">
        <f t="shared" si="50"/>
        <v>0</v>
      </c>
    </row>
    <row r="408" spans="23:32" ht="18">
      <c r="W408" s="129">
        <v>22</v>
      </c>
      <c r="X408" s="130" t="s">
        <v>2899</v>
      </c>
      <c r="Y408" s="130">
        <v>25</v>
      </c>
      <c r="Z408" s="130">
        <v>74.5</v>
      </c>
      <c r="AA408" s="130">
        <v>47.5</v>
      </c>
      <c r="AB408" s="171">
        <v>50</v>
      </c>
      <c r="AC408" s="130" t="s">
        <v>2437</v>
      </c>
      <c r="AD408" s="130">
        <f t="shared" si="51"/>
        <v>2.8540000000000001</v>
      </c>
      <c r="AE408" s="238"/>
      <c r="AF408" s="236">
        <f t="shared" si="50"/>
        <v>0</v>
      </c>
    </row>
    <row r="409" spans="23:32" ht="18">
      <c r="W409" s="129">
        <v>23</v>
      </c>
      <c r="X409" s="130" t="s">
        <v>2900</v>
      </c>
      <c r="Y409" s="130">
        <v>25</v>
      </c>
      <c r="Z409" s="130">
        <v>74.5</v>
      </c>
      <c r="AA409" s="130">
        <v>50.5</v>
      </c>
      <c r="AB409" s="171">
        <v>50</v>
      </c>
      <c r="AC409" s="130" t="s">
        <v>2438</v>
      </c>
      <c r="AD409" s="130">
        <f t="shared" si="51"/>
        <v>3.0339999999999998</v>
      </c>
      <c r="AE409" s="238"/>
      <c r="AF409" s="236">
        <f t="shared" si="50"/>
        <v>0</v>
      </c>
    </row>
    <row r="410" spans="23:32" ht="18">
      <c r="W410" s="129">
        <v>24</v>
      </c>
      <c r="X410" s="130" t="s">
        <v>2901</v>
      </c>
      <c r="Y410" s="130">
        <v>25</v>
      </c>
      <c r="Z410" s="130">
        <v>74.5</v>
      </c>
      <c r="AA410" s="130">
        <v>53.5</v>
      </c>
      <c r="AB410" s="171">
        <v>50</v>
      </c>
      <c r="AC410" s="130" t="s">
        <v>2439</v>
      </c>
      <c r="AD410" s="130">
        <f t="shared" si="51"/>
        <v>3.214</v>
      </c>
      <c r="AE410" s="238"/>
      <c r="AF410" s="236">
        <f t="shared" si="50"/>
        <v>0</v>
      </c>
    </row>
    <row r="411" spans="23:32" ht="18">
      <c r="W411" s="129">
        <v>25</v>
      </c>
      <c r="X411" s="130" t="s">
        <v>2902</v>
      </c>
      <c r="Y411" s="130">
        <v>25</v>
      </c>
      <c r="Z411" s="130">
        <v>74.5</v>
      </c>
      <c r="AA411" s="130">
        <v>56.5</v>
      </c>
      <c r="AB411" s="171">
        <v>50</v>
      </c>
      <c r="AC411" s="130" t="s">
        <v>2440</v>
      </c>
      <c r="AD411" s="130">
        <f t="shared" si="51"/>
        <v>3.395</v>
      </c>
      <c r="AE411" s="238"/>
      <c r="AF411" s="236">
        <f t="shared" si="50"/>
        <v>0</v>
      </c>
    </row>
    <row r="412" spans="23:32" ht="18">
      <c r="W412" s="129">
        <v>26</v>
      </c>
      <c r="X412" s="130" t="s">
        <v>2903</v>
      </c>
      <c r="Y412" s="130">
        <v>25</v>
      </c>
      <c r="Z412" s="130">
        <v>74.5</v>
      </c>
      <c r="AA412" s="130">
        <v>59.5</v>
      </c>
      <c r="AB412" s="171">
        <v>50</v>
      </c>
      <c r="AC412" s="130" t="s">
        <v>2441</v>
      </c>
      <c r="AD412" s="130">
        <f t="shared" si="51"/>
        <v>3.5750000000000002</v>
      </c>
      <c r="AE412" s="238"/>
      <c r="AF412" s="236">
        <f t="shared" si="50"/>
        <v>0</v>
      </c>
    </row>
    <row r="413" spans="23:32" ht="18">
      <c r="W413" s="129">
        <v>27</v>
      </c>
      <c r="X413" s="130" t="s">
        <v>2904</v>
      </c>
      <c r="Y413" s="130">
        <v>25</v>
      </c>
      <c r="Z413" s="130">
        <v>74.5</v>
      </c>
      <c r="AA413" s="130">
        <v>62.5</v>
      </c>
      <c r="AB413" s="171">
        <v>50</v>
      </c>
      <c r="AC413" s="130" t="s">
        <v>2442</v>
      </c>
      <c r="AD413" s="130">
        <f t="shared" si="51"/>
        <v>3.7549999999999999</v>
      </c>
      <c r="AE413" s="238"/>
      <c r="AF413" s="236">
        <f t="shared" si="50"/>
        <v>0</v>
      </c>
    </row>
    <row r="414" spans="23:32" ht="18">
      <c r="W414" s="129">
        <v>28</v>
      </c>
      <c r="X414" s="130" t="s">
        <v>2905</v>
      </c>
      <c r="Y414" s="130">
        <v>25</v>
      </c>
      <c r="Z414" s="130">
        <v>74.5</v>
      </c>
      <c r="AA414" s="130">
        <v>65.5</v>
      </c>
      <c r="AB414" s="171">
        <v>50</v>
      </c>
      <c r="AC414" s="130" t="s">
        <v>2443</v>
      </c>
      <c r="AD414" s="130">
        <f t="shared" si="51"/>
        <v>3.9350000000000001</v>
      </c>
      <c r="AE414" s="238"/>
      <c r="AF414" s="236">
        <f t="shared" si="50"/>
        <v>0</v>
      </c>
    </row>
    <row r="415" spans="23:32" ht="18">
      <c r="W415" s="129">
        <v>29</v>
      </c>
      <c r="X415" s="130" t="s">
        <v>2906</v>
      </c>
      <c r="Y415" s="130">
        <v>25</v>
      </c>
      <c r="Z415" s="130">
        <v>74.5</v>
      </c>
      <c r="AA415" s="130">
        <v>68.5</v>
      </c>
      <c r="AB415" s="171">
        <v>50</v>
      </c>
      <c r="AC415" s="130" t="s">
        <v>2444</v>
      </c>
      <c r="AD415" s="130">
        <f t="shared" si="51"/>
        <v>4.1159999999999997</v>
      </c>
      <c r="AE415" s="238"/>
      <c r="AF415" s="236">
        <f t="shared" si="50"/>
        <v>0</v>
      </c>
    </row>
    <row r="416" spans="23:32" ht="18">
      <c r="W416" s="129">
        <v>30</v>
      </c>
      <c r="X416" s="130" t="s">
        <v>2907</v>
      </c>
      <c r="Y416" s="130">
        <v>25</v>
      </c>
      <c r="Z416" s="130">
        <v>74.5</v>
      </c>
      <c r="AA416" s="130">
        <v>71.5</v>
      </c>
      <c r="AB416" s="171">
        <v>50</v>
      </c>
      <c r="AC416" s="130" t="s">
        <v>2445</v>
      </c>
      <c r="AD416" s="130">
        <f t="shared" si="51"/>
        <v>4.2960000000000003</v>
      </c>
      <c r="AE416" s="238"/>
      <c r="AF416" s="236">
        <f t="shared" si="50"/>
        <v>0</v>
      </c>
    </row>
    <row r="417" spans="23:32" ht="18">
      <c r="W417" s="129">
        <v>31</v>
      </c>
      <c r="X417" s="130" t="s">
        <v>2908</v>
      </c>
      <c r="Y417" s="130">
        <v>25</v>
      </c>
      <c r="Z417" s="130">
        <v>77.5</v>
      </c>
      <c r="AA417" s="130">
        <v>29.5</v>
      </c>
      <c r="AB417" s="171">
        <v>50</v>
      </c>
      <c r="AC417" s="130" t="s">
        <v>2446</v>
      </c>
      <c r="AD417" s="130">
        <f t="shared" si="51"/>
        <v>1.8440000000000001</v>
      </c>
      <c r="AE417" s="238"/>
      <c r="AF417" s="236">
        <f t="shared" si="50"/>
        <v>0</v>
      </c>
    </row>
    <row r="418" spans="23:32" ht="18">
      <c r="W418" s="129">
        <v>32</v>
      </c>
      <c r="X418" s="130" t="s">
        <v>2909</v>
      </c>
      <c r="Y418" s="130">
        <v>25</v>
      </c>
      <c r="Z418" s="130">
        <v>77.5</v>
      </c>
      <c r="AA418" s="130">
        <v>32.5</v>
      </c>
      <c r="AB418" s="171">
        <v>50</v>
      </c>
      <c r="AC418" s="130" t="s">
        <v>2447</v>
      </c>
      <c r="AD418" s="130">
        <f t="shared" si="51"/>
        <v>2.0310000000000001</v>
      </c>
      <c r="AE418" s="238"/>
      <c r="AF418" s="236">
        <f t="shared" si="50"/>
        <v>0</v>
      </c>
    </row>
    <row r="419" spans="23:32" ht="18">
      <c r="W419" s="129">
        <v>33</v>
      </c>
      <c r="X419" s="130" t="s">
        <v>2910</v>
      </c>
      <c r="Y419" s="130">
        <v>25</v>
      </c>
      <c r="Z419" s="130">
        <v>77.5</v>
      </c>
      <c r="AA419" s="130">
        <v>35.5</v>
      </c>
      <c r="AB419" s="171">
        <v>50</v>
      </c>
      <c r="AC419" s="130" t="s">
        <v>2448</v>
      </c>
      <c r="AD419" s="130">
        <f t="shared" si="51"/>
        <v>2.2189999999999999</v>
      </c>
      <c r="AE419" s="238"/>
      <c r="AF419" s="236">
        <f t="shared" si="50"/>
        <v>0</v>
      </c>
    </row>
    <row r="420" spans="23:32" ht="18">
      <c r="W420" s="129">
        <v>34</v>
      </c>
      <c r="X420" s="130" t="s">
        <v>2911</v>
      </c>
      <c r="Y420" s="130">
        <v>25</v>
      </c>
      <c r="Z420" s="130">
        <v>77.5</v>
      </c>
      <c r="AA420" s="130">
        <v>38.5</v>
      </c>
      <c r="AB420" s="171">
        <v>50</v>
      </c>
      <c r="AC420" s="130" t="s">
        <v>2449</v>
      </c>
      <c r="AD420" s="130">
        <f t="shared" si="51"/>
        <v>2.4060000000000001</v>
      </c>
      <c r="AE420" s="238"/>
      <c r="AF420" s="236">
        <f t="shared" si="50"/>
        <v>0</v>
      </c>
    </row>
    <row r="421" spans="23:32" ht="18">
      <c r="W421" s="129">
        <v>35</v>
      </c>
      <c r="X421" s="130" t="s">
        <v>2912</v>
      </c>
      <c r="Y421" s="130">
        <v>25</v>
      </c>
      <c r="Z421" s="130">
        <v>77.5</v>
      </c>
      <c r="AA421" s="130">
        <v>41.5</v>
      </c>
      <c r="AB421" s="171">
        <v>50</v>
      </c>
      <c r="AC421" s="130" t="s">
        <v>2450</v>
      </c>
      <c r="AD421" s="130">
        <f t="shared" si="51"/>
        <v>2.5939999999999999</v>
      </c>
      <c r="AE421" s="238"/>
      <c r="AF421" s="236">
        <f t="shared" si="50"/>
        <v>0</v>
      </c>
    </row>
    <row r="422" spans="23:32" ht="18">
      <c r="W422" s="129">
        <v>36</v>
      </c>
      <c r="X422" s="130" t="s">
        <v>2914</v>
      </c>
      <c r="Y422" s="130">
        <v>25</v>
      </c>
      <c r="Z422" s="130">
        <v>77.5</v>
      </c>
      <c r="AA422" s="130">
        <v>44.5</v>
      </c>
      <c r="AB422" s="171">
        <v>50</v>
      </c>
      <c r="AC422" s="130" t="s">
        <v>2451</v>
      </c>
      <c r="AD422" s="130">
        <f t="shared" si="51"/>
        <v>2.7810000000000001</v>
      </c>
      <c r="AE422" s="238"/>
      <c r="AF422" s="236">
        <f t="shared" si="50"/>
        <v>0</v>
      </c>
    </row>
    <row r="423" spans="23:32" ht="18">
      <c r="W423" s="129">
        <v>37</v>
      </c>
      <c r="X423" s="130" t="s">
        <v>2916</v>
      </c>
      <c r="Y423" s="130">
        <v>25</v>
      </c>
      <c r="Z423" s="130">
        <v>77.5</v>
      </c>
      <c r="AA423" s="130">
        <v>47.5</v>
      </c>
      <c r="AB423" s="171">
        <v>50</v>
      </c>
      <c r="AC423" s="130" t="s">
        <v>2452</v>
      </c>
      <c r="AD423" s="130">
        <f t="shared" si="51"/>
        <v>2.9689999999999999</v>
      </c>
      <c r="AE423" s="238"/>
      <c r="AF423" s="236">
        <f t="shared" si="50"/>
        <v>0</v>
      </c>
    </row>
    <row r="424" spans="23:32" ht="18">
      <c r="W424" s="129">
        <v>38</v>
      </c>
      <c r="X424" s="130" t="s">
        <v>2917</v>
      </c>
      <c r="Y424" s="130">
        <v>25</v>
      </c>
      <c r="Z424" s="130">
        <v>77.5</v>
      </c>
      <c r="AA424" s="130">
        <v>50.5</v>
      </c>
      <c r="AB424" s="171">
        <v>50</v>
      </c>
      <c r="AC424" s="130" t="s">
        <v>2453</v>
      </c>
      <c r="AD424" s="130">
        <f t="shared" si="51"/>
        <v>3.1560000000000001</v>
      </c>
      <c r="AE424" s="238"/>
      <c r="AF424" s="236">
        <f t="shared" si="50"/>
        <v>0</v>
      </c>
    </row>
    <row r="425" spans="23:32" ht="18">
      <c r="W425" s="129">
        <v>39</v>
      </c>
      <c r="X425" s="130" t="s">
        <v>2918</v>
      </c>
      <c r="Y425" s="130">
        <v>25</v>
      </c>
      <c r="Z425" s="130">
        <v>77.5</v>
      </c>
      <c r="AA425" s="130">
        <v>53.5</v>
      </c>
      <c r="AB425" s="171">
        <v>50</v>
      </c>
      <c r="AC425" s="130" t="s">
        <v>2454</v>
      </c>
      <c r="AD425" s="130">
        <f t="shared" si="51"/>
        <v>3.3439999999999999</v>
      </c>
      <c r="AE425" s="238"/>
      <c r="AF425" s="236">
        <f t="shared" si="50"/>
        <v>0</v>
      </c>
    </row>
    <row r="426" spans="23:32" ht="18">
      <c r="W426" s="129">
        <v>40</v>
      </c>
      <c r="X426" s="130" t="s">
        <v>2919</v>
      </c>
      <c r="Y426" s="130">
        <v>25</v>
      </c>
      <c r="Z426" s="130">
        <v>77.5</v>
      </c>
      <c r="AA426" s="130">
        <v>56.5</v>
      </c>
      <c r="AB426" s="171">
        <v>50</v>
      </c>
      <c r="AC426" s="130" t="s">
        <v>2455</v>
      </c>
      <c r="AD426" s="130">
        <f t="shared" si="51"/>
        <v>3.5310000000000001</v>
      </c>
      <c r="AE426" s="238"/>
      <c r="AF426" s="236">
        <f t="shared" si="50"/>
        <v>0</v>
      </c>
    </row>
    <row r="427" spans="23:32" ht="18">
      <c r="W427" s="129">
        <v>41</v>
      </c>
      <c r="X427" s="130" t="s">
        <v>2920</v>
      </c>
      <c r="Y427" s="130">
        <v>25</v>
      </c>
      <c r="Z427" s="130">
        <v>77.5</v>
      </c>
      <c r="AA427" s="130">
        <v>59.5</v>
      </c>
      <c r="AB427" s="171">
        <v>50</v>
      </c>
      <c r="AC427" s="130" t="s">
        <v>2456</v>
      </c>
      <c r="AD427" s="130">
        <f t="shared" si="51"/>
        <v>3.7189999999999999</v>
      </c>
      <c r="AE427" s="238"/>
      <c r="AF427" s="236">
        <f t="shared" si="50"/>
        <v>0</v>
      </c>
    </row>
    <row r="428" spans="23:32" ht="18">
      <c r="W428" s="129">
        <v>42</v>
      </c>
      <c r="X428" s="130" t="s">
        <v>2921</v>
      </c>
      <c r="Y428" s="130">
        <v>25</v>
      </c>
      <c r="Z428" s="130">
        <v>77.5</v>
      </c>
      <c r="AA428" s="130">
        <v>62.5</v>
      </c>
      <c r="AB428" s="171">
        <v>50</v>
      </c>
      <c r="AC428" s="130" t="s">
        <v>2457</v>
      </c>
      <c r="AD428" s="130">
        <f t="shared" si="51"/>
        <v>3.9060000000000001</v>
      </c>
      <c r="AE428" s="238"/>
      <c r="AF428" s="236">
        <f t="shared" si="50"/>
        <v>0</v>
      </c>
    </row>
    <row r="429" spans="23:32" ht="18">
      <c r="W429" s="129">
        <v>43</v>
      </c>
      <c r="X429" s="130" t="s">
        <v>2922</v>
      </c>
      <c r="Y429" s="130">
        <v>25</v>
      </c>
      <c r="Z429" s="130">
        <v>77.5</v>
      </c>
      <c r="AA429" s="130">
        <v>65.5</v>
      </c>
      <c r="AB429" s="171">
        <v>50</v>
      </c>
      <c r="AC429" s="130" t="s">
        <v>2458</v>
      </c>
      <c r="AD429" s="130">
        <f t="shared" si="51"/>
        <v>4.0940000000000003</v>
      </c>
      <c r="AE429" s="238"/>
      <c r="AF429" s="236">
        <f t="shared" si="50"/>
        <v>0</v>
      </c>
    </row>
    <row r="430" spans="23:32" ht="18">
      <c r="W430" s="129">
        <v>44</v>
      </c>
      <c r="X430" s="130" t="s">
        <v>2923</v>
      </c>
      <c r="Y430" s="130">
        <v>25</v>
      </c>
      <c r="Z430" s="130">
        <v>77.5</v>
      </c>
      <c r="AA430" s="130">
        <v>68.5</v>
      </c>
      <c r="AB430" s="171">
        <v>50</v>
      </c>
      <c r="AC430" s="130" t="s">
        <v>2459</v>
      </c>
      <c r="AD430" s="130">
        <f t="shared" si="51"/>
        <v>4.2809999999999997</v>
      </c>
      <c r="AE430" s="238"/>
      <c r="AF430" s="236">
        <f t="shared" si="50"/>
        <v>0</v>
      </c>
    </row>
    <row r="431" spans="23:32" ht="18">
      <c r="W431" s="129">
        <v>45</v>
      </c>
      <c r="X431" s="130" t="s">
        <v>2924</v>
      </c>
      <c r="Y431" s="130">
        <v>25</v>
      </c>
      <c r="Z431" s="130">
        <v>77.5</v>
      </c>
      <c r="AA431" s="130">
        <v>71.5</v>
      </c>
      <c r="AB431" s="171">
        <v>50</v>
      </c>
      <c r="AC431" s="130" t="s">
        <v>2460</v>
      </c>
      <c r="AD431" s="130">
        <f t="shared" si="51"/>
        <v>4.4690000000000003</v>
      </c>
      <c r="AE431" s="238"/>
      <c r="AF431" s="236">
        <f t="shared" si="50"/>
        <v>0</v>
      </c>
    </row>
    <row r="432" spans="23:32" ht="18">
      <c r="W432" s="129">
        <v>46</v>
      </c>
      <c r="X432" s="130" t="s">
        <v>2925</v>
      </c>
      <c r="Y432" s="130">
        <v>25</v>
      </c>
      <c r="Z432" s="130">
        <v>79.5</v>
      </c>
      <c r="AA432" s="130">
        <v>29.5</v>
      </c>
      <c r="AB432" s="171">
        <v>50</v>
      </c>
      <c r="AC432" s="130" t="s">
        <v>2461</v>
      </c>
      <c r="AD432" s="130">
        <f t="shared" si="51"/>
        <v>1.891</v>
      </c>
      <c r="AE432" s="238"/>
      <c r="AF432" s="236">
        <f t="shared" si="50"/>
        <v>0</v>
      </c>
    </row>
    <row r="433" spans="23:32" ht="18">
      <c r="W433" s="129">
        <v>47</v>
      </c>
      <c r="X433" s="130" t="s">
        <v>2926</v>
      </c>
      <c r="Y433" s="130">
        <v>25</v>
      </c>
      <c r="Z433" s="130">
        <v>79.5</v>
      </c>
      <c r="AA433" s="130">
        <v>32.5</v>
      </c>
      <c r="AB433" s="171">
        <v>50</v>
      </c>
      <c r="AC433" s="130" t="s">
        <v>2462</v>
      </c>
      <c r="AD433" s="130">
        <f t="shared" si="51"/>
        <v>2.0840000000000001</v>
      </c>
      <c r="AE433" s="238"/>
      <c r="AF433" s="236">
        <f t="shared" si="50"/>
        <v>0</v>
      </c>
    </row>
    <row r="434" spans="23:32" ht="18">
      <c r="W434" s="129">
        <v>48</v>
      </c>
      <c r="X434" s="130" t="s">
        <v>2927</v>
      </c>
      <c r="Y434" s="130">
        <v>25</v>
      </c>
      <c r="Z434" s="130">
        <v>79.5</v>
      </c>
      <c r="AA434" s="130">
        <v>35.5</v>
      </c>
      <c r="AB434" s="171">
        <v>50</v>
      </c>
      <c r="AC434" s="130" t="s">
        <v>2463</v>
      </c>
      <c r="AD434" s="130">
        <f t="shared" si="51"/>
        <v>2.2759999999999998</v>
      </c>
      <c r="AE434" s="238"/>
      <c r="AF434" s="236">
        <f t="shared" si="50"/>
        <v>0</v>
      </c>
    </row>
    <row r="435" spans="23:32" ht="18">
      <c r="W435" s="129">
        <v>49</v>
      </c>
      <c r="X435" s="130" t="s">
        <v>2928</v>
      </c>
      <c r="Y435" s="130">
        <v>25</v>
      </c>
      <c r="Z435" s="130">
        <v>79.5</v>
      </c>
      <c r="AA435" s="130">
        <v>38.5</v>
      </c>
      <c r="AB435" s="171">
        <v>50</v>
      </c>
      <c r="AC435" s="130" t="s">
        <v>2464</v>
      </c>
      <c r="AD435" s="130">
        <f t="shared" si="51"/>
        <v>2.468</v>
      </c>
      <c r="AE435" s="238"/>
      <c r="AF435" s="236">
        <f t="shared" si="50"/>
        <v>0</v>
      </c>
    </row>
    <row r="436" spans="23:32" ht="18">
      <c r="W436" s="129">
        <v>50</v>
      </c>
      <c r="X436" s="130" t="s">
        <v>2929</v>
      </c>
      <c r="Y436" s="130">
        <v>25</v>
      </c>
      <c r="Z436" s="130">
        <v>79.5</v>
      </c>
      <c r="AA436" s="130">
        <v>41.5</v>
      </c>
      <c r="AB436" s="171">
        <v>50</v>
      </c>
      <c r="AC436" s="130" t="s">
        <v>2465</v>
      </c>
      <c r="AD436" s="130">
        <f t="shared" si="51"/>
        <v>2.661</v>
      </c>
      <c r="AE436" s="238"/>
      <c r="AF436" s="236">
        <f t="shared" si="50"/>
        <v>0</v>
      </c>
    </row>
    <row r="437" spans="23:32" ht="18">
      <c r="W437" s="129">
        <v>51</v>
      </c>
      <c r="X437" s="130" t="s">
        <v>2930</v>
      </c>
      <c r="Y437" s="130">
        <v>25</v>
      </c>
      <c r="Z437" s="130">
        <v>79.5</v>
      </c>
      <c r="AA437" s="130">
        <v>44.5</v>
      </c>
      <c r="AB437" s="171">
        <v>50</v>
      </c>
      <c r="AC437" s="130" t="s">
        <v>2466</v>
      </c>
      <c r="AD437" s="130">
        <f t="shared" si="51"/>
        <v>2.8530000000000002</v>
      </c>
      <c r="AE437" s="238"/>
      <c r="AF437" s="236">
        <f t="shared" si="50"/>
        <v>0</v>
      </c>
    </row>
    <row r="438" spans="23:32" ht="18">
      <c r="W438" s="129">
        <v>52</v>
      </c>
      <c r="X438" s="130" t="s">
        <v>2931</v>
      </c>
      <c r="Y438" s="130">
        <v>25</v>
      </c>
      <c r="Z438" s="130">
        <v>79.5</v>
      </c>
      <c r="AA438" s="130">
        <v>47.5</v>
      </c>
      <c r="AB438" s="171">
        <v>50</v>
      </c>
      <c r="AC438" s="130" t="s">
        <v>2467</v>
      </c>
      <c r="AD438" s="130">
        <f t="shared" si="51"/>
        <v>3.0449999999999999</v>
      </c>
      <c r="AE438" s="238"/>
      <c r="AF438" s="236">
        <f t="shared" si="50"/>
        <v>0</v>
      </c>
    </row>
    <row r="439" spans="23:32" ht="18">
      <c r="W439" s="129">
        <v>53</v>
      </c>
      <c r="X439" s="130" t="s">
        <v>2933</v>
      </c>
      <c r="Y439" s="130">
        <v>25</v>
      </c>
      <c r="Z439" s="130">
        <v>79.5</v>
      </c>
      <c r="AA439" s="130">
        <v>50.5</v>
      </c>
      <c r="AB439" s="171">
        <v>50</v>
      </c>
      <c r="AC439" s="130" t="s">
        <v>2468</v>
      </c>
      <c r="AD439" s="130">
        <f t="shared" si="51"/>
        <v>3.238</v>
      </c>
      <c r="AE439" s="238"/>
      <c r="AF439" s="236">
        <f t="shared" si="50"/>
        <v>0</v>
      </c>
    </row>
    <row r="440" spans="23:32" ht="18">
      <c r="W440" s="129">
        <v>54</v>
      </c>
      <c r="X440" s="130" t="s">
        <v>2935</v>
      </c>
      <c r="Y440" s="130">
        <v>25</v>
      </c>
      <c r="Z440" s="130">
        <v>79.5</v>
      </c>
      <c r="AA440" s="130">
        <v>53.5</v>
      </c>
      <c r="AB440" s="171">
        <v>50</v>
      </c>
      <c r="AC440" s="130" t="s">
        <v>2469</v>
      </c>
      <c r="AD440" s="130">
        <f t="shared" si="51"/>
        <v>3.43</v>
      </c>
      <c r="AE440" s="238"/>
      <c r="AF440" s="236">
        <f t="shared" si="50"/>
        <v>0</v>
      </c>
    </row>
    <row r="441" spans="23:32" ht="18">
      <c r="W441" s="129">
        <v>55</v>
      </c>
      <c r="X441" s="130" t="s">
        <v>2936</v>
      </c>
      <c r="Y441" s="130">
        <v>25</v>
      </c>
      <c r="Z441" s="130">
        <v>79.5</v>
      </c>
      <c r="AA441" s="130">
        <v>56.5</v>
      </c>
      <c r="AB441" s="171">
        <v>50</v>
      </c>
      <c r="AC441" s="130" t="s">
        <v>2470</v>
      </c>
      <c r="AD441" s="130">
        <f t="shared" si="51"/>
        <v>3.6219999999999999</v>
      </c>
      <c r="AE441" s="238"/>
      <c r="AF441" s="236">
        <f t="shared" si="50"/>
        <v>0</v>
      </c>
    </row>
    <row r="442" spans="23:32" ht="18">
      <c r="W442" s="129">
        <v>56</v>
      </c>
      <c r="X442" s="130" t="s">
        <v>2937</v>
      </c>
      <c r="Y442" s="130">
        <v>25</v>
      </c>
      <c r="Z442" s="130">
        <v>79.5</v>
      </c>
      <c r="AA442" s="130">
        <v>59.5</v>
      </c>
      <c r="AB442" s="171">
        <v>50</v>
      </c>
      <c r="AC442" s="130" t="s">
        <v>2471</v>
      </c>
      <c r="AD442" s="130">
        <f t="shared" si="51"/>
        <v>3.8149999999999999</v>
      </c>
      <c r="AE442" s="238">
        <v>2</v>
      </c>
      <c r="AF442" s="236">
        <f t="shared" si="50"/>
        <v>7.63</v>
      </c>
    </row>
    <row r="443" spans="23:32" ht="18">
      <c r="W443" s="129">
        <v>57</v>
      </c>
      <c r="X443" s="130" t="s">
        <v>2938</v>
      </c>
      <c r="Y443" s="130">
        <v>25</v>
      </c>
      <c r="Z443" s="130">
        <v>79.5</v>
      </c>
      <c r="AA443" s="130">
        <v>62.5</v>
      </c>
      <c r="AB443" s="171">
        <v>50</v>
      </c>
      <c r="AC443" s="130" t="s">
        <v>2472</v>
      </c>
      <c r="AD443" s="130">
        <f t="shared" si="51"/>
        <v>4.0069999999999997</v>
      </c>
      <c r="AE443" s="238"/>
      <c r="AF443" s="236">
        <f t="shared" si="50"/>
        <v>0</v>
      </c>
    </row>
    <row r="444" spans="23:32" ht="18">
      <c r="W444" s="129">
        <v>58</v>
      </c>
      <c r="X444" s="130" t="s">
        <v>2939</v>
      </c>
      <c r="Y444" s="130">
        <v>25</v>
      </c>
      <c r="Z444" s="130">
        <v>79.5</v>
      </c>
      <c r="AA444" s="130">
        <v>65.5</v>
      </c>
      <c r="AB444" s="171">
        <v>50</v>
      </c>
      <c r="AC444" s="130" t="s">
        <v>2473</v>
      </c>
      <c r="AD444" s="130">
        <f t="shared" si="51"/>
        <v>4.1989999999999998</v>
      </c>
      <c r="AE444" s="238"/>
      <c r="AF444" s="236">
        <f t="shared" si="50"/>
        <v>0</v>
      </c>
    </row>
    <row r="445" spans="23:32" ht="18">
      <c r="W445" s="129">
        <v>59</v>
      </c>
      <c r="X445" s="130" t="s">
        <v>2940</v>
      </c>
      <c r="Y445" s="130">
        <v>25</v>
      </c>
      <c r="Z445" s="130">
        <v>79.5</v>
      </c>
      <c r="AA445" s="130">
        <v>68.5</v>
      </c>
      <c r="AB445" s="171">
        <v>50</v>
      </c>
      <c r="AC445" s="130" t="s">
        <v>2474</v>
      </c>
      <c r="AD445" s="130">
        <f t="shared" si="51"/>
        <v>4.3920000000000003</v>
      </c>
      <c r="AE445" s="238"/>
      <c r="AF445" s="236">
        <f t="shared" si="50"/>
        <v>0</v>
      </c>
    </row>
    <row r="446" spans="23:32" ht="18">
      <c r="W446" s="129">
        <v>60</v>
      </c>
      <c r="X446" s="130" t="s">
        <v>2941</v>
      </c>
      <c r="Y446" s="130">
        <v>25</v>
      </c>
      <c r="Z446" s="130">
        <v>79.5</v>
      </c>
      <c r="AA446" s="130">
        <v>71.5</v>
      </c>
      <c r="AB446" s="171">
        <v>50</v>
      </c>
      <c r="AC446" s="130" t="s">
        <v>2475</v>
      </c>
      <c r="AD446" s="130">
        <f t="shared" si="51"/>
        <v>4.5839999999999996</v>
      </c>
      <c r="AE446" s="238"/>
      <c r="AF446" s="236">
        <f t="shared" si="50"/>
        <v>0</v>
      </c>
    </row>
    <row r="447" spans="23:32" ht="18">
      <c r="W447" s="129">
        <v>61</v>
      </c>
      <c r="X447" s="130" t="s">
        <v>2942</v>
      </c>
      <c r="Y447" s="130">
        <v>25</v>
      </c>
      <c r="Z447" s="130">
        <v>83.5</v>
      </c>
      <c r="AA447" s="130">
        <v>29.5</v>
      </c>
      <c r="AB447" s="171">
        <v>50</v>
      </c>
      <c r="AC447" s="130" t="s">
        <v>2476</v>
      </c>
      <c r="AD447" s="130">
        <f t="shared" si="51"/>
        <v>1.986</v>
      </c>
      <c r="AE447" s="238"/>
      <c r="AF447" s="236">
        <f t="shared" si="50"/>
        <v>0</v>
      </c>
    </row>
    <row r="448" spans="23:32" ht="18">
      <c r="W448" s="129">
        <v>62</v>
      </c>
      <c r="X448" s="130" t="s">
        <v>2943</v>
      </c>
      <c r="Y448" s="130">
        <v>25</v>
      </c>
      <c r="Z448" s="130">
        <v>83.5</v>
      </c>
      <c r="AA448" s="130">
        <v>32.5</v>
      </c>
      <c r="AB448" s="171">
        <v>50</v>
      </c>
      <c r="AC448" s="130" t="s">
        <v>2477</v>
      </c>
      <c r="AD448" s="130">
        <f t="shared" si="51"/>
        <v>2.1890000000000001</v>
      </c>
      <c r="AE448" s="238"/>
      <c r="AF448" s="236">
        <f t="shared" si="50"/>
        <v>0</v>
      </c>
    </row>
    <row r="449" spans="23:32" ht="18">
      <c r="W449" s="129">
        <v>63</v>
      </c>
      <c r="X449" s="130" t="s">
        <v>2944</v>
      </c>
      <c r="Y449" s="130">
        <v>25</v>
      </c>
      <c r="Z449" s="130">
        <v>83.5</v>
      </c>
      <c r="AA449" s="130">
        <v>35.5</v>
      </c>
      <c r="AB449" s="171">
        <v>50</v>
      </c>
      <c r="AC449" s="130" t="s">
        <v>2478</v>
      </c>
      <c r="AD449" s="130">
        <f t="shared" si="51"/>
        <v>2.391</v>
      </c>
      <c r="AE449" s="238"/>
      <c r="AF449" s="236">
        <f t="shared" si="50"/>
        <v>0</v>
      </c>
    </row>
    <row r="450" spans="23:32" ht="18">
      <c r="W450" s="129">
        <v>64</v>
      </c>
      <c r="X450" s="130" t="s">
        <v>2945</v>
      </c>
      <c r="Y450" s="130">
        <v>25</v>
      </c>
      <c r="Z450" s="130">
        <v>83.5</v>
      </c>
      <c r="AA450" s="130">
        <v>38.5</v>
      </c>
      <c r="AB450" s="171">
        <v>50</v>
      </c>
      <c r="AC450" s="130" t="s">
        <v>2479</v>
      </c>
      <c r="AD450" s="130">
        <f t="shared" si="51"/>
        <v>2.593</v>
      </c>
      <c r="AE450" s="238"/>
      <c r="AF450" s="236">
        <f t="shared" ref="AF450:AF463" si="52">+AD450*AE450</f>
        <v>0</v>
      </c>
    </row>
    <row r="451" spans="23:32" ht="18">
      <c r="W451" s="129">
        <v>65</v>
      </c>
      <c r="X451" s="130" t="s">
        <v>2946</v>
      </c>
      <c r="Y451" s="130">
        <v>25</v>
      </c>
      <c r="Z451" s="130">
        <v>83.5</v>
      </c>
      <c r="AA451" s="130">
        <v>41.5</v>
      </c>
      <c r="AB451" s="171">
        <v>50</v>
      </c>
      <c r="AC451" s="130" t="s">
        <v>2480</v>
      </c>
      <c r="AD451" s="130">
        <f t="shared" si="51"/>
        <v>2.7949999999999999</v>
      </c>
      <c r="AE451" s="238"/>
      <c r="AF451" s="236">
        <f t="shared" si="52"/>
        <v>0</v>
      </c>
    </row>
    <row r="452" spans="23:32" ht="18">
      <c r="W452" s="129">
        <v>66</v>
      </c>
      <c r="X452" s="130" t="s">
        <v>2947</v>
      </c>
      <c r="Y452" s="130">
        <v>25</v>
      </c>
      <c r="Z452" s="130">
        <v>83.5</v>
      </c>
      <c r="AA452" s="130">
        <v>44.5</v>
      </c>
      <c r="AB452" s="171">
        <v>50</v>
      </c>
      <c r="AC452" s="130" t="s">
        <v>2481</v>
      </c>
      <c r="AD452" s="130">
        <f t="shared" ref="AD452:AD463" si="53">+ROUND((Y452*Z452*0.0254*AA452*0.0254*(AB452/1000)),3)</f>
        <v>2.9969999999999999</v>
      </c>
      <c r="AE452" s="238"/>
      <c r="AF452" s="236">
        <f t="shared" si="52"/>
        <v>0</v>
      </c>
    </row>
    <row r="453" spans="23:32" ht="18">
      <c r="W453" s="129">
        <v>67</v>
      </c>
      <c r="X453" s="130" t="s">
        <v>2948</v>
      </c>
      <c r="Y453" s="130">
        <v>25</v>
      </c>
      <c r="Z453" s="130">
        <v>83.5</v>
      </c>
      <c r="AA453" s="130">
        <v>47.5</v>
      </c>
      <c r="AB453" s="171">
        <v>50</v>
      </c>
      <c r="AC453" s="130" t="s">
        <v>2482</v>
      </c>
      <c r="AD453" s="130">
        <f t="shared" si="53"/>
        <v>3.1989999999999998</v>
      </c>
      <c r="AE453" s="238"/>
      <c r="AF453" s="236">
        <f t="shared" si="52"/>
        <v>0</v>
      </c>
    </row>
    <row r="454" spans="23:32" ht="18">
      <c r="W454" s="129">
        <v>68</v>
      </c>
      <c r="X454" s="130" t="s">
        <v>2949</v>
      </c>
      <c r="Y454" s="130">
        <v>25</v>
      </c>
      <c r="Z454" s="130">
        <v>83.5</v>
      </c>
      <c r="AA454" s="130">
        <v>50.5</v>
      </c>
      <c r="AB454" s="171">
        <v>50</v>
      </c>
      <c r="AC454" s="130" t="s">
        <v>2483</v>
      </c>
      <c r="AD454" s="130">
        <f t="shared" si="53"/>
        <v>3.4009999999999998</v>
      </c>
      <c r="AE454" s="238"/>
      <c r="AF454" s="236">
        <f t="shared" si="52"/>
        <v>0</v>
      </c>
    </row>
    <row r="455" spans="23:32" ht="18">
      <c r="W455" s="129">
        <v>69</v>
      </c>
      <c r="X455" s="130" t="s">
        <v>2950</v>
      </c>
      <c r="Y455" s="130">
        <v>25</v>
      </c>
      <c r="Z455" s="130">
        <v>83.5</v>
      </c>
      <c r="AA455" s="130">
        <v>53.5</v>
      </c>
      <c r="AB455" s="171">
        <v>50</v>
      </c>
      <c r="AC455" s="130" t="s">
        <v>2484</v>
      </c>
      <c r="AD455" s="130">
        <f t="shared" si="53"/>
        <v>3.6030000000000002</v>
      </c>
      <c r="AE455" s="238"/>
      <c r="AF455" s="236">
        <f t="shared" si="52"/>
        <v>0</v>
      </c>
    </row>
    <row r="456" spans="23:32" ht="18">
      <c r="W456" s="129">
        <v>70</v>
      </c>
      <c r="X456" s="130" t="s">
        <v>2952</v>
      </c>
      <c r="Y456" s="130">
        <v>25</v>
      </c>
      <c r="Z456" s="130">
        <v>83.5</v>
      </c>
      <c r="AA456" s="130">
        <v>56.5</v>
      </c>
      <c r="AB456" s="171">
        <v>50</v>
      </c>
      <c r="AC456" s="130" t="s">
        <v>2485</v>
      </c>
      <c r="AD456" s="130">
        <f t="shared" si="53"/>
        <v>3.8050000000000002</v>
      </c>
      <c r="AE456" s="238"/>
      <c r="AF456" s="236">
        <f t="shared" si="52"/>
        <v>0</v>
      </c>
    </row>
    <row r="457" spans="23:32" ht="18">
      <c r="W457" s="129">
        <v>71</v>
      </c>
      <c r="X457" s="130" t="s">
        <v>2954</v>
      </c>
      <c r="Y457" s="130">
        <v>25</v>
      </c>
      <c r="Z457" s="130">
        <v>83.5</v>
      </c>
      <c r="AA457" s="130">
        <v>59.5</v>
      </c>
      <c r="AB457" s="171">
        <v>50</v>
      </c>
      <c r="AC457" s="130" t="s">
        <v>2486</v>
      </c>
      <c r="AD457" s="130">
        <f t="shared" si="53"/>
        <v>4.0069999999999997</v>
      </c>
      <c r="AE457" s="238"/>
      <c r="AF457" s="236">
        <f t="shared" si="52"/>
        <v>0</v>
      </c>
    </row>
    <row r="458" spans="23:32" ht="18">
      <c r="W458" s="129">
        <v>72</v>
      </c>
      <c r="X458" s="130" t="s">
        <v>2955</v>
      </c>
      <c r="Y458" s="130">
        <v>25</v>
      </c>
      <c r="Z458" s="130">
        <v>83.5</v>
      </c>
      <c r="AA458" s="130">
        <v>62.5</v>
      </c>
      <c r="AB458" s="171">
        <v>50</v>
      </c>
      <c r="AC458" s="130" t="s">
        <v>2487</v>
      </c>
      <c r="AD458" s="130">
        <f t="shared" si="53"/>
        <v>4.2089999999999996</v>
      </c>
      <c r="AE458" s="238"/>
      <c r="AF458" s="236">
        <f t="shared" si="52"/>
        <v>0</v>
      </c>
    </row>
    <row r="459" spans="23:32" ht="18">
      <c r="W459" s="129">
        <v>73</v>
      </c>
      <c r="X459" s="130" t="s">
        <v>2956</v>
      </c>
      <c r="Y459" s="130">
        <v>25</v>
      </c>
      <c r="Z459" s="130">
        <v>83.5</v>
      </c>
      <c r="AA459" s="130">
        <v>65.5</v>
      </c>
      <c r="AB459" s="171">
        <v>50</v>
      </c>
      <c r="AC459" s="130" t="s">
        <v>2488</v>
      </c>
      <c r="AD459" s="130">
        <f t="shared" si="53"/>
        <v>4.4109999999999996</v>
      </c>
      <c r="AE459" s="238"/>
      <c r="AF459" s="236">
        <f t="shared" si="52"/>
        <v>0</v>
      </c>
    </row>
    <row r="460" spans="23:32" ht="18">
      <c r="W460" s="129">
        <v>74</v>
      </c>
      <c r="X460" s="130" t="s">
        <v>2957</v>
      </c>
      <c r="Y460" s="130">
        <v>25</v>
      </c>
      <c r="Z460" s="130">
        <v>83.5</v>
      </c>
      <c r="AA460" s="130">
        <v>68.5</v>
      </c>
      <c r="AB460" s="171">
        <v>50</v>
      </c>
      <c r="AC460" s="130" t="s">
        <v>2489</v>
      </c>
      <c r="AD460" s="130">
        <f t="shared" si="53"/>
        <v>4.6130000000000004</v>
      </c>
      <c r="AE460" s="238"/>
      <c r="AF460" s="236">
        <f t="shared" si="52"/>
        <v>0</v>
      </c>
    </row>
    <row r="461" spans="23:32" ht="18">
      <c r="W461" s="129">
        <v>75</v>
      </c>
      <c r="X461" s="130" t="s">
        <v>2958</v>
      </c>
      <c r="Y461" s="130">
        <v>25</v>
      </c>
      <c r="Z461" s="130">
        <v>83.5</v>
      </c>
      <c r="AA461" s="130">
        <v>71.5</v>
      </c>
      <c r="AB461" s="171">
        <v>50</v>
      </c>
      <c r="AC461" s="130" t="s">
        <v>2490</v>
      </c>
      <c r="AD461" s="130">
        <f t="shared" si="53"/>
        <v>4.8150000000000004</v>
      </c>
      <c r="AE461" s="238"/>
      <c r="AF461" s="236">
        <f t="shared" si="52"/>
        <v>0</v>
      </c>
    </row>
    <row r="462" spans="23:32" ht="18">
      <c r="W462" s="129">
        <v>76</v>
      </c>
      <c r="X462" s="130" t="s">
        <v>2959</v>
      </c>
      <c r="Y462" s="130">
        <v>25</v>
      </c>
      <c r="Z462" s="130">
        <v>12.5</v>
      </c>
      <c r="AA462" s="130">
        <v>12.5</v>
      </c>
      <c r="AB462" s="171">
        <v>50</v>
      </c>
      <c r="AC462" s="130" t="s">
        <v>2491</v>
      </c>
      <c r="AD462" s="130">
        <f t="shared" si="53"/>
        <v>0.126</v>
      </c>
      <c r="AE462" s="238"/>
      <c r="AF462" s="236">
        <f t="shared" si="52"/>
        <v>0</v>
      </c>
    </row>
    <row r="463" spans="23:32" ht="18">
      <c r="W463" s="174">
        <v>77</v>
      </c>
      <c r="X463" s="175" t="s">
        <v>2960</v>
      </c>
      <c r="Y463" s="175">
        <v>25</v>
      </c>
      <c r="Z463" s="175">
        <v>19.5</v>
      </c>
      <c r="AA463" s="175">
        <v>17.5</v>
      </c>
      <c r="AB463" s="171">
        <v>50</v>
      </c>
      <c r="AC463" s="175" t="s">
        <v>2492</v>
      </c>
      <c r="AD463" s="175">
        <f t="shared" si="53"/>
        <v>0.27500000000000002</v>
      </c>
      <c r="AE463" s="238"/>
      <c r="AF463" s="237">
        <f t="shared" si="52"/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5"/>
  <cols>
    <col min="2" max="2" width="14.7109375" customWidth="1"/>
    <col min="3" max="3" width="21.5703125" customWidth="1"/>
    <col min="4" max="4" width="20" customWidth="1"/>
    <col min="5" max="5" width="13.42578125" customWidth="1"/>
    <col min="6" max="6" width="47.42578125" customWidth="1"/>
  </cols>
  <sheetData>
    <row r="1" spans="1:6" ht="31.5">
      <c r="A1" s="498" t="s">
        <v>4048</v>
      </c>
      <c r="B1" s="499"/>
      <c r="C1" s="499"/>
      <c r="D1" s="499"/>
      <c r="E1" s="499"/>
      <c r="F1" s="500"/>
    </row>
    <row r="2" spans="1:6" s="461" customFormat="1" ht="63" customHeight="1">
      <c r="A2" s="459" t="s">
        <v>1387</v>
      </c>
      <c r="B2" s="460" t="s">
        <v>4049</v>
      </c>
      <c r="C2" s="459" t="s">
        <v>1394</v>
      </c>
      <c r="D2" s="460" t="s">
        <v>4050</v>
      </c>
      <c r="E2" s="460" t="s">
        <v>4051</v>
      </c>
      <c r="F2" s="462" t="s">
        <v>4052</v>
      </c>
    </row>
    <row r="3" spans="1:6" ht="27.95" customHeight="1">
      <c r="A3" s="458">
        <v>1</v>
      </c>
      <c r="B3" s="458">
        <v>72</v>
      </c>
      <c r="C3" s="458" t="s">
        <v>4046</v>
      </c>
      <c r="D3" s="463">
        <v>71.5</v>
      </c>
      <c r="E3" s="463">
        <v>70</v>
      </c>
      <c r="F3" s="501" t="s">
        <v>4047</v>
      </c>
    </row>
    <row r="4" spans="1:6" ht="27.95" customHeight="1">
      <c r="A4" s="464">
        <v>2</v>
      </c>
      <c r="B4" s="464">
        <v>75</v>
      </c>
      <c r="C4" s="464" t="s">
        <v>4046</v>
      </c>
      <c r="D4" s="465">
        <v>74.5</v>
      </c>
      <c r="E4" s="465">
        <v>70</v>
      </c>
      <c r="F4" s="502"/>
    </row>
    <row r="5" spans="1:6" ht="27.95" customHeight="1">
      <c r="A5" s="464">
        <v>3</v>
      </c>
      <c r="B5" s="464">
        <v>78</v>
      </c>
      <c r="C5" s="464" t="s">
        <v>4046</v>
      </c>
      <c r="D5" s="465">
        <v>77.5</v>
      </c>
      <c r="E5" s="465">
        <v>70</v>
      </c>
      <c r="F5" s="502"/>
    </row>
    <row r="6" spans="1:6" ht="27.95" customHeight="1">
      <c r="A6" s="458">
        <v>4</v>
      </c>
      <c r="B6" s="458">
        <v>80</v>
      </c>
      <c r="C6" s="458" t="s">
        <v>4046</v>
      </c>
      <c r="D6" s="463">
        <v>79.5</v>
      </c>
      <c r="E6" s="463">
        <v>70</v>
      </c>
      <c r="F6" s="502"/>
    </row>
    <row r="7" spans="1:6" ht="27.95" customHeight="1">
      <c r="A7" s="458">
        <v>5</v>
      </c>
      <c r="B7" s="458">
        <v>84</v>
      </c>
      <c r="C7" s="458" t="s">
        <v>4046</v>
      </c>
      <c r="D7" s="463">
        <v>83.5</v>
      </c>
      <c r="E7" s="463">
        <v>70</v>
      </c>
      <c r="F7" s="502"/>
    </row>
    <row r="8" spans="1:6" ht="27.95" customHeight="1">
      <c r="A8" s="458">
        <v>1</v>
      </c>
      <c r="B8" s="458">
        <v>36</v>
      </c>
      <c r="C8" s="458" t="s">
        <v>4046</v>
      </c>
      <c r="D8" s="463">
        <v>30</v>
      </c>
      <c r="E8" s="463">
        <v>70</v>
      </c>
      <c r="F8" s="502"/>
    </row>
    <row r="9" spans="1:6" ht="27.95" customHeight="1">
      <c r="A9" s="464">
        <v>2</v>
      </c>
      <c r="B9" s="464">
        <v>42</v>
      </c>
      <c r="C9" s="464" t="s">
        <v>4046</v>
      </c>
      <c r="D9" s="465">
        <v>36</v>
      </c>
      <c r="E9" s="465">
        <v>70</v>
      </c>
      <c r="F9" s="502"/>
    </row>
    <row r="10" spans="1:6" ht="27.95" customHeight="1">
      <c r="A10" s="458">
        <v>3</v>
      </c>
      <c r="B10" s="458">
        <v>48</v>
      </c>
      <c r="C10" s="458" t="s">
        <v>4046</v>
      </c>
      <c r="D10" s="463">
        <v>42</v>
      </c>
      <c r="E10" s="463">
        <v>70</v>
      </c>
      <c r="F10" s="502"/>
    </row>
    <row r="11" spans="1:6" ht="27.95" customHeight="1">
      <c r="A11" s="464">
        <v>4</v>
      </c>
      <c r="B11" s="464">
        <v>60</v>
      </c>
      <c r="C11" s="464" t="s">
        <v>4046</v>
      </c>
      <c r="D11" s="465">
        <v>54</v>
      </c>
      <c r="E11" s="465">
        <v>70</v>
      </c>
      <c r="F11" s="502"/>
    </row>
    <row r="12" spans="1:6" ht="27.95" customHeight="1">
      <c r="A12" s="458">
        <v>5</v>
      </c>
      <c r="B12" s="458">
        <v>66</v>
      </c>
      <c r="C12" s="458" t="s">
        <v>4046</v>
      </c>
      <c r="D12" s="463">
        <v>60</v>
      </c>
      <c r="E12" s="463">
        <v>70</v>
      </c>
      <c r="F12" s="502"/>
    </row>
    <row r="13" spans="1:6" ht="27.95" customHeight="1">
      <c r="A13" s="464">
        <v>6</v>
      </c>
      <c r="B13" s="464">
        <v>72</v>
      </c>
      <c r="C13" s="464" t="s">
        <v>4046</v>
      </c>
      <c r="D13" s="465">
        <v>66</v>
      </c>
      <c r="E13" s="465">
        <v>70</v>
      </c>
      <c r="F13" s="503"/>
    </row>
  </sheetData>
  <mergeCells count="2">
    <mergeCell ref="A1:F1"/>
    <mergeCell ref="F3:F13"/>
  </mergeCells>
  <pageMargins left="0.24" right="0.7" top="0.75" bottom="0.75" header="0.3" footer="0.3"/>
  <pageSetup paperSize="9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3"/>
  <dimension ref="A1:H393"/>
  <sheetViews>
    <sheetView topLeftCell="A37" zoomScale="85" zoomScaleNormal="85" workbookViewId="0">
      <selection activeCell="G47" sqref="G47"/>
    </sheetView>
  </sheetViews>
  <sheetFormatPr defaultColWidth="9" defaultRowHeight="15"/>
  <cols>
    <col min="1" max="1" width="7.5703125" customWidth="1"/>
    <col min="2" max="2" width="16.5703125" customWidth="1"/>
    <col min="3" max="3" width="53" customWidth="1"/>
    <col min="4" max="4" width="8.7109375" customWidth="1"/>
    <col min="5" max="5" width="12.85546875" customWidth="1"/>
    <col min="6" max="6" width="17" customWidth="1"/>
    <col min="7" max="7" width="45.140625" customWidth="1"/>
  </cols>
  <sheetData>
    <row r="1" spans="1:8" s="56" customFormat="1" ht="39.75" customHeight="1">
      <c r="A1" s="80" t="s">
        <v>2526</v>
      </c>
      <c r="B1" s="80" t="s">
        <v>8</v>
      </c>
      <c r="C1" s="80" t="s">
        <v>2961</v>
      </c>
      <c r="D1" s="80" t="s">
        <v>2962</v>
      </c>
      <c r="E1" s="80" t="s">
        <v>1390</v>
      </c>
      <c r="F1" s="80" t="s">
        <v>1730</v>
      </c>
      <c r="G1" s="80" t="s">
        <v>2963</v>
      </c>
      <c r="H1" s="80" t="s">
        <v>1398</v>
      </c>
    </row>
    <row r="2" spans="1:8" s="56" customFormat="1" ht="24.95" customHeight="1">
      <c r="A2" s="81">
        <v>1</v>
      </c>
      <c r="B2" s="81" t="s">
        <v>2964</v>
      </c>
      <c r="C2" s="82" t="s">
        <v>14</v>
      </c>
      <c r="D2" s="83" t="s">
        <v>2965</v>
      </c>
      <c r="E2" s="81">
        <v>110</v>
      </c>
      <c r="F2" s="81" t="s">
        <v>1410</v>
      </c>
      <c r="G2" s="81" t="s">
        <v>2966</v>
      </c>
      <c r="H2" s="81">
        <v>1</v>
      </c>
    </row>
    <row r="3" spans="1:8" s="56" customFormat="1" ht="24.95" customHeight="1">
      <c r="A3" s="81">
        <v>2</v>
      </c>
      <c r="B3" s="81" t="s">
        <v>2964</v>
      </c>
      <c r="C3" s="82" t="s">
        <v>14</v>
      </c>
      <c r="D3" s="83" t="s">
        <v>2967</v>
      </c>
      <c r="E3" s="81">
        <v>130</v>
      </c>
      <c r="F3" s="81" t="s">
        <v>1410</v>
      </c>
      <c r="G3" s="81" t="s">
        <v>996</v>
      </c>
      <c r="H3" s="81">
        <v>1</v>
      </c>
    </row>
    <row r="4" spans="1:8" s="56" customFormat="1" ht="24.95" customHeight="1">
      <c r="A4" s="81">
        <v>3</v>
      </c>
      <c r="B4" s="81" t="s">
        <v>2964</v>
      </c>
      <c r="C4" s="82" t="s">
        <v>14</v>
      </c>
      <c r="D4" s="83" t="s">
        <v>2968</v>
      </c>
      <c r="E4" s="81">
        <v>170</v>
      </c>
      <c r="F4" s="81" t="s">
        <v>1410</v>
      </c>
      <c r="G4" s="81" t="s">
        <v>1099</v>
      </c>
      <c r="H4" s="81">
        <v>1</v>
      </c>
    </row>
    <row r="5" spans="1:8" s="56" customFormat="1" ht="24.95" customHeight="1">
      <c r="A5" s="84">
        <v>4</v>
      </c>
      <c r="B5" s="84" t="s">
        <v>2964</v>
      </c>
      <c r="C5" s="85" t="s">
        <v>2710</v>
      </c>
      <c r="D5" s="86" t="s">
        <v>2965</v>
      </c>
      <c r="E5" s="84">
        <v>130</v>
      </c>
      <c r="F5" s="84" t="s">
        <v>1410</v>
      </c>
      <c r="G5" s="84" t="s">
        <v>2969</v>
      </c>
      <c r="H5" s="84">
        <v>1</v>
      </c>
    </row>
    <row r="6" spans="1:8" s="56" customFormat="1" ht="24.95" customHeight="1">
      <c r="A6" s="84">
        <v>5</v>
      </c>
      <c r="B6" s="84" t="s">
        <v>2964</v>
      </c>
      <c r="C6" s="85" t="s">
        <v>2710</v>
      </c>
      <c r="D6" s="86" t="s">
        <v>2967</v>
      </c>
      <c r="E6" s="84">
        <v>150</v>
      </c>
      <c r="F6" s="84" t="s">
        <v>1410</v>
      </c>
      <c r="G6" s="84" t="s">
        <v>2970</v>
      </c>
      <c r="H6" s="84">
        <v>1</v>
      </c>
    </row>
    <row r="7" spans="1:8" s="56" customFormat="1" ht="24.95" customHeight="1">
      <c r="A7" s="84">
        <v>6</v>
      </c>
      <c r="B7" s="84" t="s">
        <v>2964</v>
      </c>
      <c r="C7" s="85" t="s">
        <v>2710</v>
      </c>
      <c r="D7" s="86" t="s">
        <v>2968</v>
      </c>
      <c r="E7" s="84">
        <v>170</v>
      </c>
      <c r="F7" s="84" t="s">
        <v>1410</v>
      </c>
      <c r="G7" s="84" t="s">
        <v>2971</v>
      </c>
      <c r="H7" s="84">
        <v>1</v>
      </c>
    </row>
    <row r="8" spans="1:8" s="56" customFormat="1" ht="24.95" customHeight="1">
      <c r="A8" s="87">
        <v>7</v>
      </c>
      <c r="B8" s="87" t="s">
        <v>2964</v>
      </c>
      <c r="C8" s="88" t="s">
        <v>2717</v>
      </c>
      <c r="D8" s="89" t="s">
        <v>2967</v>
      </c>
      <c r="E8" s="87">
        <v>130</v>
      </c>
      <c r="F8" s="87" t="s">
        <v>1410</v>
      </c>
      <c r="G8" s="87" t="s">
        <v>2972</v>
      </c>
      <c r="H8" s="87">
        <v>1</v>
      </c>
    </row>
    <row r="9" spans="1:8" s="56" customFormat="1" ht="24.95" customHeight="1">
      <c r="A9" s="87">
        <v>8</v>
      </c>
      <c r="B9" s="87" t="s">
        <v>2964</v>
      </c>
      <c r="C9" s="88" t="s">
        <v>2719</v>
      </c>
      <c r="D9" s="89" t="s">
        <v>2967</v>
      </c>
      <c r="E9" s="87">
        <v>130</v>
      </c>
      <c r="F9" s="87" t="s">
        <v>1410</v>
      </c>
      <c r="G9" s="87" t="s">
        <v>2972</v>
      </c>
      <c r="H9" s="87">
        <v>1</v>
      </c>
    </row>
    <row r="10" spans="1:8" s="56" customFormat="1" ht="24.95" customHeight="1">
      <c r="A10" s="87">
        <v>9</v>
      </c>
      <c r="B10" s="87" t="s">
        <v>2964</v>
      </c>
      <c r="C10" s="88" t="s">
        <v>2723</v>
      </c>
      <c r="D10" s="89" t="s">
        <v>2967</v>
      </c>
      <c r="E10" s="87">
        <v>130</v>
      </c>
      <c r="F10" s="87" t="s">
        <v>1410</v>
      </c>
      <c r="G10" s="87" t="s">
        <v>2972</v>
      </c>
      <c r="H10" s="87">
        <v>1</v>
      </c>
    </row>
    <row r="11" spans="1:8" s="56" customFormat="1" ht="24.95" customHeight="1">
      <c r="A11" s="90">
        <v>10</v>
      </c>
      <c r="B11" s="90" t="s">
        <v>2964</v>
      </c>
      <c r="C11" s="91" t="s">
        <v>2726</v>
      </c>
      <c r="D11" s="92" t="s">
        <v>2968</v>
      </c>
      <c r="E11" s="90">
        <v>150</v>
      </c>
      <c r="F11" s="90" t="s">
        <v>1410</v>
      </c>
      <c r="G11" s="90" t="s">
        <v>2973</v>
      </c>
      <c r="H11" s="90">
        <v>1</v>
      </c>
    </row>
    <row r="12" spans="1:8" s="56" customFormat="1" ht="24.95" customHeight="1">
      <c r="A12" s="90">
        <v>11</v>
      </c>
      <c r="B12" s="90" t="s">
        <v>2964</v>
      </c>
      <c r="C12" s="91" t="s">
        <v>2974</v>
      </c>
      <c r="D12" s="92" t="s">
        <v>2968</v>
      </c>
      <c r="E12" s="90">
        <v>150</v>
      </c>
      <c r="F12" s="90" t="s">
        <v>1410</v>
      </c>
      <c r="G12" s="90" t="s">
        <v>2975</v>
      </c>
      <c r="H12" s="90">
        <v>1</v>
      </c>
    </row>
    <row r="13" spans="1:8" s="56" customFormat="1" ht="24.95" customHeight="1">
      <c r="A13" s="90">
        <v>12</v>
      </c>
      <c r="B13" s="90" t="s">
        <v>2964</v>
      </c>
      <c r="C13" s="91" t="s">
        <v>2732</v>
      </c>
      <c r="D13" s="92" t="s">
        <v>2968</v>
      </c>
      <c r="E13" s="90">
        <v>150</v>
      </c>
      <c r="F13" s="90" t="s">
        <v>1410</v>
      </c>
      <c r="G13" s="90" t="s">
        <v>2976</v>
      </c>
      <c r="H13" s="90">
        <v>1</v>
      </c>
    </row>
    <row r="14" spans="1:8" s="56" customFormat="1" ht="24.95" customHeight="1">
      <c r="A14" s="93">
        <v>13</v>
      </c>
      <c r="B14" s="93" t="s">
        <v>2964</v>
      </c>
      <c r="C14" s="94" t="s">
        <v>2735</v>
      </c>
      <c r="D14" s="95" t="s">
        <v>2965</v>
      </c>
      <c r="E14" s="93">
        <v>110</v>
      </c>
      <c r="F14" s="93" t="s">
        <v>1410</v>
      </c>
      <c r="G14" s="93" t="s">
        <v>2977</v>
      </c>
      <c r="H14" s="93">
        <v>1</v>
      </c>
    </row>
    <row r="15" spans="1:8" s="56" customFormat="1" ht="24.95" customHeight="1">
      <c r="A15" s="93">
        <v>14</v>
      </c>
      <c r="B15" s="93" t="s">
        <v>2964</v>
      </c>
      <c r="C15" s="94" t="s">
        <v>2737</v>
      </c>
      <c r="D15" s="95" t="s">
        <v>2965</v>
      </c>
      <c r="E15" s="93">
        <v>110</v>
      </c>
      <c r="F15" s="93" t="s">
        <v>1410</v>
      </c>
      <c r="G15" s="93" t="s">
        <v>2978</v>
      </c>
      <c r="H15" s="93">
        <v>1</v>
      </c>
    </row>
    <row r="16" spans="1:8" s="56" customFormat="1" ht="24.95" customHeight="1">
      <c r="A16" s="93">
        <v>15</v>
      </c>
      <c r="B16" s="93" t="s">
        <v>2964</v>
      </c>
      <c r="C16" s="94" t="s">
        <v>2979</v>
      </c>
      <c r="D16" s="95" t="s">
        <v>2965</v>
      </c>
      <c r="E16" s="93">
        <v>110</v>
      </c>
      <c r="F16" s="93" t="s">
        <v>1410</v>
      </c>
      <c r="G16" s="93" t="s">
        <v>2980</v>
      </c>
      <c r="H16" s="93">
        <v>1</v>
      </c>
    </row>
    <row r="17" spans="1:8" s="56" customFormat="1" ht="24.95" customHeight="1">
      <c r="A17" s="96">
        <v>16</v>
      </c>
      <c r="B17" s="96" t="s">
        <v>2964</v>
      </c>
      <c r="C17" s="97" t="s">
        <v>2747</v>
      </c>
      <c r="D17" s="98" t="s">
        <v>2965</v>
      </c>
      <c r="E17" s="96">
        <v>110</v>
      </c>
      <c r="F17" s="96" t="s">
        <v>1410</v>
      </c>
      <c r="G17" s="96" t="s">
        <v>2981</v>
      </c>
      <c r="H17" s="96">
        <v>1</v>
      </c>
    </row>
    <row r="18" spans="1:8" s="56" customFormat="1" ht="24.95" customHeight="1">
      <c r="A18" s="96">
        <v>17</v>
      </c>
      <c r="B18" s="96" t="s">
        <v>2964</v>
      </c>
      <c r="C18" s="97" t="s">
        <v>2747</v>
      </c>
      <c r="D18" s="98" t="s">
        <v>2967</v>
      </c>
      <c r="E18" s="96">
        <v>150</v>
      </c>
      <c r="F18" s="96" t="s">
        <v>1410</v>
      </c>
      <c r="G18" s="96" t="s">
        <v>2982</v>
      </c>
      <c r="H18" s="96">
        <v>1</v>
      </c>
    </row>
    <row r="19" spans="1:8" s="56" customFormat="1" ht="24.95" customHeight="1">
      <c r="A19" s="96">
        <v>18</v>
      </c>
      <c r="B19" s="96" t="s">
        <v>2964</v>
      </c>
      <c r="C19" s="97" t="s">
        <v>2747</v>
      </c>
      <c r="D19" s="98" t="s">
        <v>2968</v>
      </c>
      <c r="E19" s="96">
        <v>170</v>
      </c>
      <c r="F19" s="96" t="s">
        <v>1410</v>
      </c>
      <c r="G19" s="96" t="s">
        <v>2983</v>
      </c>
      <c r="H19" s="96">
        <v>1</v>
      </c>
    </row>
    <row r="20" spans="1:8" s="56" customFormat="1" ht="24.95" customHeight="1">
      <c r="A20" s="96">
        <v>19</v>
      </c>
      <c r="B20" s="96" t="s">
        <v>2964</v>
      </c>
      <c r="C20" s="97" t="s">
        <v>2747</v>
      </c>
      <c r="D20" s="98" t="s">
        <v>2984</v>
      </c>
      <c r="E20" s="99">
        <v>170</v>
      </c>
      <c r="F20" s="96" t="s">
        <v>1410</v>
      </c>
      <c r="G20" s="96" t="s">
        <v>2985</v>
      </c>
      <c r="H20" s="96">
        <v>1</v>
      </c>
    </row>
    <row r="21" spans="1:8" s="56" customFormat="1" ht="24.95" customHeight="1">
      <c r="A21" s="96">
        <v>20</v>
      </c>
      <c r="B21" s="96" t="s">
        <v>2964</v>
      </c>
      <c r="C21" s="97" t="s">
        <v>2986</v>
      </c>
      <c r="D21" s="98" t="s">
        <v>2965</v>
      </c>
      <c r="E21" s="96">
        <v>110</v>
      </c>
      <c r="F21" s="96" t="s">
        <v>1410</v>
      </c>
      <c r="G21" s="96" t="s">
        <v>2751</v>
      </c>
      <c r="H21" s="96">
        <v>1</v>
      </c>
    </row>
    <row r="22" spans="1:8" s="56" customFormat="1" ht="24.95" customHeight="1">
      <c r="A22" s="96">
        <v>21</v>
      </c>
      <c r="B22" s="96" t="s">
        <v>2964</v>
      </c>
      <c r="C22" s="97" t="s">
        <v>2986</v>
      </c>
      <c r="D22" s="98" t="s">
        <v>2967</v>
      </c>
      <c r="E22" s="96">
        <v>150</v>
      </c>
      <c r="F22" s="96" t="s">
        <v>1410</v>
      </c>
      <c r="G22" s="96" t="s">
        <v>2753</v>
      </c>
      <c r="H22" s="96">
        <v>1</v>
      </c>
    </row>
    <row r="23" spans="1:8" s="56" customFormat="1" ht="24.95" customHeight="1">
      <c r="A23" s="96">
        <v>22</v>
      </c>
      <c r="B23" s="96" t="s">
        <v>2964</v>
      </c>
      <c r="C23" s="97" t="s">
        <v>2986</v>
      </c>
      <c r="D23" s="98" t="s">
        <v>2968</v>
      </c>
      <c r="E23" s="96">
        <v>170</v>
      </c>
      <c r="F23" s="96" t="s">
        <v>1410</v>
      </c>
      <c r="G23" s="96" t="s">
        <v>2754</v>
      </c>
      <c r="H23" s="96">
        <v>1</v>
      </c>
    </row>
    <row r="24" spans="1:8" s="56" customFormat="1" ht="24.95" customHeight="1">
      <c r="A24" s="96">
        <v>23</v>
      </c>
      <c r="B24" s="96" t="s">
        <v>2964</v>
      </c>
      <c r="C24" s="97" t="s">
        <v>2986</v>
      </c>
      <c r="D24" s="98" t="s">
        <v>2968</v>
      </c>
      <c r="E24" s="96">
        <v>170</v>
      </c>
      <c r="F24" s="96" t="s">
        <v>1410</v>
      </c>
      <c r="G24" s="96" t="s">
        <v>2755</v>
      </c>
      <c r="H24" s="96">
        <v>1</v>
      </c>
    </row>
    <row r="25" spans="1:8" s="56" customFormat="1" ht="24.95" customHeight="1">
      <c r="A25" s="96">
        <v>24</v>
      </c>
      <c r="B25" s="96" t="s">
        <v>2964</v>
      </c>
      <c r="C25" s="97" t="s">
        <v>2987</v>
      </c>
      <c r="D25" s="98" t="s">
        <v>2965</v>
      </c>
      <c r="E25" s="96">
        <v>110</v>
      </c>
      <c r="F25" s="96" t="s">
        <v>1410</v>
      </c>
      <c r="G25" s="96" t="s">
        <v>2988</v>
      </c>
      <c r="H25" s="96">
        <v>1</v>
      </c>
    </row>
    <row r="26" spans="1:8" s="56" customFormat="1" ht="24.95" customHeight="1">
      <c r="A26" s="96">
        <v>25</v>
      </c>
      <c r="B26" s="96" t="s">
        <v>2964</v>
      </c>
      <c r="C26" s="97" t="s">
        <v>2987</v>
      </c>
      <c r="D26" s="98" t="s">
        <v>2967</v>
      </c>
      <c r="E26" s="96">
        <v>150</v>
      </c>
      <c r="F26" s="96" t="s">
        <v>1410</v>
      </c>
      <c r="G26" s="96" t="s">
        <v>2989</v>
      </c>
      <c r="H26" s="96">
        <v>1</v>
      </c>
    </row>
    <row r="27" spans="1:8" s="56" customFormat="1" ht="24.95" customHeight="1">
      <c r="A27" s="96">
        <v>26</v>
      </c>
      <c r="B27" s="96" t="s">
        <v>2964</v>
      </c>
      <c r="C27" s="97" t="s">
        <v>2987</v>
      </c>
      <c r="D27" s="98" t="s">
        <v>2968</v>
      </c>
      <c r="E27" s="96">
        <v>170</v>
      </c>
      <c r="F27" s="96" t="s">
        <v>1410</v>
      </c>
      <c r="G27" s="96" t="s">
        <v>2990</v>
      </c>
      <c r="H27" s="96">
        <v>1</v>
      </c>
    </row>
    <row r="28" spans="1:8" s="56" customFormat="1" ht="24.95" customHeight="1">
      <c r="A28" s="96">
        <v>27</v>
      </c>
      <c r="B28" s="96" t="s">
        <v>2964</v>
      </c>
      <c r="C28" s="97" t="s">
        <v>2987</v>
      </c>
      <c r="D28" s="98" t="s">
        <v>2984</v>
      </c>
      <c r="E28" s="96">
        <v>170</v>
      </c>
      <c r="F28" s="96" t="s">
        <v>1410</v>
      </c>
      <c r="G28" s="96" t="s">
        <v>2991</v>
      </c>
      <c r="H28" s="96">
        <v>1</v>
      </c>
    </row>
    <row r="29" spans="1:8" s="56" customFormat="1" ht="24.95" customHeight="1">
      <c r="A29" s="96">
        <v>28</v>
      </c>
      <c r="B29" s="96" t="s">
        <v>2964</v>
      </c>
      <c r="C29" s="97" t="s">
        <v>2992</v>
      </c>
      <c r="D29" s="98" t="s">
        <v>2965</v>
      </c>
      <c r="E29" s="96">
        <v>110</v>
      </c>
      <c r="F29" s="96" t="s">
        <v>1410</v>
      </c>
      <c r="G29" s="96" t="s">
        <v>2993</v>
      </c>
      <c r="H29" s="96">
        <v>1</v>
      </c>
    </row>
    <row r="30" spans="1:8" s="56" customFormat="1" ht="24.95" customHeight="1">
      <c r="A30" s="96">
        <v>29</v>
      </c>
      <c r="B30" s="96" t="s">
        <v>2964</v>
      </c>
      <c r="C30" s="97" t="s">
        <v>2992</v>
      </c>
      <c r="D30" s="98" t="s">
        <v>2967</v>
      </c>
      <c r="E30" s="96">
        <v>150</v>
      </c>
      <c r="F30" s="96" t="s">
        <v>1410</v>
      </c>
      <c r="G30" s="96" t="s">
        <v>2994</v>
      </c>
      <c r="H30" s="96">
        <v>1</v>
      </c>
    </row>
    <row r="31" spans="1:8" s="56" customFormat="1" ht="24.95" customHeight="1">
      <c r="A31" s="96">
        <v>30</v>
      </c>
      <c r="B31" s="96" t="s">
        <v>2964</v>
      </c>
      <c r="C31" s="97" t="s">
        <v>2992</v>
      </c>
      <c r="D31" s="98" t="s">
        <v>2968</v>
      </c>
      <c r="E31" s="96">
        <v>170</v>
      </c>
      <c r="F31" s="96" t="s">
        <v>1410</v>
      </c>
      <c r="G31" s="96" t="s">
        <v>2995</v>
      </c>
      <c r="H31" s="96">
        <v>1</v>
      </c>
    </row>
    <row r="32" spans="1:8" ht="24.95" customHeight="1">
      <c r="A32" s="96">
        <v>31</v>
      </c>
      <c r="B32" s="96" t="s">
        <v>2964</v>
      </c>
      <c r="C32" s="97" t="s">
        <v>2992</v>
      </c>
      <c r="D32" s="98" t="s">
        <v>2984</v>
      </c>
      <c r="E32" s="96">
        <v>170</v>
      </c>
      <c r="F32" s="96" t="s">
        <v>1410</v>
      </c>
      <c r="G32" s="96" t="s">
        <v>2996</v>
      </c>
      <c r="H32" s="96">
        <v>1</v>
      </c>
    </row>
    <row r="33" spans="1:8" ht="24.95" customHeight="1">
      <c r="A33" s="100">
        <v>32</v>
      </c>
      <c r="B33" s="100" t="s">
        <v>2964</v>
      </c>
      <c r="C33" s="101" t="s">
        <v>2997</v>
      </c>
      <c r="D33" s="102" t="s">
        <v>2998</v>
      </c>
      <c r="E33" s="100">
        <v>110</v>
      </c>
      <c r="F33" s="100" t="s">
        <v>1410</v>
      </c>
      <c r="G33" s="100" t="s">
        <v>2999</v>
      </c>
      <c r="H33" s="100">
        <v>1</v>
      </c>
    </row>
    <row r="34" spans="1:8" ht="24.95" customHeight="1">
      <c r="A34" s="100">
        <v>33</v>
      </c>
      <c r="B34" s="100" t="s">
        <v>2964</v>
      </c>
      <c r="C34" s="101" t="s">
        <v>2997</v>
      </c>
      <c r="D34" s="102" t="s">
        <v>2965</v>
      </c>
      <c r="E34" s="100">
        <v>130</v>
      </c>
      <c r="F34" s="100" t="s">
        <v>1410</v>
      </c>
      <c r="G34" s="100" t="s">
        <v>3000</v>
      </c>
      <c r="H34" s="100">
        <v>1</v>
      </c>
    </row>
    <row r="35" spans="1:8" ht="24.95" customHeight="1">
      <c r="A35" s="100">
        <v>34</v>
      </c>
      <c r="B35" s="100" t="s">
        <v>2964</v>
      </c>
      <c r="C35" s="101" t="s">
        <v>2997</v>
      </c>
      <c r="D35" s="102" t="s">
        <v>2967</v>
      </c>
      <c r="E35" s="100">
        <v>130</v>
      </c>
      <c r="F35" s="100" t="s">
        <v>1410</v>
      </c>
      <c r="G35" s="100" t="s">
        <v>3001</v>
      </c>
      <c r="H35" s="100">
        <v>1</v>
      </c>
    </row>
    <row r="36" spans="1:8" ht="24.95" customHeight="1">
      <c r="A36" s="100">
        <v>35</v>
      </c>
      <c r="B36" s="100" t="s">
        <v>2964</v>
      </c>
      <c r="C36" s="101" t="s">
        <v>2997</v>
      </c>
      <c r="D36" s="102" t="s">
        <v>2968</v>
      </c>
      <c r="E36" s="100">
        <v>150</v>
      </c>
      <c r="F36" s="100" t="s">
        <v>1410</v>
      </c>
      <c r="G36" s="100" t="s">
        <v>3002</v>
      </c>
      <c r="H36" s="100">
        <v>1</v>
      </c>
    </row>
    <row r="37" spans="1:8" ht="24.95" customHeight="1">
      <c r="A37" s="100">
        <v>36</v>
      </c>
      <c r="B37" s="100" t="s">
        <v>2964</v>
      </c>
      <c r="C37" s="103" t="s">
        <v>2805</v>
      </c>
      <c r="D37" s="102" t="s">
        <v>2998</v>
      </c>
      <c r="E37" s="102">
        <v>110</v>
      </c>
      <c r="F37" s="100" t="s">
        <v>1410</v>
      </c>
      <c r="G37" s="101" t="s">
        <v>3003</v>
      </c>
      <c r="H37" s="100">
        <v>1</v>
      </c>
    </row>
    <row r="38" spans="1:8" ht="24.95" customHeight="1">
      <c r="A38" s="100">
        <v>37</v>
      </c>
      <c r="B38" s="100" t="s">
        <v>2964</v>
      </c>
      <c r="C38" s="103" t="s">
        <v>2805</v>
      </c>
      <c r="D38" s="102" t="s">
        <v>2965</v>
      </c>
      <c r="E38" s="102">
        <v>130</v>
      </c>
      <c r="F38" s="100" t="s">
        <v>1410</v>
      </c>
      <c r="G38" s="101" t="s">
        <v>3004</v>
      </c>
      <c r="H38" s="100">
        <v>1</v>
      </c>
    </row>
    <row r="39" spans="1:8" ht="24.95" customHeight="1">
      <c r="A39" s="100">
        <v>38</v>
      </c>
      <c r="B39" s="100" t="s">
        <v>2964</v>
      </c>
      <c r="C39" s="103" t="s">
        <v>2805</v>
      </c>
      <c r="D39" s="102" t="s">
        <v>2967</v>
      </c>
      <c r="E39" s="102">
        <v>130</v>
      </c>
      <c r="F39" s="100" t="s">
        <v>1410</v>
      </c>
      <c r="G39" s="101" t="s">
        <v>3005</v>
      </c>
      <c r="H39" s="100">
        <v>1</v>
      </c>
    </row>
    <row r="40" spans="1:8" ht="24.95" customHeight="1">
      <c r="A40" s="100">
        <v>39</v>
      </c>
      <c r="B40" s="100" t="s">
        <v>2964</v>
      </c>
      <c r="C40" s="103" t="s">
        <v>2805</v>
      </c>
      <c r="D40" s="102" t="s">
        <v>2968</v>
      </c>
      <c r="E40" s="102">
        <v>150</v>
      </c>
      <c r="F40" s="100" t="s">
        <v>1410</v>
      </c>
      <c r="G40" s="101" t="s">
        <v>3006</v>
      </c>
      <c r="H40" s="100">
        <v>1</v>
      </c>
    </row>
    <row r="41" spans="1:8" ht="24.95" customHeight="1">
      <c r="A41" s="81">
        <v>40</v>
      </c>
      <c r="B41" s="81" t="s">
        <v>2964</v>
      </c>
      <c r="C41" s="104" t="s">
        <v>3007</v>
      </c>
      <c r="D41" s="83" t="s">
        <v>2965</v>
      </c>
      <c r="E41" s="83">
        <v>110</v>
      </c>
      <c r="F41" s="81" t="s">
        <v>1410</v>
      </c>
      <c r="G41" s="81" t="s">
        <v>3008</v>
      </c>
      <c r="H41" s="81">
        <v>1</v>
      </c>
    </row>
    <row r="42" spans="1:8" ht="24.95" customHeight="1">
      <c r="A42" s="81">
        <v>41</v>
      </c>
      <c r="B42" s="81" t="s">
        <v>2964</v>
      </c>
      <c r="C42" s="104" t="s">
        <v>3007</v>
      </c>
      <c r="D42" s="83" t="s">
        <v>2967</v>
      </c>
      <c r="E42" s="83">
        <v>150</v>
      </c>
      <c r="F42" s="81" t="s">
        <v>1410</v>
      </c>
      <c r="G42" s="81" t="s">
        <v>3009</v>
      </c>
      <c r="H42" s="81">
        <v>1</v>
      </c>
    </row>
    <row r="43" spans="1:8" ht="24.95" customHeight="1">
      <c r="A43" s="81">
        <v>42</v>
      </c>
      <c r="B43" s="81" t="s">
        <v>2964</v>
      </c>
      <c r="C43" s="104" t="s">
        <v>3007</v>
      </c>
      <c r="D43" s="83" t="s">
        <v>2968</v>
      </c>
      <c r="E43" s="83">
        <v>150</v>
      </c>
      <c r="F43" s="81" t="s">
        <v>1410</v>
      </c>
      <c r="G43" s="81" t="s">
        <v>3010</v>
      </c>
      <c r="H43" s="81">
        <v>1</v>
      </c>
    </row>
    <row r="44" spans="1:8" ht="24.95" customHeight="1">
      <c r="A44" s="93">
        <v>43</v>
      </c>
      <c r="B44" s="93" t="s">
        <v>2964</v>
      </c>
      <c r="C44" s="94" t="s">
        <v>3011</v>
      </c>
      <c r="D44" s="95" t="s">
        <v>2965</v>
      </c>
      <c r="E44" s="93">
        <v>110</v>
      </c>
      <c r="F44" s="93" t="s">
        <v>1410</v>
      </c>
      <c r="G44" s="93" t="s">
        <v>3012</v>
      </c>
      <c r="H44" s="93">
        <v>1</v>
      </c>
    </row>
    <row r="45" spans="1:8" ht="24.95" customHeight="1">
      <c r="A45" s="93">
        <v>44</v>
      </c>
      <c r="B45" s="93" t="s">
        <v>2964</v>
      </c>
      <c r="C45" s="94" t="s">
        <v>3011</v>
      </c>
      <c r="D45" s="95" t="s">
        <v>2967</v>
      </c>
      <c r="E45" s="93">
        <v>150</v>
      </c>
      <c r="F45" s="93" t="s">
        <v>1410</v>
      </c>
      <c r="G45" s="93" t="s">
        <v>3013</v>
      </c>
      <c r="H45" s="93">
        <v>1</v>
      </c>
    </row>
    <row r="46" spans="1:8" ht="24.95" customHeight="1">
      <c r="A46" s="93">
        <v>45</v>
      </c>
      <c r="B46" s="93" t="s">
        <v>2964</v>
      </c>
      <c r="C46" s="94" t="s">
        <v>3011</v>
      </c>
      <c r="D46" s="95" t="s">
        <v>2968</v>
      </c>
      <c r="E46" s="93">
        <v>170</v>
      </c>
      <c r="F46" s="93" t="s">
        <v>1410</v>
      </c>
      <c r="G46" s="93" t="s">
        <v>3014</v>
      </c>
      <c r="H46" s="93">
        <v>1</v>
      </c>
    </row>
    <row r="47" spans="1:8" ht="24.95" customHeight="1">
      <c r="A47" s="78">
        <v>46</v>
      </c>
      <c r="B47" s="78" t="s">
        <v>2964</v>
      </c>
      <c r="C47" s="105" t="s">
        <v>3015</v>
      </c>
      <c r="D47" s="106" t="s">
        <v>2965</v>
      </c>
      <c r="E47" s="78">
        <v>130</v>
      </c>
      <c r="F47" s="78" t="s">
        <v>1410</v>
      </c>
      <c r="G47" s="78" t="s">
        <v>3016</v>
      </c>
      <c r="H47" s="78">
        <v>1</v>
      </c>
    </row>
    <row r="48" spans="1:8" ht="24.95" customHeight="1">
      <c r="A48" s="78">
        <v>47</v>
      </c>
      <c r="B48" s="78" t="s">
        <v>2964</v>
      </c>
      <c r="C48" s="105" t="s">
        <v>3015</v>
      </c>
      <c r="D48" s="106" t="s">
        <v>2967</v>
      </c>
      <c r="E48" s="78">
        <v>150</v>
      </c>
      <c r="F48" s="78" t="s">
        <v>1410</v>
      </c>
      <c r="G48" s="78" t="s">
        <v>3017</v>
      </c>
      <c r="H48" s="78">
        <v>1</v>
      </c>
    </row>
    <row r="49" spans="1:8" ht="24.95" customHeight="1">
      <c r="A49" s="78">
        <v>48</v>
      </c>
      <c r="B49" s="78" t="s">
        <v>2964</v>
      </c>
      <c r="C49" s="105" t="s">
        <v>3015</v>
      </c>
      <c r="D49" s="106" t="s">
        <v>2968</v>
      </c>
      <c r="E49" s="78">
        <v>170</v>
      </c>
      <c r="F49" s="78" t="s">
        <v>1410</v>
      </c>
      <c r="G49" s="78" t="s">
        <v>3018</v>
      </c>
      <c r="H49" s="78">
        <v>1</v>
      </c>
    </row>
    <row r="50" spans="1:8" ht="24.95" customHeight="1">
      <c r="A50" s="78">
        <v>49</v>
      </c>
      <c r="B50" s="78" t="s">
        <v>2964</v>
      </c>
      <c r="C50" s="105" t="s">
        <v>2850</v>
      </c>
      <c r="D50" s="106" t="s">
        <v>2965</v>
      </c>
      <c r="E50" s="78">
        <v>130</v>
      </c>
      <c r="F50" s="78" t="s">
        <v>1410</v>
      </c>
      <c r="G50" s="78" t="s">
        <v>3019</v>
      </c>
      <c r="H50" s="78">
        <v>1</v>
      </c>
    </row>
    <row r="51" spans="1:8" ht="24.95" customHeight="1">
      <c r="A51" s="78">
        <v>50</v>
      </c>
      <c r="B51" s="78" t="s">
        <v>2964</v>
      </c>
      <c r="C51" s="105" t="s">
        <v>2850</v>
      </c>
      <c r="D51" s="106" t="s">
        <v>2967</v>
      </c>
      <c r="E51" s="78">
        <v>150</v>
      </c>
      <c r="F51" s="78" t="s">
        <v>1410</v>
      </c>
      <c r="G51" s="78" t="s">
        <v>3020</v>
      </c>
      <c r="H51" s="78">
        <v>1</v>
      </c>
    </row>
    <row r="52" spans="1:8" ht="24.95" customHeight="1">
      <c r="A52" s="78">
        <v>51</v>
      </c>
      <c r="B52" s="78" t="s">
        <v>2964</v>
      </c>
      <c r="C52" s="105" t="s">
        <v>2850</v>
      </c>
      <c r="D52" s="106" t="s">
        <v>2968</v>
      </c>
      <c r="E52" s="78">
        <v>170</v>
      </c>
      <c r="F52" s="78" t="s">
        <v>1410</v>
      </c>
      <c r="G52" s="78" t="s">
        <v>3021</v>
      </c>
      <c r="H52" s="78">
        <v>1</v>
      </c>
    </row>
    <row r="53" spans="1:8" ht="24.95" customHeight="1">
      <c r="A53" s="107">
        <v>52</v>
      </c>
      <c r="B53" s="107" t="s">
        <v>2964</v>
      </c>
      <c r="C53" s="108" t="s">
        <v>2857</v>
      </c>
      <c r="D53" s="109" t="s">
        <v>2965</v>
      </c>
      <c r="E53" s="107">
        <v>110</v>
      </c>
      <c r="F53" s="107" t="s">
        <v>1410</v>
      </c>
      <c r="G53" s="107" t="s">
        <v>3022</v>
      </c>
      <c r="H53" s="107">
        <v>1</v>
      </c>
    </row>
    <row r="54" spans="1:8" ht="24.95" customHeight="1">
      <c r="A54" s="107">
        <v>53</v>
      </c>
      <c r="B54" s="107" t="s">
        <v>2964</v>
      </c>
      <c r="C54" s="108" t="s">
        <v>2857</v>
      </c>
      <c r="D54" s="109" t="s">
        <v>2967</v>
      </c>
      <c r="E54" s="107">
        <v>130</v>
      </c>
      <c r="F54" s="107" t="s">
        <v>1410</v>
      </c>
      <c r="G54" s="107" t="s">
        <v>3023</v>
      </c>
      <c r="H54" s="107">
        <v>1</v>
      </c>
    </row>
    <row r="55" spans="1:8" ht="24.95" customHeight="1">
      <c r="A55" s="107">
        <v>54</v>
      </c>
      <c r="B55" s="107" t="s">
        <v>2964</v>
      </c>
      <c r="C55" s="108" t="s">
        <v>2857</v>
      </c>
      <c r="D55" s="109" t="s">
        <v>2968</v>
      </c>
      <c r="E55" s="107">
        <v>150</v>
      </c>
      <c r="F55" s="107" t="s">
        <v>1410</v>
      </c>
      <c r="G55" s="107" t="s">
        <v>3024</v>
      </c>
      <c r="H55" s="107">
        <v>1</v>
      </c>
    </row>
    <row r="56" spans="1:8" ht="24.95" customHeight="1">
      <c r="A56" s="107">
        <v>55</v>
      </c>
      <c r="B56" s="107" t="s">
        <v>2964</v>
      </c>
      <c r="C56" s="108" t="s">
        <v>3025</v>
      </c>
      <c r="D56" s="109" t="s">
        <v>2965</v>
      </c>
      <c r="E56" s="107">
        <v>110</v>
      </c>
      <c r="F56" s="107" t="s">
        <v>1410</v>
      </c>
      <c r="G56" s="107" t="s">
        <v>3026</v>
      </c>
      <c r="H56" s="107">
        <v>1</v>
      </c>
    </row>
    <row r="57" spans="1:8" ht="24.95" customHeight="1">
      <c r="A57" s="107">
        <v>56</v>
      </c>
      <c r="B57" s="107" t="s">
        <v>2964</v>
      </c>
      <c r="C57" s="108" t="s">
        <v>3025</v>
      </c>
      <c r="D57" s="109" t="s">
        <v>2967</v>
      </c>
      <c r="E57" s="107">
        <v>130</v>
      </c>
      <c r="F57" s="107" t="s">
        <v>1410</v>
      </c>
      <c r="G57" s="107" t="s">
        <v>3027</v>
      </c>
      <c r="H57" s="107">
        <v>1</v>
      </c>
    </row>
    <row r="58" spans="1:8" ht="24.95" customHeight="1">
      <c r="A58" s="107">
        <v>57</v>
      </c>
      <c r="B58" s="107" t="s">
        <v>2964</v>
      </c>
      <c r="C58" s="108" t="s">
        <v>3025</v>
      </c>
      <c r="D58" s="109" t="s">
        <v>2968</v>
      </c>
      <c r="E58" s="107">
        <v>150</v>
      </c>
      <c r="F58" s="107" t="s">
        <v>1410</v>
      </c>
      <c r="G58" s="107" t="s">
        <v>3028</v>
      </c>
      <c r="H58" s="107">
        <v>1</v>
      </c>
    </row>
    <row r="59" spans="1:8" ht="24.95" customHeight="1">
      <c r="A59" s="110">
        <v>58</v>
      </c>
      <c r="B59" s="110" t="s">
        <v>2964</v>
      </c>
      <c r="C59" s="111" t="s">
        <v>3029</v>
      </c>
      <c r="D59" s="112" t="s">
        <v>2965</v>
      </c>
      <c r="E59" s="110">
        <v>110</v>
      </c>
      <c r="F59" s="110" t="s">
        <v>1410</v>
      </c>
      <c r="G59" s="110" t="s">
        <v>3030</v>
      </c>
      <c r="H59" s="110">
        <v>1</v>
      </c>
    </row>
    <row r="60" spans="1:8" ht="24.95" customHeight="1">
      <c r="A60" s="110">
        <v>59</v>
      </c>
      <c r="B60" s="110" t="s">
        <v>2964</v>
      </c>
      <c r="C60" s="111" t="s">
        <v>3029</v>
      </c>
      <c r="D60" s="112" t="s">
        <v>2967</v>
      </c>
      <c r="E60" s="110">
        <v>130</v>
      </c>
      <c r="F60" s="110" t="s">
        <v>1410</v>
      </c>
      <c r="G60" s="110" t="s">
        <v>3031</v>
      </c>
      <c r="H60" s="110">
        <v>1</v>
      </c>
    </row>
    <row r="61" spans="1:8" ht="24.95" customHeight="1">
      <c r="A61" s="110">
        <v>60</v>
      </c>
      <c r="B61" s="110" t="s">
        <v>2964</v>
      </c>
      <c r="C61" s="111" t="s">
        <v>3029</v>
      </c>
      <c r="D61" s="112" t="s">
        <v>2968</v>
      </c>
      <c r="E61" s="110">
        <v>150</v>
      </c>
      <c r="F61" s="110" t="s">
        <v>1410</v>
      </c>
      <c r="G61" s="110" t="s">
        <v>3032</v>
      </c>
      <c r="H61" s="110">
        <v>1</v>
      </c>
    </row>
    <row r="63" spans="1:8" ht="24.95" customHeight="1">
      <c r="A63" s="110"/>
      <c r="B63" s="110" t="s">
        <v>3033</v>
      </c>
      <c r="C63" s="111" t="s">
        <v>1422</v>
      </c>
      <c r="D63" s="112" t="s">
        <v>2965</v>
      </c>
      <c r="E63" s="110">
        <v>130</v>
      </c>
      <c r="F63" s="110" t="s">
        <v>1410</v>
      </c>
      <c r="G63" s="110" t="s">
        <v>1215</v>
      </c>
      <c r="H63" s="110">
        <v>1</v>
      </c>
    </row>
    <row r="64" spans="1:8" ht="24.95" customHeight="1">
      <c r="A64" s="110"/>
      <c r="B64" s="110" t="s">
        <v>3033</v>
      </c>
      <c r="C64" s="111" t="s">
        <v>1422</v>
      </c>
      <c r="D64" s="112" t="s">
        <v>2967</v>
      </c>
      <c r="E64" s="110">
        <v>150</v>
      </c>
      <c r="F64" s="110" t="s">
        <v>1410</v>
      </c>
      <c r="G64" s="110" t="s">
        <v>1293</v>
      </c>
      <c r="H64" s="110">
        <v>1</v>
      </c>
    </row>
    <row r="65" spans="1:8" ht="24.95" customHeight="1">
      <c r="A65" s="110"/>
      <c r="B65" s="110" t="s">
        <v>3033</v>
      </c>
      <c r="C65" s="111" t="s">
        <v>1422</v>
      </c>
      <c r="D65" s="112" t="s">
        <v>2968</v>
      </c>
      <c r="E65" s="110">
        <v>170</v>
      </c>
      <c r="F65" s="110" t="s">
        <v>1410</v>
      </c>
      <c r="G65" s="110" t="s">
        <v>3034</v>
      </c>
      <c r="H65" s="110">
        <v>1</v>
      </c>
    </row>
    <row r="66" spans="1:8" ht="24.95" customHeight="1">
      <c r="A66" s="110"/>
      <c r="B66" s="110" t="s">
        <v>3033</v>
      </c>
      <c r="C66" s="111" t="s">
        <v>2549</v>
      </c>
      <c r="D66" s="112" t="s">
        <v>2965</v>
      </c>
      <c r="E66" s="110">
        <v>130</v>
      </c>
      <c r="F66" s="110" t="s">
        <v>1410</v>
      </c>
      <c r="G66" s="110" t="s">
        <v>3035</v>
      </c>
      <c r="H66" s="110">
        <v>1</v>
      </c>
    </row>
    <row r="67" spans="1:8" ht="24.95" customHeight="1">
      <c r="A67" s="110"/>
      <c r="B67" s="110" t="s">
        <v>3033</v>
      </c>
      <c r="C67" s="111" t="s">
        <v>2549</v>
      </c>
      <c r="D67" s="112" t="s">
        <v>2967</v>
      </c>
      <c r="E67" s="110">
        <v>150</v>
      </c>
      <c r="F67" s="110" t="s">
        <v>1410</v>
      </c>
      <c r="G67" s="110" t="s">
        <v>3036</v>
      </c>
      <c r="H67" s="110">
        <v>1</v>
      </c>
    </row>
    <row r="68" spans="1:8" ht="24.95" customHeight="1">
      <c r="A68" s="110"/>
      <c r="B68" s="110" t="s">
        <v>3033</v>
      </c>
      <c r="C68" s="111" t="s">
        <v>2549</v>
      </c>
      <c r="D68" s="112" t="s">
        <v>2968</v>
      </c>
      <c r="E68" s="110">
        <v>170</v>
      </c>
      <c r="F68" s="110" t="s">
        <v>1410</v>
      </c>
      <c r="G68" s="110" t="s">
        <v>3037</v>
      </c>
      <c r="H68" s="110">
        <v>1</v>
      </c>
    </row>
    <row r="69" spans="1:8" ht="24.95" customHeight="1">
      <c r="A69" s="110"/>
      <c r="B69" s="110" t="s">
        <v>3033</v>
      </c>
      <c r="C69" s="111" t="s">
        <v>2553</v>
      </c>
      <c r="D69" s="112" t="s">
        <v>2965</v>
      </c>
      <c r="E69" s="110">
        <v>130</v>
      </c>
      <c r="F69" s="110" t="s">
        <v>1410</v>
      </c>
      <c r="G69" s="110" t="s">
        <v>3038</v>
      </c>
      <c r="H69" s="110">
        <v>1</v>
      </c>
    </row>
    <row r="70" spans="1:8" ht="24.95" customHeight="1">
      <c r="A70" s="110"/>
      <c r="B70" s="110" t="s">
        <v>3033</v>
      </c>
      <c r="C70" s="111" t="s">
        <v>2553</v>
      </c>
      <c r="D70" s="112" t="s">
        <v>2967</v>
      </c>
      <c r="E70" s="110">
        <v>150</v>
      </c>
      <c r="F70" s="110" t="s">
        <v>1410</v>
      </c>
      <c r="G70" s="110" t="s">
        <v>3039</v>
      </c>
      <c r="H70" s="110">
        <v>1</v>
      </c>
    </row>
    <row r="71" spans="1:8" ht="24.95" customHeight="1">
      <c r="A71" s="110"/>
      <c r="B71" s="110" t="s">
        <v>3033</v>
      </c>
      <c r="C71" s="111" t="s">
        <v>2553</v>
      </c>
      <c r="D71" s="112" t="s">
        <v>2968</v>
      </c>
      <c r="E71" s="110">
        <v>170</v>
      </c>
      <c r="F71" s="110" t="s">
        <v>1410</v>
      </c>
      <c r="G71" s="110" t="s">
        <v>3040</v>
      </c>
      <c r="H71" s="110">
        <v>1</v>
      </c>
    </row>
    <row r="72" spans="1:8" ht="24.95" customHeight="1">
      <c r="A72" s="110"/>
      <c r="B72" s="110" t="s">
        <v>3033</v>
      </c>
      <c r="C72" s="111" t="s">
        <v>1409</v>
      </c>
      <c r="D72" s="112" t="s">
        <v>2965</v>
      </c>
      <c r="E72" s="110">
        <v>110</v>
      </c>
      <c r="F72" s="110" t="s">
        <v>1410</v>
      </c>
      <c r="G72" s="110" t="s">
        <v>714</v>
      </c>
      <c r="H72" s="110">
        <v>1</v>
      </c>
    </row>
    <row r="73" spans="1:8" ht="24.95" customHeight="1">
      <c r="A73" s="110"/>
      <c r="B73" s="110" t="s">
        <v>3033</v>
      </c>
      <c r="C73" s="111" t="s">
        <v>1409</v>
      </c>
      <c r="D73" s="112" t="s">
        <v>2967</v>
      </c>
      <c r="E73" s="110">
        <v>130</v>
      </c>
      <c r="F73" s="110" t="s">
        <v>1410</v>
      </c>
      <c r="G73" s="110" t="s">
        <v>805</v>
      </c>
      <c r="H73" s="110">
        <v>1</v>
      </c>
    </row>
    <row r="74" spans="1:8" ht="24.95" customHeight="1">
      <c r="A74" s="110"/>
      <c r="B74" s="110" t="s">
        <v>3033</v>
      </c>
      <c r="C74" s="111" t="s">
        <v>1409</v>
      </c>
      <c r="D74" s="112" t="s">
        <v>2968</v>
      </c>
      <c r="E74" s="110">
        <v>150</v>
      </c>
      <c r="F74" s="110" t="s">
        <v>1410</v>
      </c>
      <c r="G74" s="110" t="s">
        <v>885</v>
      </c>
      <c r="H74" s="110">
        <v>1</v>
      </c>
    </row>
    <row r="75" spans="1:8" ht="24.95" customHeight="1">
      <c r="A75" s="110"/>
      <c r="B75" s="110" t="s">
        <v>3033</v>
      </c>
      <c r="C75" s="111" t="s">
        <v>2561</v>
      </c>
      <c r="D75" s="112" t="s">
        <v>2965</v>
      </c>
      <c r="E75" s="110">
        <v>110</v>
      </c>
      <c r="F75" s="110" t="s">
        <v>1410</v>
      </c>
      <c r="G75" s="110" t="s">
        <v>3041</v>
      </c>
      <c r="H75" s="110">
        <v>1</v>
      </c>
    </row>
    <row r="76" spans="1:8" ht="24.95" customHeight="1">
      <c r="A76" s="110"/>
      <c r="B76" s="110" t="s">
        <v>3033</v>
      </c>
      <c r="C76" s="111" t="s">
        <v>2561</v>
      </c>
      <c r="D76" s="112" t="s">
        <v>2967</v>
      </c>
      <c r="E76" s="110">
        <v>130</v>
      </c>
      <c r="F76" s="110" t="s">
        <v>1410</v>
      </c>
      <c r="G76" s="110" t="s">
        <v>3042</v>
      </c>
      <c r="H76" s="110">
        <v>1</v>
      </c>
    </row>
    <row r="77" spans="1:8" ht="24.95" customHeight="1">
      <c r="A77" s="110"/>
      <c r="B77" s="110" t="s">
        <v>3033</v>
      </c>
      <c r="C77" s="111" t="s">
        <v>3043</v>
      </c>
      <c r="D77" s="112" t="s">
        <v>2965</v>
      </c>
      <c r="E77" s="110">
        <v>110</v>
      </c>
      <c r="F77" s="110" t="s">
        <v>1410</v>
      </c>
      <c r="G77" s="110" t="s">
        <v>3044</v>
      </c>
      <c r="H77" s="110">
        <v>1</v>
      </c>
    </row>
    <row r="78" spans="1:8" ht="24.95" customHeight="1">
      <c r="A78" s="110"/>
      <c r="B78" s="110" t="s">
        <v>3033</v>
      </c>
      <c r="C78" s="111" t="s">
        <v>3043</v>
      </c>
      <c r="D78" s="112" t="s">
        <v>2967</v>
      </c>
      <c r="E78" s="110">
        <v>150</v>
      </c>
      <c r="F78" s="110" t="s">
        <v>1410</v>
      </c>
      <c r="G78" s="110" t="s">
        <v>3045</v>
      </c>
      <c r="H78" s="110">
        <v>1</v>
      </c>
    </row>
    <row r="79" spans="1:8" ht="24.95" customHeight="1">
      <c r="A79" s="110"/>
      <c r="B79" s="110" t="s">
        <v>3033</v>
      </c>
      <c r="C79" s="111" t="s">
        <v>3043</v>
      </c>
      <c r="D79" s="112" t="s">
        <v>2968</v>
      </c>
      <c r="E79" s="110">
        <v>200</v>
      </c>
      <c r="F79" s="110" t="s">
        <v>1410</v>
      </c>
      <c r="G79" s="110" t="s">
        <v>3046</v>
      </c>
      <c r="H79" s="110">
        <v>1</v>
      </c>
    </row>
    <row r="80" spans="1:8" ht="24.95" customHeight="1">
      <c r="A80" s="110"/>
      <c r="B80" s="110" t="s">
        <v>3033</v>
      </c>
      <c r="C80" s="111" t="s">
        <v>3043</v>
      </c>
      <c r="D80" s="112" t="s">
        <v>2984</v>
      </c>
      <c r="E80" s="110">
        <v>200</v>
      </c>
      <c r="F80" s="110" t="s">
        <v>1410</v>
      </c>
      <c r="G80" s="110" t="s">
        <v>3047</v>
      </c>
      <c r="H80" s="110">
        <v>1</v>
      </c>
    </row>
    <row r="81" spans="1:8" ht="24.95" customHeight="1">
      <c r="A81" s="110"/>
      <c r="B81" s="110"/>
      <c r="C81" s="111"/>
      <c r="D81" s="112"/>
      <c r="E81" s="110"/>
      <c r="F81" s="110"/>
      <c r="G81" s="110"/>
      <c r="H81" s="110"/>
    </row>
    <row r="82" spans="1:8" ht="24.95" customHeight="1">
      <c r="A82" s="110"/>
      <c r="B82" s="110"/>
      <c r="C82" s="111"/>
      <c r="D82" s="112"/>
      <c r="E82" s="110"/>
      <c r="F82" s="110"/>
      <c r="G82" s="110"/>
      <c r="H82" s="110"/>
    </row>
    <row r="83" spans="1:8" ht="24.95" customHeight="1">
      <c r="A83" s="110"/>
      <c r="B83" s="110"/>
      <c r="C83" s="111"/>
      <c r="D83" s="112"/>
      <c r="E83" s="110"/>
      <c r="F83" s="110"/>
      <c r="G83" s="110"/>
      <c r="H83" s="110"/>
    </row>
    <row r="84" spans="1:8" ht="24.95" customHeight="1">
      <c r="A84" s="110"/>
      <c r="B84" s="110"/>
      <c r="C84" s="111"/>
      <c r="D84" s="112"/>
      <c r="E84" s="110"/>
      <c r="F84" s="110"/>
      <c r="G84" s="110"/>
      <c r="H84" s="110"/>
    </row>
    <row r="85" spans="1:8" ht="24.95" customHeight="1">
      <c r="A85" s="110"/>
      <c r="B85" s="110"/>
      <c r="C85" s="111"/>
      <c r="D85" s="112"/>
      <c r="E85" s="110"/>
      <c r="F85" s="110"/>
      <c r="G85" s="110"/>
      <c r="H85" s="110"/>
    </row>
    <row r="86" spans="1:8" ht="24.95" customHeight="1">
      <c r="A86" s="110"/>
      <c r="B86" s="110"/>
      <c r="C86" s="111"/>
      <c r="D86" s="112"/>
      <c r="E86" s="110"/>
      <c r="F86" s="110"/>
      <c r="G86" s="110"/>
      <c r="H86" s="110"/>
    </row>
    <row r="87" spans="1:8" ht="24.95" customHeight="1">
      <c r="A87" s="110"/>
      <c r="B87" s="110"/>
      <c r="C87" s="111"/>
      <c r="D87" s="112"/>
      <c r="E87" s="110"/>
      <c r="F87" s="110"/>
      <c r="G87" s="110"/>
      <c r="H87" s="110"/>
    </row>
    <row r="88" spans="1:8" ht="24.95" customHeight="1">
      <c r="A88" s="110"/>
      <c r="B88" s="110"/>
      <c r="C88" s="111"/>
      <c r="D88" s="112"/>
      <c r="E88" s="110"/>
      <c r="F88" s="110"/>
      <c r="G88" s="110"/>
      <c r="H88" s="110"/>
    </row>
    <row r="89" spans="1:8" ht="24.95" customHeight="1">
      <c r="A89" s="110"/>
      <c r="B89" s="110"/>
      <c r="C89" s="111"/>
      <c r="D89" s="112"/>
      <c r="E89" s="110"/>
      <c r="F89" s="110"/>
      <c r="G89" s="110"/>
      <c r="H89" s="110"/>
    </row>
    <row r="90" spans="1:8" ht="24.95" customHeight="1">
      <c r="A90" s="110"/>
      <c r="B90" s="110"/>
      <c r="C90" s="111"/>
      <c r="D90" s="112"/>
      <c r="E90" s="110"/>
      <c r="F90" s="110"/>
      <c r="G90" s="110"/>
      <c r="H90" s="110"/>
    </row>
    <row r="91" spans="1:8" ht="24.95" customHeight="1">
      <c r="A91" s="110"/>
      <c r="B91" s="110"/>
      <c r="C91" s="111"/>
      <c r="D91" s="112"/>
      <c r="E91" s="110"/>
      <c r="F91" s="110"/>
      <c r="G91" s="110"/>
      <c r="H91" s="110"/>
    </row>
    <row r="92" spans="1:8" ht="24.95" customHeight="1">
      <c r="A92" s="110"/>
      <c r="B92" s="110"/>
      <c r="C92" s="111"/>
      <c r="D92" s="112"/>
      <c r="E92" s="110"/>
      <c r="F92" s="110"/>
      <c r="G92" s="110"/>
      <c r="H92" s="110"/>
    </row>
    <row r="93" spans="1:8" ht="24.95" customHeight="1">
      <c r="A93" s="110"/>
      <c r="B93" s="110"/>
      <c r="C93" s="111"/>
      <c r="D93" s="112"/>
      <c r="E93" s="110"/>
      <c r="F93" s="110"/>
      <c r="G93" s="110"/>
      <c r="H93" s="110"/>
    </row>
    <row r="94" spans="1:8" ht="24.95" customHeight="1">
      <c r="A94" s="110"/>
      <c r="B94" s="110"/>
      <c r="C94" s="111"/>
      <c r="D94" s="112"/>
      <c r="E94" s="110"/>
      <c r="F94" s="110"/>
      <c r="G94" s="110"/>
      <c r="H94" s="110"/>
    </row>
    <row r="95" spans="1:8" ht="24.95" customHeight="1">
      <c r="A95" s="110"/>
      <c r="B95" s="110"/>
      <c r="C95" s="111"/>
      <c r="D95" s="112"/>
      <c r="E95" s="110"/>
      <c r="F95" s="110"/>
      <c r="G95" s="110"/>
      <c r="H95" s="110"/>
    </row>
    <row r="96" spans="1:8" ht="24.95" customHeight="1">
      <c r="A96" s="110"/>
      <c r="B96" s="110"/>
      <c r="C96" s="111"/>
      <c r="D96" s="112"/>
      <c r="E96" s="110"/>
      <c r="F96" s="110"/>
      <c r="G96" s="110"/>
      <c r="H96" s="110"/>
    </row>
    <row r="97" spans="1:8" ht="24.95" customHeight="1">
      <c r="A97" s="110"/>
      <c r="B97" s="110"/>
      <c r="C97" s="111"/>
      <c r="D97" s="112"/>
      <c r="E97" s="110"/>
      <c r="F97" s="110"/>
      <c r="G97" s="110"/>
      <c r="H97" s="110"/>
    </row>
    <row r="98" spans="1:8" ht="24.95" customHeight="1">
      <c r="A98" s="110"/>
      <c r="B98" s="110"/>
      <c r="C98" s="111"/>
      <c r="D98" s="112"/>
      <c r="E98" s="110"/>
      <c r="F98" s="110"/>
      <c r="G98" s="110"/>
      <c r="H98" s="110"/>
    </row>
    <row r="99" spans="1:8" ht="24.95" customHeight="1">
      <c r="A99" s="110"/>
      <c r="B99" s="110"/>
      <c r="C99" s="111"/>
      <c r="D99" s="112"/>
      <c r="E99" s="110"/>
      <c r="F99" s="110"/>
      <c r="G99" s="110"/>
      <c r="H99" s="110"/>
    </row>
    <row r="100" spans="1:8" ht="24.95" customHeight="1">
      <c r="A100" s="110"/>
      <c r="B100" s="110"/>
      <c r="C100" s="111"/>
      <c r="D100" s="112"/>
      <c r="E100" s="110"/>
      <c r="F100" s="110"/>
      <c r="G100" s="110"/>
      <c r="H100" s="110"/>
    </row>
    <row r="101" spans="1:8" ht="24.95" customHeight="1">
      <c r="A101" s="110"/>
      <c r="B101" s="110"/>
      <c r="C101" s="111"/>
      <c r="D101" s="112"/>
      <c r="E101" s="110"/>
      <c r="F101" s="110"/>
      <c r="G101" s="110"/>
      <c r="H101" s="110"/>
    </row>
    <row r="102" spans="1:8" ht="24.95" customHeight="1">
      <c r="A102" s="110"/>
      <c r="B102" s="110"/>
      <c r="C102" s="111"/>
      <c r="D102" s="112"/>
      <c r="E102" s="110"/>
      <c r="F102" s="110"/>
      <c r="G102" s="110"/>
      <c r="H102" s="110"/>
    </row>
    <row r="103" spans="1:8" ht="24.95" customHeight="1">
      <c r="A103" s="110"/>
      <c r="B103" s="110"/>
      <c r="C103" s="111"/>
      <c r="D103" s="112"/>
      <c r="E103" s="110"/>
      <c r="F103" s="110"/>
      <c r="G103" s="110"/>
      <c r="H103" s="110"/>
    </row>
    <row r="104" spans="1:8" ht="24.95" customHeight="1">
      <c r="A104" s="110"/>
      <c r="B104" s="110"/>
      <c r="C104" s="111"/>
      <c r="D104" s="112"/>
      <c r="E104" s="110"/>
      <c r="F104" s="110"/>
      <c r="G104" s="110"/>
      <c r="H104" s="110"/>
    </row>
    <row r="105" spans="1:8" ht="24.95" customHeight="1">
      <c r="A105" s="110"/>
      <c r="B105" s="110"/>
      <c r="C105" s="111"/>
      <c r="D105" s="112"/>
      <c r="E105" s="110"/>
      <c r="F105" s="110"/>
      <c r="G105" s="110"/>
      <c r="H105" s="110"/>
    </row>
    <row r="106" spans="1:8" ht="24.95" customHeight="1">
      <c r="A106" s="110"/>
      <c r="B106" s="110"/>
      <c r="C106" s="111"/>
      <c r="D106" s="112"/>
      <c r="E106" s="110"/>
      <c r="F106" s="110"/>
      <c r="G106" s="110"/>
      <c r="H106" s="110"/>
    </row>
    <row r="107" spans="1:8" ht="24.95" customHeight="1">
      <c r="A107" s="110"/>
      <c r="B107" s="110"/>
      <c r="C107" s="111"/>
      <c r="D107" s="112"/>
      <c r="E107" s="110"/>
      <c r="F107" s="110"/>
      <c r="G107" s="110"/>
      <c r="H107" s="110"/>
    </row>
    <row r="108" spans="1:8" ht="24.95" customHeight="1">
      <c r="A108" s="110"/>
      <c r="B108" s="110"/>
      <c r="C108" s="111"/>
      <c r="D108" s="112"/>
      <c r="E108" s="110"/>
      <c r="F108" s="110"/>
      <c r="G108" s="110"/>
      <c r="H108" s="110"/>
    </row>
    <row r="109" spans="1:8" ht="24.95" customHeight="1">
      <c r="A109" s="110"/>
      <c r="B109" s="110"/>
      <c r="C109" s="111"/>
      <c r="D109" s="112"/>
      <c r="E109" s="110"/>
      <c r="F109" s="110"/>
      <c r="G109" s="110"/>
      <c r="H109" s="110"/>
    </row>
    <row r="110" spans="1:8" ht="24.95" customHeight="1">
      <c r="A110" s="110"/>
      <c r="B110" s="110"/>
      <c r="C110" s="111"/>
      <c r="D110" s="112"/>
      <c r="E110" s="110"/>
      <c r="F110" s="110"/>
      <c r="G110" s="110"/>
      <c r="H110" s="110"/>
    </row>
    <row r="111" spans="1:8" ht="24.95" customHeight="1">
      <c r="A111" s="110"/>
      <c r="B111" s="110"/>
      <c r="C111" s="111"/>
      <c r="D111" s="112"/>
      <c r="E111" s="110"/>
      <c r="F111" s="110"/>
      <c r="G111" s="110"/>
      <c r="H111" s="110"/>
    </row>
    <row r="112" spans="1:8" ht="24.95" customHeight="1">
      <c r="A112" s="110"/>
      <c r="B112" s="110"/>
      <c r="C112" s="111"/>
      <c r="D112" s="112"/>
      <c r="E112" s="110"/>
      <c r="F112" s="110"/>
      <c r="G112" s="110"/>
      <c r="H112" s="110"/>
    </row>
    <row r="113" spans="1:8" ht="24.95" customHeight="1">
      <c r="A113" s="110"/>
      <c r="B113" s="110"/>
      <c r="C113" s="111"/>
      <c r="D113" s="112"/>
      <c r="E113" s="110"/>
      <c r="F113" s="110"/>
      <c r="G113" s="110"/>
      <c r="H113" s="110"/>
    </row>
    <row r="114" spans="1:8" ht="24.95" customHeight="1">
      <c r="A114" s="110"/>
      <c r="B114" s="110"/>
      <c r="C114" s="111"/>
      <c r="D114" s="112"/>
      <c r="E114" s="110"/>
      <c r="F114" s="110"/>
      <c r="G114" s="110"/>
      <c r="H114" s="110"/>
    </row>
    <row r="115" spans="1:8" ht="24.95" customHeight="1">
      <c r="A115" s="110"/>
      <c r="B115" s="110"/>
      <c r="C115" s="111"/>
      <c r="D115" s="112"/>
      <c r="E115" s="110"/>
      <c r="F115" s="110"/>
      <c r="G115" s="110"/>
      <c r="H115" s="110"/>
    </row>
    <row r="116" spans="1:8" ht="24.95" customHeight="1">
      <c r="A116" s="110"/>
      <c r="B116" s="110"/>
      <c r="C116" s="111"/>
      <c r="D116" s="112"/>
      <c r="E116" s="110"/>
      <c r="F116" s="110"/>
      <c r="G116" s="110"/>
      <c r="H116" s="110"/>
    </row>
    <row r="117" spans="1:8" ht="24.95" customHeight="1">
      <c r="A117" s="110"/>
      <c r="B117" s="110"/>
      <c r="C117" s="111"/>
      <c r="D117" s="112"/>
      <c r="E117" s="110"/>
      <c r="F117" s="110"/>
      <c r="G117" s="110"/>
      <c r="H117" s="110"/>
    </row>
    <row r="118" spans="1:8" ht="24.95" customHeight="1">
      <c r="A118" s="110"/>
      <c r="B118" s="110"/>
      <c r="C118" s="111"/>
      <c r="D118" s="112"/>
      <c r="E118" s="110"/>
      <c r="F118" s="110"/>
      <c r="G118" s="110"/>
      <c r="H118" s="110"/>
    </row>
    <row r="119" spans="1:8" ht="24.95" customHeight="1">
      <c r="A119" s="110"/>
      <c r="B119" s="110"/>
      <c r="C119" s="111"/>
      <c r="D119" s="112"/>
      <c r="E119" s="110"/>
      <c r="F119" s="110"/>
      <c r="G119" s="110"/>
      <c r="H119" s="110"/>
    </row>
    <row r="120" spans="1:8" ht="24.95" customHeight="1">
      <c r="A120" s="110"/>
      <c r="B120" s="110"/>
      <c r="C120" s="111"/>
      <c r="D120" s="112"/>
      <c r="E120" s="110"/>
      <c r="F120" s="110"/>
      <c r="G120" s="110"/>
      <c r="H120" s="110"/>
    </row>
    <row r="121" spans="1:8" ht="24.95" customHeight="1">
      <c r="A121" s="110"/>
      <c r="B121" s="110"/>
      <c r="C121" s="111"/>
      <c r="D121" s="112"/>
      <c r="E121" s="110"/>
      <c r="F121" s="110"/>
      <c r="G121" s="110"/>
      <c r="H121" s="110"/>
    </row>
    <row r="122" spans="1:8" ht="24.95" customHeight="1">
      <c r="A122" s="110"/>
      <c r="B122" s="110"/>
      <c r="C122" s="111"/>
      <c r="D122" s="112"/>
      <c r="E122" s="110"/>
      <c r="F122" s="110"/>
      <c r="G122" s="110"/>
      <c r="H122" s="110"/>
    </row>
    <row r="123" spans="1:8" ht="24.95" customHeight="1">
      <c r="A123" s="110"/>
      <c r="B123" s="110"/>
      <c r="C123" s="111"/>
      <c r="D123" s="112"/>
      <c r="E123" s="110"/>
      <c r="F123" s="110"/>
      <c r="G123" s="110"/>
      <c r="H123" s="110"/>
    </row>
    <row r="124" spans="1:8" ht="24.95" customHeight="1">
      <c r="A124" s="110"/>
      <c r="B124" s="110"/>
      <c r="C124" s="111"/>
      <c r="D124" s="112"/>
      <c r="E124" s="110"/>
      <c r="F124" s="110"/>
      <c r="G124" s="110"/>
      <c r="H124" s="110"/>
    </row>
    <row r="125" spans="1:8" ht="24.95" customHeight="1">
      <c r="A125" s="110"/>
      <c r="B125" s="110"/>
      <c r="C125" s="111"/>
      <c r="D125" s="112"/>
      <c r="E125" s="110"/>
      <c r="F125" s="110"/>
      <c r="G125" s="110"/>
      <c r="H125" s="110"/>
    </row>
    <row r="126" spans="1:8" ht="24.95" customHeight="1">
      <c r="A126" s="110"/>
      <c r="B126" s="110"/>
      <c r="C126" s="111"/>
      <c r="D126" s="112"/>
      <c r="E126" s="110"/>
      <c r="F126" s="110"/>
      <c r="G126" s="110"/>
      <c r="H126" s="110"/>
    </row>
    <row r="127" spans="1:8" ht="24.95" customHeight="1">
      <c r="A127" s="110"/>
      <c r="B127" s="110"/>
      <c r="C127" s="111"/>
      <c r="D127" s="112"/>
      <c r="E127" s="110"/>
      <c r="F127" s="110"/>
      <c r="G127" s="110"/>
      <c r="H127" s="110"/>
    </row>
    <row r="128" spans="1:8" ht="24.95" customHeight="1">
      <c r="A128" s="110"/>
      <c r="B128" s="110"/>
      <c r="C128" s="111"/>
      <c r="D128" s="112"/>
      <c r="E128" s="110"/>
      <c r="F128" s="110"/>
      <c r="G128" s="110"/>
      <c r="H128" s="110"/>
    </row>
    <row r="129" spans="1:8" ht="24.95" customHeight="1">
      <c r="A129" s="110"/>
      <c r="B129" s="110"/>
      <c r="C129" s="111"/>
      <c r="D129" s="112"/>
      <c r="E129" s="110"/>
      <c r="F129" s="110"/>
      <c r="G129" s="110"/>
      <c r="H129" s="110"/>
    </row>
    <row r="130" spans="1:8" ht="24.95" customHeight="1">
      <c r="A130" s="110"/>
      <c r="B130" s="110"/>
      <c r="C130" s="111"/>
      <c r="D130" s="112"/>
      <c r="E130" s="110"/>
      <c r="F130" s="110"/>
      <c r="G130" s="110"/>
      <c r="H130" s="110"/>
    </row>
    <row r="131" spans="1:8" ht="24.95" customHeight="1">
      <c r="A131" s="110"/>
      <c r="B131" s="110"/>
      <c r="C131" s="111"/>
      <c r="D131" s="112"/>
      <c r="E131" s="110"/>
      <c r="F131" s="110"/>
      <c r="G131" s="110"/>
      <c r="H131" s="110"/>
    </row>
    <row r="132" spans="1:8" ht="24.95" customHeight="1">
      <c r="A132" s="110"/>
      <c r="B132" s="110"/>
      <c r="C132" s="111"/>
      <c r="D132" s="112"/>
      <c r="E132" s="110"/>
      <c r="F132" s="110"/>
      <c r="G132" s="110"/>
      <c r="H132" s="110"/>
    </row>
    <row r="133" spans="1:8" ht="24.95" customHeight="1">
      <c r="A133" s="110"/>
      <c r="B133" s="110"/>
      <c r="C133" s="111"/>
      <c r="D133" s="112"/>
      <c r="E133" s="110"/>
      <c r="F133" s="110"/>
      <c r="G133" s="110"/>
      <c r="H133" s="110"/>
    </row>
    <row r="134" spans="1:8" ht="24.95" customHeight="1">
      <c r="A134" s="110"/>
      <c r="B134" s="110"/>
      <c r="C134" s="111"/>
      <c r="D134" s="112"/>
      <c r="E134" s="110"/>
      <c r="F134" s="110"/>
      <c r="G134" s="110"/>
      <c r="H134" s="110"/>
    </row>
    <row r="135" spans="1:8" ht="24.95" customHeight="1">
      <c r="A135" s="110"/>
      <c r="B135" s="110"/>
      <c r="C135" s="111"/>
      <c r="D135" s="112"/>
      <c r="E135" s="110"/>
      <c r="F135" s="110"/>
      <c r="G135" s="110"/>
      <c r="H135" s="110"/>
    </row>
    <row r="136" spans="1:8" ht="24.95" customHeight="1">
      <c r="A136" s="110"/>
      <c r="B136" s="110"/>
      <c r="C136" s="111"/>
      <c r="D136" s="112"/>
      <c r="E136" s="110"/>
      <c r="F136" s="110"/>
      <c r="G136" s="110"/>
      <c r="H136" s="110"/>
    </row>
    <row r="137" spans="1:8" ht="24.95" customHeight="1">
      <c r="A137" s="110"/>
      <c r="B137" s="110"/>
      <c r="C137" s="111"/>
      <c r="D137" s="112"/>
      <c r="E137" s="110"/>
      <c r="F137" s="110"/>
      <c r="G137" s="110"/>
      <c r="H137" s="110"/>
    </row>
    <row r="138" spans="1:8" ht="24.95" customHeight="1">
      <c r="A138" s="110"/>
      <c r="B138" s="110"/>
      <c r="C138" s="111"/>
      <c r="D138" s="112"/>
      <c r="E138" s="110"/>
      <c r="F138" s="110"/>
      <c r="G138" s="110"/>
      <c r="H138" s="110"/>
    </row>
    <row r="139" spans="1:8" ht="24.95" customHeight="1">
      <c r="A139" s="110"/>
      <c r="B139" s="110"/>
      <c r="C139" s="111"/>
      <c r="D139" s="112"/>
      <c r="E139" s="110"/>
      <c r="F139" s="110"/>
      <c r="G139" s="110"/>
      <c r="H139" s="110"/>
    </row>
    <row r="140" spans="1:8" ht="24.95" customHeight="1">
      <c r="A140" s="110"/>
      <c r="B140" s="110"/>
      <c r="C140" s="111"/>
      <c r="D140" s="112"/>
      <c r="E140" s="110"/>
      <c r="F140" s="110"/>
      <c r="G140" s="110"/>
      <c r="H140" s="110"/>
    </row>
    <row r="141" spans="1:8" ht="24.95" customHeight="1">
      <c r="A141" s="110"/>
      <c r="B141" s="110"/>
      <c r="C141" s="111"/>
      <c r="D141" s="112"/>
      <c r="E141" s="110"/>
      <c r="F141" s="110"/>
      <c r="G141" s="110"/>
      <c r="H141" s="110"/>
    </row>
    <row r="142" spans="1:8" ht="24.95" customHeight="1">
      <c r="A142" s="110"/>
      <c r="B142" s="110"/>
      <c r="C142" s="111"/>
      <c r="D142" s="112"/>
      <c r="E142" s="110"/>
      <c r="F142" s="110"/>
      <c r="G142" s="110"/>
      <c r="H142" s="110"/>
    </row>
    <row r="143" spans="1:8" ht="24.95" customHeight="1">
      <c r="A143" s="110"/>
      <c r="B143" s="110"/>
      <c r="C143" s="111"/>
      <c r="D143" s="112"/>
      <c r="E143" s="110"/>
      <c r="F143" s="110"/>
      <c r="G143" s="110"/>
      <c r="H143" s="110"/>
    </row>
    <row r="144" spans="1:8" ht="24.95" customHeight="1">
      <c r="A144" s="110"/>
      <c r="B144" s="110"/>
      <c r="C144" s="111"/>
      <c r="D144" s="112"/>
      <c r="E144" s="110"/>
      <c r="F144" s="110"/>
      <c r="G144" s="110"/>
      <c r="H144" s="110"/>
    </row>
    <row r="145" spans="1:8" ht="24.95" customHeight="1">
      <c r="A145" s="110"/>
      <c r="B145" s="110"/>
      <c r="C145" s="111"/>
      <c r="D145" s="112"/>
      <c r="E145" s="110"/>
      <c r="F145" s="110"/>
      <c r="G145" s="110"/>
      <c r="H145" s="110"/>
    </row>
    <row r="146" spans="1:8" ht="24.95" customHeight="1">
      <c r="A146" s="110"/>
      <c r="B146" s="110"/>
      <c r="C146" s="111"/>
      <c r="D146" s="112"/>
      <c r="E146" s="110"/>
      <c r="F146" s="110"/>
      <c r="G146" s="110"/>
      <c r="H146" s="110"/>
    </row>
    <row r="147" spans="1:8" ht="24.95" customHeight="1">
      <c r="A147" s="110"/>
      <c r="B147" s="110"/>
      <c r="C147" s="111"/>
      <c r="D147" s="112"/>
      <c r="E147" s="110"/>
      <c r="F147" s="110"/>
      <c r="G147" s="110"/>
      <c r="H147" s="110"/>
    </row>
    <row r="148" spans="1:8" ht="24.95" customHeight="1">
      <c r="A148" s="110"/>
      <c r="B148" s="110"/>
      <c r="C148" s="111"/>
      <c r="D148" s="112"/>
      <c r="E148" s="110"/>
      <c r="F148" s="110"/>
      <c r="G148" s="110"/>
      <c r="H148" s="110"/>
    </row>
    <row r="149" spans="1:8" ht="24.95" customHeight="1">
      <c r="A149" s="110"/>
      <c r="B149" s="110"/>
      <c r="C149" s="111"/>
      <c r="D149" s="112"/>
      <c r="E149" s="110"/>
      <c r="F149" s="110"/>
      <c r="G149" s="110"/>
      <c r="H149" s="110"/>
    </row>
    <row r="150" spans="1:8" ht="24.95" customHeight="1">
      <c r="A150" s="110"/>
      <c r="B150" s="110"/>
      <c r="C150" s="111"/>
      <c r="D150" s="112"/>
      <c r="E150" s="110"/>
      <c r="F150" s="110"/>
      <c r="G150" s="110"/>
      <c r="H150" s="110"/>
    </row>
    <row r="151" spans="1:8" ht="24.95" customHeight="1">
      <c r="A151" s="110"/>
      <c r="B151" s="110"/>
      <c r="C151" s="111"/>
      <c r="D151" s="112"/>
      <c r="E151" s="110"/>
      <c r="F151" s="110"/>
      <c r="G151" s="110"/>
      <c r="H151" s="110"/>
    </row>
    <row r="152" spans="1:8" ht="24.95" customHeight="1">
      <c r="A152" s="110"/>
      <c r="B152" s="110"/>
      <c r="C152" s="111"/>
      <c r="D152" s="112"/>
      <c r="E152" s="110"/>
      <c r="F152" s="110"/>
      <c r="G152" s="110"/>
      <c r="H152" s="110"/>
    </row>
    <row r="153" spans="1:8" ht="24.95" customHeight="1">
      <c r="A153" s="110"/>
      <c r="B153" s="110"/>
      <c r="C153" s="111"/>
      <c r="D153" s="112"/>
      <c r="E153" s="110"/>
      <c r="F153" s="110"/>
      <c r="G153" s="110"/>
      <c r="H153" s="110"/>
    </row>
    <row r="154" spans="1:8" ht="24.95" customHeight="1">
      <c r="A154" s="110"/>
      <c r="B154" s="110"/>
      <c r="C154" s="111"/>
      <c r="D154" s="112"/>
      <c r="E154" s="110"/>
      <c r="F154" s="110"/>
      <c r="G154" s="110"/>
      <c r="H154" s="110"/>
    </row>
    <row r="155" spans="1:8" ht="24.95" customHeight="1">
      <c r="A155" s="110"/>
      <c r="B155" s="110"/>
      <c r="C155" s="111"/>
      <c r="D155" s="112"/>
      <c r="E155" s="110"/>
      <c r="F155" s="110"/>
      <c r="G155" s="110"/>
      <c r="H155" s="110"/>
    </row>
    <row r="156" spans="1:8" ht="24.95" customHeight="1">
      <c r="A156" s="110"/>
      <c r="B156" s="110"/>
      <c r="C156" s="111"/>
      <c r="D156" s="112"/>
      <c r="E156" s="110"/>
      <c r="F156" s="110"/>
      <c r="G156" s="110"/>
      <c r="H156" s="110"/>
    </row>
    <row r="157" spans="1:8" ht="24.95" customHeight="1">
      <c r="A157" s="110"/>
      <c r="B157" s="110"/>
      <c r="C157" s="111"/>
      <c r="D157" s="112"/>
      <c r="E157" s="110"/>
      <c r="F157" s="110"/>
      <c r="G157" s="110"/>
      <c r="H157" s="110"/>
    </row>
    <row r="158" spans="1:8" ht="24.95" customHeight="1">
      <c r="A158" s="110"/>
      <c r="B158" s="110"/>
      <c r="C158" s="111"/>
      <c r="D158" s="112"/>
      <c r="E158" s="110"/>
      <c r="F158" s="110"/>
      <c r="G158" s="110"/>
      <c r="H158" s="110"/>
    </row>
    <row r="159" spans="1:8" ht="24.95" customHeight="1">
      <c r="A159" s="110"/>
      <c r="B159" s="110"/>
      <c r="C159" s="111"/>
      <c r="D159" s="112"/>
      <c r="E159" s="110"/>
      <c r="F159" s="110"/>
      <c r="G159" s="110"/>
      <c r="H159" s="110"/>
    </row>
    <row r="160" spans="1:8" ht="24.95" customHeight="1">
      <c r="A160" s="110"/>
      <c r="B160" s="110"/>
      <c r="C160" s="111"/>
      <c r="D160" s="112"/>
      <c r="E160" s="110"/>
      <c r="F160" s="110"/>
      <c r="G160" s="110"/>
      <c r="H160" s="110"/>
    </row>
    <row r="161" spans="1:8" ht="24.95" customHeight="1">
      <c r="A161" s="110"/>
      <c r="B161" s="110"/>
      <c r="C161" s="111"/>
      <c r="D161" s="112"/>
      <c r="E161" s="110"/>
      <c r="F161" s="110"/>
      <c r="G161" s="110"/>
      <c r="H161" s="110"/>
    </row>
    <row r="162" spans="1:8" ht="24.95" customHeight="1">
      <c r="A162" s="110"/>
      <c r="B162" s="110"/>
      <c r="C162" s="111"/>
      <c r="D162" s="112"/>
      <c r="E162" s="110"/>
      <c r="F162" s="110"/>
      <c r="G162" s="110"/>
      <c r="H162" s="110"/>
    </row>
    <row r="163" spans="1:8" ht="24.95" customHeight="1">
      <c r="A163" s="110"/>
      <c r="B163" s="110"/>
      <c r="C163" s="111"/>
      <c r="D163" s="112"/>
      <c r="E163" s="110"/>
      <c r="F163" s="110"/>
      <c r="G163" s="110"/>
      <c r="H163" s="110"/>
    </row>
    <row r="164" spans="1:8" ht="24.95" customHeight="1">
      <c r="A164" s="110"/>
      <c r="B164" s="110"/>
      <c r="C164" s="111"/>
      <c r="D164" s="112"/>
      <c r="E164" s="110"/>
      <c r="F164" s="110"/>
      <c r="G164" s="110"/>
      <c r="H164" s="110"/>
    </row>
    <row r="165" spans="1:8" ht="24.95" customHeight="1">
      <c r="A165" s="110"/>
      <c r="B165" s="110"/>
      <c r="C165" s="111"/>
      <c r="D165" s="112"/>
      <c r="E165" s="110"/>
      <c r="F165" s="110"/>
      <c r="G165" s="110"/>
      <c r="H165" s="110"/>
    </row>
    <row r="166" spans="1:8" ht="24.95" customHeight="1">
      <c r="A166" s="110"/>
      <c r="B166" s="110"/>
      <c r="C166" s="111"/>
      <c r="D166" s="112"/>
      <c r="E166" s="110"/>
      <c r="F166" s="110"/>
      <c r="G166" s="110"/>
      <c r="H166" s="110"/>
    </row>
    <row r="167" spans="1:8" ht="24.95" customHeight="1">
      <c r="A167" s="110"/>
      <c r="B167" s="110"/>
      <c r="C167" s="111"/>
      <c r="D167" s="112"/>
      <c r="E167" s="110"/>
      <c r="F167" s="110"/>
      <c r="G167" s="110"/>
      <c r="H167" s="110"/>
    </row>
    <row r="168" spans="1:8" ht="24.95" customHeight="1">
      <c r="A168" s="110"/>
      <c r="B168" s="110"/>
      <c r="C168" s="111"/>
      <c r="D168" s="112"/>
      <c r="E168" s="110"/>
      <c r="F168" s="110"/>
      <c r="G168" s="110"/>
      <c r="H168" s="110"/>
    </row>
    <row r="169" spans="1:8" ht="24.95" customHeight="1">
      <c r="A169" s="110"/>
      <c r="B169" s="110"/>
      <c r="C169" s="111"/>
      <c r="D169" s="112"/>
      <c r="E169" s="110"/>
      <c r="F169" s="110"/>
      <c r="G169" s="110"/>
      <c r="H169" s="110"/>
    </row>
    <row r="170" spans="1:8" ht="24.95" customHeight="1">
      <c r="A170" s="110"/>
      <c r="B170" s="110"/>
      <c r="C170" s="111"/>
      <c r="D170" s="112"/>
      <c r="E170" s="110"/>
      <c r="F170" s="110"/>
      <c r="G170" s="110"/>
      <c r="H170" s="110"/>
    </row>
    <row r="171" spans="1:8" ht="24.95" customHeight="1">
      <c r="A171" s="110"/>
      <c r="B171" s="110"/>
      <c r="C171" s="111"/>
      <c r="D171" s="112"/>
      <c r="E171" s="110"/>
      <c r="F171" s="110"/>
      <c r="G171" s="110"/>
      <c r="H171" s="110"/>
    </row>
    <row r="172" spans="1:8" ht="24.95" customHeight="1">
      <c r="A172" s="110"/>
      <c r="B172" s="110"/>
      <c r="C172" s="111"/>
      <c r="D172" s="112"/>
      <c r="E172" s="110"/>
      <c r="F172" s="110"/>
      <c r="G172" s="110"/>
      <c r="H172" s="110"/>
    </row>
    <row r="173" spans="1:8" ht="24.95" customHeight="1">
      <c r="A173" s="110"/>
      <c r="B173" s="110"/>
      <c r="C173" s="111"/>
      <c r="D173" s="112"/>
      <c r="E173" s="110"/>
      <c r="F173" s="110"/>
      <c r="G173" s="110"/>
      <c r="H173" s="110"/>
    </row>
    <row r="174" spans="1:8" ht="24.95" customHeight="1">
      <c r="A174" s="110"/>
      <c r="B174" s="110"/>
      <c r="C174" s="111"/>
      <c r="D174" s="112"/>
      <c r="E174" s="110"/>
      <c r="F174" s="110"/>
      <c r="G174" s="110"/>
      <c r="H174" s="110"/>
    </row>
    <row r="175" spans="1:8" ht="24.95" customHeight="1">
      <c r="A175" s="110"/>
      <c r="B175" s="110"/>
      <c r="C175" s="111"/>
      <c r="D175" s="112"/>
      <c r="E175" s="110"/>
      <c r="F175" s="110"/>
      <c r="G175" s="110"/>
      <c r="H175" s="110"/>
    </row>
    <row r="176" spans="1:8" ht="24.95" customHeight="1">
      <c r="A176" s="110"/>
      <c r="B176" s="110"/>
      <c r="C176" s="111"/>
      <c r="D176" s="112"/>
      <c r="E176" s="110"/>
      <c r="F176" s="110"/>
      <c r="G176" s="110"/>
      <c r="H176" s="110"/>
    </row>
    <row r="177" spans="1:8" ht="24.95" customHeight="1">
      <c r="A177" s="110"/>
      <c r="B177" s="110"/>
      <c r="C177" s="111"/>
      <c r="D177" s="112"/>
      <c r="E177" s="110"/>
      <c r="F177" s="110"/>
      <c r="G177" s="110"/>
      <c r="H177" s="110"/>
    </row>
    <row r="178" spans="1:8" ht="24.95" customHeight="1">
      <c r="A178" s="110"/>
      <c r="B178" s="110"/>
      <c r="C178" s="111"/>
      <c r="D178" s="112"/>
      <c r="E178" s="110"/>
      <c r="F178" s="110"/>
      <c r="G178" s="110"/>
      <c r="H178" s="110"/>
    </row>
    <row r="179" spans="1:8" ht="24.95" customHeight="1">
      <c r="A179" s="110"/>
      <c r="B179" s="110"/>
      <c r="C179" s="111"/>
      <c r="D179" s="112"/>
      <c r="E179" s="110"/>
      <c r="F179" s="110"/>
      <c r="G179" s="110"/>
      <c r="H179" s="110"/>
    </row>
    <row r="180" spans="1:8" ht="24.95" customHeight="1">
      <c r="A180" s="110"/>
      <c r="B180" s="110"/>
      <c r="C180" s="111"/>
      <c r="D180" s="112"/>
      <c r="E180" s="110"/>
      <c r="F180" s="110"/>
      <c r="G180" s="110"/>
      <c r="H180" s="110"/>
    </row>
    <row r="181" spans="1:8" ht="24.95" customHeight="1">
      <c r="A181" s="110"/>
      <c r="B181" s="110"/>
      <c r="C181" s="111"/>
      <c r="D181" s="112"/>
      <c r="E181" s="110"/>
      <c r="F181" s="110"/>
      <c r="G181" s="110"/>
      <c r="H181" s="110"/>
    </row>
    <row r="182" spans="1:8" ht="24.95" customHeight="1">
      <c r="A182" s="110"/>
      <c r="B182" s="110"/>
      <c r="C182" s="111"/>
      <c r="D182" s="112"/>
      <c r="E182" s="110"/>
      <c r="F182" s="110"/>
      <c r="G182" s="110"/>
      <c r="H182" s="110"/>
    </row>
    <row r="183" spans="1:8" ht="24.95" customHeight="1">
      <c r="A183" s="110"/>
      <c r="B183" s="110"/>
      <c r="C183" s="111"/>
      <c r="D183" s="112"/>
      <c r="E183" s="110"/>
      <c r="F183" s="110"/>
      <c r="G183" s="110"/>
      <c r="H183" s="110"/>
    </row>
    <row r="184" spans="1:8" ht="24.95" customHeight="1">
      <c r="A184" s="110"/>
      <c r="B184" s="110"/>
      <c r="C184" s="111"/>
      <c r="D184" s="112"/>
      <c r="E184" s="110"/>
      <c r="F184" s="110"/>
      <c r="G184" s="110"/>
      <c r="H184" s="110"/>
    </row>
    <row r="185" spans="1:8" ht="24.95" customHeight="1">
      <c r="A185" s="110"/>
      <c r="B185" s="110"/>
      <c r="C185" s="111"/>
      <c r="D185" s="112"/>
      <c r="E185" s="110"/>
      <c r="F185" s="110"/>
      <c r="G185" s="110"/>
      <c r="H185" s="110"/>
    </row>
    <row r="186" spans="1:8" ht="24.95" customHeight="1">
      <c r="A186" s="110"/>
      <c r="B186" s="110"/>
      <c r="C186" s="111"/>
      <c r="D186" s="112"/>
      <c r="E186" s="110"/>
      <c r="F186" s="110"/>
      <c r="G186" s="110"/>
      <c r="H186" s="110"/>
    </row>
    <row r="187" spans="1:8" ht="24.95" customHeight="1">
      <c r="A187" s="110"/>
      <c r="B187" s="110"/>
      <c r="C187" s="111"/>
      <c r="D187" s="112"/>
      <c r="E187" s="110"/>
      <c r="F187" s="110"/>
      <c r="G187" s="110"/>
      <c r="H187" s="110"/>
    </row>
    <row r="188" spans="1:8" ht="24.95" customHeight="1">
      <c r="A188" s="110"/>
      <c r="B188" s="110"/>
      <c r="C188" s="111"/>
      <c r="D188" s="112"/>
      <c r="E188" s="110"/>
      <c r="F188" s="110"/>
      <c r="G188" s="110"/>
      <c r="H188" s="110"/>
    </row>
    <row r="189" spans="1:8" ht="24.95" customHeight="1">
      <c r="A189" s="110"/>
      <c r="B189" s="110"/>
      <c r="C189" s="111"/>
      <c r="D189" s="112"/>
      <c r="E189" s="110"/>
      <c r="F189" s="110"/>
      <c r="G189" s="110"/>
      <c r="H189" s="110"/>
    </row>
    <row r="190" spans="1:8" ht="24.95" customHeight="1">
      <c r="A190" s="110"/>
      <c r="B190" s="110"/>
      <c r="C190" s="111"/>
      <c r="D190" s="112"/>
      <c r="E190" s="110"/>
      <c r="F190" s="110"/>
      <c r="G190" s="110"/>
      <c r="H190" s="110"/>
    </row>
    <row r="191" spans="1:8" ht="24.95" customHeight="1">
      <c r="A191" s="110"/>
      <c r="B191" s="110"/>
      <c r="C191" s="111"/>
      <c r="D191" s="112"/>
      <c r="E191" s="110"/>
      <c r="F191" s="110"/>
      <c r="G191" s="110"/>
      <c r="H191" s="110"/>
    </row>
    <row r="192" spans="1:8" ht="24.95" customHeight="1">
      <c r="A192" s="110"/>
      <c r="B192" s="110"/>
      <c r="C192" s="111"/>
      <c r="D192" s="112"/>
      <c r="E192" s="110"/>
      <c r="F192" s="110"/>
      <c r="G192" s="110"/>
      <c r="H192" s="110"/>
    </row>
    <row r="193" spans="1:8" ht="24.95" customHeight="1">
      <c r="A193" s="110"/>
      <c r="B193" s="110"/>
      <c r="C193" s="111"/>
      <c r="D193" s="112"/>
      <c r="E193" s="110"/>
      <c r="F193" s="110"/>
      <c r="G193" s="110"/>
      <c r="H193" s="110"/>
    </row>
    <row r="194" spans="1:8" ht="24.95" customHeight="1">
      <c r="A194" s="110"/>
      <c r="B194" s="110"/>
      <c r="C194" s="111"/>
      <c r="D194" s="112"/>
      <c r="E194" s="110"/>
      <c r="F194" s="110"/>
      <c r="G194" s="110"/>
      <c r="H194" s="110"/>
    </row>
    <row r="195" spans="1:8" ht="24.95" customHeight="1">
      <c r="A195" s="110"/>
      <c r="B195" s="110"/>
      <c r="C195" s="111"/>
      <c r="D195" s="112"/>
      <c r="E195" s="110"/>
      <c r="F195" s="110"/>
      <c r="G195" s="110"/>
      <c r="H195" s="110"/>
    </row>
    <row r="196" spans="1:8" ht="24.95" customHeight="1">
      <c r="A196" s="110"/>
      <c r="B196" s="110"/>
      <c r="C196" s="111"/>
      <c r="D196" s="112"/>
      <c r="E196" s="110"/>
      <c r="F196" s="110"/>
      <c r="G196" s="110"/>
      <c r="H196" s="110"/>
    </row>
    <row r="197" spans="1:8" ht="24.95" customHeight="1">
      <c r="A197" s="110"/>
      <c r="B197" s="110"/>
      <c r="C197" s="111"/>
      <c r="D197" s="112"/>
      <c r="E197" s="110"/>
      <c r="F197" s="110"/>
      <c r="G197" s="110"/>
      <c r="H197" s="110"/>
    </row>
    <row r="198" spans="1:8" ht="24.95" customHeight="1">
      <c r="A198" s="110"/>
      <c r="B198" s="110"/>
      <c r="C198" s="111"/>
      <c r="D198" s="112"/>
      <c r="E198" s="110"/>
      <c r="F198" s="110"/>
      <c r="G198" s="110"/>
      <c r="H198" s="110"/>
    </row>
    <row r="199" spans="1:8" ht="24.95" customHeight="1">
      <c r="A199" s="110"/>
      <c r="B199" s="110"/>
      <c r="C199" s="111"/>
      <c r="D199" s="112"/>
      <c r="E199" s="110"/>
      <c r="F199" s="110"/>
      <c r="G199" s="110"/>
      <c r="H199" s="110"/>
    </row>
    <row r="200" spans="1:8" ht="24.95" customHeight="1">
      <c r="A200" s="110"/>
      <c r="B200" s="110"/>
      <c r="C200" s="111"/>
      <c r="D200" s="112"/>
      <c r="E200" s="110"/>
      <c r="F200" s="110"/>
      <c r="G200" s="110"/>
      <c r="H200" s="110"/>
    </row>
    <row r="201" spans="1:8" ht="24.95" customHeight="1">
      <c r="A201" s="110"/>
      <c r="B201" s="110"/>
      <c r="C201" s="111"/>
      <c r="D201" s="112"/>
      <c r="E201" s="110"/>
      <c r="F201" s="110"/>
      <c r="G201" s="110"/>
      <c r="H201" s="110"/>
    </row>
    <row r="202" spans="1:8" ht="24.95" customHeight="1">
      <c r="A202" s="110"/>
      <c r="B202" s="110"/>
      <c r="C202" s="111"/>
      <c r="D202" s="112"/>
      <c r="E202" s="110"/>
      <c r="F202" s="110"/>
      <c r="G202" s="110"/>
      <c r="H202" s="110"/>
    </row>
    <row r="203" spans="1:8" ht="24.95" customHeight="1">
      <c r="A203" s="110"/>
      <c r="B203" s="110"/>
      <c r="C203" s="111"/>
      <c r="D203" s="112"/>
      <c r="E203" s="110"/>
      <c r="F203" s="110"/>
      <c r="G203" s="110"/>
      <c r="H203" s="110"/>
    </row>
    <row r="204" spans="1:8" ht="24.95" customHeight="1">
      <c r="A204" s="110"/>
      <c r="B204" s="110"/>
      <c r="C204" s="111"/>
      <c r="D204" s="112"/>
      <c r="E204" s="110"/>
      <c r="F204" s="110"/>
      <c r="G204" s="110"/>
      <c r="H204" s="110"/>
    </row>
    <row r="205" spans="1:8" ht="24.95" customHeight="1">
      <c r="A205" s="110"/>
      <c r="B205" s="110"/>
      <c r="C205" s="111"/>
      <c r="D205" s="112"/>
      <c r="E205" s="110"/>
      <c r="F205" s="110"/>
      <c r="G205" s="110"/>
      <c r="H205" s="110"/>
    </row>
    <row r="206" spans="1:8" ht="24.95" customHeight="1">
      <c r="A206" s="110"/>
      <c r="B206" s="110"/>
      <c r="C206" s="111"/>
      <c r="D206" s="112"/>
      <c r="E206" s="110"/>
      <c r="F206" s="110"/>
      <c r="G206" s="110"/>
      <c r="H206" s="110"/>
    </row>
    <row r="207" spans="1:8" ht="24.95" customHeight="1">
      <c r="A207" s="110"/>
      <c r="B207" s="110"/>
      <c r="C207" s="111"/>
      <c r="D207" s="112"/>
      <c r="E207" s="110"/>
      <c r="F207" s="110"/>
      <c r="G207" s="110"/>
      <c r="H207" s="110"/>
    </row>
    <row r="208" spans="1:8" ht="24.95" customHeight="1">
      <c r="A208" s="110"/>
      <c r="B208" s="110"/>
      <c r="C208" s="111"/>
      <c r="D208" s="112"/>
      <c r="E208" s="110"/>
      <c r="F208" s="110"/>
      <c r="G208" s="110"/>
      <c r="H208" s="110"/>
    </row>
    <row r="209" spans="1:8" ht="24.95" customHeight="1">
      <c r="A209" s="110"/>
      <c r="B209" s="110"/>
      <c r="C209" s="111"/>
      <c r="D209" s="112"/>
      <c r="E209" s="110"/>
      <c r="F209" s="110"/>
      <c r="G209" s="110"/>
      <c r="H209" s="110"/>
    </row>
    <row r="210" spans="1:8" ht="24.95" customHeight="1">
      <c r="A210" s="110"/>
      <c r="B210" s="110"/>
      <c r="C210" s="111"/>
      <c r="D210" s="112"/>
      <c r="E210" s="110"/>
      <c r="F210" s="110"/>
      <c r="G210" s="110"/>
      <c r="H210" s="110"/>
    </row>
    <row r="211" spans="1:8" ht="24.95" customHeight="1">
      <c r="A211" s="110"/>
      <c r="B211" s="110"/>
      <c r="C211" s="111"/>
      <c r="D211" s="112"/>
      <c r="E211" s="110"/>
      <c r="F211" s="110"/>
      <c r="G211" s="110"/>
      <c r="H211" s="110"/>
    </row>
    <row r="212" spans="1:8" ht="24.95" customHeight="1">
      <c r="A212" s="110"/>
      <c r="B212" s="110"/>
      <c r="C212" s="111"/>
      <c r="D212" s="112"/>
      <c r="E212" s="110"/>
      <c r="F212" s="110"/>
      <c r="G212" s="110"/>
      <c r="H212" s="110"/>
    </row>
    <row r="213" spans="1:8" ht="24.95" customHeight="1">
      <c r="A213" s="110"/>
      <c r="B213" s="110"/>
      <c r="C213" s="111"/>
      <c r="D213" s="112"/>
      <c r="E213" s="110"/>
      <c r="F213" s="110"/>
      <c r="G213" s="110"/>
      <c r="H213" s="110"/>
    </row>
    <row r="214" spans="1:8" ht="24.95" customHeight="1">
      <c r="A214" s="110"/>
      <c r="B214" s="110"/>
      <c r="C214" s="111"/>
      <c r="D214" s="112"/>
      <c r="E214" s="110"/>
      <c r="F214" s="110"/>
      <c r="G214" s="110"/>
      <c r="H214" s="110"/>
    </row>
    <row r="215" spans="1:8" ht="24.95" customHeight="1">
      <c r="A215" s="110"/>
      <c r="B215" s="110"/>
      <c r="C215" s="111"/>
      <c r="D215" s="112"/>
      <c r="E215" s="110"/>
      <c r="F215" s="110"/>
      <c r="G215" s="110"/>
      <c r="H215" s="110"/>
    </row>
    <row r="216" spans="1:8" ht="24.95" customHeight="1">
      <c r="A216" s="110"/>
      <c r="B216" s="110"/>
      <c r="C216" s="111"/>
      <c r="D216" s="112"/>
      <c r="E216" s="110"/>
      <c r="F216" s="110"/>
      <c r="G216" s="110"/>
      <c r="H216" s="110"/>
    </row>
    <row r="217" spans="1:8" ht="24.95" customHeight="1">
      <c r="A217" s="110"/>
      <c r="B217" s="110"/>
      <c r="C217" s="111"/>
      <c r="D217" s="112"/>
      <c r="E217" s="110"/>
      <c r="F217" s="110"/>
      <c r="G217" s="110"/>
      <c r="H217" s="110"/>
    </row>
    <row r="218" spans="1:8" ht="24.95" customHeight="1">
      <c r="A218" s="110"/>
      <c r="B218" s="110"/>
      <c r="C218" s="111"/>
      <c r="D218" s="112"/>
      <c r="E218" s="110"/>
      <c r="F218" s="110"/>
      <c r="G218" s="110"/>
      <c r="H218" s="110"/>
    </row>
    <row r="219" spans="1:8" ht="24.95" customHeight="1">
      <c r="A219" s="110"/>
      <c r="B219" s="110"/>
      <c r="C219" s="111"/>
      <c r="D219" s="112"/>
      <c r="E219" s="110"/>
      <c r="F219" s="110"/>
      <c r="G219" s="110"/>
      <c r="H219" s="110"/>
    </row>
    <row r="220" spans="1:8" ht="24.95" customHeight="1">
      <c r="A220" s="110"/>
      <c r="B220" s="110"/>
      <c r="C220" s="111"/>
      <c r="D220" s="112"/>
      <c r="E220" s="110"/>
      <c r="F220" s="110"/>
      <c r="G220" s="110"/>
      <c r="H220" s="110"/>
    </row>
    <row r="221" spans="1:8" ht="24.95" customHeight="1">
      <c r="A221" s="110"/>
      <c r="B221" s="110"/>
      <c r="C221" s="111"/>
      <c r="D221" s="112"/>
      <c r="E221" s="110"/>
      <c r="F221" s="110"/>
      <c r="G221" s="110"/>
      <c r="H221" s="110"/>
    </row>
    <row r="222" spans="1:8" ht="24.95" customHeight="1">
      <c r="A222" s="110"/>
      <c r="B222" s="110"/>
      <c r="C222" s="111"/>
      <c r="D222" s="112"/>
      <c r="E222" s="110"/>
      <c r="F222" s="110"/>
      <c r="G222" s="110"/>
      <c r="H222" s="110"/>
    </row>
    <row r="223" spans="1:8" ht="24.95" customHeight="1">
      <c r="A223" s="110"/>
      <c r="B223" s="110"/>
      <c r="C223" s="111"/>
      <c r="D223" s="112"/>
      <c r="E223" s="110"/>
      <c r="F223" s="110"/>
      <c r="G223" s="110"/>
      <c r="H223" s="110"/>
    </row>
    <row r="224" spans="1:8" ht="24.95" customHeight="1">
      <c r="A224" s="110"/>
      <c r="B224" s="110"/>
      <c r="C224" s="111"/>
      <c r="D224" s="112"/>
      <c r="E224" s="110"/>
      <c r="F224" s="110"/>
      <c r="G224" s="110"/>
      <c r="H224" s="110"/>
    </row>
    <row r="225" spans="1:8" ht="24.95" customHeight="1">
      <c r="A225" s="110"/>
      <c r="B225" s="110"/>
      <c r="C225" s="111"/>
      <c r="D225" s="112"/>
      <c r="E225" s="110"/>
      <c r="F225" s="110"/>
      <c r="G225" s="110"/>
      <c r="H225" s="110"/>
    </row>
    <row r="226" spans="1:8" ht="24.95" customHeight="1">
      <c r="A226" s="110"/>
      <c r="B226" s="110"/>
      <c r="C226" s="111"/>
      <c r="D226" s="112"/>
      <c r="E226" s="110"/>
      <c r="F226" s="110"/>
      <c r="G226" s="110"/>
      <c r="H226" s="110"/>
    </row>
    <row r="227" spans="1:8" ht="24.95" customHeight="1">
      <c r="A227" s="110"/>
      <c r="B227" s="110"/>
      <c r="C227" s="111"/>
      <c r="D227" s="112"/>
      <c r="E227" s="110"/>
      <c r="F227" s="110"/>
      <c r="G227" s="110"/>
      <c r="H227" s="110"/>
    </row>
    <row r="228" spans="1:8" ht="24.95" customHeight="1">
      <c r="A228" s="110"/>
      <c r="B228" s="110"/>
      <c r="C228" s="111"/>
      <c r="D228" s="112"/>
      <c r="E228" s="110"/>
      <c r="F228" s="110"/>
      <c r="G228" s="110"/>
      <c r="H228" s="110"/>
    </row>
    <row r="229" spans="1:8" ht="24.95" customHeight="1">
      <c r="A229" s="110"/>
      <c r="B229" s="110"/>
      <c r="C229" s="111"/>
      <c r="D229" s="112"/>
      <c r="E229" s="110"/>
      <c r="F229" s="110"/>
      <c r="G229" s="110"/>
      <c r="H229" s="110"/>
    </row>
    <row r="230" spans="1:8" ht="24.95" customHeight="1">
      <c r="A230" s="110"/>
      <c r="B230" s="110"/>
      <c r="C230" s="111"/>
      <c r="D230" s="112"/>
      <c r="E230" s="110"/>
      <c r="F230" s="110"/>
      <c r="G230" s="110"/>
      <c r="H230" s="110"/>
    </row>
    <row r="231" spans="1:8" ht="24.95" customHeight="1">
      <c r="A231" s="110"/>
      <c r="B231" s="110"/>
      <c r="C231" s="111"/>
      <c r="D231" s="112"/>
      <c r="E231" s="110"/>
      <c r="F231" s="110"/>
      <c r="G231" s="110"/>
      <c r="H231" s="110"/>
    </row>
    <row r="232" spans="1:8" ht="24.95" customHeight="1">
      <c r="A232" s="110"/>
      <c r="B232" s="110"/>
      <c r="C232" s="111"/>
      <c r="D232" s="112"/>
      <c r="E232" s="110"/>
      <c r="F232" s="110"/>
      <c r="G232" s="110"/>
      <c r="H232" s="110"/>
    </row>
    <row r="233" spans="1:8" ht="24.95" customHeight="1">
      <c r="A233" s="110"/>
      <c r="B233" s="110"/>
      <c r="C233" s="111"/>
      <c r="D233" s="112"/>
      <c r="E233" s="110"/>
      <c r="F233" s="110"/>
      <c r="G233" s="110"/>
      <c r="H233" s="110"/>
    </row>
    <row r="234" spans="1:8" ht="24.95" customHeight="1">
      <c r="A234" s="110"/>
      <c r="B234" s="110"/>
      <c r="C234" s="111"/>
      <c r="D234" s="112"/>
      <c r="E234" s="110"/>
      <c r="F234" s="110"/>
      <c r="G234" s="110"/>
      <c r="H234" s="110"/>
    </row>
    <row r="235" spans="1:8" ht="24.95" customHeight="1">
      <c r="A235" s="110"/>
      <c r="B235" s="110"/>
      <c r="C235" s="111"/>
      <c r="D235" s="112"/>
      <c r="E235" s="110"/>
      <c r="F235" s="110"/>
      <c r="G235" s="110"/>
      <c r="H235" s="110"/>
    </row>
    <row r="236" spans="1:8" ht="24.95" customHeight="1">
      <c r="A236" s="110"/>
      <c r="B236" s="110"/>
      <c r="C236" s="111"/>
      <c r="D236" s="112"/>
      <c r="E236" s="110"/>
      <c r="F236" s="110"/>
      <c r="G236" s="110"/>
      <c r="H236" s="110"/>
    </row>
    <row r="237" spans="1:8" ht="24.95" customHeight="1">
      <c r="A237" s="110"/>
      <c r="B237" s="110"/>
      <c r="C237" s="111"/>
      <c r="D237" s="112"/>
      <c r="E237" s="110"/>
      <c r="F237" s="110"/>
      <c r="G237" s="110"/>
      <c r="H237" s="110"/>
    </row>
    <row r="238" spans="1:8" ht="24.95" customHeight="1">
      <c r="A238" s="110"/>
      <c r="B238" s="110"/>
      <c r="C238" s="111"/>
      <c r="D238" s="112"/>
      <c r="E238" s="110"/>
      <c r="F238" s="110"/>
      <c r="G238" s="110"/>
      <c r="H238" s="110"/>
    </row>
    <row r="239" spans="1:8" ht="24.95" customHeight="1">
      <c r="A239" s="110"/>
      <c r="B239" s="110"/>
      <c r="C239" s="111"/>
      <c r="D239" s="112"/>
      <c r="E239" s="110"/>
      <c r="F239" s="110"/>
      <c r="G239" s="110"/>
      <c r="H239" s="110"/>
    </row>
    <row r="240" spans="1:8" ht="24.95" customHeight="1">
      <c r="A240" s="110"/>
      <c r="B240" s="110"/>
      <c r="C240" s="111"/>
      <c r="D240" s="112"/>
      <c r="E240" s="110"/>
      <c r="F240" s="110"/>
      <c r="G240" s="110"/>
      <c r="H240" s="110"/>
    </row>
    <row r="241" spans="1:8" ht="24.95" customHeight="1">
      <c r="A241" s="110"/>
      <c r="B241" s="110"/>
      <c r="C241" s="111"/>
      <c r="D241" s="112"/>
      <c r="E241" s="110"/>
      <c r="F241" s="110"/>
      <c r="G241" s="110"/>
      <c r="H241" s="110"/>
    </row>
    <row r="242" spans="1:8" ht="24.95" customHeight="1">
      <c r="A242" s="110"/>
      <c r="B242" s="110"/>
      <c r="C242" s="111"/>
      <c r="D242" s="112"/>
      <c r="E242" s="110"/>
      <c r="F242" s="110"/>
      <c r="G242" s="110"/>
      <c r="H242" s="110"/>
    </row>
    <row r="243" spans="1:8" ht="24.95" customHeight="1">
      <c r="A243" s="110"/>
      <c r="B243" s="110"/>
      <c r="C243" s="111"/>
      <c r="D243" s="112"/>
      <c r="E243" s="110"/>
      <c r="F243" s="110"/>
      <c r="G243" s="110"/>
      <c r="H243" s="110"/>
    </row>
    <row r="244" spans="1:8" ht="24.95" customHeight="1">
      <c r="A244" s="110"/>
      <c r="B244" s="110"/>
      <c r="C244" s="111"/>
      <c r="D244" s="112"/>
      <c r="E244" s="110"/>
      <c r="F244" s="110"/>
      <c r="G244" s="110"/>
      <c r="H244" s="110"/>
    </row>
    <row r="245" spans="1:8" ht="24.95" customHeight="1">
      <c r="A245" s="110"/>
      <c r="B245" s="110"/>
      <c r="C245" s="111"/>
      <c r="D245" s="112"/>
      <c r="E245" s="110"/>
      <c r="F245" s="110"/>
      <c r="G245" s="110"/>
      <c r="H245" s="110"/>
    </row>
    <row r="246" spans="1:8" ht="24.95" customHeight="1">
      <c r="A246" s="110"/>
      <c r="B246" s="110"/>
      <c r="C246" s="111"/>
      <c r="D246" s="112"/>
      <c r="E246" s="110"/>
      <c r="F246" s="110"/>
      <c r="G246" s="110"/>
      <c r="H246" s="110"/>
    </row>
    <row r="247" spans="1:8" ht="24.95" customHeight="1">
      <c r="A247" s="110"/>
      <c r="B247" s="110"/>
      <c r="C247" s="111"/>
      <c r="D247" s="112"/>
      <c r="E247" s="110"/>
      <c r="F247" s="110"/>
      <c r="G247" s="110"/>
      <c r="H247" s="110"/>
    </row>
    <row r="248" spans="1:8" ht="24.95" customHeight="1">
      <c r="A248" s="110"/>
      <c r="B248" s="110"/>
      <c r="C248" s="111"/>
      <c r="D248" s="112"/>
      <c r="E248" s="110"/>
      <c r="F248" s="110"/>
      <c r="G248" s="110"/>
      <c r="H248" s="110"/>
    </row>
    <row r="249" spans="1:8" ht="24.95" customHeight="1">
      <c r="A249" s="110"/>
      <c r="B249" s="110"/>
      <c r="C249" s="111"/>
      <c r="D249" s="112"/>
      <c r="E249" s="110"/>
      <c r="F249" s="110"/>
      <c r="G249" s="110"/>
      <c r="H249" s="110"/>
    </row>
    <row r="250" spans="1:8" ht="24.95" customHeight="1">
      <c r="A250" s="110"/>
      <c r="B250" s="110"/>
      <c r="C250" s="111"/>
      <c r="D250" s="112"/>
      <c r="E250" s="110"/>
      <c r="F250" s="110"/>
      <c r="G250" s="110"/>
      <c r="H250" s="110"/>
    </row>
    <row r="251" spans="1:8" ht="24.95" customHeight="1">
      <c r="A251" s="110"/>
      <c r="B251" s="110"/>
      <c r="C251" s="111"/>
      <c r="D251" s="112"/>
      <c r="E251" s="110"/>
      <c r="F251" s="110"/>
      <c r="G251" s="110"/>
      <c r="H251" s="110"/>
    </row>
    <row r="252" spans="1:8" ht="24.95" customHeight="1">
      <c r="A252" s="110"/>
      <c r="B252" s="110"/>
      <c r="C252" s="111"/>
      <c r="D252" s="112"/>
      <c r="E252" s="110"/>
      <c r="F252" s="110"/>
      <c r="G252" s="110"/>
      <c r="H252" s="110"/>
    </row>
    <row r="253" spans="1:8" ht="24.95" customHeight="1">
      <c r="A253" s="110"/>
      <c r="B253" s="110"/>
      <c r="C253" s="111"/>
      <c r="D253" s="112"/>
      <c r="E253" s="110"/>
      <c r="F253" s="110"/>
      <c r="G253" s="110"/>
      <c r="H253" s="110"/>
    </row>
    <row r="254" spans="1:8" ht="24.95" customHeight="1">
      <c r="A254" s="110"/>
      <c r="B254" s="110"/>
      <c r="C254" s="111"/>
      <c r="D254" s="112"/>
      <c r="E254" s="110"/>
      <c r="F254" s="110"/>
      <c r="G254" s="110"/>
      <c r="H254" s="110"/>
    </row>
    <row r="255" spans="1:8" ht="24.95" customHeight="1">
      <c r="A255" s="110"/>
      <c r="B255" s="110"/>
      <c r="C255" s="111"/>
      <c r="D255" s="112"/>
      <c r="E255" s="110"/>
      <c r="F255" s="110"/>
      <c r="G255" s="110"/>
      <c r="H255" s="110"/>
    </row>
    <row r="256" spans="1:8" ht="24.95" customHeight="1">
      <c r="A256" s="110"/>
      <c r="B256" s="110"/>
      <c r="C256" s="111"/>
      <c r="D256" s="112"/>
      <c r="E256" s="110"/>
      <c r="F256" s="110"/>
      <c r="G256" s="110"/>
      <c r="H256" s="110"/>
    </row>
    <row r="257" spans="1:8" ht="24.95" customHeight="1">
      <c r="A257" s="110"/>
      <c r="B257" s="110"/>
      <c r="C257" s="111"/>
      <c r="D257" s="112"/>
      <c r="E257" s="110"/>
      <c r="F257" s="110"/>
      <c r="G257" s="110"/>
      <c r="H257" s="110"/>
    </row>
    <row r="258" spans="1:8" ht="24.95" customHeight="1">
      <c r="A258" s="110"/>
      <c r="B258" s="110"/>
      <c r="C258" s="111"/>
      <c r="D258" s="112"/>
      <c r="E258" s="110"/>
      <c r="F258" s="110"/>
      <c r="G258" s="110"/>
      <c r="H258" s="110"/>
    </row>
    <row r="259" spans="1:8" ht="24.95" customHeight="1">
      <c r="A259" s="110"/>
      <c r="B259" s="110"/>
      <c r="C259" s="111"/>
      <c r="D259" s="112"/>
      <c r="E259" s="110"/>
      <c r="F259" s="110"/>
      <c r="G259" s="110"/>
      <c r="H259" s="110"/>
    </row>
    <row r="260" spans="1:8" ht="24.95" customHeight="1">
      <c r="A260" s="110"/>
      <c r="B260" s="110"/>
      <c r="C260" s="111"/>
      <c r="D260" s="112"/>
      <c r="E260" s="110"/>
      <c r="F260" s="110"/>
      <c r="G260" s="110"/>
      <c r="H260" s="110"/>
    </row>
    <row r="261" spans="1:8" ht="24.95" customHeight="1">
      <c r="A261" s="110"/>
      <c r="B261" s="110"/>
      <c r="C261" s="111"/>
      <c r="D261" s="112"/>
      <c r="E261" s="110"/>
      <c r="F261" s="110"/>
      <c r="G261" s="110"/>
      <c r="H261" s="110"/>
    </row>
    <row r="262" spans="1:8" ht="24.95" customHeight="1">
      <c r="A262" s="110"/>
      <c r="B262" s="110"/>
      <c r="C262" s="111"/>
      <c r="D262" s="112"/>
      <c r="E262" s="110"/>
      <c r="F262" s="110"/>
      <c r="G262" s="110"/>
      <c r="H262" s="110"/>
    </row>
    <row r="263" spans="1:8" ht="24.95" customHeight="1">
      <c r="A263" s="110"/>
      <c r="B263" s="110"/>
      <c r="C263" s="111"/>
      <c r="D263" s="112"/>
      <c r="E263" s="110"/>
      <c r="F263" s="110"/>
      <c r="G263" s="110"/>
      <c r="H263" s="110"/>
    </row>
    <row r="264" spans="1:8" ht="24.95" customHeight="1">
      <c r="A264" s="110"/>
      <c r="B264" s="110"/>
      <c r="C264" s="111"/>
      <c r="D264" s="112"/>
      <c r="E264" s="110"/>
      <c r="F264" s="110"/>
      <c r="G264" s="110"/>
      <c r="H264" s="110"/>
    </row>
    <row r="265" spans="1:8" ht="24.95" customHeight="1">
      <c r="A265" s="110"/>
      <c r="B265" s="110"/>
      <c r="C265" s="111"/>
      <c r="D265" s="112"/>
      <c r="E265" s="110"/>
      <c r="F265" s="110"/>
      <c r="G265" s="110"/>
      <c r="H265" s="110"/>
    </row>
    <row r="266" spans="1:8" ht="24.95" customHeight="1">
      <c r="A266" s="110"/>
      <c r="B266" s="110"/>
      <c r="C266" s="111"/>
      <c r="D266" s="112"/>
      <c r="E266" s="110"/>
      <c r="F266" s="110"/>
      <c r="G266" s="110"/>
      <c r="H266" s="110"/>
    </row>
    <row r="267" spans="1:8" ht="24.95" customHeight="1">
      <c r="A267" s="110"/>
      <c r="B267" s="110"/>
      <c r="C267" s="111"/>
      <c r="D267" s="112"/>
      <c r="E267" s="110"/>
      <c r="F267" s="110"/>
      <c r="G267" s="110"/>
      <c r="H267" s="110"/>
    </row>
    <row r="268" spans="1:8" ht="24.95" customHeight="1">
      <c r="A268" s="110"/>
      <c r="B268" s="110"/>
      <c r="C268" s="111"/>
      <c r="D268" s="112"/>
      <c r="E268" s="110"/>
      <c r="F268" s="110"/>
      <c r="G268" s="110"/>
      <c r="H268" s="110"/>
    </row>
    <row r="269" spans="1:8" ht="24.95" customHeight="1">
      <c r="A269" s="110"/>
      <c r="B269" s="110"/>
      <c r="C269" s="111"/>
      <c r="D269" s="112"/>
      <c r="E269" s="110"/>
      <c r="F269" s="110"/>
      <c r="G269" s="110"/>
      <c r="H269" s="110"/>
    </row>
    <row r="270" spans="1:8" ht="24.95" customHeight="1">
      <c r="A270" s="110"/>
      <c r="B270" s="110"/>
      <c r="C270" s="111"/>
      <c r="D270" s="112"/>
      <c r="E270" s="110"/>
      <c r="F270" s="110"/>
      <c r="G270" s="110"/>
      <c r="H270" s="110"/>
    </row>
    <row r="271" spans="1:8" ht="24.95" customHeight="1">
      <c r="A271" s="110"/>
      <c r="B271" s="110"/>
      <c r="C271" s="111"/>
      <c r="D271" s="112"/>
      <c r="E271" s="110"/>
      <c r="F271" s="110"/>
      <c r="G271" s="110"/>
      <c r="H271" s="110"/>
    </row>
    <row r="272" spans="1:8" ht="24.95" customHeight="1">
      <c r="A272" s="110"/>
      <c r="B272" s="110"/>
      <c r="C272" s="111"/>
      <c r="D272" s="112"/>
      <c r="E272" s="110"/>
      <c r="F272" s="110"/>
      <c r="G272" s="110"/>
      <c r="H272" s="110"/>
    </row>
    <row r="273" spans="1:8" ht="24.95" customHeight="1">
      <c r="A273" s="110"/>
      <c r="B273" s="110"/>
      <c r="C273" s="111"/>
      <c r="D273" s="112"/>
      <c r="E273" s="110"/>
      <c r="F273" s="110"/>
      <c r="G273" s="110"/>
      <c r="H273" s="110"/>
    </row>
    <row r="274" spans="1:8" ht="24.95" customHeight="1">
      <c r="A274" s="110"/>
      <c r="B274" s="110"/>
      <c r="C274" s="111"/>
      <c r="D274" s="112"/>
      <c r="E274" s="110"/>
      <c r="F274" s="110"/>
      <c r="G274" s="110"/>
      <c r="H274" s="110"/>
    </row>
    <row r="275" spans="1:8" ht="24.95" customHeight="1">
      <c r="A275" s="110"/>
      <c r="B275" s="110"/>
      <c r="C275" s="111"/>
      <c r="D275" s="112"/>
      <c r="E275" s="110"/>
      <c r="F275" s="110"/>
      <c r="G275" s="110"/>
      <c r="H275" s="110"/>
    </row>
    <row r="276" spans="1:8" ht="24.95" customHeight="1">
      <c r="A276" s="110"/>
      <c r="B276" s="110"/>
      <c r="C276" s="111"/>
      <c r="D276" s="112"/>
      <c r="E276" s="110"/>
      <c r="F276" s="110"/>
      <c r="G276" s="110"/>
      <c r="H276" s="110"/>
    </row>
    <row r="277" spans="1:8" ht="24.95" customHeight="1">
      <c r="A277" s="110"/>
      <c r="B277" s="110"/>
      <c r="C277" s="111"/>
      <c r="D277" s="112"/>
      <c r="E277" s="110"/>
      <c r="F277" s="110"/>
      <c r="G277" s="110"/>
      <c r="H277" s="110"/>
    </row>
    <row r="278" spans="1:8" ht="24.95" customHeight="1">
      <c r="A278" s="110"/>
      <c r="B278" s="110"/>
      <c r="C278" s="111"/>
      <c r="D278" s="112"/>
      <c r="E278" s="110"/>
      <c r="F278" s="110"/>
      <c r="G278" s="110"/>
      <c r="H278" s="110"/>
    </row>
    <row r="279" spans="1:8" ht="24.95" customHeight="1">
      <c r="A279" s="110"/>
      <c r="B279" s="110"/>
      <c r="C279" s="111"/>
      <c r="D279" s="112"/>
      <c r="E279" s="110"/>
      <c r="F279" s="110"/>
      <c r="G279" s="110"/>
      <c r="H279" s="110"/>
    </row>
    <row r="280" spans="1:8" ht="24.95" customHeight="1">
      <c r="A280" s="110"/>
      <c r="B280" s="110"/>
      <c r="C280" s="111"/>
      <c r="D280" s="112"/>
      <c r="E280" s="110"/>
      <c r="F280" s="110"/>
      <c r="G280" s="110"/>
      <c r="H280" s="110"/>
    </row>
    <row r="281" spans="1:8" ht="24.95" customHeight="1">
      <c r="A281" s="110"/>
      <c r="B281" s="110"/>
      <c r="C281" s="111"/>
      <c r="D281" s="112"/>
      <c r="E281" s="110"/>
      <c r="F281" s="110"/>
      <c r="G281" s="110"/>
      <c r="H281" s="110"/>
    </row>
    <row r="282" spans="1:8" ht="24.95" customHeight="1">
      <c r="A282" s="110"/>
      <c r="B282" s="110"/>
      <c r="C282" s="111"/>
      <c r="D282" s="112"/>
      <c r="E282" s="110"/>
      <c r="F282" s="110"/>
      <c r="G282" s="110"/>
      <c r="H282" s="110"/>
    </row>
    <row r="283" spans="1:8" ht="24.95" customHeight="1">
      <c r="A283" s="110"/>
      <c r="B283" s="110"/>
      <c r="C283" s="111"/>
      <c r="D283" s="112"/>
      <c r="E283" s="110"/>
      <c r="F283" s="110"/>
      <c r="G283" s="110"/>
      <c r="H283" s="110"/>
    </row>
    <row r="284" spans="1:8" ht="24.95" customHeight="1">
      <c r="A284" s="110"/>
      <c r="B284" s="110"/>
      <c r="C284" s="111"/>
      <c r="D284" s="112"/>
      <c r="E284" s="110"/>
      <c r="F284" s="110"/>
      <c r="G284" s="110"/>
      <c r="H284" s="110"/>
    </row>
    <row r="285" spans="1:8" ht="24.95" customHeight="1">
      <c r="A285" s="110"/>
      <c r="B285" s="110"/>
      <c r="C285" s="111"/>
      <c r="D285" s="112"/>
      <c r="E285" s="110"/>
      <c r="F285" s="110"/>
      <c r="G285" s="110"/>
      <c r="H285" s="110"/>
    </row>
    <row r="286" spans="1:8" ht="24.95" customHeight="1">
      <c r="A286" s="110"/>
      <c r="B286" s="110"/>
      <c r="C286" s="111"/>
      <c r="D286" s="112"/>
      <c r="E286" s="110"/>
      <c r="F286" s="110"/>
      <c r="G286" s="110"/>
      <c r="H286" s="110"/>
    </row>
    <row r="287" spans="1:8" ht="24.95" customHeight="1">
      <c r="A287" s="110"/>
      <c r="B287" s="110"/>
      <c r="C287" s="111"/>
      <c r="D287" s="112"/>
      <c r="E287" s="110"/>
      <c r="F287" s="110"/>
      <c r="G287" s="110"/>
      <c r="H287" s="110"/>
    </row>
    <row r="288" spans="1:8" ht="24.95" customHeight="1">
      <c r="A288" s="110"/>
      <c r="B288" s="110"/>
      <c r="C288" s="111"/>
      <c r="D288" s="112"/>
      <c r="E288" s="110"/>
      <c r="F288" s="110"/>
      <c r="G288" s="110"/>
      <c r="H288" s="110"/>
    </row>
    <row r="289" spans="1:8" ht="24.95" customHeight="1">
      <c r="A289" s="110"/>
      <c r="B289" s="110"/>
      <c r="C289" s="111"/>
      <c r="D289" s="112"/>
      <c r="E289" s="110"/>
      <c r="F289" s="110"/>
      <c r="G289" s="110"/>
      <c r="H289" s="110"/>
    </row>
    <row r="290" spans="1:8" ht="24.95" customHeight="1">
      <c r="A290" s="110"/>
      <c r="B290" s="110"/>
      <c r="C290" s="111"/>
      <c r="D290" s="112"/>
      <c r="E290" s="110"/>
      <c r="F290" s="110"/>
      <c r="G290" s="110"/>
      <c r="H290" s="110"/>
    </row>
    <row r="291" spans="1:8" ht="24.95" customHeight="1">
      <c r="A291" s="110"/>
      <c r="B291" s="110"/>
      <c r="C291" s="111"/>
      <c r="D291" s="112"/>
      <c r="E291" s="110"/>
      <c r="F291" s="110"/>
      <c r="G291" s="110"/>
      <c r="H291" s="110"/>
    </row>
    <row r="292" spans="1:8" ht="24.95" customHeight="1">
      <c r="A292" s="110"/>
      <c r="B292" s="110"/>
      <c r="C292" s="111"/>
      <c r="D292" s="112"/>
      <c r="E292" s="110"/>
      <c r="F292" s="110"/>
      <c r="G292" s="110"/>
      <c r="H292" s="110"/>
    </row>
    <row r="293" spans="1:8" ht="24.95" customHeight="1">
      <c r="A293" s="110"/>
      <c r="B293" s="110"/>
      <c r="C293" s="111"/>
      <c r="D293" s="112"/>
      <c r="E293" s="110"/>
      <c r="F293" s="110"/>
      <c r="G293" s="110"/>
      <c r="H293" s="110"/>
    </row>
    <row r="294" spans="1:8" ht="24.95" customHeight="1">
      <c r="A294" s="110"/>
      <c r="B294" s="110"/>
      <c r="C294" s="111"/>
      <c r="D294" s="112"/>
      <c r="E294" s="110"/>
      <c r="F294" s="110"/>
      <c r="G294" s="110"/>
      <c r="H294" s="110"/>
    </row>
    <row r="295" spans="1:8" ht="24.95" customHeight="1">
      <c r="A295" s="110"/>
      <c r="B295" s="110"/>
      <c r="C295" s="111"/>
      <c r="D295" s="112"/>
      <c r="E295" s="110"/>
      <c r="F295" s="110"/>
      <c r="G295" s="110"/>
      <c r="H295" s="110"/>
    </row>
    <row r="296" spans="1:8" ht="24.95" customHeight="1">
      <c r="A296" s="110"/>
      <c r="B296" s="110"/>
      <c r="C296" s="111"/>
      <c r="D296" s="112"/>
      <c r="E296" s="110"/>
      <c r="F296" s="110"/>
      <c r="G296" s="110"/>
      <c r="H296" s="110"/>
    </row>
    <row r="297" spans="1:8" ht="24.95" customHeight="1">
      <c r="A297" s="110"/>
      <c r="B297" s="110"/>
      <c r="C297" s="111"/>
      <c r="D297" s="112"/>
      <c r="E297" s="110"/>
      <c r="F297" s="110"/>
      <c r="G297" s="110"/>
      <c r="H297" s="110"/>
    </row>
    <row r="298" spans="1:8" ht="24.95" customHeight="1">
      <c r="A298" s="110"/>
      <c r="B298" s="110"/>
      <c r="C298" s="111"/>
      <c r="D298" s="112"/>
      <c r="E298" s="110"/>
      <c r="F298" s="110"/>
      <c r="G298" s="110"/>
      <c r="H298" s="110"/>
    </row>
    <row r="299" spans="1:8" ht="24.95" customHeight="1">
      <c r="A299" s="110"/>
      <c r="B299" s="110"/>
      <c r="C299" s="111"/>
      <c r="D299" s="112"/>
      <c r="E299" s="110"/>
      <c r="F299" s="110"/>
      <c r="G299" s="110"/>
      <c r="H299" s="110"/>
    </row>
    <row r="300" spans="1:8" ht="24.95" customHeight="1">
      <c r="A300" s="110"/>
      <c r="B300" s="110"/>
      <c r="C300" s="111"/>
      <c r="D300" s="112"/>
      <c r="E300" s="110"/>
      <c r="F300" s="110"/>
      <c r="G300" s="110"/>
      <c r="H300" s="110"/>
    </row>
    <row r="301" spans="1:8" ht="24.95" customHeight="1">
      <c r="A301" s="110"/>
      <c r="B301" s="110"/>
      <c r="C301" s="111"/>
      <c r="D301" s="112"/>
      <c r="E301" s="110"/>
      <c r="F301" s="110"/>
      <c r="G301" s="110"/>
      <c r="H301" s="110"/>
    </row>
    <row r="302" spans="1:8" ht="24.95" customHeight="1">
      <c r="A302" s="110"/>
      <c r="B302" s="110"/>
      <c r="C302" s="111"/>
      <c r="D302" s="112"/>
      <c r="E302" s="110"/>
      <c r="F302" s="110"/>
      <c r="G302" s="110"/>
      <c r="H302" s="110"/>
    </row>
    <row r="303" spans="1:8" ht="24.95" customHeight="1">
      <c r="A303" s="110"/>
      <c r="B303" s="110"/>
      <c r="C303" s="111"/>
      <c r="D303" s="112"/>
      <c r="E303" s="110"/>
      <c r="F303" s="110"/>
      <c r="G303" s="110"/>
      <c r="H303" s="110"/>
    </row>
    <row r="304" spans="1:8" ht="24.95" customHeight="1">
      <c r="A304" s="110"/>
      <c r="B304" s="110"/>
      <c r="C304" s="111"/>
      <c r="D304" s="112"/>
      <c r="E304" s="110"/>
      <c r="F304" s="110"/>
      <c r="G304" s="110"/>
      <c r="H304" s="110"/>
    </row>
    <row r="305" spans="1:8" ht="24.95" customHeight="1">
      <c r="A305" s="110"/>
      <c r="B305" s="110"/>
      <c r="C305" s="111"/>
      <c r="D305" s="112"/>
      <c r="E305" s="110"/>
      <c r="F305" s="110"/>
      <c r="G305" s="110"/>
      <c r="H305" s="110"/>
    </row>
    <row r="306" spans="1:8" ht="24.95" customHeight="1">
      <c r="A306" s="110"/>
      <c r="B306" s="110"/>
      <c r="C306" s="111"/>
      <c r="D306" s="112"/>
      <c r="E306" s="110"/>
      <c r="F306" s="110"/>
      <c r="G306" s="110"/>
      <c r="H306" s="110"/>
    </row>
    <row r="307" spans="1:8" ht="24.95" customHeight="1">
      <c r="A307" s="110"/>
      <c r="B307" s="110"/>
      <c r="C307" s="111"/>
      <c r="D307" s="112"/>
      <c r="E307" s="110"/>
      <c r="F307" s="110"/>
      <c r="G307" s="110"/>
      <c r="H307" s="110"/>
    </row>
    <row r="308" spans="1:8" ht="24.95" customHeight="1">
      <c r="A308" s="110"/>
      <c r="B308" s="110"/>
      <c r="C308" s="111"/>
      <c r="D308" s="112"/>
      <c r="E308" s="110"/>
      <c r="F308" s="110"/>
      <c r="G308" s="110"/>
      <c r="H308" s="110"/>
    </row>
    <row r="309" spans="1:8" ht="24.95" customHeight="1">
      <c r="A309" s="110"/>
      <c r="B309" s="110"/>
      <c r="C309" s="111"/>
      <c r="D309" s="112"/>
      <c r="E309" s="110"/>
      <c r="F309" s="110"/>
      <c r="G309" s="110"/>
      <c r="H309" s="110"/>
    </row>
    <row r="310" spans="1:8" ht="24.95" customHeight="1">
      <c r="A310" s="110"/>
      <c r="B310" s="110"/>
      <c r="C310" s="111"/>
      <c r="D310" s="112"/>
      <c r="E310" s="110"/>
      <c r="F310" s="110"/>
      <c r="G310" s="110"/>
      <c r="H310" s="110"/>
    </row>
    <row r="311" spans="1:8" ht="24.95" customHeight="1">
      <c r="A311" s="110"/>
      <c r="B311" s="110"/>
      <c r="C311" s="111"/>
      <c r="D311" s="112"/>
      <c r="E311" s="110"/>
      <c r="F311" s="110"/>
      <c r="G311" s="110"/>
      <c r="H311" s="110"/>
    </row>
    <row r="312" spans="1:8" ht="24.95" customHeight="1">
      <c r="A312" s="110"/>
      <c r="B312" s="110"/>
      <c r="C312" s="111"/>
      <c r="D312" s="112"/>
      <c r="E312" s="110"/>
      <c r="F312" s="110"/>
      <c r="G312" s="110"/>
      <c r="H312" s="110"/>
    </row>
    <row r="313" spans="1:8" ht="24.95" customHeight="1">
      <c r="A313" s="110"/>
      <c r="B313" s="110"/>
      <c r="C313" s="111"/>
      <c r="D313" s="112"/>
      <c r="E313" s="110"/>
      <c r="F313" s="110"/>
      <c r="G313" s="110"/>
      <c r="H313" s="110"/>
    </row>
    <row r="314" spans="1:8" ht="24.95" customHeight="1">
      <c r="A314" s="110"/>
      <c r="B314" s="110"/>
      <c r="C314" s="111"/>
      <c r="D314" s="112"/>
      <c r="E314" s="110"/>
      <c r="F314" s="110"/>
      <c r="G314" s="110"/>
      <c r="H314" s="110"/>
    </row>
    <row r="315" spans="1:8" ht="24.95" customHeight="1">
      <c r="A315" s="110"/>
      <c r="B315" s="110"/>
      <c r="C315" s="111"/>
      <c r="D315" s="112"/>
      <c r="E315" s="110"/>
      <c r="F315" s="110"/>
      <c r="G315" s="110"/>
      <c r="H315" s="110"/>
    </row>
    <row r="316" spans="1:8" ht="24.95" customHeight="1">
      <c r="A316" s="110"/>
      <c r="B316" s="110"/>
      <c r="C316" s="111"/>
      <c r="D316" s="112"/>
      <c r="E316" s="110"/>
      <c r="F316" s="110"/>
      <c r="G316" s="110"/>
      <c r="H316" s="110"/>
    </row>
    <row r="317" spans="1:8" ht="24.95" customHeight="1">
      <c r="A317" s="110"/>
      <c r="B317" s="110"/>
      <c r="C317" s="111"/>
      <c r="D317" s="112"/>
      <c r="E317" s="110"/>
      <c r="F317" s="110"/>
      <c r="G317" s="110"/>
      <c r="H317" s="110"/>
    </row>
    <row r="318" spans="1:8" ht="24.95" customHeight="1">
      <c r="A318" s="110"/>
      <c r="B318" s="110"/>
      <c r="C318" s="111"/>
      <c r="D318" s="112"/>
      <c r="E318" s="110"/>
      <c r="F318" s="110"/>
      <c r="G318" s="110"/>
      <c r="H318" s="110"/>
    </row>
    <row r="319" spans="1:8" ht="24.95" customHeight="1">
      <c r="A319" s="110"/>
      <c r="B319" s="110"/>
      <c r="C319" s="111"/>
      <c r="D319" s="112"/>
      <c r="E319" s="110"/>
      <c r="F319" s="110"/>
      <c r="G319" s="110"/>
      <c r="H319" s="110"/>
    </row>
    <row r="320" spans="1:8" ht="24.95" customHeight="1">
      <c r="A320" s="110"/>
      <c r="B320" s="110"/>
      <c r="C320" s="111"/>
      <c r="D320" s="112"/>
      <c r="E320" s="110"/>
      <c r="F320" s="110"/>
      <c r="G320" s="110"/>
      <c r="H320" s="110"/>
    </row>
    <row r="321" spans="1:8" ht="24.95" customHeight="1">
      <c r="A321" s="110"/>
      <c r="B321" s="110"/>
      <c r="C321" s="111"/>
      <c r="D321" s="112"/>
      <c r="E321" s="110"/>
      <c r="F321" s="110"/>
      <c r="G321" s="110"/>
      <c r="H321" s="110"/>
    </row>
    <row r="322" spans="1:8" ht="24.95" customHeight="1">
      <c r="A322" s="110"/>
      <c r="B322" s="110"/>
      <c r="C322" s="111"/>
      <c r="D322" s="112"/>
      <c r="E322" s="110"/>
      <c r="F322" s="110"/>
      <c r="G322" s="110"/>
      <c r="H322" s="110"/>
    </row>
    <row r="323" spans="1:8" ht="24.95" customHeight="1">
      <c r="A323" s="110"/>
      <c r="B323" s="110"/>
      <c r="C323" s="111"/>
      <c r="D323" s="112"/>
      <c r="E323" s="110"/>
      <c r="F323" s="110"/>
      <c r="G323" s="110"/>
      <c r="H323" s="110"/>
    </row>
    <row r="324" spans="1:8" ht="24.95" customHeight="1">
      <c r="A324" s="110"/>
      <c r="B324" s="110"/>
      <c r="C324" s="111"/>
      <c r="D324" s="112"/>
      <c r="E324" s="110"/>
      <c r="F324" s="110"/>
      <c r="G324" s="110"/>
      <c r="H324" s="110"/>
    </row>
    <row r="325" spans="1:8" ht="24.95" customHeight="1">
      <c r="A325" s="110"/>
      <c r="B325" s="110"/>
      <c r="C325" s="111"/>
      <c r="D325" s="112"/>
      <c r="E325" s="110"/>
      <c r="F325" s="110"/>
      <c r="G325" s="110"/>
      <c r="H325" s="110"/>
    </row>
    <row r="326" spans="1:8" ht="24.95" customHeight="1">
      <c r="A326" s="110"/>
      <c r="B326" s="110"/>
      <c r="C326" s="111"/>
      <c r="D326" s="112"/>
      <c r="E326" s="110"/>
      <c r="F326" s="110"/>
      <c r="G326" s="110"/>
      <c r="H326" s="110"/>
    </row>
    <row r="327" spans="1:8" ht="24.95" customHeight="1">
      <c r="A327" s="110"/>
      <c r="B327" s="110"/>
      <c r="C327" s="111"/>
      <c r="D327" s="112"/>
      <c r="E327" s="110"/>
      <c r="F327" s="110"/>
      <c r="G327" s="110"/>
      <c r="H327" s="110"/>
    </row>
    <row r="328" spans="1:8" ht="24.95" customHeight="1">
      <c r="A328" s="110"/>
      <c r="B328" s="110"/>
      <c r="C328" s="111"/>
      <c r="D328" s="112"/>
      <c r="E328" s="110"/>
      <c r="F328" s="110"/>
      <c r="G328" s="110"/>
      <c r="H328" s="110"/>
    </row>
    <row r="329" spans="1:8" ht="24.95" customHeight="1">
      <c r="A329" s="110"/>
      <c r="B329" s="110"/>
      <c r="C329" s="111"/>
      <c r="D329" s="112"/>
      <c r="E329" s="110"/>
      <c r="F329" s="110"/>
      <c r="G329" s="110"/>
      <c r="H329" s="110"/>
    </row>
    <row r="330" spans="1:8" ht="24.95" customHeight="1">
      <c r="A330" s="110"/>
      <c r="B330" s="110"/>
      <c r="C330" s="111"/>
      <c r="D330" s="112"/>
      <c r="E330" s="110"/>
      <c r="F330" s="110"/>
      <c r="G330" s="110"/>
      <c r="H330" s="110"/>
    </row>
    <row r="331" spans="1:8" ht="24.95" customHeight="1">
      <c r="A331" s="110"/>
      <c r="B331" s="110"/>
      <c r="C331" s="111"/>
      <c r="D331" s="112"/>
      <c r="E331" s="110"/>
      <c r="F331" s="110"/>
      <c r="G331" s="110"/>
      <c r="H331" s="110"/>
    </row>
    <row r="332" spans="1:8" ht="24.95" customHeight="1">
      <c r="A332" s="110"/>
      <c r="B332" s="110"/>
      <c r="C332" s="111"/>
      <c r="D332" s="112"/>
      <c r="E332" s="110"/>
      <c r="F332" s="110"/>
      <c r="G332" s="110"/>
      <c r="H332" s="110"/>
    </row>
    <row r="333" spans="1:8" ht="24.95" customHeight="1">
      <c r="A333" s="110"/>
      <c r="B333" s="110"/>
      <c r="C333" s="111"/>
      <c r="D333" s="112"/>
      <c r="E333" s="110"/>
      <c r="F333" s="110"/>
      <c r="G333" s="110"/>
      <c r="H333" s="110"/>
    </row>
    <row r="334" spans="1:8" ht="24.95" customHeight="1">
      <c r="A334" s="110"/>
      <c r="B334" s="110"/>
      <c r="C334" s="111"/>
      <c r="D334" s="112"/>
      <c r="E334" s="110"/>
      <c r="F334" s="110"/>
      <c r="G334" s="110"/>
      <c r="H334" s="110"/>
    </row>
    <row r="335" spans="1:8" ht="24.95" customHeight="1">
      <c r="A335" s="110"/>
      <c r="B335" s="110"/>
      <c r="C335" s="111"/>
      <c r="D335" s="112"/>
      <c r="E335" s="110"/>
      <c r="F335" s="110"/>
      <c r="G335" s="110"/>
      <c r="H335" s="110"/>
    </row>
    <row r="336" spans="1:8" ht="24.95" customHeight="1">
      <c r="A336" s="110"/>
      <c r="B336" s="110"/>
      <c r="C336" s="111"/>
      <c r="D336" s="112"/>
      <c r="E336" s="110"/>
      <c r="F336" s="110"/>
      <c r="G336" s="110"/>
      <c r="H336" s="110"/>
    </row>
    <row r="337" spans="1:8" ht="24.95" customHeight="1">
      <c r="A337" s="110"/>
      <c r="B337" s="110"/>
      <c r="C337" s="111"/>
      <c r="D337" s="112"/>
      <c r="E337" s="110"/>
      <c r="F337" s="110"/>
      <c r="G337" s="110"/>
      <c r="H337" s="110"/>
    </row>
    <row r="338" spans="1:8" ht="24.95" customHeight="1">
      <c r="A338" s="110"/>
      <c r="B338" s="110"/>
      <c r="C338" s="111"/>
      <c r="D338" s="112"/>
      <c r="E338" s="110"/>
      <c r="F338" s="110"/>
      <c r="G338" s="110"/>
      <c r="H338" s="110"/>
    </row>
    <row r="339" spans="1:8" ht="24.95" customHeight="1">
      <c r="A339" s="110"/>
      <c r="B339" s="110"/>
      <c r="C339" s="111"/>
      <c r="D339" s="112"/>
      <c r="E339" s="110"/>
      <c r="F339" s="110"/>
      <c r="G339" s="110"/>
      <c r="H339" s="110"/>
    </row>
    <row r="340" spans="1:8" ht="24.95" customHeight="1">
      <c r="A340" s="110"/>
      <c r="B340" s="110"/>
      <c r="C340" s="111"/>
      <c r="D340" s="112"/>
      <c r="E340" s="110"/>
      <c r="F340" s="110"/>
      <c r="G340" s="110"/>
      <c r="H340" s="110"/>
    </row>
    <row r="341" spans="1:8" ht="24.95" customHeight="1">
      <c r="A341" s="110"/>
      <c r="B341" s="110"/>
      <c r="C341" s="111"/>
      <c r="D341" s="112"/>
      <c r="E341" s="110"/>
      <c r="F341" s="110"/>
      <c r="G341" s="110"/>
      <c r="H341" s="110"/>
    </row>
    <row r="342" spans="1:8" ht="24.95" customHeight="1">
      <c r="A342" s="110"/>
      <c r="B342" s="110"/>
      <c r="C342" s="111"/>
      <c r="D342" s="112"/>
      <c r="E342" s="110"/>
      <c r="F342" s="110"/>
      <c r="G342" s="110"/>
      <c r="H342" s="110"/>
    </row>
    <row r="343" spans="1:8" ht="24.95" customHeight="1">
      <c r="A343" s="110"/>
      <c r="B343" s="110"/>
      <c r="C343" s="111"/>
      <c r="D343" s="112"/>
      <c r="E343" s="110"/>
      <c r="F343" s="110"/>
      <c r="G343" s="110"/>
      <c r="H343" s="110"/>
    </row>
    <row r="344" spans="1:8" ht="24.95" customHeight="1">
      <c r="A344" s="110"/>
      <c r="B344" s="110"/>
      <c r="C344" s="111"/>
      <c r="D344" s="112"/>
      <c r="E344" s="110"/>
      <c r="F344" s="110"/>
      <c r="G344" s="110"/>
      <c r="H344" s="110"/>
    </row>
    <row r="345" spans="1:8" ht="24.95" customHeight="1">
      <c r="A345" s="110"/>
      <c r="B345" s="110"/>
      <c r="C345" s="111"/>
      <c r="D345" s="112"/>
      <c r="E345" s="110"/>
      <c r="F345" s="110"/>
      <c r="G345" s="110"/>
      <c r="H345" s="110"/>
    </row>
    <row r="346" spans="1:8" ht="24.95" customHeight="1">
      <c r="A346" s="110"/>
      <c r="B346" s="110"/>
      <c r="C346" s="111"/>
      <c r="D346" s="112"/>
      <c r="E346" s="110"/>
      <c r="F346" s="110"/>
      <c r="G346" s="110"/>
      <c r="H346" s="110"/>
    </row>
    <row r="347" spans="1:8" ht="24.95" customHeight="1">
      <c r="A347" s="110"/>
      <c r="B347" s="110"/>
      <c r="C347" s="111"/>
      <c r="D347" s="112"/>
      <c r="E347" s="110"/>
      <c r="F347" s="110"/>
      <c r="G347" s="110"/>
      <c r="H347" s="110"/>
    </row>
    <row r="348" spans="1:8" ht="24.95" customHeight="1">
      <c r="A348" s="110"/>
      <c r="B348" s="110"/>
      <c r="C348" s="111"/>
      <c r="D348" s="112"/>
      <c r="E348" s="110"/>
      <c r="F348" s="110"/>
      <c r="G348" s="110"/>
      <c r="H348" s="110"/>
    </row>
    <row r="349" spans="1:8" ht="24.95" customHeight="1">
      <c r="A349" s="110"/>
      <c r="B349" s="110"/>
      <c r="C349" s="111"/>
      <c r="D349" s="112"/>
      <c r="E349" s="110"/>
      <c r="F349" s="110"/>
      <c r="G349" s="110"/>
      <c r="H349" s="110"/>
    </row>
    <row r="350" spans="1:8" ht="24.95" customHeight="1">
      <c r="A350" s="110"/>
      <c r="B350" s="110"/>
      <c r="C350" s="111"/>
      <c r="D350" s="112"/>
      <c r="E350" s="110"/>
      <c r="F350" s="110"/>
      <c r="G350" s="110"/>
      <c r="H350" s="110"/>
    </row>
    <row r="351" spans="1:8" ht="24.95" customHeight="1">
      <c r="A351" s="110"/>
      <c r="B351" s="110"/>
      <c r="C351" s="111"/>
      <c r="D351" s="112"/>
      <c r="E351" s="110"/>
      <c r="F351" s="110"/>
      <c r="G351" s="110"/>
      <c r="H351" s="110"/>
    </row>
    <row r="352" spans="1:8" ht="24.95" customHeight="1">
      <c r="A352" s="110"/>
      <c r="B352" s="110"/>
      <c r="C352" s="111"/>
      <c r="D352" s="112"/>
      <c r="E352" s="110"/>
      <c r="F352" s="110"/>
      <c r="G352" s="110"/>
      <c r="H352" s="110"/>
    </row>
    <row r="353" spans="1:8" ht="24.95" customHeight="1">
      <c r="A353" s="110"/>
      <c r="B353" s="110"/>
      <c r="C353" s="111"/>
      <c r="D353" s="112"/>
      <c r="E353" s="110"/>
      <c r="F353" s="110"/>
      <c r="G353" s="110"/>
      <c r="H353" s="110"/>
    </row>
    <row r="354" spans="1:8" ht="24.95" customHeight="1">
      <c r="A354" s="110"/>
      <c r="B354" s="110"/>
      <c r="C354" s="111"/>
      <c r="D354" s="112"/>
      <c r="E354" s="110"/>
      <c r="F354" s="110"/>
      <c r="G354" s="110"/>
      <c r="H354" s="110"/>
    </row>
    <row r="355" spans="1:8" ht="24.95" customHeight="1">
      <c r="A355" s="110"/>
      <c r="B355" s="110"/>
      <c r="C355" s="111"/>
      <c r="D355" s="112"/>
      <c r="E355" s="110"/>
      <c r="F355" s="110"/>
      <c r="G355" s="110"/>
      <c r="H355" s="110"/>
    </row>
    <row r="356" spans="1:8" ht="24.95" customHeight="1">
      <c r="A356" s="110"/>
      <c r="B356" s="110"/>
      <c r="C356" s="111"/>
      <c r="D356" s="112"/>
      <c r="E356" s="110"/>
      <c r="F356" s="110"/>
      <c r="G356" s="110"/>
      <c r="H356" s="110"/>
    </row>
    <row r="357" spans="1:8" ht="24.95" customHeight="1">
      <c r="A357" s="110"/>
      <c r="B357" s="110"/>
      <c r="C357" s="111"/>
      <c r="D357" s="112"/>
      <c r="E357" s="110"/>
      <c r="F357" s="110"/>
      <c r="G357" s="110"/>
      <c r="H357" s="110"/>
    </row>
    <row r="358" spans="1:8" ht="24.95" customHeight="1">
      <c r="A358" s="110"/>
      <c r="B358" s="110"/>
      <c r="C358" s="111"/>
      <c r="D358" s="112"/>
      <c r="E358" s="110"/>
      <c r="F358" s="110"/>
      <c r="G358" s="110"/>
      <c r="H358" s="110"/>
    </row>
    <row r="359" spans="1:8" ht="24.95" customHeight="1">
      <c r="A359" s="110"/>
      <c r="B359" s="110"/>
      <c r="C359" s="111"/>
      <c r="D359" s="112"/>
      <c r="E359" s="110"/>
      <c r="F359" s="110"/>
      <c r="G359" s="110"/>
      <c r="H359" s="110"/>
    </row>
    <row r="360" spans="1:8" ht="24.95" customHeight="1">
      <c r="A360" s="110"/>
      <c r="B360" s="110"/>
      <c r="C360" s="111"/>
      <c r="D360" s="112"/>
      <c r="E360" s="110"/>
      <c r="F360" s="110"/>
      <c r="G360" s="110"/>
      <c r="H360" s="110"/>
    </row>
    <row r="361" spans="1:8" ht="24.95" customHeight="1">
      <c r="A361" s="110"/>
      <c r="B361" s="110"/>
      <c r="C361" s="111"/>
      <c r="D361" s="112"/>
      <c r="E361" s="110"/>
      <c r="F361" s="110"/>
      <c r="G361" s="110"/>
      <c r="H361" s="110"/>
    </row>
    <row r="362" spans="1:8" ht="24.95" customHeight="1">
      <c r="A362" s="110"/>
      <c r="B362" s="110"/>
      <c r="C362" s="111"/>
      <c r="D362" s="112"/>
      <c r="E362" s="110"/>
      <c r="F362" s="110"/>
      <c r="G362" s="110"/>
      <c r="H362" s="110"/>
    </row>
    <row r="363" spans="1:8" ht="24.95" customHeight="1">
      <c r="A363" s="110"/>
      <c r="B363" s="110"/>
      <c r="C363" s="111"/>
      <c r="D363" s="112"/>
      <c r="E363" s="110"/>
      <c r="F363" s="110"/>
      <c r="G363" s="110"/>
      <c r="H363" s="110"/>
    </row>
    <row r="364" spans="1:8" ht="24.95" customHeight="1">
      <c r="A364" s="110"/>
      <c r="B364" s="110"/>
      <c r="C364" s="111"/>
      <c r="D364" s="112"/>
      <c r="E364" s="110"/>
      <c r="F364" s="110"/>
      <c r="G364" s="110"/>
      <c r="H364" s="110"/>
    </row>
    <row r="365" spans="1:8" ht="24.95" customHeight="1">
      <c r="A365" s="110"/>
      <c r="B365" s="110"/>
      <c r="C365" s="111"/>
      <c r="D365" s="112"/>
      <c r="E365" s="110"/>
      <c r="F365" s="110"/>
      <c r="G365" s="110"/>
      <c r="H365" s="110"/>
    </row>
    <row r="366" spans="1:8" ht="24.95" customHeight="1">
      <c r="A366" s="110"/>
      <c r="B366" s="110"/>
      <c r="C366" s="111"/>
      <c r="D366" s="112"/>
      <c r="E366" s="110"/>
      <c r="F366" s="110"/>
      <c r="G366" s="110"/>
      <c r="H366" s="110"/>
    </row>
    <row r="367" spans="1:8" ht="24.95" customHeight="1">
      <c r="A367" s="110"/>
      <c r="B367" s="110"/>
      <c r="C367" s="111"/>
      <c r="D367" s="112"/>
      <c r="E367" s="110"/>
      <c r="F367" s="110"/>
      <c r="G367" s="110"/>
      <c r="H367" s="110"/>
    </row>
    <row r="368" spans="1:8" ht="24.95" customHeight="1">
      <c r="A368" s="110"/>
      <c r="B368" s="110"/>
      <c r="C368" s="111"/>
      <c r="D368" s="112"/>
      <c r="E368" s="110"/>
      <c r="F368" s="110"/>
      <c r="G368" s="110"/>
      <c r="H368" s="110"/>
    </row>
    <row r="369" spans="1:8" ht="24.95" customHeight="1">
      <c r="A369" s="110"/>
      <c r="B369" s="110"/>
      <c r="C369" s="111"/>
      <c r="D369" s="112"/>
      <c r="E369" s="110"/>
      <c r="F369" s="110"/>
      <c r="G369" s="110"/>
      <c r="H369" s="110"/>
    </row>
    <row r="370" spans="1:8" ht="24.95" customHeight="1">
      <c r="A370" s="110"/>
      <c r="B370" s="110"/>
      <c r="C370" s="111"/>
      <c r="D370" s="112"/>
      <c r="E370" s="110"/>
      <c r="F370" s="110"/>
      <c r="G370" s="110"/>
      <c r="H370" s="110"/>
    </row>
    <row r="371" spans="1:8" ht="24.95" customHeight="1">
      <c r="A371" s="110"/>
      <c r="B371" s="110"/>
      <c r="C371" s="111"/>
      <c r="D371" s="112"/>
      <c r="E371" s="110"/>
      <c r="F371" s="110"/>
      <c r="G371" s="110"/>
      <c r="H371" s="110"/>
    </row>
    <row r="372" spans="1:8" ht="24.95" customHeight="1">
      <c r="A372" s="110"/>
      <c r="B372" s="110"/>
      <c r="C372" s="111"/>
      <c r="D372" s="112"/>
      <c r="E372" s="110"/>
      <c r="F372" s="110"/>
      <c r="G372" s="110"/>
      <c r="H372" s="110"/>
    </row>
    <row r="373" spans="1:8" ht="24.95" customHeight="1">
      <c r="A373" s="110"/>
      <c r="B373" s="110"/>
      <c r="C373" s="111"/>
      <c r="D373" s="112"/>
      <c r="E373" s="110"/>
      <c r="F373" s="110"/>
      <c r="G373" s="110"/>
      <c r="H373" s="110"/>
    </row>
    <row r="374" spans="1:8" ht="24.95" customHeight="1">
      <c r="A374" s="110"/>
      <c r="B374" s="110"/>
      <c r="C374" s="111"/>
      <c r="D374" s="112"/>
      <c r="E374" s="110"/>
      <c r="F374" s="110"/>
      <c r="G374" s="110"/>
      <c r="H374" s="110"/>
    </row>
    <row r="375" spans="1:8" ht="24.95" customHeight="1">
      <c r="A375" s="110"/>
      <c r="B375" s="110"/>
      <c r="C375" s="111"/>
      <c r="D375" s="112"/>
      <c r="E375" s="110"/>
      <c r="F375" s="110"/>
      <c r="G375" s="110"/>
      <c r="H375" s="110"/>
    </row>
    <row r="376" spans="1:8" ht="24.95" customHeight="1">
      <c r="A376" s="110"/>
      <c r="B376" s="110"/>
      <c r="C376" s="111"/>
      <c r="D376" s="112"/>
      <c r="E376" s="110"/>
      <c r="F376" s="110"/>
      <c r="G376" s="110"/>
      <c r="H376" s="110"/>
    </row>
    <row r="377" spans="1:8" ht="24.95" customHeight="1">
      <c r="A377" s="110"/>
      <c r="B377" s="110"/>
      <c r="C377" s="111"/>
      <c r="D377" s="112"/>
      <c r="E377" s="110"/>
      <c r="F377" s="110"/>
      <c r="G377" s="110"/>
      <c r="H377" s="110"/>
    </row>
    <row r="378" spans="1:8" ht="24.95" customHeight="1">
      <c r="A378" s="110"/>
      <c r="B378" s="110"/>
      <c r="C378" s="111"/>
      <c r="D378" s="112"/>
      <c r="E378" s="110"/>
      <c r="F378" s="110"/>
      <c r="G378" s="110"/>
      <c r="H378" s="110"/>
    </row>
    <row r="379" spans="1:8" ht="24.95" customHeight="1">
      <c r="A379" s="110"/>
      <c r="B379" s="110"/>
      <c r="C379" s="111"/>
      <c r="D379" s="112"/>
      <c r="E379" s="110"/>
      <c r="F379" s="110"/>
      <c r="G379" s="110"/>
      <c r="H379" s="110"/>
    </row>
    <row r="380" spans="1:8" ht="24.95" customHeight="1">
      <c r="A380" s="110"/>
      <c r="B380" s="110"/>
      <c r="C380" s="111"/>
      <c r="D380" s="112"/>
      <c r="E380" s="110"/>
      <c r="F380" s="110"/>
      <c r="G380" s="110"/>
      <c r="H380" s="110"/>
    </row>
    <row r="381" spans="1:8" ht="24.95" customHeight="1">
      <c r="A381" s="110"/>
      <c r="B381" s="110"/>
      <c r="C381" s="111"/>
      <c r="D381" s="112"/>
      <c r="E381" s="110"/>
      <c r="F381" s="110"/>
      <c r="G381" s="110"/>
      <c r="H381" s="110"/>
    </row>
    <row r="382" spans="1:8" ht="24.95" customHeight="1">
      <c r="A382" s="110"/>
      <c r="B382" s="110"/>
      <c r="C382" s="111"/>
      <c r="D382" s="112"/>
      <c r="E382" s="110"/>
      <c r="F382" s="110"/>
      <c r="G382" s="110"/>
      <c r="H382" s="110"/>
    </row>
    <row r="383" spans="1:8" ht="24.95" customHeight="1">
      <c r="A383" s="110"/>
      <c r="B383" s="110"/>
      <c r="C383" s="111"/>
      <c r="D383" s="112"/>
      <c r="E383" s="110"/>
      <c r="F383" s="110"/>
      <c r="G383" s="110"/>
      <c r="H383" s="110"/>
    </row>
    <row r="384" spans="1:8" ht="24.95" customHeight="1">
      <c r="A384" s="110"/>
      <c r="B384" s="110"/>
      <c r="C384" s="111"/>
      <c r="D384" s="112"/>
      <c r="E384" s="110"/>
      <c r="F384" s="110"/>
      <c r="G384" s="110"/>
      <c r="H384" s="110"/>
    </row>
    <row r="385" spans="1:8" ht="24.95" customHeight="1">
      <c r="A385" s="110"/>
      <c r="B385" s="110"/>
      <c r="C385" s="111"/>
      <c r="D385" s="112"/>
      <c r="E385" s="110"/>
      <c r="F385" s="110"/>
      <c r="G385" s="110"/>
      <c r="H385" s="110"/>
    </row>
    <row r="386" spans="1:8" ht="24.95" customHeight="1">
      <c r="A386" s="110"/>
      <c r="B386" s="110"/>
      <c r="C386" s="111"/>
      <c r="D386" s="112"/>
      <c r="E386" s="110"/>
      <c r="F386" s="110"/>
      <c r="G386" s="110"/>
      <c r="H386" s="110"/>
    </row>
    <row r="387" spans="1:8" ht="24.95" customHeight="1">
      <c r="A387" s="110"/>
      <c r="B387" s="110"/>
      <c r="C387" s="111"/>
      <c r="D387" s="112"/>
      <c r="E387" s="110"/>
      <c r="F387" s="110"/>
      <c r="G387" s="110"/>
      <c r="H387" s="110"/>
    </row>
    <row r="388" spans="1:8" ht="24.95" customHeight="1">
      <c r="A388" s="110"/>
      <c r="B388" s="110"/>
      <c r="C388" s="111"/>
      <c r="D388" s="112"/>
      <c r="E388" s="110"/>
      <c r="F388" s="110"/>
      <c r="G388" s="110"/>
      <c r="H388" s="110"/>
    </row>
    <row r="389" spans="1:8" ht="24.95" customHeight="1">
      <c r="A389" s="110"/>
      <c r="B389" s="110"/>
      <c r="C389" s="111"/>
      <c r="D389" s="112"/>
      <c r="E389" s="110"/>
      <c r="F389" s="110"/>
      <c r="G389" s="110"/>
      <c r="H389" s="110"/>
    </row>
    <row r="390" spans="1:8" ht="24.95" customHeight="1">
      <c r="A390" s="110"/>
      <c r="B390" s="110"/>
      <c r="C390" s="111"/>
      <c r="D390" s="112"/>
      <c r="E390" s="110"/>
      <c r="F390" s="110"/>
      <c r="G390" s="110"/>
      <c r="H390" s="110"/>
    </row>
    <row r="391" spans="1:8" ht="24.95" customHeight="1">
      <c r="A391" s="110"/>
      <c r="B391" s="110"/>
      <c r="C391" s="111"/>
      <c r="D391" s="112"/>
      <c r="E391" s="110"/>
      <c r="F391" s="110"/>
      <c r="G391" s="110"/>
      <c r="H391" s="110"/>
    </row>
    <row r="392" spans="1:8" ht="24.95" customHeight="1">
      <c r="A392" s="110"/>
      <c r="B392" s="110"/>
      <c r="C392" s="111"/>
      <c r="D392" s="112"/>
      <c r="E392" s="110"/>
      <c r="F392" s="110"/>
      <c r="G392" s="110"/>
      <c r="H392" s="110"/>
    </row>
    <row r="393" spans="1:8" ht="24.95" customHeight="1">
      <c r="A393" s="110"/>
      <c r="B393" s="110"/>
      <c r="C393" s="111"/>
      <c r="D393" s="112"/>
      <c r="E393" s="110"/>
      <c r="F393" s="110"/>
      <c r="G393" s="110"/>
      <c r="H393" s="110"/>
    </row>
  </sheetData>
  <autoFilter ref="A1:H61"/>
  <pageMargins left="0.7" right="0.7" top="0.75" bottom="0.75" header="0.3" footer="0.3"/>
  <pageSetup paperSize="9" orientation="portrait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4"/>
  <dimension ref="A1:G112"/>
  <sheetViews>
    <sheetView zoomScale="115" zoomScaleNormal="115" workbookViewId="0">
      <selection activeCell="E11" sqref="E11"/>
    </sheetView>
  </sheetViews>
  <sheetFormatPr defaultColWidth="9" defaultRowHeight="15"/>
  <cols>
    <col min="1" max="1" width="9" style="56"/>
    <col min="2" max="2" width="52.5703125" style="56" customWidth="1"/>
    <col min="3" max="3" width="10.5703125" style="56" customWidth="1"/>
    <col min="5" max="5" width="27.85546875" bestFit="1" customWidth="1"/>
    <col min="7" max="7" width="30.7109375" customWidth="1"/>
  </cols>
  <sheetData>
    <row r="1" spans="1:3" ht="21">
      <c r="A1" s="398" t="s">
        <v>3048</v>
      </c>
      <c r="B1" s="382" t="s">
        <v>1430</v>
      </c>
      <c r="C1" s="383" t="s">
        <v>1398</v>
      </c>
    </row>
    <row r="2" spans="1:3" ht="19.899999999999999" customHeight="1">
      <c r="A2" s="377">
        <v>1</v>
      </c>
      <c r="B2" s="78" t="s">
        <v>4108</v>
      </c>
      <c r="C2" s="482">
        <v>50</v>
      </c>
    </row>
    <row r="3" spans="1:3" ht="24" customHeight="1">
      <c r="A3" s="377">
        <v>2</v>
      </c>
      <c r="B3" s="78" t="s">
        <v>4124</v>
      </c>
      <c r="C3" s="482">
        <v>50</v>
      </c>
    </row>
    <row r="4" spans="1:3" ht="19.899999999999999" customHeight="1">
      <c r="A4" s="377">
        <v>3</v>
      </c>
      <c r="B4" s="480"/>
      <c r="C4" s="482"/>
    </row>
    <row r="5" spans="1:3" ht="19.899999999999999" customHeight="1">
      <c r="A5" s="377">
        <v>4</v>
      </c>
      <c r="B5" s="480"/>
      <c r="C5" s="482"/>
    </row>
    <row r="6" spans="1:3" ht="19.899999999999999" customHeight="1">
      <c r="A6" s="377">
        <v>5</v>
      </c>
      <c r="B6" s="480"/>
      <c r="C6" s="482"/>
    </row>
    <row r="7" spans="1:3" ht="19.899999999999999" customHeight="1">
      <c r="A7" s="77">
        <v>6</v>
      </c>
      <c r="B7" s="480"/>
      <c r="C7" s="482"/>
    </row>
    <row r="8" spans="1:3" ht="19.899999999999999" customHeight="1">
      <c r="A8" s="77">
        <v>7</v>
      </c>
      <c r="B8" s="480"/>
      <c r="C8" s="482"/>
    </row>
    <row r="9" spans="1:3" ht="19.899999999999999" customHeight="1">
      <c r="A9" s="77">
        <v>8</v>
      </c>
      <c r="B9" s="480"/>
      <c r="C9" s="482"/>
    </row>
    <row r="10" spans="1:3" ht="19.899999999999999" customHeight="1">
      <c r="A10" s="77">
        <v>9</v>
      </c>
      <c r="B10" s="480"/>
      <c r="C10" s="482"/>
    </row>
    <row r="11" spans="1:3" ht="19.899999999999999" customHeight="1">
      <c r="A11" s="77">
        <v>10</v>
      </c>
      <c r="B11" s="480"/>
      <c r="C11" s="482"/>
    </row>
    <row r="12" spans="1:3" ht="19.899999999999999" customHeight="1">
      <c r="A12" s="77">
        <v>11</v>
      </c>
      <c r="B12" s="480"/>
      <c r="C12" s="482"/>
    </row>
    <row r="13" spans="1:3" ht="19.899999999999999" customHeight="1">
      <c r="A13" s="77">
        <v>12</v>
      </c>
      <c r="B13" s="480"/>
      <c r="C13" s="482"/>
    </row>
    <row r="14" spans="1:3" ht="19.899999999999999" customHeight="1">
      <c r="A14" s="77">
        <v>13</v>
      </c>
      <c r="B14" s="480"/>
      <c r="C14" s="482"/>
    </row>
    <row r="15" spans="1:3" ht="19.899999999999999" customHeight="1">
      <c r="A15" s="77">
        <v>14</v>
      </c>
      <c r="B15" s="480"/>
      <c r="C15" s="482"/>
    </row>
    <row r="16" spans="1:3" ht="19.899999999999999" customHeight="1">
      <c r="A16" s="77">
        <v>15</v>
      </c>
      <c r="B16" s="480"/>
      <c r="C16" s="482"/>
    </row>
    <row r="17" spans="1:3" ht="19.899999999999999" customHeight="1">
      <c r="A17" s="77">
        <v>16</v>
      </c>
      <c r="B17" s="480"/>
      <c r="C17" s="482"/>
    </row>
    <row r="18" spans="1:3" ht="19.899999999999999" customHeight="1">
      <c r="A18" s="77">
        <v>17</v>
      </c>
      <c r="B18" s="483"/>
      <c r="C18" s="481"/>
    </row>
    <row r="19" spans="1:3" ht="19.899999999999999" customHeight="1">
      <c r="A19" s="77">
        <v>18</v>
      </c>
      <c r="B19" s="380"/>
      <c r="C19" s="381"/>
    </row>
    <row r="20" spans="1:3" ht="19.899999999999999" customHeight="1">
      <c r="A20" s="77">
        <v>19</v>
      </c>
      <c r="B20" s="380"/>
      <c r="C20" s="381"/>
    </row>
    <row r="21" spans="1:3" ht="19.899999999999999" customHeight="1">
      <c r="A21" s="77">
        <v>20</v>
      </c>
      <c r="B21" s="380"/>
      <c r="C21" s="381"/>
    </row>
    <row r="22" spans="1:3" ht="19.899999999999999" customHeight="1">
      <c r="A22" s="77">
        <v>21</v>
      </c>
      <c r="B22" s="380"/>
      <c r="C22" s="381"/>
    </row>
    <row r="23" spans="1:3" ht="19.899999999999999" customHeight="1">
      <c r="A23" s="77">
        <v>22</v>
      </c>
      <c r="B23" s="380"/>
      <c r="C23" s="381"/>
    </row>
    <row r="24" spans="1:3" ht="19.899999999999999" customHeight="1">
      <c r="A24" s="77">
        <v>23</v>
      </c>
      <c r="B24" s="380"/>
      <c r="C24" s="381"/>
    </row>
    <row r="25" spans="1:3" ht="19.899999999999999" customHeight="1">
      <c r="A25" s="77">
        <v>24</v>
      </c>
      <c r="B25" s="439"/>
      <c r="C25" s="440"/>
    </row>
    <row r="26" spans="1:3" ht="19.899999999999999" customHeight="1">
      <c r="A26" s="77">
        <v>25</v>
      </c>
      <c r="B26" s="437"/>
      <c r="C26" s="438"/>
    </row>
    <row r="27" spans="1:3" ht="19.899999999999999" customHeight="1">
      <c r="A27" s="77">
        <v>26</v>
      </c>
      <c r="B27" s="380"/>
      <c r="C27" s="381"/>
    </row>
    <row r="28" spans="1:3" ht="19.899999999999999" customHeight="1">
      <c r="A28" s="77">
        <v>27</v>
      </c>
      <c r="B28" s="380"/>
      <c r="C28" s="381"/>
    </row>
    <row r="29" spans="1:3" ht="19.899999999999999" customHeight="1">
      <c r="A29" s="77">
        <v>28</v>
      </c>
      <c r="B29" s="380"/>
      <c r="C29" s="381"/>
    </row>
    <row r="30" spans="1:3" ht="19.899999999999999" customHeight="1">
      <c r="A30" s="77">
        <v>29</v>
      </c>
      <c r="B30" s="380"/>
      <c r="C30" s="381"/>
    </row>
    <row r="31" spans="1:3" ht="19.899999999999999" customHeight="1">
      <c r="A31" s="77">
        <v>30</v>
      </c>
      <c r="B31" s="437"/>
      <c r="C31" s="381"/>
    </row>
    <row r="32" spans="1:3" ht="18">
      <c r="A32" s="77">
        <v>31</v>
      </c>
      <c r="B32" s="437"/>
      <c r="C32" s="381"/>
    </row>
    <row r="33" spans="1:3" ht="18">
      <c r="A33" s="77">
        <v>32</v>
      </c>
      <c r="B33" s="437"/>
      <c r="C33" s="381"/>
    </row>
    <row r="34" spans="1:3" ht="18">
      <c r="A34" s="77">
        <v>33</v>
      </c>
      <c r="B34" s="437"/>
      <c r="C34" s="381"/>
    </row>
    <row r="35" spans="1:3" ht="18">
      <c r="A35" s="77">
        <v>34</v>
      </c>
      <c r="B35" s="429"/>
      <c r="C35" s="431"/>
    </row>
    <row r="36" spans="1:3" ht="18">
      <c r="A36" s="389">
        <v>35</v>
      </c>
      <c r="B36" s="430"/>
      <c r="C36" s="432"/>
    </row>
    <row r="37" spans="1:3" ht="18.75">
      <c r="A37" s="389">
        <v>36</v>
      </c>
      <c r="B37" s="413"/>
      <c r="C37" s="413"/>
    </row>
    <row r="38" spans="1:3" ht="18.75">
      <c r="A38" s="389">
        <v>37</v>
      </c>
      <c r="B38" s="406"/>
      <c r="C38" s="406"/>
    </row>
    <row r="39" spans="1:3" ht="18.75">
      <c r="A39" s="389">
        <v>38</v>
      </c>
      <c r="B39" s="413"/>
      <c r="C39" s="413"/>
    </row>
    <row r="40" spans="1:3" ht="18.75">
      <c r="A40" s="389">
        <v>39</v>
      </c>
      <c r="B40" s="406"/>
      <c r="C40" s="406"/>
    </row>
    <row r="41" spans="1:3" ht="18.75">
      <c r="A41" s="389">
        <v>40</v>
      </c>
      <c r="B41" s="406"/>
      <c r="C41" s="406"/>
    </row>
    <row r="42" spans="1:3" ht="18.75">
      <c r="A42" s="389">
        <v>41</v>
      </c>
      <c r="B42" s="406"/>
      <c r="C42" s="406"/>
    </row>
    <row r="43" spans="1:3" ht="18.75">
      <c r="A43" s="389">
        <v>42</v>
      </c>
      <c r="B43" s="406"/>
      <c r="C43" s="406"/>
    </row>
    <row r="44" spans="1:3" ht="18.75">
      <c r="A44" s="389">
        <v>43</v>
      </c>
      <c r="B44" s="406"/>
      <c r="C44" s="406"/>
    </row>
    <row r="45" spans="1:3" ht="18.75">
      <c r="A45" s="389">
        <v>44</v>
      </c>
      <c r="B45" s="406"/>
      <c r="C45" s="406"/>
    </row>
    <row r="46" spans="1:3" ht="18.75">
      <c r="A46" s="389">
        <v>45</v>
      </c>
      <c r="B46" s="406"/>
      <c r="C46" s="406"/>
    </row>
    <row r="47" spans="1:3" ht="18.75">
      <c r="A47" s="389">
        <v>46</v>
      </c>
      <c r="B47" s="406"/>
      <c r="C47" s="406"/>
    </row>
    <row r="48" spans="1:3" ht="18.75">
      <c r="A48" s="77">
        <v>47</v>
      </c>
      <c r="B48" s="406"/>
      <c r="C48" s="406"/>
    </row>
    <row r="49" spans="1:7" ht="18">
      <c r="A49" s="77">
        <v>48</v>
      </c>
      <c r="B49" s="392"/>
      <c r="C49" s="393"/>
    </row>
    <row r="50" spans="1:7" ht="18">
      <c r="A50" s="77">
        <v>49</v>
      </c>
      <c r="B50" s="391"/>
      <c r="C50" s="394"/>
    </row>
    <row r="51" spans="1:7" ht="18">
      <c r="A51" s="77">
        <v>50</v>
      </c>
      <c r="B51" s="380"/>
      <c r="C51" s="381"/>
    </row>
    <row r="52" spans="1:7" ht="20.25">
      <c r="A52" s="359"/>
      <c r="B52" s="380"/>
      <c r="C52" s="381"/>
    </row>
    <row r="53" spans="1:7" ht="20.25">
      <c r="A53" s="359"/>
      <c r="B53" s="380"/>
      <c r="C53" s="381"/>
    </row>
    <row r="54" spans="1:7" ht="20.25">
      <c r="A54" s="360"/>
      <c r="B54" s="380"/>
      <c r="C54" s="381"/>
    </row>
    <row r="55" spans="1:7" ht="20.25">
      <c r="A55" s="360"/>
      <c r="B55" s="380"/>
      <c r="C55" s="381"/>
    </row>
    <row r="56" spans="1:7" ht="20.25">
      <c r="A56" s="360"/>
      <c r="B56" s="380"/>
      <c r="C56" s="381"/>
      <c r="G56" s="379"/>
    </row>
    <row r="57" spans="1:7" ht="20.25">
      <c r="A57" s="360"/>
      <c r="B57" s="380"/>
      <c r="C57" s="381"/>
    </row>
    <row r="58" spans="1:7" ht="20.25">
      <c r="A58" s="360"/>
      <c r="B58" s="380"/>
      <c r="C58" s="381"/>
    </row>
    <row r="59" spans="1:7" ht="20.25">
      <c r="A59" s="360"/>
      <c r="B59" s="380"/>
      <c r="C59" s="381"/>
    </row>
    <row r="60" spans="1:7" ht="20.25">
      <c r="A60" s="360"/>
      <c r="B60" s="380"/>
      <c r="C60" s="381"/>
    </row>
    <row r="61" spans="1:7" ht="20.25">
      <c r="A61" s="361"/>
      <c r="B61" s="384"/>
      <c r="C61" s="385"/>
    </row>
    <row r="62" spans="1:7" ht="20.25">
      <c r="A62" s="361"/>
      <c r="B62" s="384"/>
      <c r="C62" s="385"/>
    </row>
    <row r="63" spans="1:7" ht="20.25">
      <c r="A63" s="361"/>
      <c r="B63" s="384"/>
      <c r="C63" s="385"/>
    </row>
    <row r="64" spans="1:7" ht="20.25">
      <c r="A64" s="361"/>
      <c r="B64" s="384"/>
      <c r="C64" s="385"/>
    </row>
    <row r="65" spans="1:3" ht="20.25">
      <c r="A65" s="361"/>
      <c r="B65" s="384"/>
      <c r="C65" s="385"/>
    </row>
    <row r="66" spans="1:3" ht="20.25">
      <c r="A66" s="361"/>
      <c r="B66" s="384"/>
      <c r="C66" s="385"/>
    </row>
    <row r="67" spans="1:3" ht="20.25">
      <c r="A67" s="361"/>
      <c r="B67" s="384"/>
      <c r="C67" s="385"/>
    </row>
    <row r="68" spans="1:3" ht="20.25">
      <c r="A68" s="361"/>
      <c r="B68" s="384"/>
      <c r="C68" s="385"/>
    </row>
    <row r="69" spans="1:3" ht="20.25">
      <c r="A69" s="361"/>
      <c r="B69" s="384"/>
      <c r="C69" s="385"/>
    </row>
    <row r="70" spans="1:3" ht="20.25">
      <c r="A70" s="359"/>
      <c r="B70" s="386"/>
      <c r="C70" s="387"/>
    </row>
    <row r="72" spans="1:3">
      <c r="B72"/>
      <c r="C72"/>
    </row>
    <row r="73" spans="1:3">
      <c r="B73"/>
      <c r="C73"/>
    </row>
    <row r="74" spans="1:3">
      <c r="B74"/>
      <c r="C74"/>
    </row>
    <row r="75" spans="1:3">
      <c r="B75"/>
      <c r="C75"/>
    </row>
    <row r="76" spans="1:3">
      <c r="B76"/>
      <c r="C76"/>
    </row>
    <row r="77" spans="1:3">
      <c r="B77"/>
      <c r="C77"/>
    </row>
    <row r="78" spans="1:3">
      <c r="B78"/>
      <c r="C78"/>
    </row>
    <row r="79" spans="1:3">
      <c r="B79"/>
      <c r="C79"/>
    </row>
    <row r="80" spans="1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</sheetData>
  <conditionalFormatting sqref="B51">
    <cfRule type="duplicateValues" dxfId="1" priority="105"/>
  </conditionalFormatting>
  <conditionalFormatting sqref="G56">
    <cfRule type="duplicateValues" dxfId="0" priority="54"/>
  </conditionalFormatting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5"/>
  <dimension ref="A1:AU75"/>
  <sheetViews>
    <sheetView topLeftCell="AF1" workbookViewId="0">
      <pane ySplit="1" topLeftCell="A2" activePane="bottomLeft" state="frozen"/>
      <selection pane="bottomLeft" activeCell="AH8" sqref="AH8"/>
    </sheetView>
  </sheetViews>
  <sheetFormatPr defaultColWidth="8.85546875" defaultRowHeight="15.75"/>
  <cols>
    <col min="1" max="1" width="6.140625" style="56" customWidth="1"/>
    <col min="2" max="2" width="53.5703125" style="56" customWidth="1"/>
    <col min="3" max="3" width="20.7109375" style="56" customWidth="1"/>
    <col min="4" max="4" width="17" style="56" customWidth="1"/>
    <col min="5" max="7" width="7.140625" style="56" customWidth="1"/>
    <col min="8" max="8" width="7.85546875" style="56" customWidth="1"/>
    <col min="9" max="11" width="7.42578125" style="56" customWidth="1"/>
    <col min="12" max="12" width="12.7109375" style="56" customWidth="1"/>
    <col min="13" max="13" width="13.42578125" style="56" customWidth="1"/>
    <col min="14" max="14" width="20.140625" style="56" customWidth="1"/>
    <col min="15" max="15" width="66" style="56" customWidth="1"/>
    <col min="16" max="16" width="56.5703125" style="56" customWidth="1"/>
    <col min="17" max="17" width="10.5703125" style="56" customWidth="1"/>
    <col min="18" max="18" width="8.85546875" style="56" customWidth="1"/>
    <col min="19" max="19" width="56.5703125" style="57" customWidth="1"/>
    <col min="20" max="20" width="15.5703125" style="57" customWidth="1"/>
    <col min="21" max="21" width="15.140625" style="57" customWidth="1"/>
    <col min="22" max="22" width="31.7109375" style="57" customWidth="1"/>
    <col min="23" max="23" width="26.85546875" style="57" customWidth="1"/>
    <col min="24" max="24" width="13.42578125" style="56" customWidth="1"/>
    <col min="25" max="25" width="46.85546875" style="56" customWidth="1"/>
    <col min="26" max="26" width="6.85546875" style="56" customWidth="1"/>
    <col min="27" max="27" width="44.7109375" style="56" customWidth="1"/>
    <col min="28" max="28" width="7.85546875" style="56" customWidth="1"/>
    <col min="29" max="29" width="49.140625" style="56" customWidth="1"/>
    <col min="30" max="30" width="12.42578125" style="56" customWidth="1"/>
    <col min="31" max="31" width="49.140625" style="56" customWidth="1"/>
    <col min="32" max="33" width="8.85546875" style="56" customWidth="1"/>
    <col min="34" max="34" width="27.5703125" style="57" customWidth="1"/>
    <col min="35" max="35" width="15.5703125" style="57" customWidth="1"/>
    <col min="36" max="36" width="15.140625" style="57" customWidth="1"/>
    <col min="37" max="37" width="31.7109375" style="57" customWidth="1"/>
    <col min="38" max="38" width="26.85546875" style="57" customWidth="1"/>
    <col min="39" max="39" width="13.42578125" style="56" customWidth="1"/>
    <col min="40" max="40" width="49.42578125" style="56" bestFit="1" customWidth="1"/>
    <col min="41" max="41" width="10.5703125" style="56" customWidth="1"/>
    <col min="42" max="42" width="49.42578125" style="56" bestFit="1" customWidth="1"/>
    <col min="43" max="43" width="9.28515625" style="56" customWidth="1"/>
    <col min="44" max="44" width="49.140625" style="56" customWidth="1"/>
    <col min="45" max="45" width="11.28515625" style="56" customWidth="1"/>
    <col min="46" max="46" width="49.140625" style="56" customWidth="1"/>
    <col min="47" max="16384" width="8.85546875" style="56"/>
  </cols>
  <sheetData>
    <row r="1" spans="1:47" ht="31.5">
      <c r="A1" s="58" t="s">
        <v>2526</v>
      </c>
      <c r="B1" s="58" t="s">
        <v>3049</v>
      </c>
      <c r="C1" s="59" t="s">
        <v>3050</v>
      </c>
      <c r="D1" s="59" t="s">
        <v>3051</v>
      </c>
      <c r="E1" s="59" t="s">
        <v>3052</v>
      </c>
      <c r="F1" s="59" t="s">
        <v>3053</v>
      </c>
      <c r="G1" s="59" t="s">
        <v>3054</v>
      </c>
      <c r="H1" s="59" t="s">
        <v>3055</v>
      </c>
      <c r="I1" s="59" t="s">
        <v>3056</v>
      </c>
      <c r="J1" s="59" t="s">
        <v>3057</v>
      </c>
      <c r="K1" s="59" t="s">
        <v>3058</v>
      </c>
      <c r="L1" s="59" t="s">
        <v>3059</v>
      </c>
      <c r="M1" s="59" t="s">
        <v>3060</v>
      </c>
      <c r="N1" s="61" t="s">
        <v>3061</v>
      </c>
      <c r="O1" s="61" t="s">
        <v>3062</v>
      </c>
      <c r="P1" s="61" t="s">
        <v>8</v>
      </c>
      <c r="Q1" s="61" t="s">
        <v>1398</v>
      </c>
      <c r="S1" s="62" t="s">
        <v>3063</v>
      </c>
      <c r="T1" s="63" t="s">
        <v>3064</v>
      </c>
      <c r="U1" s="63" t="s">
        <v>3065</v>
      </c>
      <c r="V1" s="63" t="s">
        <v>3066</v>
      </c>
      <c r="W1" s="64" t="s">
        <v>3067</v>
      </c>
      <c r="X1" s="63" t="s">
        <v>3068</v>
      </c>
      <c r="Y1" s="62" t="s">
        <v>3069</v>
      </c>
      <c r="Z1" s="68" t="s">
        <v>1398</v>
      </c>
      <c r="AA1" s="68" t="s">
        <v>3070</v>
      </c>
      <c r="AB1" s="68" t="s">
        <v>3071</v>
      </c>
      <c r="AC1" s="68" t="s">
        <v>3072</v>
      </c>
      <c r="AD1" s="68" t="s">
        <v>3073</v>
      </c>
      <c r="AE1" s="68" t="s">
        <v>3074</v>
      </c>
      <c r="AF1" s="69" t="s">
        <v>3075</v>
      </c>
      <c r="AH1" s="62" t="s">
        <v>3063</v>
      </c>
      <c r="AI1" s="63" t="s">
        <v>3064</v>
      </c>
      <c r="AJ1" s="63" t="s">
        <v>3065</v>
      </c>
      <c r="AK1" s="63" t="s">
        <v>3066</v>
      </c>
      <c r="AL1" s="64" t="s">
        <v>3067</v>
      </c>
      <c r="AN1" s="62" t="s">
        <v>3069</v>
      </c>
      <c r="AO1" s="68" t="s">
        <v>1398</v>
      </c>
      <c r="AP1" s="68" t="s">
        <v>3070</v>
      </c>
      <c r="AQ1" s="68" t="s">
        <v>3071</v>
      </c>
      <c r="AR1" s="68" t="s">
        <v>3072</v>
      </c>
      <c r="AS1" s="68" t="s">
        <v>3073</v>
      </c>
      <c r="AT1" s="68" t="s">
        <v>3074</v>
      </c>
      <c r="AU1" s="69" t="s">
        <v>3076</v>
      </c>
    </row>
    <row r="2" spans="1:47">
      <c r="A2" s="60">
        <f>ROW()-1</f>
        <v>1</v>
      </c>
      <c r="B2" s="60" t="str">
        <f>LEFT(Table1[[#This Row],[ITEM CODE]],MIN(FIND({0,1,2,3,4,5,6,7,8,9},Table1[[#This Row],[ITEM CODE]]&amp;"0123456789"))-1)</f>
        <v>PEPSBNCOMNLBG</v>
      </c>
      <c r="C2" s="61" t="str">
        <f>SUBSTITUTE(Table1[[#This Row],[ITEM CODE]],B2,"")</f>
        <v>75X60X06</v>
      </c>
      <c r="D2" s="61" t="str">
        <f t="shared" ref="D2:D31" si="0">IFERROR(LEFT(C2,FIND("-",C2)-1),C2)</f>
        <v>75X60X06</v>
      </c>
      <c r="E2" s="61">
        <f t="shared" ref="E2:E33" si="1">IFERROR(SEARCH("X",D2),"")</f>
        <v>3</v>
      </c>
      <c r="F2" s="61">
        <f t="shared" ref="F2:F33" si="2">IFERROR(SEARCH("X",D2,E2+1),"")</f>
        <v>6</v>
      </c>
      <c r="G2" s="61" t="str">
        <f t="shared" ref="G2:G33" si="3">IFERROR(LEFT(C2,SEARCH("x",C2)-1),"")</f>
        <v>75</v>
      </c>
      <c r="H2" s="61" t="str">
        <f t="shared" ref="H2:H33" si="4">IFERROR(MID(D2,E2+1,F2-E2-1),"")</f>
        <v>60</v>
      </c>
      <c r="I2" s="61" t="str">
        <f t="shared" ref="I2:I33" si="5">IFERROR(MID(D2,F2+1,20),"")</f>
        <v>06</v>
      </c>
      <c r="J2" s="61" t="str">
        <f>IFERROR(IF(Table2[[#This Row],[L]]&lt;Table2[[#This Row],[W]],Table2[[#This Row],[W]],Table2[[#This Row],[L]]),"")</f>
        <v>75</v>
      </c>
      <c r="K2" s="61" t="str">
        <f>IF(Table2[[#This Row],[L]]&lt;Table2[[#This Row],[W]],Table2[[#This Row],[L]],Table2[[#This Row],[W]])</f>
        <v>60</v>
      </c>
      <c r="L2" s="61" t="str">
        <f t="shared" ref="L2:L33" si="6">IFERROR(IF(J2="","",IF(VALUE(J2)&gt;=VALUE(K2),IF(OR(VALUE(J2)=13,VALUE(J2)=20,VALUE(J2)=72,VALUE(J2)=75,VALUE(J2)=78,VALUE(J2)=80,VALUE(J2)=84),J2,IF(VALUE(J2)&lt;72,72,IF(VALUE(J2)&lt;75,75,IF(VALUE(J2)&lt;78,78,IF(VALUE(J2)&lt;80,80,IF(VALUE(J2)&lt;84,84,IF(VALUE(J2)&gt;84,84,""""))))))))),0)</f>
        <v>75</v>
      </c>
      <c r="M2" s="61" t="str">
        <f t="shared" ref="M2:M33" si="7">IF(H2="","",IF(VALUE(J2)&gt;=VALUE(K2),IF(OR(VALUE(K2)=13,VALUE(K2)=18,VALUE(K2)=18,VALUE(K2)=30,VALUE(K2)=33,VALUE(K2)=36,VALUE(K2)=39,VALUE(K2)=42,VALUE(K2)=45,VALUE(K2)=48,VALUE(K2)=51,VALUE(K2)=54,VALUE(K2)=57,VALUE(K2)=60,VALUE(K2)=63,VALUE(K2)=66,VALUE(K2)=69,VALUE(K2)=72),K2,IF(VALUE(K2)&lt;30,30,IF(VALUE(K2)&lt;33,33,IF(VALUE(H2)&lt;36,36,IF(VALUE(H2)&lt;39,39,IF(VALUE(H2)&lt;42,42,IF(VALUE(H2)&lt;45,45,IF(VALUE(H2)&lt;48,48,IF(VALUE(H2)&lt;51,51,IF(VALUE(H2)&lt;54,54,IF(VALUE(H2)&lt;57,57,IF(VALUE(K2)&lt;60,60,IF(VALUE(K2)&lt;63,63,IF(VALUE(K2)&lt;66,66,IF(VALUE(K2)&lt;69,69,IF(VALUE(K2)&lt;72,72,IF(VALUE(K2)&gt;72,72,"""")))))))))))))))))))</f>
        <v>60</v>
      </c>
      <c r="N2" s="61" t="str">
        <f t="shared" ref="N2:N33" si="8">IFERROR(CONCATENATE(L2,"X",M2,"X",I2),"")</f>
        <v>75X60X06</v>
      </c>
      <c r="O2" s="61" t="str">
        <f>CONCATENATE(B2,N2)</f>
        <v>PEPSBNCOMNLBG75X60X06</v>
      </c>
      <c r="P2" s="61" t="str">
        <f>+CONCATENATE(Table2[[#This Row],[1]],Table2[[#This Row],[H]])</f>
        <v>PEPSBNCOMNLBG06</v>
      </c>
      <c r="Q2" s="61">
        <f>+Table1[[#This Row],[QTY]]</f>
        <v>50</v>
      </c>
      <c r="S2" s="60" t="str">
        <f>+Table2[[#This Row],[VARIETY]]</f>
        <v>PEPSBNCOMNLBG06</v>
      </c>
      <c r="T2" s="65">
        <f>IFERROR(Table2[[#This Row],[L]]-VLOOKUP(Table5[[#This Row],[VARIETY ]],MASTER!$B:$E,4,0),0)</f>
        <v>74.5</v>
      </c>
      <c r="U2" s="65">
        <f>IFERROR(Table2[[#This Row],[W]]-VLOOKUP(Table5[[#This Row],[VARIETY ]],MASTER!$B:$F,5,0),0)</f>
        <v>54</v>
      </c>
      <c r="V2" s="65">
        <f>IFERROR(IF(VLOOKUP(Table5[[#This Row],[VARIETY ]],MASTER!$B:$M,12,0)=0,0,(Table2[[#This Row],[L]]-VLOOKUP(Table5[[#This Row],[VARIETY ]],MASTER!$B:$M,12,0))),0)</f>
        <v>0</v>
      </c>
      <c r="W2" s="66">
        <f>IFERROR(IF(VLOOKUP(Table5[[#This Row],[VARIETY ]],MASTER!$B:$N,13,0)=0,0,(Table2[[#This Row],[W]]-VLOOKUP(Table5[[#This Row],[VARIETY ]],MASTER!$B:$N,13,0))),0)</f>
        <v>0</v>
      </c>
      <c r="X2" s="67">
        <v>1</v>
      </c>
      <c r="Y2" s="70" t="str">
        <f>IFERROR(IF(VLOOKUP(S2,MASTER!$B:$I,8,0)="40MM",((CONCATENATE(VLOOKUP(S2,MASTER!$B:$H,7,0),T2,"X",VLOOKUP(S2,MASTER!$B:$G,6,0),"X",VLOOKUP(S2,MASTER!$B:$I,8,0)))),(CONCATENATE(VLOOKUP(S2,MASTER!$B:$H,7,0),T2,"X",VLOOKUP(S2,MASTER!$B:$G,6,0),"X",VLOOKUP(S2,MASTER!$B:$I,8,0)))),"")</f>
        <v>32D-HARD-FOAM-74.5X135MMX70MM</v>
      </c>
      <c r="Z2" s="71">
        <f>Table2[[#This Row],[QTY]]*2</f>
        <v>100</v>
      </c>
      <c r="AA2" s="71" t="str">
        <f>IFERROR(IF(VLOOKUP(S2,MASTER!$B:$I,8,0)="40MM",((CONCATENATE(VLOOKUP(S2,MASTER!$B:$H,7,0),U2,"X",VLOOKUP(S2,MASTER!$B:$G,6,0),"X",VLOOKUP(S2,MASTER!$B:$I,8,0)))),((CONCATENATE(VLOOKUP(S2,MASTER!$B:$H,7,0),U2,"X",VLOOKUP(S2,MASTER!$B:$G,6,0),"X",VLOOKUP(S2,MASTER!$B:$I,8,0))))),"")</f>
        <v>32D-HARD-FOAM-54X135MMX70MM</v>
      </c>
      <c r="AB2" s="71">
        <f>+Table2[[#This Row],[QTY]]*2</f>
        <v>100</v>
      </c>
      <c r="AC2" s="71" t="str">
        <f>IF(OR(S2=MASTER!$B$2,S2=MASTER!$B$3,S2=MASTER!$B$4,S2=MASTER!$B$5,S2=MASTER!$B$6,S2=MASTER!$B$7,S2=MASTER!$B$8,S2=MASTER!$B$9,S2=MASTER!$B$10,S2=MASTER!$B$11,S2=MASTER!$B$12,S2=MASTER!$B$13,S2=MASTER!$B$93,S2=MASTER!$B$94,S2=MASTER!$B$128,S2=MASTER!$B$129,S2=MASTER!$B$130,S2=MASTER!$B$131,S2=MASTER!$B$132,S2=MASTER!$B$136,S2=MASTER!$B$137),(CONCATENATE(VLOOKUP(S2,MASTER!$B:$J,9,0),Table5[[#This Row],[TOP FOAM/REBOUND LENGTH]],"X",Table5[[#This Row],[TOP FOAM / REBOUND WIDTH]],"X",VLOOKUP(Table5[[#This Row],[VARIETY ]],MASTER!$B:$K,10,0))),"")</f>
        <v/>
      </c>
      <c r="AD2" s="71">
        <f>+Table2[[#This Row],[QTY]]*1</f>
        <v>50</v>
      </c>
      <c r="AE2" s="71" t="str">
        <f>IF(OR(S2=MASTER!$B$2,S2=MASTER!$B$3,S2=MASTER!$B$4,S2=MASTER!$B$5,S2=MASTER!$B$6,S2=MASTER!$B$7,S2=MASTER!$B$8,S2=MASTER!$B$9,S2=MASTER!$B$136,S2=MASTER!$B$10,S2=MASTER!$B$11,S2=MASTER!$B$12,S2=MASTER!$B$13,S2=MASTER!$B$2,S2=MASTER!$B$132,S2=MASTER!$B$137),(CONCATENATE(VLOOKUP(S2,MASTER!$B:$J,9,0),Table5[[#This Row],[TOP FOAM/REBOUND LENGTH]],"X",Table5[[#This Row],[TOP FOAM / REBOUND WIDTH]],"X",VLOOKUP(Table5[[#This Row],[VARIETY ]],MASTER!$B:$L,11,0))),"")</f>
        <v/>
      </c>
      <c r="AF2" s="72">
        <f>+Table2[[#This Row],[QTY]]*1</f>
        <v>50</v>
      </c>
      <c r="AH2" s="60" t="str">
        <f>+Table2[[#This Row],[VARIETY]]</f>
        <v>PEPSBNCOMNLBG06</v>
      </c>
      <c r="AI2" s="65">
        <f>IFERROR(Table2[[#This Row],[STD-L]]-VLOOKUP(AH2,MASTER!$B:$E,4,0),0)</f>
        <v>74.5</v>
      </c>
      <c r="AJ2" s="65">
        <f>IFERROR(Table2[[#This Row],[STD-W]]-VLOOKUP(AH2,MASTER!$B:$F,5,0),0)</f>
        <v>54</v>
      </c>
      <c r="AK2" s="65">
        <f t="shared" ref="AK2:AK33" si="9">IFERROR(L2-0.5,"")</f>
        <v>74.5</v>
      </c>
      <c r="AL2" s="66">
        <f t="shared" ref="AL2:AL33" si="10">IFERROR(M2-0.5,"")</f>
        <v>59.5</v>
      </c>
      <c r="AM2"/>
      <c r="AN2" s="75" t="str">
        <f>IFERROR(CONCATENATE(VLOOKUP(AH2,MASTER!$B:$H,7,0),Table510[[#This Row],[ACTUAL  LENGTH]],"0X",VLOOKUP(AH2,MASTER!$B:$G,6,0),"X",VLOOKUP(AH2,MASTER!$B:$I,8,0)),"")</f>
        <v>32D-HARD-FOAM-74.50X135MMX70MM</v>
      </c>
      <c r="AO2" s="71">
        <f>IFERROR(((VLOOKUP(Table611[[#This Row],[LENGTHSIZE]],'ALL NEW ITEM '!$E:$F,2,0)*2)*Q2),"")</f>
        <v>57.199999999999996</v>
      </c>
      <c r="AP2" s="71" t="str">
        <f>IFERROR(IF(VLOOKUP(AH2,MASTER!$B:$I,8,0)="40MM",(CONCATENATE(VLOOKUP(AH2,MASTER!$B:$H,7,0),Table510[[#This Row],[ACTUAL WIDTH]],"0X",VLOOKUP(AH2,MASTER!$B:$G,6,0),"X",VLOOKUP(AH2,MASTER!$B:$I,8,0))),(CONCATENATE(VLOOKUP(AH2,MASTER!$B:$H,7,0),Table510[[#This Row],[ACTUAL WIDTH]],"X",VLOOKUP(AH2,MASTER!$B:$G,6,0),"X",VLOOKUP(AH2,MASTER!$B:$I,8,0)))),"")</f>
        <v>32D-HARD-FOAM-54X135MMX70MM</v>
      </c>
      <c r="AQ2" s="71">
        <f>+IFERROR(((VLOOKUP(AP2,'ALL NEW ITEM '!$E:$F,2,0)*2)*Table2[[#This Row],[QTY]]),"")</f>
        <v>41.5</v>
      </c>
      <c r="AR2" s="71" t="str">
        <f>IF(OR(AH2=MASTER!$B$2,AH2=MASTER!$B$3,AH2=MASTER!$B$4,AH2=MASTER!$B$5,AH2=MASTER!$B$6,AH2=MASTER!$B$128,AH2=MASTER!$B$129,AH2=MASTER!$B$130,AH2=MASTER!$B$131,AH2=MASTER!$B$132,AH2=MASTER!$B$133,AH2=MASTER!$B$134,AH2=MASTER!$B$135,AH2=MASTER!$B$136,AH2=MASTER!$B$137),(CONCATENATE(VLOOKUP(AH2,MASTER!$B:$J,9,0),AK2,"0X",AL2,"0X",VLOOKUP(Table5[[#This Row],[VARIETY ]],MASTER!$B:$K,10,0))),"")</f>
        <v/>
      </c>
      <c r="AS2" s="71" t="str">
        <f>IFERROR(VLOOKUP(AR2,'ALL NEW ITEM '!$E:$F,2,0)*Q2,"")</f>
        <v/>
      </c>
      <c r="AT2" s="71" t="str">
        <f>IF(OR(AH2=MASTER!$B$2,AH2=MASTER!$B$3,AH2=MASTER!$B$4,AH2=MASTER!$B$5,AH2=MASTER!$B$6,AH2=MASTER!$B$2,AH2=MASTER!$B$132,AH2=MASTER!$B$135,AH2=MASTER!$B$136,AH2=MASTER!$B$137),(CONCATENATE(VLOOKUP(AH2,MASTER!$B:$J,9,0),AK2,"0X",AL2,"0X",VLOOKUP(Table5[[#This Row],[VARIETY ]],MASTER!$B:$L,11,0))),"")</f>
        <v/>
      </c>
      <c r="AU2" s="72" t="str">
        <f>IFERROR(VLOOKUP(Table611[[#This Row],[TOPFOAM/REBOUND14]],'ALL NEW ITEM '!$E:$F,2,0)*Q2,"")</f>
        <v/>
      </c>
    </row>
    <row r="3" spans="1:47">
      <c r="A3" s="60">
        <f>ROW()-1</f>
        <v>2</v>
      </c>
      <c r="B3" s="60" t="str">
        <f>LEFT(Table1[[#This Row],[ITEM CODE]],MIN(FIND({0,1,2,3,4,5,6,7,8,9},Table1[[#This Row],[ITEM CODE]]&amp;"0123456789"))-1)</f>
        <v>PEPSBNCOMNLBG</v>
      </c>
      <c r="C3" s="61" t="str">
        <f>SUBSTITUTE(Table1[[#This Row],[ITEM CODE]],B3,"")</f>
        <v>78X60X06</v>
      </c>
      <c r="D3" s="61" t="str">
        <f t="shared" si="0"/>
        <v>78X60X06</v>
      </c>
      <c r="E3" s="61">
        <f t="shared" si="1"/>
        <v>3</v>
      </c>
      <c r="F3" s="61">
        <f t="shared" si="2"/>
        <v>6</v>
      </c>
      <c r="G3" s="61" t="str">
        <f t="shared" si="3"/>
        <v>78</v>
      </c>
      <c r="H3" s="61" t="str">
        <f t="shared" si="4"/>
        <v>60</v>
      </c>
      <c r="I3" s="61" t="str">
        <f t="shared" si="5"/>
        <v>06</v>
      </c>
      <c r="J3" s="61" t="str">
        <f>IFERROR(IF(Table2[[#This Row],[L]]&lt;Table2[[#This Row],[W]],Table2[[#This Row],[W]],Table2[[#This Row],[L]]),"")</f>
        <v>78</v>
      </c>
      <c r="K3" s="61" t="str">
        <f>IF(Table2[[#This Row],[L]]&lt;Table2[[#This Row],[W]],Table2[[#This Row],[L]],Table2[[#This Row],[W]])</f>
        <v>60</v>
      </c>
      <c r="L3" s="61" t="str">
        <f t="shared" si="6"/>
        <v>78</v>
      </c>
      <c r="M3" s="61" t="str">
        <f t="shared" si="7"/>
        <v>60</v>
      </c>
      <c r="N3" s="61" t="str">
        <f t="shared" si="8"/>
        <v>78X60X06</v>
      </c>
      <c r="O3" s="61" t="str">
        <f t="shared" ref="O3:O31" si="11">CONCATENATE(B3,N3)</f>
        <v>PEPSBNCOMNLBG78X60X06</v>
      </c>
      <c r="P3" s="61" t="str">
        <f>+CONCATENATE(Table2[[#This Row],[1]],Table2[[#This Row],[H]])</f>
        <v>PEPSBNCOMNLBG06</v>
      </c>
      <c r="Q3" s="61">
        <f>+Table1[[#This Row],[QTY]]</f>
        <v>50</v>
      </c>
      <c r="S3" s="60" t="str">
        <f>+Table2[[#This Row],[VARIETY]]</f>
        <v>PEPSBNCOMNLBG06</v>
      </c>
      <c r="T3" s="65">
        <f>IFERROR(Table2[[#This Row],[L]]-VLOOKUP(Table5[[#This Row],[VARIETY ]],MASTER!$B:$E,4,0),0)</f>
        <v>77.5</v>
      </c>
      <c r="U3" s="65">
        <f>IFERROR(Table2[[#This Row],[W]]-VLOOKUP(Table5[[#This Row],[VARIETY ]],MASTER!$B:$F,5,0),0)</f>
        <v>54</v>
      </c>
      <c r="V3" s="65">
        <f>IFERROR(IF(VLOOKUP(Table5[[#This Row],[VARIETY ]],MASTER!$B:$M,12,0)=0,0,(Table2[[#This Row],[L]]-VLOOKUP(Table5[[#This Row],[VARIETY ]],MASTER!$B:$M,12,0))),0)</f>
        <v>0</v>
      </c>
      <c r="W3" s="66">
        <f>IFERROR(IF(VLOOKUP(Table5[[#This Row],[VARIETY ]],MASTER!$B:$N,13,0)=0,0,(Table2[[#This Row],[W]]-VLOOKUP(Table5[[#This Row],[VARIETY ]],MASTER!$B:$N,13,0))),0)</f>
        <v>0</v>
      </c>
      <c r="X3" s="65">
        <v>2</v>
      </c>
      <c r="Y3" s="70" t="str">
        <f>IFERROR(IF(VLOOKUP(S3,MASTER!$B:$I,8,0)="40MM",((CONCATENATE(VLOOKUP(S3,MASTER!$B:$H,7,0),T3,"X",VLOOKUP(S3,MASTER!$B:$G,6,0),"X",VLOOKUP(S3,MASTER!$B:$I,8,0)))),(CONCATENATE(VLOOKUP(S3,MASTER!$B:$H,7,0),T3,"X",VLOOKUP(S3,MASTER!$B:$G,6,0),"X",VLOOKUP(S3,MASTER!$B:$I,8,0)))),"")</f>
        <v>32D-HARD-FOAM-77.5X135MMX70MM</v>
      </c>
      <c r="Z3" s="71">
        <f>Table2[[#This Row],[QTY]]*2</f>
        <v>100</v>
      </c>
      <c r="AA3" s="71" t="str">
        <f>IFERROR(IF(VLOOKUP(S3,MASTER!$B:$I,8,0)="40MM",((CONCATENATE(VLOOKUP(S3,MASTER!$B:$H,7,0),U3,"X",VLOOKUP(S3,MASTER!$B:$G,6,0),"X",VLOOKUP(S3,MASTER!$B:$I,8,0)))),((CONCATENATE(VLOOKUP(S3,MASTER!$B:$H,7,0),U3,"X",VLOOKUP(S3,MASTER!$B:$G,6,0),"X",VLOOKUP(S3,MASTER!$B:$I,8,0))))),"")</f>
        <v>32D-HARD-FOAM-54X135MMX70MM</v>
      </c>
      <c r="AB3" s="71">
        <f>+Table2[[#This Row],[QTY]]*2</f>
        <v>100</v>
      </c>
      <c r="AC3" s="71" t="str">
        <f>IF(OR(S3=MASTER!$B$2,S3=MASTER!$B$3,S3=MASTER!$B$4,S3=MASTER!$B$5,S3=MASTER!$B$6,S3=MASTER!$B$7,S3=MASTER!$B$8,S3=MASTER!$B$9,S3=MASTER!$B$10,S3=MASTER!$B$11,S3=MASTER!$B$12,S3=MASTER!$B$13,S3=MASTER!$B$93,S3=MASTER!$B$94,S3=MASTER!$B$128,S3=MASTER!$B$129,S3=MASTER!$B$130,S3=MASTER!$B$131,S3=MASTER!$B$132,S3=MASTER!$B$136,S3=MASTER!$B$137),(CONCATENATE(VLOOKUP(S3,MASTER!$B:$J,9,0),Table5[[#This Row],[TOP FOAM/REBOUND LENGTH]],"X",Table5[[#This Row],[TOP FOAM / REBOUND WIDTH]],"X",VLOOKUP(Table5[[#This Row],[VARIETY ]],MASTER!$B:$K,10,0))),"")</f>
        <v/>
      </c>
      <c r="AD3" s="71">
        <f>+Table2[[#This Row],[QTY]]*1</f>
        <v>50</v>
      </c>
      <c r="AE3" s="71" t="str">
        <f>IF(OR(S3=MASTER!$B$2,S3=MASTER!$B$3,S3=MASTER!$B$4,S3=MASTER!$B$5,S3=MASTER!$B$6,S3=MASTER!$B$7,S3=MASTER!$B$8,S3=MASTER!$B$9,S3=MASTER!$B$136,S3=MASTER!$B$10,S3=MASTER!$B$11,S3=MASTER!$B$12,S3=MASTER!$B$13,S3=MASTER!$B$2,S3=MASTER!$B$132,S3=MASTER!$B$137),(CONCATENATE(VLOOKUP(S3,MASTER!$B:$J,9,0),Table5[[#This Row],[TOP FOAM/REBOUND LENGTH]],"X",Table5[[#This Row],[TOP FOAM / REBOUND WIDTH]],"X",VLOOKUP(Table5[[#This Row],[VARIETY ]],MASTER!$B:$L,11,0))),"")</f>
        <v/>
      </c>
      <c r="AF3" s="72">
        <f>+Table2[[#This Row],[QTY]]*1</f>
        <v>50</v>
      </c>
      <c r="AH3" s="60" t="str">
        <f>+Table2[[#This Row],[VARIETY]]</f>
        <v>PEPSBNCOMNLBG06</v>
      </c>
      <c r="AI3" s="65">
        <f>IFERROR(Table2[[#This Row],[STD-L]]-VLOOKUP(AH3,MASTER!$B:$E,4,0),0)</f>
        <v>77.5</v>
      </c>
      <c r="AJ3" s="65">
        <f>IFERROR(Table2[[#This Row],[STD-W]]-VLOOKUP(AH3,MASTER!$B:$F,5,0),0)</f>
        <v>54</v>
      </c>
      <c r="AK3" s="65">
        <f t="shared" si="9"/>
        <v>77.5</v>
      </c>
      <c r="AL3" s="66">
        <f t="shared" si="10"/>
        <v>59.5</v>
      </c>
      <c r="AN3" s="75" t="str">
        <f>IFERROR(CONCATENATE(VLOOKUP(AH3,MASTER!$B:$H,7,0),Table510[[#This Row],[ACTUAL  LENGTH]],"0X",VLOOKUP(AH3,MASTER!$B:$G,6,0),"X",VLOOKUP(AH3,MASTER!$B:$I,8,0)),"")</f>
        <v>32D-HARD-FOAM-77.50X135MMX70MM</v>
      </c>
      <c r="AO3" s="71">
        <f>IFERROR(((VLOOKUP(Table611[[#This Row],[LENGTHSIZE]],'ALL NEW ITEM '!$E:$F,2,0)*2)*Q3),"")</f>
        <v>59.5</v>
      </c>
      <c r="AP3" s="71" t="str">
        <f>IFERROR(IF(VLOOKUP(AH3,MASTER!$B:$I,8,0)="40MM",(CONCATENATE(VLOOKUP(AH3,MASTER!$B:$H,7,0),Table510[[#This Row],[ACTUAL WIDTH]],"0X",VLOOKUP(AH3,MASTER!$B:$G,6,0),"X",VLOOKUP(AH3,MASTER!$B:$I,8,0))),(CONCATENATE(VLOOKUP(AH3,MASTER!$B:$H,7,0),Table510[[#This Row],[ACTUAL WIDTH]],"X",VLOOKUP(AH3,MASTER!$B:$G,6,0),"X",VLOOKUP(AH3,MASTER!$B:$I,8,0)))),"")</f>
        <v>32D-HARD-FOAM-54X135MMX70MM</v>
      </c>
      <c r="AQ3" s="71">
        <f>+IFERROR(((VLOOKUP(AP3,'ALL NEW ITEM '!$E:$F,2,0)*2)*Table2[[#This Row],[QTY]]),"")</f>
        <v>41.5</v>
      </c>
      <c r="AR3" s="71" t="str">
        <f>IF(OR(AH3=MASTER!$B$2,AH3=MASTER!$B$3,AH3=MASTER!$B$4,AH3=MASTER!$B$5,AH3=MASTER!$B$6,AH3=MASTER!$B$128,AH3=MASTER!$B$129,AH3=MASTER!$B$130,AH3=MASTER!$B$131,AH3=MASTER!$B$132,AH3=MASTER!$B$133,AH3=MASTER!$B$134,AH3=MASTER!$B$135,AH3=MASTER!$B$136,AH3=MASTER!$B$137),(CONCATENATE(VLOOKUP(AH3,MASTER!$B:$J,9,0),AK3,"0X",AL3,"0X",VLOOKUP(Table5[[#This Row],[VARIETY ]],MASTER!$B:$K,10,0))),"")</f>
        <v/>
      </c>
      <c r="AS3" s="71" t="str">
        <f>IFERROR(VLOOKUP(AR3,'ALL NEW ITEM '!$E:$F,2,0)*Q3,"")</f>
        <v/>
      </c>
      <c r="AT3" s="71" t="str">
        <f>IF(OR(AH3=MASTER!$B$2,AH3=MASTER!$B$3,AH3=MASTER!$B$4,AH3=MASTER!$B$5,AH3=MASTER!$B$6,AH3=MASTER!$B$2,AH3=MASTER!$B$132,AH3=MASTER!$B$135,AH3=MASTER!$B$136,AH3=MASTER!$B$137),(CONCATENATE(VLOOKUP(AH3,MASTER!$B:$J,9,0),AK3,"0X",AL3,"0X",VLOOKUP(Table5[[#This Row],[VARIETY ]],MASTER!$B:$L,11,0))),"")</f>
        <v/>
      </c>
      <c r="AU3" s="72" t="str">
        <f>IFERROR(VLOOKUP(Table611[[#This Row],[TOPFOAM/REBOUND14]],'ALL NEW ITEM '!$E:$F,2,0)*Q3,"")</f>
        <v/>
      </c>
    </row>
    <row r="4" spans="1:47">
      <c r="A4" s="60">
        <f t="shared" ref="A4:A31" si="12">ROW()-1</f>
        <v>3</v>
      </c>
      <c r="B4" s="60" t="str">
        <f>LEFT(Table1[[#This Row],[ITEM CODE]],MIN(FIND({0,1,2,3,4,5,6,7,8,9},Table1[[#This Row],[ITEM CODE]]&amp;"0123456789"))-1)</f>
        <v/>
      </c>
      <c r="C4" s="61" t="str">
        <f>SUBSTITUTE(Table1[[#This Row],[ITEM CODE]],B4,"")</f>
        <v/>
      </c>
      <c r="D4" s="61" t="str">
        <f t="shared" si="0"/>
        <v/>
      </c>
      <c r="E4" s="61" t="str">
        <f t="shared" si="1"/>
        <v/>
      </c>
      <c r="F4" s="61" t="str">
        <f t="shared" si="2"/>
        <v/>
      </c>
      <c r="G4" s="61" t="str">
        <f t="shared" si="3"/>
        <v/>
      </c>
      <c r="H4" s="61" t="str">
        <f t="shared" si="4"/>
        <v/>
      </c>
      <c r="I4" s="61" t="str">
        <f t="shared" si="5"/>
        <v/>
      </c>
      <c r="J4" s="61" t="str">
        <f>IFERROR(IF(Table2[[#This Row],[L]]&lt;Table2[[#This Row],[W]],Table2[[#This Row],[W]],Table2[[#This Row],[L]]),"")</f>
        <v/>
      </c>
      <c r="K4" s="61" t="str">
        <f>IF(Table2[[#This Row],[L]]&lt;Table2[[#This Row],[W]],Table2[[#This Row],[L]],Table2[[#This Row],[W]])</f>
        <v/>
      </c>
      <c r="L4" s="61" t="str">
        <f t="shared" si="6"/>
        <v/>
      </c>
      <c r="M4" s="61" t="str">
        <f t="shared" si="7"/>
        <v/>
      </c>
      <c r="N4" s="61" t="str">
        <f t="shared" si="8"/>
        <v>XX</v>
      </c>
      <c r="O4" s="61" t="str">
        <f t="shared" si="11"/>
        <v>XX</v>
      </c>
      <c r="P4" s="61" t="str">
        <f>+CONCATENATE(Table2[[#This Row],[1]],Table2[[#This Row],[H]])</f>
        <v/>
      </c>
      <c r="Q4" s="61">
        <f>+Table1[[#This Row],[QTY]]</f>
        <v>0</v>
      </c>
      <c r="S4" s="60" t="str">
        <f>+Table2[[#This Row],[VARIETY]]</f>
        <v/>
      </c>
      <c r="T4" s="65">
        <f>IFERROR(Table2[[#This Row],[L]]-VLOOKUP(Table5[[#This Row],[VARIETY ]],MASTER!$B:$E,4,0),0)</f>
        <v>0</v>
      </c>
      <c r="U4" s="65">
        <f>IFERROR(Table2[[#This Row],[W]]-VLOOKUP(Table5[[#This Row],[VARIETY ]],MASTER!$B:$F,5,0),0)</f>
        <v>0</v>
      </c>
      <c r="V4" s="65">
        <f>IFERROR(IF(VLOOKUP(Table5[[#This Row],[VARIETY ]],MASTER!$B:$M,12,0)=0,0,(Table2[[#This Row],[L]]-VLOOKUP(Table5[[#This Row],[VARIETY ]],MASTER!$B:$M,12,0))),0)</f>
        <v>0</v>
      </c>
      <c r="W4" s="66">
        <f>IFERROR(IF(VLOOKUP(Table5[[#This Row],[VARIETY ]],MASTER!$B:$N,13,0)=0,0,(Table2[[#This Row],[W]]-VLOOKUP(Table5[[#This Row],[VARIETY ]],MASTER!$B:$N,13,0))),0)</f>
        <v>0</v>
      </c>
      <c r="X4" s="67">
        <v>3</v>
      </c>
      <c r="Y4" s="70" t="str">
        <f>IFERROR(IF(VLOOKUP(S4,MASTER!$B:$I,8,0)="40MM",((CONCATENATE(VLOOKUP(S4,MASTER!$B:$H,7,0),T4,"X",VLOOKUP(S4,MASTER!$B:$G,6,0),"X",VLOOKUP(S4,MASTER!$B:$I,8,0)))),(CONCATENATE(VLOOKUP(S4,MASTER!$B:$H,7,0),T4,"X",VLOOKUP(S4,MASTER!$B:$G,6,0),"X",VLOOKUP(S4,MASTER!$B:$I,8,0)))),"")</f>
        <v/>
      </c>
      <c r="Z4" s="71">
        <f>Table2[[#This Row],[QTY]]*2</f>
        <v>0</v>
      </c>
      <c r="AA4" s="71" t="str">
        <f>IFERROR(IF(VLOOKUP(S4,MASTER!$B:$I,8,0)="40MM",((CONCATENATE(VLOOKUP(S4,MASTER!$B:$H,7,0),U4,"X",VLOOKUP(S4,MASTER!$B:$G,6,0),"X",VLOOKUP(S4,MASTER!$B:$I,8,0)))),((CONCATENATE(VLOOKUP(S4,MASTER!$B:$H,7,0),U4,"X",VLOOKUP(S4,MASTER!$B:$G,6,0),"X",VLOOKUP(S4,MASTER!$B:$I,8,0))))),"")</f>
        <v/>
      </c>
      <c r="AB4" s="71">
        <f>+Table2[[#This Row],[QTY]]*2</f>
        <v>0</v>
      </c>
      <c r="AC4" s="71" t="str">
        <f>IF(OR(S4=MASTER!$B$2,S4=MASTER!$B$3,S4=MASTER!$B$4,S4=MASTER!$B$5,S4=MASTER!$B$6,S4=MASTER!$B$7,S4=MASTER!$B$8,S4=MASTER!$B$9,S4=MASTER!$B$10,S4=MASTER!$B$11,S4=MASTER!$B$12,S4=MASTER!$B$13,S4=MASTER!$B$93,S4=MASTER!$B$94,S4=MASTER!$B$128,S4=MASTER!$B$129,S4=MASTER!$B$130,S4=MASTER!$B$131,S4=MASTER!$B$132,S4=MASTER!$B$136,S4=MASTER!$B$137),(CONCATENATE(VLOOKUP(S4,MASTER!$B:$J,9,0),Table5[[#This Row],[TOP FOAM/REBOUND LENGTH]],"X",Table5[[#This Row],[TOP FOAM / REBOUND WIDTH]],"X",VLOOKUP(Table5[[#This Row],[VARIETY ]],MASTER!$B:$K,10,0))),"")</f>
        <v/>
      </c>
      <c r="AD4" s="71">
        <f>+Table2[[#This Row],[QTY]]*1</f>
        <v>0</v>
      </c>
      <c r="AE4" s="71" t="str">
        <f>IF(OR(S4=MASTER!$B$2,S4=MASTER!$B$3,S4=MASTER!$B$4,S4=MASTER!$B$5,S4=MASTER!$B$6,S4=MASTER!$B$7,S4=MASTER!$B$8,S4=MASTER!$B$9,S4=MASTER!$B$136,S4=MASTER!$B$10,S4=MASTER!$B$11,S4=MASTER!$B$12,S4=MASTER!$B$13,S4=MASTER!$B$2,S4=MASTER!$B$132,S4=MASTER!$B$137),(CONCATENATE(VLOOKUP(S4,MASTER!$B:$J,9,0),Table5[[#This Row],[TOP FOAM/REBOUND LENGTH]],"X",Table5[[#This Row],[TOP FOAM / REBOUND WIDTH]],"X",VLOOKUP(Table5[[#This Row],[VARIETY ]],MASTER!$B:$L,11,0))),"")</f>
        <v/>
      </c>
      <c r="AF4" s="72">
        <f>+Table2[[#This Row],[QTY]]*1</f>
        <v>0</v>
      </c>
      <c r="AH4" s="60" t="str">
        <f>+Table2[[#This Row],[VARIETY]]</f>
        <v/>
      </c>
      <c r="AI4" s="65">
        <f>IFERROR(Table2[[#This Row],[STD-L]]-VLOOKUP(AH4,MASTER!$B:$E,4,0),0)</f>
        <v>0</v>
      </c>
      <c r="AJ4" s="65">
        <f>IFERROR(Table2[[#This Row],[STD-W]]-VLOOKUP(AH4,MASTER!$B:$F,5,0),0)</f>
        <v>0</v>
      </c>
      <c r="AK4" s="65" t="str">
        <f t="shared" si="9"/>
        <v/>
      </c>
      <c r="AL4" s="66" t="str">
        <f t="shared" si="10"/>
        <v/>
      </c>
      <c r="AN4" s="75" t="str">
        <f>IFERROR(CONCATENATE(VLOOKUP(AH4,MASTER!$B:$H,7,0),Table510[[#This Row],[ACTUAL  LENGTH]],"0X",VLOOKUP(AH4,MASTER!$B:$G,6,0),"X",VLOOKUP(AH4,MASTER!$B:$I,8,0)),"")</f>
        <v/>
      </c>
      <c r="AO4" s="71" t="str">
        <f>IFERROR(((VLOOKUP(Table611[[#This Row],[LENGTHSIZE]],'ALL NEW ITEM '!$E:$F,2,0)*2)*Q4),"")</f>
        <v/>
      </c>
      <c r="AP4" s="71" t="str">
        <f>IFERROR(IF(VLOOKUP(AH4,MASTER!$B:$I,8,0)="40MM",(CONCATENATE(VLOOKUP(AH4,MASTER!$B:$H,7,0),Table510[[#This Row],[ACTUAL WIDTH]],"0X",VLOOKUP(AH4,MASTER!$B:$G,6,0),"X",VLOOKUP(AH4,MASTER!$B:$I,8,0))),(CONCATENATE(VLOOKUP(AH4,MASTER!$B:$H,7,0),Table510[[#This Row],[ACTUAL WIDTH]],"X",VLOOKUP(AH4,MASTER!$B:$G,6,0),"X",VLOOKUP(AH4,MASTER!$B:$I,8,0)))),"")</f>
        <v/>
      </c>
      <c r="AQ4" s="71" t="str">
        <f>+IFERROR(((VLOOKUP(AP4,'ALL NEW ITEM '!$E:$F,2,0)*2)*Table2[[#This Row],[QTY]]),"")</f>
        <v/>
      </c>
      <c r="AR4" s="71" t="str">
        <f>IF(OR(AH4=MASTER!$B$2,AH4=MASTER!$B$3,AH4=MASTER!$B$4,AH4=MASTER!$B$5,AH4=MASTER!$B$6,AH4=MASTER!$B$128,AH4=MASTER!$B$129,AH4=MASTER!$B$130,AH4=MASTER!$B$131,AH4=MASTER!$B$132,AH4=MASTER!$B$133,AH4=MASTER!$B$134,AH4=MASTER!$B$135,AH4=MASTER!$B$136,AH4=MASTER!$B$137),(CONCATENATE(VLOOKUP(AH4,MASTER!$B:$J,9,0),AK4,"0X",AL4,"0X",VLOOKUP(Table5[[#This Row],[VARIETY ]],MASTER!$B:$K,10,0))),"")</f>
        <v/>
      </c>
      <c r="AS4" s="71" t="str">
        <f>IFERROR(VLOOKUP(AR4,'ALL NEW ITEM '!$E:$F,2,0)*Q4,"")</f>
        <v/>
      </c>
      <c r="AT4" s="71" t="str">
        <f>IF(OR(AH4=MASTER!$B$2,AH4=MASTER!$B$3,AH4=MASTER!$B$4,AH4=MASTER!$B$5,AH4=MASTER!$B$6,AH4=MASTER!$B$2,AH4=MASTER!$B$132,AH4=MASTER!$B$135,AH4=MASTER!$B$136,AH4=MASTER!$B$137),(CONCATENATE(VLOOKUP(AH4,MASTER!$B:$J,9,0),AK4,"0X",AL4,"0X",VLOOKUP(Table5[[#This Row],[VARIETY ]],MASTER!$B:$L,11,0))),"")</f>
        <v/>
      </c>
      <c r="AU4" s="72" t="str">
        <f>IFERROR(VLOOKUP(Table611[[#This Row],[TOPFOAM/REBOUND14]],'ALL NEW ITEM '!$E:$F,2,0)*Q4,"")</f>
        <v/>
      </c>
    </row>
    <row r="5" spans="1:47">
      <c r="A5" s="60">
        <f t="shared" si="12"/>
        <v>4</v>
      </c>
      <c r="B5" s="60" t="str">
        <f>LEFT(Table1[[#This Row],[ITEM CODE]],MIN(FIND({0,1,2,3,4,5,6,7,8,9},Table1[[#This Row],[ITEM CODE]]&amp;"0123456789"))-1)</f>
        <v/>
      </c>
      <c r="C5" s="61" t="str">
        <f>SUBSTITUTE(Table1[[#This Row],[ITEM CODE]],B5,"")</f>
        <v/>
      </c>
      <c r="D5" s="61" t="str">
        <f t="shared" si="0"/>
        <v/>
      </c>
      <c r="E5" s="61" t="str">
        <f t="shared" si="1"/>
        <v/>
      </c>
      <c r="F5" s="61" t="str">
        <f t="shared" si="2"/>
        <v/>
      </c>
      <c r="G5" s="61" t="str">
        <f t="shared" si="3"/>
        <v/>
      </c>
      <c r="H5" s="61" t="str">
        <f t="shared" si="4"/>
        <v/>
      </c>
      <c r="I5" s="61" t="str">
        <f t="shared" si="5"/>
        <v/>
      </c>
      <c r="J5" s="61" t="str">
        <f>IFERROR(IF(Table2[[#This Row],[L]]&lt;Table2[[#This Row],[W]],Table2[[#This Row],[W]],Table2[[#This Row],[L]]),"")</f>
        <v/>
      </c>
      <c r="K5" s="61" t="str">
        <f>IF(Table2[[#This Row],[L]]&lt;Table2[[#This Row],[W]],Table2[[#This Row],[L]],Table2[[#This Row],[W]])</f>
        <v/>
      </c>
      <c r="L5" s="61" t="str">
        <f t="shared" si="6"/>
        <v/>
      </c>
      <c r="M5" s="61" t="str">
        <f t="shared" si="7"/>
        <v/>
      </c>
      <c r="N5" s="61" t="str">
        <f t="shared" si="8"/>
        <v>XX</v>
      </c>
      <c r="O5" s="61" t="str">
        <f t="shared" si="11"/>
        <v>XX</v>
      </c>
      <c r="P5" s="61" t="str">
        <f>+CONCATENATE(Table2[[#This Row],[1]],Table2[[#This Row],[H]])</f>
        <v/>
      </c>
      <c r="Q5" s="61">
        <f>+Table1[[#This Row],[QTY]]</f>
        <v>0</v>
      </c>
      <c r="S5" s="60" t="str">
        <f>+Table2[[#This Row],[VARIETY]]</f>
        <v/>
      </c>
      <c r="T5" s="65">
        <f>IFERROR(Table2[[#This Row],[L]]-VLOOKUP(Table5[[#This Row],[VARIETY ]],MASTER!$B:$E,4,0),0)</f>
        <v>0</v>
      </c>
      <c r="U5" s="65">
        <f>IFERROR(Table2[[#This Row],[W]]-VLOOKUP(Table5[[#This Row],[VARIETY ]],MASTER!$B:$F,5,0),0)</f>
        <v>0</v>
      </c>
      <c r="V5" s="65">
        <f>IFERROR(IF(VLOOKUP(Table5[[#This Row],[VARIETY ]],MASTER!$B:$M,12,0)=0,0,(Table2[[#This Row],[L]]-VLOOKUP(Table5[[#This Row],[VARIETY ]],MASTER!$B:$M,12,0))),0)</f>
        <v>0</v>
      </c>
      <c r="W5" s="66">
        <f>IFERROR(IF(VLOOKUP(Table5[[#This Row],[VARIETY ]],MASTER!$B:$N,13,0)=0,0,(Table2[[#This Row],[W]]-VLOOKUP(Table5[[#This Row],[VARIETY ]],MASTER!$B:$N,13,0))),0)</f>
        <v>0</v>
      </c>
      <c r="X5" s="65">
        <v>4</v>
      </c>
      <c r="Y5" s="70" t="str">
        <f>IFERROR(IF(VLOOKUP(S5,MASTER!$B:$I,8,0)="40MM",((CONCATENATE(VLOOKUP(S5,MASTER!$B:$H,7,0),T5,"X",VLOOKUP(S5,MASTER!$B:$G,6,0),"X",VLOOKUP(S5,MASTER!$B:$I,8,0)))),(CONCATENATE(VLOOKUP(S5,MASTER!$B:$H,7,0),T5,"X",VLOOKUP(S5,MASTER!$B:$G,6,0),"X",VLOOKUP(S5,MASTER!$B:$I,8,0)))),"")</f>
        <v/>
      </c>
      <c r="Z5" s="71">
        <f>Table2[[#This Row],[QTY]]*2</f>
        <v>0</v>
      </c>
      <c r="AA5" s="71" t="str">
        <f>IFERROR(IF(VLOOKUP(S5,MASTER!$B:$I,8,0)="40MM",((CONCATENATE(VLOOKUP(S5,MASTER!$B:$H,7,0),U5,"X",VLOOKUP(S5,MASTER!$B:$G,6,0),"X",VLOOKUP(S5,MASTER!$B:$I,8,0)))),((CONCATENATE(VLOOKUP(S5,MASTER!$B:$H,7,0),U5,"X",VLOOKUP(S5,MASTER!$B:$G,6,0),"X",VLOOKUP(S5,MASTER!$B:$I,8,0))))),"")</f>
        <v/>
      </c>
      <c r="AB5" s="71">
        <f>+Table2[[#This Row],[QTY]]*2</f>
        <v>0</v>
      </c>
      <c r="AC5" s="71" t="str">
        <f>IF(OR(S5=MASTER!$B$2,S5=MASTER!$B$3,S5=MASTER!$B$4,S5=MASTER!$B$5,S5=MASTER!$B$6,S5=MASTER!$B$7,S5=MASTER!$B$8,S5=MASTER!$B$9,S5=MASTER!$B$10,S5=MASTER!$B$11,S5=MASTER!$B$12,S5=MASTER!$B$13,S5=MASTER!$B$93,S5=MASTER!$B$94,S5=MASTER!$B$128,S5=MASTER!$B$129,S5=MASTER!$B$130,S5=MASTER!$B$131,S5=MASTER!$B$132,S5=MASTER!$B$136,S5=MASTER!$B$137),(CONCATENATE(VLOOKUP(S5,MASTER!$B:$J,9,0),Table5[[#This Row],[TOP FOAM/REBOUND LENGTH]],"X",Table5[[#This Row],[TOP FOAM / REBOUND WIDTH]],"X",VLOOKUP(Table5[[#This Row],[VARIETY ]],MASTER!$B:$K,10,0))),"")</f>
        <v/>
      </c>
      <c r="AD5" s="71">
        <f>+Table2[[#This Row],[QTY]]*1</f>
        <v>0</v>
      </c>
      <c r="AE5" s="71" t="str">
        <f>IF(OR(S5=MASTER!$B$2,S5=MASTER!$B$3,S5=MASTER!$B$4,S5=MASTER!$B$5,S5=MASTER!$B$6,S5=MASTER!$B$7,S5=MASTER!$B$8,S5=MASTER!$B$9,S5=MASTER!$B$136,S5=MASTER!$B$10,S5=MASTER!$B$11,S5=MASTER!$B$12,S5=MASTER!$B$13,S5=MASTER!$B$2,S5=MASTER!$B$132,S5=MASTER!$B$137),(CONCATENATE(VLOOKUP(S5,MASTER!$B:$J,9,0),Table5[[#This Row],[TOP FOAM/REBOUND LENGTH]],"X",Table5[[#This Row],[TOP FOAM / REBOUND WIDTH]],"X",VLOOKUP(Table5[[#This Row],[VARIETY ]],MASTER!$B:$L,11,0))),"")</f>
        <v/>
      </c>
      <c r="AF5" s="72">
        <f>+Table2[[#This Row],[QTY]]*1</f>
        <v>0</v>
      </c>
      <c r="AH5" s="60" t="str">
        <f>+Table2[[#This Row],[VARIETY]]</f>
        <v/>
      </c>
      <c r="AI5" s="65">
        <f>IFERROR(Table2[[#This Row],[STD-L]]-VLOOKUP(AH5,MASTER!$B:$E,4,0),0)</f>
        <v>0</v>
      </c>
      <c r="AJ5" s="65">
        <f>IFERROR(Table2[[#This Row],[STD-W]]-VLOOKUP(AH5,MASTER!$B:$F,5,0),0)</f>
        <v>0</v>
      </c>
      <c r="AK5" s="65" t="str">
        <f t="shared" si="9"/>
        <v/>
      </c>
      <c r="AL5" s="66" t="str">
        <f t="shared" si="10"/>
        <v/>
      </c>
      <c r="AN5" s="75" t="str">
        <f>IFERROR(CONCATENATE(VLOOKUP(AH5,MASTER!$B:$H,7,0),Table510[[#This Row],[ACTUAL  LENGTH]],"0X",VLOOKUP(AH5,MASTER!$B:$G,6,0),"X",VLOOKUP(AH5,MASTER!$B:$I,8,0)),"")</f>
        <v/>
      </c>
      <c r="AO5" s="71" t="str">
        <f>IFERROR(((VLOOKUP(Table611[[#This Row],[LENGTHSIZE]],'ALL NEW ITEM '!$E:$F,2,0)*2)*Q5),"")</f>
        <v/>
      </c>
      <c r="AP5" s="71" t="str">
        <f>IFERROR(IF(VLOOKUP(AH5,MASTER!$B:$I,8,0)="40MM",(CONCATENATE(VLOOKUP(AH5,MASTER!$B:$H,7,0),Table510[[#This Row],[ACTUAL WIDTH]],"0X",VLOOKUP(AH5,MASTER!$B:$G,6,0),"X",VLOOKUP(AH5,MASTER!$B:$I,8,0))),(CONCATENATE(VLOOKUP(AH5,MASTER!$B:$H,7,0),Table510[[#This Row],[ACTUAL WIDTH]],"X",VLOOKUP(AH5,MASTER!$B:$G,6,0),"X",VLOOKUP(AH5,MASTER!$B:$I,8,0)))),"")</f>
        <v/>
      </c>
      <c r="AQ5" s="71" t="str">
        <f>+IFERROR(((VLOOKUP(AP5,'ALL NEW ITEM '!$E:$F,2,0)*2)*Table2[[#This Row],[QTY]]),"")</f>
        <v/>
      </c>
      <c r="AR5" s="71" t="str">
        <f>IF(OR(AH5=MASTER!$B$2,AH5=MASTER!$B$3,AH5=MASTER!$B$4,AH5=MASTER!$B$5,AH5=MASTER!$B$6,AH5=MASTER!$B$128,AH5=MASTER!$B$129,AH5=MASTER!$B$130,AH5=MASTER!$B$131,AH5=MASTER!$B$132,AH5=MASTER!$B$133,AH5=MASTER!$B$134,AH5=MASTER!$B$135,AH5=MASTER!$B$136,AH5=MASTER!$B$137),(CONCATENATE(VLOOKUP(AH5,MASTER!$B:$J,9,0),AK5,"0X",AL5,"0X",VLOOKUP(Table5[[#This Row],[VARIETY ]],MASTER!$B:$K,10,0))),"")</f>
        <v/>
      </c>
      <c r="AS5" s="71" t="str">
        <f>IFERROR(VLOOKUP(AR5,'ALL NEW ITEM '!$E:$F,2,0)*Q5,"")</f>
        <v/>
      </c>
      <c r="AT5" s="71" t="str">
        <f>IF(OR(AH5=MASTER!$B$2,AH5=MASTER!$B$3,AH5=MASTER!$B$4,AH5=MASTER!$B$5,AH5=MASTER!$B$6,AH5=MASTER!$B$2,AH5=MASTER!$B$132,AH5=MASTER!$B$135,AH5=MASTER!$B$136,AH5=MASTER!$B$137),(CONCATENATE(VLOOKUP(AH5,MASTER!$B:$J,9,0),AK5,"0X",AL5,"0X",VLOOKUP(Table5[[#This Row],[VARIETY ]],MASTER!$B:$L,11,0))),"")</f>
        <v/>
      </c>
      <c r="AU5" s="72" t="str">
        <f>IFERROR(VLOOKUP(Table611[[#This Row],[TOPFOAM/REBOUND14]],'ALL NEW ITEM '!$E:$F,2,0)*Q5,"")</f>
        <v/>
      </c>
    </row>
    <row r="6" spans="1:47">
      <c r="A6" s="60">
        <f t="shared" si="12"/>
        <v>5</v>
      </c>
      <c r="B6" s="60" t="str">
        <f>LEFT(Table1[[#This Row],[ITEM CODE]],MIN(FIND({0,1,2,3,4,5,6,7,8,9},Table1[[#This Row],[ITEM CODE]]&amp;"0123456789"))-1)</f>
        <v/>
      </c>
      <c r="C6" s="61" t="str">
        <f>SUBSTITUTE(Table1[[#This Row],[ITEM CODE]],B6,"")</f>
        <v/>
      </c>
      <c r="D6" s="61" t="str">
        <f t="shared" si="0"/>
        <v/>
      </c>
      <c r="E6" s="61" t="str">
        <f t="shared" si="1"/>
        <v/>
      </c>
      <c r="F6" s="61" t="str">
        <f t="shared" si="2"/>
        <v/>
      </c>
      <c r="G6" s="61" t="str">
        <f t="shared" si="3"/>
        <v/>
      </c>
      <c r="H6" s="61" t="str">
        <f t="shared" si="4"/>
        <v/>
      </c>
      <c r="I6" s="61" t="str">
        <f t="shared" si="5"/>
        <v/>
      </c>
      <c r="J6" s="61" t="str">
        <f>IFERROR(IF(Table2[[#This Row],[L]]&lt;Table2[[#This Row],[W]],Table2[[#This Row],[W]],Table2[[#This Row],[L]]),"")</f>
        <v/>
      </c>
      <c r="K6" s="61" t="str">
        <f>IF(Table2[[#This Row],[L]]&lt;Table2[[#This Row],[W]],Table2[[#This Row],[L]],Table2[[#This Row],[W]])</f>
        <v/>
      </c>
      <c r="L6" s="61" t="str">
        <f t="shared" si="6"/>
        <v/>
      </c>
      <c r="M6" s="61" t="str">
        <f t="shared" si="7"/>
        <v/>
      </c>
      <c r="N6" s="61" t="str">
        <f t="shared" si="8"/>
        <v>XX</v>
      </c>
      <c r="O6" s="61" t="str">
        <f t="shared" si="11"/>
        <v>XX</v>
      </c>
      <c r="P6" s="61" t="str">
        <f>+CONCATENATE(Table2[[#This Row],[1]],Table2[[#This Row],[H]])</f>
        <v/>
      </c>
      <c r="Q6" s="61">
        <f>+Table1[[#This Row],[QTY]]</f>
        <v>0</v>
      </c>
      <c r="S6" s="60" t="str">
        <f>+Table2[[#This Row],[VARIETY]]</f>
        <v/>
      </c>
      <c r="T6" s="65">
        <f>IFERROR(Table2[[#This Row],[L]]-VLOOKUP(Table5[[#This Row],[VARIETY ]],MASTER!$B:$E,4,0),0)</f>
        <v>0</v>
      </c>
      <c r="U6" s="65">
        <f>IFERROR(Table2[[#This Row],[W]]-VLOOKUP(Table5[[#This Row],[VARIETY ]],MASTER!$B:$F,5,0),0)</f>
        <v>0</v>
      </c>
      <c r="V6" s="65">
        <f>IFERROR(IF(VLOOKUP(Table5[[#This Row],[VARIETY ]],MASTER!$B:$M,12,0)=0,0,(Table2[[#This Row],[L]]-VLOOKUP(Table5[[#This Row],[VARIETY ]],MASTER!$B:$M,12,0))),0)</f>
        <v>0</v>
      </c>
      <c r="W6" s="66">
        <f>IFERROR(IF(VLOOKUP(Table5[[#This Row],[VARIETY ]],MASTER!$B:$N,13,0)=0,0,(Table2[[#This Row],[W]]-VLOOKUP(Table5[[#This Row],[VARIETY ]],MASTER!$B:$N,13,0))),0)</f>
        <v>0</v>
      </c>
      <c r="X6" s="67">
        <v>5</v>
      </c>
      <c r="Y6" s="70" t="str">
        <f>IFERROR(IF(VLOOKUP(S6,MASTER!$B:$I,8,0)="40MM",((CONCATENATE(VLOOKUP(S6,MASTER!$B:$H,7,0),T6,"X",VLOOKUP(S6,MASTER!$B:$G,6,0),"X",VLOOKUP(S6,MASTER!$B:$I,8,0)))),(CONCATENATE(VLOOKUP(S6,MASTER!$B:$H,7,0),T6,"X",VLOOKUP(S6,MASTER!$B:$G,6,0),"X",VLOOKUP(S6,MASTER!$B:$I,8,0)))),"")</f>
        <v/>
      </c>
      <c r="Z6" s="71">
        <f>Table2[[#This Row],[QTY]]*2</f>
        <v>0</v>
      </c>
      <c r="AA6" s="71" t="str">
        <f>IFERROR(IF(VLOOKUP(S6,MASTER!$B:$I,8,0)="40MM",((CONCATENATE(VLOOKUP(S6,MASTER!$B:$H,7,0),U6,"X",VLOOKUP(S6,MASTER!$B:$G,6,0),"X",VLOOKUP(S6,MASTER!$B:$I,8,0)))),((CONCATENATE(VLOOKUP(S6,MASTER!$B:$H,7,0),U6,"X",VLOOKUP(S6,MASTER!$B:$G,6,0),"X",VLOOKUP(S6,MASTER!$B:$I,8,0))))),"")</f>
        <v/>
      </c>
      <c r="AB6" s="71">
        <f>+Table2[[#This Row],[QTY]]*2</f>
        <v>0</v>
      </c>
      <c r="AC6" s="71" t="str">
        <f>IF(OR(S6=MASTER!$B$2,S6=MASTER!$B$3,S6=MASTER!$B$4,S6=MASTER!$B$5,S6=MASTER!$B$6,S6=MASTER!$B$7,S6=MASTER!$B$8,S6=MASTER!$B$9,S6=MASTER!$B$10,S6=MASTER!$B$11,S6=MASTER!$B$12,S6=MASTER!$B$13,S6=MASTER!$B$93,S6=MASTER!$B$94,S6=MASTER!$B$128,S6=MASTER!$B$129,S6=MASTER!$B$130,S6=MASTER!$B$131,S6=MASTER!$B$132,S6=MASTER!$B$136,S6=MASTER!$B$137),(CONCATENATE(VLOOKUP(S6,MASTER!$B:$J,9,0),Table5[[#This Row],[TOP FOAM/REBOUND LENGTH]],"X",Table5[[#This Row],[TOP FOAM / REBOUND WIDTH]],"X",VLOOKUP(Table5[[#This Row],[VARIETY ]],MASTER!$B:$K,10,0))),"")</f>
        <v/>
      </c>
      <c r="AD6" s="71">
        <f>+Table2[[#This Row],[QTY]]*1</f>
        <v>0</v>
      </c>
      <c r="AE6" s="71" t="str">
        <f>IF(OR(S6=MASTER!$B$2,S6=MASTER!$B$3,S6=MASTER!$B$4,S6=MASTER!$B$5,S6=MASTER!$B$6,S6=MASTER!$B$7,S6=MASTER!$B$8,S6=MASTER!$B$9,S6=MASTER!$B$136,S6=MASTER!$B$10,S6=MASTER!$B$11,S6=MASTER!$B$12,S6=MASTER!$B$13,S6=MASTER!$B$2,S6=MASTER!$B$132,S6=MASTER!$B$137),(CONCATENATE(VLOOKUP(S6,MASTER!$B:$J,9,0),Table5[[#This Row],[TOP FOAM/REBOUND LENGTH]],"X",Table5[[#This Row],[TOP FOAM / REBOUND WIDTH]],"X",VLOOKUP(Table5[[#This Row],[VARIETY ]],MASTER!$B:$L,11,0))),"")</f>
        <v/>
      </c>
      <c r="AF6" s="72">
        <f>+Table2[[#This Row],[QTY]]*1</f>
        <v>0</v>
      </c>
      <c r="AH6" s="60" t="str">
        <f>+Table2[[#This Row],[VARIETY]]</f>
        <v/>
      </c>
      <c r="AI6" s="65">
        <f>IFERROR(Table2[[#This Row],[STD-L]]-VLOOKUP(AH6,MASTER!$B:$E,4,0),0)</f>
        <v>0</v>
      </c>
      <c r="AJ6" s="65">
        <f>IFERROR(Table2[[#This Row],[STD-W]]-VLOOKUP(AH6,MASTER!$B:$F,5,0),0)</f>
        <v>0</v>
      </c>
      <c r="AK6" s="65" t="str">
        <f t="shared" si="9"/>
        <v/>
      </c>
      <c r="AL6" s="66" t="str">
        <f t="shared" si="10"/>
        <v/>
      </c>
      <c r="AN6" s="75" t="str">
        <f>IFERROR(CONCATENATE(VLOOKUP(AH6,MASTER!$B:$H,7,0),Table510[[#This Row],[ACTUAL  LENGTH]],"0X",VLOOKUP(AH6,MASTER!$B:$G,6,0),"X",VLOOKUP(AH6,MASTER!$B:$I,8,0)),"")</f>
        <v/>
      </c>
      <c r="AO6" s="71" t="str">
        <f>IFERROR(((VLOOKUP(Table611[[#This Row],[LENGTHSIZE]],'ALL NEW ITEM '!$E:$F,2,0)*2)*Q6),"")</f>
        <v/>
      </c>
      <c r="AP6" s="71" t="str">
        <f>IFERROR(IF(VLOOKUP(AH6,MASTER!$B:$I,8,0)="40MM",(CONCATENATE(VLOOKUP(AH6,MASTER!$B:$H,7,0),Table510[[#This Row],[ACTUAL WIDTH]],"0X",VLOOKUP(AH6,MASTER!$B:$G,6,0),"X",VLOOKUP(AH6,MASTER!$B:$I,8,0))),(CONCATENATE(VLOOKUP(AH6,MASTER!$B:$H,7,0),Table510[[#This Row],[ACTUAL WIDTH]],"X",VLOOKUP(AH6,MASTER!$B:$G,6,0),"X",VLOOKUP(AH6,MASTER!$B:$I,8,0)))),"")</f>
        <v/>
      </c>
      <c r="AQ6" s="71" t="str">
        <f>+IFERROR(((VLOOKUP(AP6,'ALL NEW ITEM '!$E:$F,2,0)*2)*Table2[[#This Row],[QTY]]),"")</f>
        <v/>
      </c>
      <c r="AR6" s="71" t="str">
        <f>IF(OR(AH6=MASTER!$B$2,AH6=MASTER!$B$3,AH6=MASTER!$B$4,AH6=MASTER!$B$5,AH6=MASTER!$B$6,AH6=MASTER!$B$128,AH6=MASTER!$B$129,AH6=MASTER!$B$130,AH6=MASTER!$B$131,AH6=MASTER!$B$132,AH6=MASTER!$B$133,AH6=MASTER!$B$134,AH6=MASTER!$B$135,AH6=MASTER!$B$136,AH6=MASTER!$B$137),(CONCATENATE(VLOOKUP(AH6,MASTER!$B:$J,9,0),AK6,"0X",AL6,"0X",VLOOKUP(Table5[[#This Row],[VARIETY ]],MASTER!$B:$K,10,0))),"")</f>
        <v/>
      </c>
      <c r="AS6" s="71" t="str">
        <f>IFERROR(VLOOKUP(AR6,'ALL NEW ITEM '!$E:$F,2,0)*Q6,"")</f>
        <v/>
      </c>
      <c r="AT6" s="71" t="str">
        <f>IF(OR(AH6=MASTER!$B$2,AH6=MASTER!$B$3,AH6=MASTER!$B$4,AH6=MASTER!$B$5,AH6=MASTER!$B$6,AH6=MASTER!$B$2,AH6=MASTER!$B$132,AH6=MASTER!$B$135,AH6=MASTER!$B$136,AH6=MASTER!$B$137),(CONCATENATE(VLOOKUP(AH6,MASTER!$B:$J,9,0),AK6,"0X",AL6,"0X",VLOOKUP(Table5[[#This Row],[VARIETY ]],MASTER!$B:$L,11,0))),"")</f>
        <v/>
      </c>
      <c r="AU6" s="72" t="str">
        <f>IFERROR(VLOOKUP(Table611[[#This Row],[TOPFOAM/REBOUND14]],'ALL NEW ITEM '!$E:$F,2,0)*Q6,"")</f>
        <v/>
      </c>
    </row>
    <row r="7" spans="1:47">
      <c r="A7" s="60">
        <f t="shared" si="12"/>
        <v>6</v>
      </c>
      <c r="B7" s="60" t="str">
        <f>LEFT(Table1[[#This Row],[ITEM CODE]],MIN(FIND({0,1,2,3,4,5,6,7,8,9},Table1[[#This Row],[ITEM CODE]]&amp;"0123456789"))-1)</f>
        <v/>
      </c>
      <c r="C7" s="61" t="str">
        <f>SUBSTITUTE(Table1[[#This Row],[ITEM CODE]],B7,"")</f>
        <v/>
      </c>
      <c r="D7" s="61" t="str">
        <f t="shared" si="0"/>
        <v/>
      </c>
      <c r="E7" s="61" t="str">
        <f t="shared" si="1"/>
        <v/>
      </c>
      <c r="F7" s="61" t="str">
        <f t="shared" si="2"/>
        <v/>
      </c>
      <c r="G7" s="61" t="str">
        <f t="shared" si="3"/>
        <v/>
      </c>
      <c r="H7" s="61" t="str">
        <f t="shared" si="4"/>
        <v/>
      </c>
      <c r="I7" s="61" t="str">
        <f t="shared" si="5"/>
        <v/>
      </c>
      <c r="J7" s="61" t="str">
        <f>IFERROR(IF(Table2[[#This Row],[L]]&lt;Table2[[#This Row],[W]],Table2[[#This Row],[W]],Table2[[#This Row],[L]]),"")</f>
        <v/>
      </c>
      <c r="K7" s="61" t="str">
        <f>IF(Table2[[#This Row],[L]]&lt;Table2[[#This Row],[W]],Table2[[#This Row],[L]],Table2[[#This Row],[W]])</f>
        <v/>
      </c>
      <c r="L7" s="61" t="str">
        <f t="shared" si="6"/>
        <v/>
      </c>
      <c r="M7" s="61" t="str">
        <f t="shared" si="7"/>
        <v/>
      </c>
      <c r="N7" s="61" t="str">
        <f t="shared" si="8"/>
        <v>XX</v>
      </c>
      <c r="O7" s="61" t="str">
        <f t="shared" si="11"/>
        <v>XX</v>
      </c>
      <c r="P7" s="61" t="str">
        <f>+CONCATENATE(Table2[[#This Row],[1]],Table2[[#This Row],[H]])</f>
        <v/>
      </c>
      <c r="Q7" s="61">
        <f>+Table1[[#This Row],[QTY]]</f>
        <v>0</v>
      </c>
      <c r="S7" s="60" t="str">
        <f>+Table2[[#This Row],[VARIETY]]</f>
        <v/>
      </c>
      <c r="T7" s="65">
        <f>IFERROR(Table2[[#This Row],[L]]-VLOOKUP(Table5[[#This Row],[VARIETY ]],MASTER!$B:$E,4,0),0)</f>
        <v>0</v>
      </c>
      <c r="U7" s="65">
        <f>IFERROR(Table2[[#This Row],[W]]-VLOOKUP(Table5[[#This Row],[VARIETY ]],MASTER!$B:$F,5,0),0)</f>
        <v>0</v>
      </c>
      <c r="V7" s="65">
        <f>IFERROR(IF(VLOOKUP(Table5[[#This Row],[VARIETY ]],MASTER!$B:$M,12,0)=0,0,(Table2[[#This Row],[L]]-VLOOKUP(Table5[[#This Row],[VARIETY ]],MASTER!$B:$M,12,0))),0)</f>
        <v>0</v>
      </c>
      <c r="W7" s="66">
        <f>IFERROR(IF(VLOOKUP(Table5[[#This Row],[VARIETY ]],MASTER!$B:$N,13,0)=0,0,(Table2[[#This Row],[W]]-VLOOKUP(Table5[[#This Row],[VARIETY ]],MASTER!$B:$N,13,0))),0)</f>
        <v>0</v>
      </c>
      <c r="X7" s="65">
        <v>6</v>
      </c>
      <c r="Y7" s="70" t="str">
        <f>IFERROR(IF(VLOOKUP(S7,MASTER!$B:$I,8,0)="40MM",((CONCATENATE(VLOOKUP(S7,MASTER!$B:$H,7,0),T7,"X",VLOOKUP(S7,MASTER!$B:$G,6,0),"X",VLOOKUP(S7,MASTER!$B:$I,8,0)))),(CONCATENATE(VLOOKUP(S7,MASTER!$B:$H,7,0),T7,"X",VLOOKUP(S7,MASTER!$B:$G,6,0),"X",VLOOKUP(S7,MASTER!$B:$I,8,0)))),"")</f>
        <v/>
      </c>
      <c r="Z7" s="71">
        <f>Table2[[#This Row],[QTY]]*2</f>
        <v>0</v>
      </c>
      <c r="AA7" s="71" t="str">
        <f>IFERROR(IF(VLOOKUP(S7,MASTER!$B:$I,8,0)="40MM",((CONCATENATE(VLOOKUP(S7,MASTER!$B:$H,7,0),U7,"X",VLOOKUP(S7,MASTER!$B:$G,6,0),"X",VLOOKUP(S7,MASTER!$B:$I,8,0)))),((CONCATENATE(VLOOKUP(S7,MASTER!$B:$H,7,0),U7,"X",VLOOKUP(S7,MASTER!$B:$G,6,0),"X",VLOOKUP(S7,MASTER!$B:$I,8,0))))),"")</f>
        <v/>
      </c>
      <c r="AB7" s="71">
        <f>+Table2[[#This Row],[QTY]]*2</f>
        <v>0</v>
      </c>
      <c r="AC7" s="71" t="str">
        <f>IF(OR(S7=MASTER!$B$2,S7=MASTER!$B$3,S7=MASTER!$B$4,S7=MASTER!$B$5,S7=MASTER!$B$6,S7=MASTER!$B$7,S7=MASTER!$B$8,S7=MASTER!$B$9,S7=MASTER!$B$10,S7=MASTER!$B$11,S7=MASTER!$B$12,S7=MASTER!$B$13,S7=MASTER!$B$93,S7=MASTER!$B$94,S7=MASTER!$B$128,S7=MASTER!$B$129,S7=MASTER!$B$130,S7=MASTER!$B$131,S7=MASTER!$B$132,S7=MASTER!$B$136,S7=MASTER!$B$137),(CONCATENATE(VLOOKUP(S7,MASTER!$B:$J,9,0),Table5[[#This Row],[TOP FOAM/REBOUND LENGTH]],"X",Table5[[#This Row],[TOP FOAM / REBOUND WIDTH]],"X",VLOOKUP(Table5[[#This Row],[VARIETY ]],MASTER!$B:$K,10,0))),"")</f>
        <v/>
      </c>
      <c r="AD7" s="71">
        <f>+Table2[[#This Row],[QTY]]*1</f>
        <v>0</v>
      </c>
      <c r="AE7" s="71" t="str">
        <f>IF(OR(S7=MASTER!$B$2,S7=MASTER!$B$3,S7=MASTER!$B$4,S7=MASTER!$B$5,S7=MASTER!$B$6,S7=MASTER!$B$7,S7=MASTER!$B$8,S7=MASTER!$B$9,S7=MASTER!$B$136,S7=MASTER!$B$10,S7=MASTER!$B$11,S7=MASTER!$B$12,S7=MASTER!$B$13,S7=MASTER!$B$2,S7=MASTER!$B$132,S7=MASTER!$B$137),(CONCATENATE(VLOOKUP(S7,MASTER!$B:$J,9,0),Table5[[#This Row],[TOP FOAM/REBOUND LENGTH]],"X",Table5[[#This Row],[TOP FOAM / REBOUND WIDTH]],"X",VLOOKUP(Table5[[#This Row],[VARIETY ]],MASTER!$B:$L,11,0))),"")</f>
        <v/>
      </c>
      <c r="AF7" s="72">
        <f>+Table2[[#This Row],[QTY]]*1</f>
        <v>0</v>
      </c>
      <c r="AH7" s="60" t="str">
        <f>+Table2[[#This Row],[VARIETY]]</f>
        <v/>
      </c>
      <c r="AI7" s="65">
        <f>IFERROR(Table2[[#This Row],[STD-L]]-VLOOKUP(AH7,MASTER!$B:$E,4,0),0)</f>
        <v>0</v>
      </c>
      <c r="AJ7" s="65">
        <f>IFERROR(Table2[[#This Row],[STD-W]]-VLOOKUP(AH7,MASTER!$B:$F,5,0),0)</f>
        <v>0</v>
      </c>
      <c r="AK7" s="65" t="str">
        <f t="shared" si="9"/>
        <v/>
      </c>
      <c r="AL7" s="66" t="str">
        <f t="shared" si="10"/>
        <v/>
      </c>
      <c r="AN7" s="75" t="str">
        <f>IFERROR(CONCATENATE(VLOOKUP(AH7,MASTER!$B:$H,7,0),Table510[[#This Row],[ACTUAL  LENGTH]],"0X",VLOOKUP(AH7,MASTER!$B:$G,6,0),"X",VLOOKUP(AH7,MASTER!$B:$I,8,0)),"")</f>
        <v/>
      </c>
      <c r="AO7" s="71" t="str">
        <f>IFERROR(((VLOOKUP(Table611[[#This Row],[LENGTHSIZE]],'ALL NEW ITEM '!$E:$F,2,0)*2)*Q7),"")</f>
        <v/>
      </c>
      <c r="AP7" s="71" t="str">
        <f>IFERROR(IF(VLOOKUP(AH7,MASTER!$B:$I,8,0)="40MM",(CONCATENATE(VLOOKUP(AH7,MASTER!$B:$H,7,0),Table510[[#This Row],[ACTUAL WIDTH]],"0X",VLOOKUP(AH7,MASTER!$B:$G,6,0),"X",VLOOKUP(AH7,MASTER!$B:$I,8,0))),(CONCATENATE(VLOOKUP(AH7,MASTER!$B:$H,7,0),Table510[[#This Row],[ACTUAL WIDTH]],"X",VLOOKUP(AH7,MASTER!$B:$G,6,0),"X",VLOOKUP(AH7,MASTER!$B:$I,8,0)))),"")</f>
        <v/>
      </c>
      <c r="AQ7" s="71" t="str">
        <f>+IFERROR(((VLOOKUP(AP7,'ALL NEW ITEM '!$E:$F,2,0)*2)*Table2[[#This Row],[QTY]]),"")</f>
        <v/>
      </c>
      <c r="AR7" s="71" t="str">
        <f>IF(OR(AH7=MASTER!$B$2,AH7=MASTER!$B$3,AH7=MASTER!$B$4,AH7=MASTER!$B$5,AH7=MASTER!$B$6,AH7=MASTER!$B$128,AH7=MASTER!$B$129,AH7=MASTER!$B$130,AH7=MASTER!$B$131,AH7=MASTER!$B$132,AH7=MASTER!$B$133,AH7=MASTER!$B$134,AH7=MASTER!$B$135,AH7=MASTER!$B$136,AH7=MASTER!$B$137),(CONCATENATE(VLOOKUP(AH7,MASTER!$B:$J,9,0),AK7,"0X",AL7,"0X",VLOOKUP(Table5[[#This Row],[VARIETY ]],MASTER!$B:$K,10,0))),"")</f>
        <v/>
      </c>
      <c r="AS7" s="71" t="str">
        <f>IFERROR(VLOOKUP(AR7,'ALL NEW ITEM '!$E:$F,2,0)*Q7,"")</f>
        <v/>
      </c>
      <c r="AT7" s="71" t="str">
        <f>IF(OR(AH7=MASTER!$B$2,AH7=MASTER!$B$3,AH7=MASTER!$B$4,AH7=MASTER!$B$5,AH7=MASTER!$B$6,AH7=MASTER!$B$2,AH7=MASTER!$B$132,AH7=MASTER!$B$135,AH7=MASTER!$B$136,AH7=MASTER!$B$137),(CONCATENATE(VLOOKUP(AH7,MASTER!$B:$J,9,0),AK7,"0X",AL7,"0X",VLOOKUP(Table5[[#This Row],[VARIETY ]],MASTER!$B:$L,11,0))),"")</f>
        <v/>
      </c>
      <c r="AU7" s="72" t="str">
        <f>IFERROR(VLOOKUP(Table611[[#This Row],[TOPFOAM/REBOUND14]],'ALL NEW ITEM '!$E:$F,2,0)*Q7,"")</f>
        <v/>
      </c>
    </row>
    <row r="8" spans="1:47">
      <c r="A8" s="60">
        <f t="shared" si="12"/>
        <v>7</v>
      </c>
      <c r="B8" s="60" t="str">
        <f>LEFT(Table1[[#This Row],[ITEM CODE]],MIN(FIND({0,1,2,3,4,5,6,7,8,9},Table1[[#This Row],[ITEM CODE]]&amp;"0123456789"))-1)</f>
        <v/>
      </c>
      <c r="C8" s="61" t="str">
        <f>SUBSTITUTE(Table1[[#This Row],[ITEM CODE]],B8,"")</f>
        <v/>
      </c>
      <c r="D8" s="61" t="str">
        <f t="shared" si="0"/>
        <v/>
      </c>
      <c r="E8" s="61" t="str">
        <f t="shared" si="1"/>
        <v/>
      </c>
      <c r="F8" s="61" t="str">
        <f t="shared" si="2"/>
        <v/>
      </c>
      <c r="G8" s="61" t="str">
        <f t="shared" si="3"/>
        <v/>
      </c>
      <c r="H8" s="61" t="str">
        <f t="shared" si="4"/>
        <v/>
      </c>
      <c r="I8" s="61" t="str">
        <f t="shared" si="5"/>
        <v/>
      </c>
      <c r="J8" s="61" t="str">
        <f>IFERROR(IF(Table2[[#This Row],[L]]&lt;Table2[[#This Row],[W]],Table2[[#This Row],[W]],Table2[[#This Row],[L]]),"")</f>
        <v/>
      </c>
      <c r="K8" s="61" t="str">
        <f>IF(Table2[[#This Row],[L]]&lt;Table2[[#This Row],[W]],Table2[[#This Row],[L]],Table2[[#This Row],[W]])</f>
        <v/>
      </c>
      <c r="L8" s="61" t="str">
        <f t="shared" si="6"/>
        <v/>
      </c>
      <c r="M8" s="61" t="str">
        <f t="shared" si="7"/>
        <v/>
      </c>
      <c r="N8" s="61" t="str">
        <f t="shared" si="8"/>
        <v>XX</v>
      </c>
      <c r="O8" s="61" t="str">
        <f t="shared" si="11"/>
        <v>XX</v>
      </c>
      <c r="P8" s="61" t="str">
        <f>+CONCATENATE(Table2[[#This Row],[1]],Table2[[#This Row],[H]])</f>
        <v/>
      </c>
      <c r="Q8" s="61">
        <f>+Table1[[#This Row],[QTY]]</f>
        <v>0</v>
      </c>
      <c r="S8" s="60" t="str">
        <f>+Table2[[#This Row],[VARIETY]]</f>
        <v/>
      </c>
      <c r="T8" s="65">
        <f>IFERROR(Table2[[#This Row],[L]]-VLOOKUP(Table5[[#This Row],[VARIETY ]],MASTER!$B:$E,4,0),0)</f>
        <v>0</v>
      </c>
      <c r="U8" s="65">
        <f>IFERROR(Table2[[#This Row],[W]]-VLOOKUP(Table5[[#This Row],[VARIETY ]],MASTER!$B:$F,5,0),0)</f>
        <v>0</v>
      </c>
      <c r="V8" s="65">
        <f>IFERROR(IF(VLOOKUP(Table5[[#This Row],[VARIETY ]],MASTER!$B:$M,12,0)=0,0,(Table2[[#This Row],[L]]-VLOOKUP(Table5[[#This Row],[VARIETY ]],MASTER!$B:$M,12,0))),0)</f>
        <v>0</v>
      </c>
      <c r="W8" s="66">
        <f>IFERROR(IF(VLOOKUP(Table5[[#This Row],[VARIETY ]],MASTER!$B:$N,13,0)=0,0,(Table2[[#This Row],[W]]-VLOOKUP(Table5[[#This Row],[VARIETY ]],MASTER!$B:$N,13,0))),0)</f>
        <v>0</v>
      </c>
      <c r="X8" s="67">
        <v>7</v>
      </c>
      <c r="Y8" s="70" t="str">
        <f>IFERROR(IF(VLOOKUP(S8,MASTER!$B:$I,8,0)="40MM",((CONCATENATE(VLOOKUP(S8,MASTER!$B:$H,7,0),T8,"X",VLOOKUP(S8,MASTER!$B:$G,6,0),"X",VLOOKUP(S8,MASTER!$B:$I,8,0)))),(CONCATENATE(VLOOKUP(S8,MASTER!$B:$H,7,0),T8,"X",VLOOKUP(S8,MASTER!$B:$G,6,0),"X",VLOOKUP(S8,MASTER!$B:$I,8,0)))),"")</f>
        <v/>
      </c>
      <c r="Z8" s="71">
        <f>Table2[[#This Row],[QTY]]*2</f>
        <v>0</v>
      </c>
      <c r="AA8" s="71" t="str">
        <f>IFERROR(IF(VLOOKUP(S8,MASTER!$B:$I,8,0)="40MM",((CONCATENATE(VLOOKUP(S8,MASTER!$B:$H,7,0),U8,"X",VLOOKUP(S8,MASTER!$B:$G,6,0),"X",VLOOKUP(S8,MASTER!$B:$I,8,0)))),((CONCATENATE(VLOOKUP(S8,MASTER!$B:$H,7,0),U8,"X",VLOOKUP(S8,MASTER!$B:$G,6,0),"X",VLOOKUP(S8,MASTER!$B:$I,8,0))))),"")</f>
        <v/>
      </c>
      <c r="AB8" s="71">
        <f>+Table2[[#This Row],[QTY]]*2</f>
        <v>0</v>
      </c>
      <c r="AC8" s="71" t="str">
        <f>IF(OR(S8=MASTER!$B$2,S8=MASTER!$B$3,S8=MASTER!$B$4,S8=MASTER!$B$5,S8=MASTER!$B$6,S8=MASTER!$B$7,S8=MASTER!$B$8,S8=MASTER!$B$9,S8=MASTER!$B$10,S8=MASTER!$B$11,S8=MASTER!$B$12,S8=MASTER!$B$13,S8=MASTER!$B$93,S8=MASTER!$B$94,S8=MASTER!$B$128,S8=MASTER!$B$129,S8=MASTER!$B$130,S8=MASTER!$B$131,S8=MASTER!$B$132,S8=MASTER!$B$136,S8=MASTER!$B$137),(CONCATENATE(VLOOKUP(S8,MASTER!$B:$J,9,0),Table5[[#This Row],[TOP FOAM/REBOUND LENGTH]],"X",Table5[[#This Row],[TOP FOAM / REBOUND WIDTH]],"X",VLOOKUP(Table5[[#This Row],[VARIETY ]],MASTER!$B:$K,10,0))),"")</f>
        <v/>
      </c>
      <c r="AD8" s="71">
        <f>+Table2[[#This Row],[QTY]]*1</f>
        <v>0</v>
      </c>
      <c r="AE8" s="71" t="str">
        <f>IF(OR(S8=MASTER!$B$2,S8=MASTER!$B$3,S8=MASTER!$B$4,S8=MASTER!$B$5,S8=MASTER!$B$6,S8=MASTER!$B$7,S8=MASTER!$B$8,S8=MASTER!$B$9,S8=MASTER!$B$136,S8=MASTER!$B$10,S8=MASTER!$B$11,S8=MASTER!$B$12,S8=MASTER!$B$13,S8=MASTER!$B$2,S8=MASTER!$B$132,S8=MASTER!$B$137),(CONCATENATE(VLOOKUP(S8,MASTER!$B:$J,9,0),Table5[[#This Row],[TOP FOAM/REBOUND LENGTH]],"X",Table5[[#This Row],[TOP FOAM / REBOUND WIDTH]],"X",VLOOKUP(Table5[[#This Row],[VARIETY ]],MASTER!$B:$L,11,0))),"")</f>
        <v/>
      </c>
      <c r="AF8" s="72">
        <f>+Table2[[#This Row],[QTY]]*1</f>
        <v>0</v>
      </c>
      <c r="AH8" s="60" t="str">
        <f>+Table2[[#This Row],[VARIETY]]</f>
        <v/>
      </c>
      <c r="AI8" s="65">
        <f>IFERROR(Table2[[#This Row],[STD-L]]-VLOOKUP(AH8,MASTER!$B:$E,4,0),0)</f>
        <v>0</v>
      </c>
      <c r="AJ8" s="65">
        <f>IFERROR(Table2[[#This Row],[STD-W]]-VLOOKUP(AH8,MASTER!$B:$F,5,0),0)</f>
        <v>0</v>
      </c>
      <c r="AK8" s="65" t="str">
        <f t="shared" si="9"/>
        <v/>
      </c>
      <c r="AL8" s="66" t="str">
        <f t="shared" si="10"/>
        <v/>
      </c>
      <c r="AN8" s="75" t="str">
        <f>IFERROR(CONCATENATE(VLOOKUP(AH8,MASTER!$B:$H,7,0),Table510[[#This Row],[ACTUAL  LENGTH]],"0X",VLOOKUP(AH8,MASTER!$B:$G,6,0),"X",VLOOKUP(AH8,MASTER!$B:$I,8,0)),"")</f>
        <v/>
      </c>
      <c r="AO8" s="71" t="str">
        <f>IFERROR(((VLOOKUP(Table611[[#This Row],[LENGTHSIZE]],'ALL NEW ITEM '!$E:$F,2,0)*2)*Q8),"")</f>
        <v/>
      </c>
      <c r="AP8" s="71" t="str">
        <f>IFERROR(IF(VLOOKUP(AH8,MASTER!$B:$I,8,0)="40MM",(CONCATENATE(VLOOKUP(AH8,MASTER!$B:$H,7,0),Table510[[#This Row],[ACTUAL WIDTH]],"0X",VLOOKUP(AH8,MASTER!$B:$G,6,0),"X",VLOOKUP(AH8,MASTER!$B:$I,8,0))),(CONCATENATE(VLOOKUP(AH8,MASTER!$B:$H,7,0),Table510[[#This Row],[ACTUAL WIDTH]],"X",VLOOKUP(AH8,MASTER!$B:$G,6,0),"X",VLOOKUP(AH8,MASTER!$B:$I,8,0)))),"")</f>
        <v/>
      </c>
      <c r="AQ8" s="71" t="str">
        <f>+IFERROR(((VLOOKUP(AP8,'ALL NEW ITEM '!$E:$F,2,0)*2)*Table2[[#This Row],[QTY]]),"")</f>
        <v/>
      </c>
      <c r="AR8" s="71" t="str">
        <f>IF(OR(AH8=MASTER!$B$2,AH8=MASTER!$B$3,AH8=MASTER!$B$4,AH8=MASTER!$B$5,AH8=MASTER!$B$6,AH8=MASTER!$B$128,AH8=MASTER!$B$129,AH8=MASTER!$B$130,AH8=MASTER!$B$131,AH8=MASTER!$B$132,AH8=MASTER!$B$133,AH8=MASTER!$B$134,AH8=MASTER!$B$135,AH8=MASTER!$B$136,AH8=MASTER!$B$137),(CONCATENATE(VLOOKUP(AH8,MASTER!$B:$J,9,0),AK8,"0X",AL8,"0X",VLOOKUP(Table5[[#This Row],[VARIETY ]],MASTER!$B:$K,10,0))),"")</f>
        <v/>
      </c>
      <c r="AS8" s="71" t="str">
        <f>IFERROR(VLOOKUP(AR8,'ALL NEW ITEM '!$E:$F,2,0)*Q8,"")</f>
        <v/>
      </c>
      <c r="AT8" s="71" t="str">
        <f>IF(OR(AH8=MASTER!$B$2,AH8=MASTER!$B$3,AH8=MASTER!$B$4,AH8=MASTER!$B$5,AH8=MASTER!$B$6,AH8=MASTER!$B$2,AH8=MASTER!$B$132,AH8=MASTER!$B$135,AH8=MASTER!$B$136,AH8=MASTER!$B$137),(CONCATENATE(VLOOKUP(AH8,MASTER!$B:$J,9,0),AK8,"0X",AL8,"0X",VLOOKUP(Table5[[#This Row],[VARIETY ]],MASTER!$B:$L,11,0))),"")</f>
        <v/>
      </c>
      <c r="AU8" s="72" t="str">
        <f>IFERROR(VLOOKUP(Table611[[#This Row],[TOPFOAM/REBOUND14]],'ALL NEW ITEM '!$E:$F,2,0)*Q8,"")</f>
        <v/>
      </c>
    </row>
    <row r="9" spans="1:47">
      <c r="A9" s="60">
        <f t="shared" si="12"/>
        <v>8</v>
      </c>
      <c r="B9" s="60" t="str">
        <f>LEFT(Table1[[#This Row],[ITEM CODE]],MIN(FIND({0,1,2,3,4,5,6,7,8,9},Table1[[#This Row],[ITEM CODE]]&amp;"0123456789"))-1)</f>
        <v/>
      </c>
      <c r="C9" s="61" t="str">
        <f>SUBSTITUTE(Table1[[#This Row],[ITEM CODE]],B9,"")</f>
        <v/>
      </c>
      <c r="D9" s="61" t="str">
        <f t="shared" si="0"/>
        <v/>
      </c>
      <c r="E9" s="61" t="str">
        <f t="shared" si="1"/>
        <v/>
      </c>
      <c r="F9" s="61" t="str">
        <f t="shared" si="2"/>
        <v/>
      </c>
      <c r="G9" s="61" t="str">
        <f t="shared" si="3"/>
        <v/>
      </c>
      <c r="H9" s="61" t="str">
        <f t="shared" si="4"/>
        <v/>
      </c>
      <c r="I9" s="61" t="str">
        <f t="shared" si="5"/>
        <v/>
      </c>
      <c r="J9" s="61" t="str">
        <f>IFERROR(IF(Table2[[#This Row],[L]]&lt;Table2[[#This Row],[W]],Table2[[#This Row],[W]],Table2[[#This Row],[L]]),"")</f>
        <v/>
      </c>
      <c r="K9" s="61" t="str">
        <f>IF(Table2[[#This Row],[L]]&lt;Table2[[#This Row],[W]],Table2[[#This Row],[L]],Table2[[#This Row],[W]])</f>
        <v/>
      </c>
      <c r="L9" s="61" t="str">
        <f t="shared" si="6"/>
        <v/>
      </c>
      <c r="M9" s="61" t="str">
        <f t="shared" si="7"/>
        <v/>
      </c>
      <c r="N9" s="61" t="str">
        <f t="shared" si="8"/>
        <v>XX</v>
      </c>
      <c r="O9" s="61" t="str">
        <f t="shared" si="11"/>
        <v>XX</v>
      </c>
      <c r="P9" s="61" t="str">
        <f>+CONCATENATE(Table2[[#This Row],[1]],Table2[[#This Row],[H]])</f>
        <v/>
      </c>
      <c r="Q9" s="61">
        <f>+Table1[[#This Row],[QTY]]</f>
        <v>0</v>
      </c>
      <c r="S9" s="60" t="str">
        <f>+Table2[[#This Row],[VARIETY]]</f>
        <v/>
      </c>
      <c r="T9" s="65">
        <f>IFERROR(Table2[[#This Row],[L]]-VLOOKUP(Table5[[#This Row],[VARIETY ]],MASTER!$B:$E,4,0),0)</f>
        <v>0</v>
      </c>
      <c r="U9" s="65">
        <f>IFERROR(Table2[[#This Row],[W]]-VLOOKUP(Table5[[#This Row],[VARIETY ]],MASTER!$B:$F,5,0),0)</f>
        <v>0</v>
      </c>
      <c r="V9" s="65">
        <f>IFERROR(IF(VLOOKUP(Table5[[#This Row],[VARIETY ]],MASTER!$B:$M,12,0)=0,0,(Table2[[#This Row],[L]]-VLOOKUP(Table5[[#This Row],[VARIETY ]],MASTER!$B:$M,12,0))),0)</f>
        <v>0</v>
      </c>
      <c r="W9" s="66">
        <f>IFERROR(IF(VLOOKUP(Table5[[#This Row],[VARIETY ]],MASTER!$B:$N,13,0)=0,0,(Table2[[#This Row],[W]]-VLOOKUP(Table5[[#This Row],[VARIETY ]],MASTER!$B:$N,13,0))),0)</f>
        <v>0</v>
      </c>
      <c r="X9" s="65">
        <v>8</v>
      </c>
      <c r="Y9" s="70" t="str">
        <f>IFERROR(IF(VLOOKUP(S9,MASTER!$B:$I,8,0)="40MM",((CONCATENATE(VLOOKUP(S9,MASTER!$B:$H,7,0),T9,"X",VLOOKUP(S9,MASTER!$B:$G,6,0),"X",VLOOKUP(S9,MASTER!$B:$I,8,0)))),(CONCATENATE(VLOOKUP(S9,MASTER!$B:$H,7,0),T9,"X",VLOOKUP(S9,MASTER!$B:$G,6,0),"X",VLOOKUP(S9,MASTER!$B:$I,8,0)))),"")</f>
        <v/>
      </c>
      <c r="Z9" s="71">
        <f>Table2[[#This Row],[QTY]]*2</f>
        <v>0</v>
      </c>
      <c r="AA9" s="71" t="str">
        <f>IFERROR(IF(VLOOKUP(S9,MASTER!$B:$I,8,0)="40MM",((CONCATENATE(VLOOKUP(S9,MASTER!$B:$H,7,0),U9,"X",VLOOKUP(S9,MASTER!$B:$G,6,0),"X",VLOOKUP(S9,MASTER!$B:$I,8,0)))),((CONCATENATE(VLOOKUP(S9,MASTER!$B:$H,7,0),U9,"X",VLOOKUP(S9,MASTER!$B:$G,6,0),"X",VLOOKUP(S9,MASTER!$B:$I,8,0))))),"")</f>
        <v/>
      </c>
      <c r="AB9" s="71">
        <f>+Table2[[#This Row],[QTY]]*2</f>
        <v>0</v>
      </c>
      <c r="AC9" s="71" t="str">
        <f>IF(OR(S9=MASTER!$B$2,S9=MASTER!$B$3,S9=MASTER!$B$4,S9=MASTER!$B$5,S9=MASTER!$B$6,S9=MASTER!$B$7,S9=MASTER!$B$8,S9=MASTER!$B$9,S9=MASTER!$B$10,S9=MASTER!$B$11,S9=MASTER!$B$12,S9=MASTER!$B$13,S9=MASTER!$B$93,S9=MASTER!$B$94,S9=MASTER!$B$128,S9=MASTER!$B$129,S9=MASTER!$B$130,S9=MASTER!$B$131,S9=MASTER!$B$132,S9=MASTER!$B$136,S9=MASTER!$B$137),(CONCATENATE(VLOOKUP(S9,MASTER!$B:$J,9,0),Table5[[#This Row],[TOP FOAM/REBOUND LENGTH]],"X",Table5[[#This Row],[TOP FOAM / REBOUND WIDTH]],"X",VLOOKUP(Table5[[#This Row],[VARIETY ]],MASTER!$B:$K,10,0))),"")</f>
        <v/>
      </c>
      <c r="AD9" s="71">
        <f>+Table2[[#This Row],[QTY]]*1</f>
        <v>0</v>
      </c>
      <c r="AE9" s="71" t="str">
        <f>IF(OR(S9=MASTER!$B$2,S9=MASTER!$B$3,S9=MASTER!$B$4,S9=MASTER!$B$5,S9=MASTER!$B$6,S9=MASTER!$B$7,S9=MASTER!$B$8,S9=MASTER!$B$9,S9=MASTER!$B$136,S9=MASTER!$B$10,S9=MASTER!$B$11,S9=MASTER!$B$12,S9=MASTER!$B$13,S9=MASTER!$B$2,S9=MASTER!$B$132,S9=MASTER!$B$137),(CONCATENATE(VLOOKUP(S9,MASTER!$B:$J,9,0),Table5[[#This Row],[TOP FOAM/REBOUND LENGTH]],"X",Table5[[#This Row],[TOP FOAM / REBOUND WIDTH]],"X",VLOOKUP(Table5[[#This Row],[VARIETY ]],MASTER!$B:$L,11,0))),"")</f>
        <v/>
      </c>
      <c r="AF9" s="72">
        <f>+Table2[[#This Row],[QTY]]*1</f>
        <v>0</v>
      </c>
      <c r="AH9" s="60" t="str">
        <f>+Table2[[#This Row],[VARIETY]]</f>
        <v/>
      </c>
      <c r="AI9" s="65">
        <f>IFERROR(Table2[[#This Row],[STD-L]]-VLOOKUP(AH9,MASTER!$B:$E,4,0),0)</f>
        <v>0</v>
      </c>
      <c r="AJ9" s="65">
        <f>IFERROR(Table2[[#This Row],[STD-W]]-VLOOKUP(AH9,MASTER!$B:$F,5,0),0)</f>
        <v>0</v>
      </c>
      <c r="AK9" s="65" t="str">
        <f t="shared" si="9"/>
        <v/>
      </c>
      <c r="AL9" s="66" t="str">
        <f t="shared" si="10"/>
        <v/>
      </c>
      <c r="AN9" s="75" t="str">
        <f>IFERROR(CONCATENATE(VLOOKUP(AH9,MASTER!$B:$H,7,0),Table510[[#This Row],[ACTUAL  LENGTH]],"0X",VLOOKUP(AH9,MASTER!$B:$G,6,0),"X",VLOOKUP(AH9,MASTER!$B:$I,8,0)),"")</f>
        <v/>
      </c>
      <c r="AO9" s="71" t="str">
        <f>IFERROR(((VLOOKUP(Table611[[#This Row],[LENGTHSIZE]],'ALL NEW ITEM '!$E:$F,2,0)*2)*Q9),"")</f>
        <v/>
      </c>
      <c r="AP9" s="71" t="str">
        <f>IFERROR(IF(VLOOKUP(AH9,MASTER!$B:$I,8,0)="40MM",(CONCATENATE(VLOOKUP(AH9,MASTER!$B:$H,7,0),Table510[[#This Row],[ACTUAL WIDTH]],"0X",VLOOKUP(AH9,MASTER!$B:$G,6,0),"X",VLOOKUP(AH9,MASTER!$B:$I,8,0))),(CONCATENATE(VLOOKUP(AH9,MASTER!$B:$H,7,0),Table510[[#This Row],[ACTUAL WIDTH]],"X",VLOOKUP(AH9,MASTER!$B:$G,6,0),"X",VLOOKUP(AH9,MASTER!$B:$I,8,0)))),"")</f>
        <v/>
      </c>
      <c r="AQ9" s="71" t="str">
        <f>+IFERROR(((VLOOKUP(AP9,'ALL NEW ITEM '!$E:$F,2,0)*2)*Table2[[#This Row],[QTY]]),"")</f>
        <v/>
      </c>
      <c r="AR9" s="71" t="str">
        <f>IF(OR(AH9=MASTER!$B$2,AH9=MASTER!$B$3,AH9=MASTER!$B$4,AH9=MASTER!$B$5,AH9=MASTER!$B$6,AH9=MASTER!$B$128,AH9=MASTER!$B$129,AH9=MASTER!$B$130,AH9=MASTER!$B$131,AH9=MASTER!$B$132,AH9=MASTER!$B$133,AH9=MASTER!$B$134,AH9=MASTER!$B$135,AH9=MASTER!$B$136,AH9=MASTER!$B$137),(CONCATENATE(VLOOKUP(AH9,MASTER!$B:$J,9,0),AK9,"0X",AL9,"0X",VLOOKUP(Table5[[#This Row],[VARIETY ]],MASTER!$B:$K,10,0))),"")</f>
        <v/>
      </c>
      <c r="AS9" s="71" t="str">
        <f>IFERROR(VLOOKUP(AR9,'ALL NEW ITEM '!$E:$F,2,0)*Q9,"")</f>
        <v/>
      </c>
      <c r="AT9" s="71" t="str">
        <f>IF(OR(AH9=MASTER!$B$2,AH9=MASTER!$B$3,AH9=MASTER!$B$4,AH9=MASTER!$B$5,AH9=MASTER!$B$6,AH9=MASTER!$B$2,AH9=MASTER!$B$132,AH9=MASTER!$B$135,AH9=MASTER!$B$136,AH9=MASTER!$B$137),(CONCATENATE(VLOOKUP(AH9,MASTER!$B:$J,9,0),AK9,"0X",AL9,"0X",VLOOKUP(Table5[[#This Row],[VARIETY ]],MASTER!$B:$L,11,0))),"")</f>
        <v/>
      </c>
      <c r="AU9" s="72" t="str">
        <f>IFERROR(VLOOKUP(Table611[[#This Row],[TOPFOAM/REBOUND14]],'ALL NEW ITEM '!$E:$F,2,0)*Q9,"")</f>
        <v/>
      </c>
    </row>
    <row r="10" spans="1:47">
      <c r="A10" s="60">
        <f t="shared" si="12"/>
        <v>9</v>
      </c>
      <c r="B10" s="60" t="str">
        <f>LEFT(Table1[[#This Row],[ITEM CODE]],MIN(FIND({0,1,2,3,4,5,6,7,8,9},Table1[[#This Row],[ITEM CODE]]&amp;"0123456789"))-1)</f>
        <v/>
      </c>
      <c r="C10" s="61" t="str">
        <f>SUBSTITUTE(Table1[[#This Row],[ITEM CODE]],B10,"")</f>
        <v/>
      </c>
      <c r="D10" s="61" t="str">
        <f t="shared" si="0"/>
        <v/>
      </c>
      <c r="E10" s="61" t="str">
        <f t="shared" si="1"/>
        <v/>
      </c>
      <c r="F10" s="61" t="str">
        <f t="shared" si="2"/>
        <v/>
      </c>
      <c r="G10" s="61" t="str">
        <f t="shared" si="3"/>
        <v/>
      </c>
      <c r="H10" s="61" t="str">
        <f t="shared" si="4"/>
        <v/>
      </c>
      <c r="I10" s="61" t="str">
        <f t="shared" si="5"/>
        <v/>
      </c>
      <c r="J10" s="61" t="str">
        <f>IFERROR(IF(Table2[[#This Row],[L]]&lt;Table2[[#This Row],[W]],Table2[[#This Row],[W]],Table2[[#This Row],[L]]),"")</f>
        <v/>
      </c>
      <c r="K10" s="61" t="str">
        <f>IF(Table2[[#This Row],[L]]&lt;Table2[[#This Row],[W]],Table2[[#This Row],[L]],Table2[[#This Row],[W]])</f>
        <v/>
      </c>
      <c r="L10" s="61" t="str">
        <f t="shared" si="6"/>
        <v/>
      </c>
      <c r="M10" s="61" t="str">
        <f t="shared" si="7"/>
        <v/>
      </c>
      <c r="N10" s="61" t="str">
        <f t="shared" si="8"/>
        <v>XX</v>
      </c>
      <c r="O10" s="61" t="str">
        <f t="shared" si="11"/>
        <v>XX</v>
      </c>
      <c r="P10" s="61" t="str">
        <f>+CONCATENATE(Table2[[#This Row],[1]],Table2[[#This Row],[H]])</f>
        <v/>
      </c>
      <c r="Q10" s="61">
        <f>+Table1[[#This Row],[QTY]]</f>
        <v>0</v>
      </c>
      <c r="S10" s="60" t="str">
        <f>+Table2[[#This Row],[VARIETY]]</f>
        <v/>
      </c>
      <c r="T10" s="65">
        <f>IFERROR(Table2[[#This Row],[L]]-VLOOKUP(Table5[[#This Row],[VARIETY ]],MASTER!$B:$E,4,0),0)</f>
        <v>0</v>
      </c>
      <c r="U10" s="65">
        <f>IFERROR(Table2[[#This Row],[W]]-VLOOKUP(Table5[[#This Row],[VARIETY ]],MASTER!$B:$F,5,0),0)</f>
        <v>0</v>
      </c>
      <c r="V10" s="65">
        <f>IFERROR(IF(VLOOKUP(Table5[[#This Row],[VARIETY ]],MASTER!$B:$M,12,0)=0,0,(Table2[[#This Row],[L]]-VLOOKUP(Table5[[#This Row],[VARIETY ]],MASTER!$B:$M,12,0))),0)</f>
        <v>0</v>
      </c>
      <c r="W10" s="66">
        <f>IFERROR(IF(VLOOKUP(Table5[[#This Row],[VARIETY ]],MASTER!$B:$N,13,0)=0,0,(Table2[[#This Row],[W]]-VLOOKUP(Table5[[#This Row],[VARIETY ]],MASTER!$B:$N,13,0))),0)</f>
        <v>0</v>
      </c>
      <c r="X10" s="67">
        <v>9</v>
      </c>
      <c r="Y10" s="70" t="str">
        <f>IFERROR(IF(VLOOKUP(S10,MASTER!$B:$I,8,0)="40MM",((CONCATENATE(VLOOKUP(S10,MASTER!$B:$H,7,0),T10,"X",VLOOKUP(S10,MASTER!$B:$G,6,0),"X",VLOOKUP(S10,MASTER!$B:$I,8,0)))),(CONCATENATE(VLOOKUP(S10,MASTER!$B:$H,7,0),T10,"X",VLOOKUP(S10,MASTER!$B:$G,6,0),"X",VLOOKUP(S10,MASTER!$B:$I,8,0)))),"")</f>
        <v/>
      </c>
      <c r="Z10" s="71">
        <f>Table2[[#This Row],[QTY]]*2</f>
        <v>0</v>
      </c>
      <c r="AA10" s="71" t="str">
        <f>IFERROR(IF(VLOOKUP(S10,MASTER!$B:$I,8,0)="40MM",((CONCATENATE(VLOOKUP(S10,MASTER!$B:$H,7,0),U10,"X",VLOOKUP(S10,MASTER!$B:$G,6,0),"X",VLOOKUP(S10,MASTER!$B:$I,8,0)))),((CONCATENATE(VLOOKUP(S10,MASTER!$B:$H,7,0),U10,"X",VLOOKUP(S10,MASTER!$B:$G,6,0),"X",VLOOKUP(S10,MASTER!$B:$I,8,0))))),"")</f>
        <v/>
      </c>
      <c r="AB10" s="71">
        <f>+Table2[[#This Row],[QTY]]*2</f>
        <v>0</v>
      </c>
      <c r="AC10" s="71" t="str">
        <f>IF(OR(S10=MASTER!$B$2,S10=MASTER!$B$3,S10=MASTER!$B$4,S10=MASTER!$B$5,S10=MASTER!$B$6,S10=MASTER!$B$7,S10=MASTER!$B$8,S10=MASTER!$B$9,S10=MASTER!$B$10,S10=MASTER!$B$11,S10=MASTER!$B$12,S10=MASTER!$B$13,S10=MASTER!$B$93,S10=MASTER!$B$94,S10=MASTER!$B$128,S10=MASTER!$B$129,S10=MASTER!$B$130,S10=MASTER!$B$131,S10=MASTER!$B$132,S10=MASTER!$B$136,S10=MASTER!$B$137),(CONCATENATE(VLOOKUP(S10,MASTER!$B:$J,9,0),Table5[[#This Row],[TOP FOAM/REBOUND LENGTH]],"X",Table5[[#This Row],[TOP FOAM / REBOUND WIDTH]],"X",VLOOKUP(Table5[[#This Row],[VARIETY ]],MASTER!$B:$K,10,0))),"")</f>
        <v/>
      </c>
      <c r="AD10" s="71">
        <f>+Table2[[#This Row],[QTY]]*1</f>
        <v>0</v>
      </c>
      <c r="AE10" s="71" t="str">
        <f>IF(OR(S10=MASTER!$B$2,S10=MASTER!$B$3,S10=MASTER!$B$4,S10=MASTER!$B$5,S10=MASTER!$B$6,S10=MASTER!$B$7,S10=MASTER!$B$8,S10=MASTER!$B$9,S10=MASTER!$B$136,S10=MASTER!$B$10,S10=MASTER!$B$11,S10=MASTER!$B$12,S10=MASTER!$B$13,S10=MASTER!$B$2,S10=MASTER!$B$132,S10=MASTER!$B$137),(CONCATENATE(VLOOKUP(S10,MASTER!$B:$J,9,0),Table5[[#This Row],[TOP FOAM/REBOUND LENGTH]],"X",Table5[[#This Row],[TOP FOAM / REBOUND WIDTH]],"X",VLOOKUP(Table5[[#This Row],[VARIETY ]],MASTER!$B:$L,11,0))),"")</f>
        <v/>
      </c>
      <c r="AF10" s="72">
        <f>+Table2[[#This Row],[QTY]]*1</f>
        <v>0</v>
      </c>
      <c r="AH10" s="60" t="str">
        <f>+Table2[[#This Row],[VARIETY]]</f>
        <v/>
      </c>
      <c r="AI10" s="65">
        <f>IFERROR(Table2[[#This Row],[STD-L]]-VLOOKUP(AH10,MASTER!$B:$E,4,0),0)</f>
        <v>0</v>
      </c>
      <c r="AJ10" s="65">
        <f>IFERROR(Table2[[#This Row],[STD-W]]-VLOOKUP(AH10,MASTER!$B:$F,5,0),0)</f>
        <v>0</v>
      </c>
      <c r="AK10" s="65" t="str">
        <f t="shared" si="9"/>
        <v/>
      </c>
      <c r="AL10" s="66" t="str">
        <f t="shared" si="10"/>
        <v/>
      </c>
      <c r="AN10" s="75" t="str">
        <f>IFERROR(CONCATENATE(VLOOKUP(AH10,MASTER!$B:$H,7,0),Table510[[#This Row],[ACTUAL  LENGTH]],"0X",VLOOKUP(AH10,MASTER!$B:$G,6,0),"X",VLOOKUP(AH10,MASTER!$B:$I,8,0)),"")</f>
        <v/>
      </c>
      <c r="AO10" s="71" t="str">
        <f>IFERROR(((VLOOKUP(Table611[[#This Row],[LENGTHSIZE]],'ALL NEW ITEM '!$E:$F,2,0)*2)*Q10),"")</f>
        <v/>
      </c>
      <c r="AP10" s="71" t="str">
        <f>IFERROR(IF(VLOOKUP(AH10,MASTER!$B:$I,8,0)="40MM",(CONCATENATE(VLOOKUP(AH10,MASTER!$B:$H,7,0),Table510[[#This Row],[ACTUAL WIDTH]],"0X",VLOOKUP(AH10,MASTER!$B:$G,6,0),"X",VLOOKUP(AH10,MASTER!$B:$I,8,0))),(CONCATENATE(VLOOKUP(AH10,MASTER!$B:$H,7,0),Table510[[#This Row],[ACTUAL WIDTH]],"X",VLOOKUP(AH10,MASTER!$B:$G,6,0),"X",VLOOKUP(AH10,MASTER!$B:$I,8,0)))),"")</f>
        <v/>
      </c>
      <c r="AQ10" s="71" t="str">
        <f>+IFERROR(((VLOOKUP(AP10,'ALL NEW ITEM '!$E:$F,2,0)*2)*Table2[[#This Row],[QTY]]),"")</f>
        <v/>
      </c>
      <c r="AR10" s="71" t="str">
        <f>IF(OR(AH10=MASTER!$B$2,AH10=MASTER!$B$3,AH10=MASTER!$B$4,AH10=MASTER!$B$5,AH10=MASTER!$B$6,AH10=MASTER!$B$128,AH10=MASTER!$B$129,AH10=MASTER!$B$130,AH10=MASTER!$B$131,AH10=MASTER!$B$132,AH10=MASTER!$B$133,AH10=MASTER!$B$134,AH10=MASTER!$B$135,AH10=MASTER!$B$136,AH10=MASTER!$B$137),(CONCATENATE(VLOOKUP(AH10,MASTER!$B:$J,9,0),AK10,"0X",AL10,"0X",VLOOKUP(Table5[[#This Row],[VARIETY ]],MASTER!$B:$K,10,0))),"")</f>
        <v/>
      </c>
      <c r="AS10" s="71" t="str">
        <f>IFERROR(VLOOKUP(AR10,'ALL NEW ITEM '!$E:$F,2,0)*Q10,"")</f>
        <v/>
      </c>
      <c r="AT10" s="71" t="str">
        <f>IF(OR(AH10=MASTER!$B$2,AH10=MASTER!$B$3,AH10=MASTER!$B$4,AH10=MASTER!$B$5,AH10=MASTER!$B$6,AH10=MASTER!$B$2,AH10=MASTER!$B$132,AH10=MASTER!$B$135,AH10=MASTER!$B$136,AH10=MASTER!$B$137),(CONCATENATE(VLOOKUP(AH10,MASTER!$B:$J,9,0),AK10,"0X",AL10,"0X",VLOOKUP(Table5[[#This Row],[VARIETY ]],MASTER!$B:$L,11,0))),"")</f>
        <v/>
      </c>
      <c r="AU10" s="72" t="str">
        <f>IFERROR(VLOOKUP(Table611[[#This Row],[TOPFOAM/REBOUND14]],'ALL NEW ITEM '!$E:$F,2,0)*Q10,"")</f>
        <v/>
      </c>
    </row>
    <row r="11" spans="1:47">
      <c r="A11" s="60">
        <f t="shared" si="12"/>
        <v>10</v>
      </c>
      <c r="B11" s="60" t="str">
        <f>LEFT(Table1[[#This Row],[ITEM CODE]],MIN(FIND({0,1,2,3,4,5,6,7,8,9},Table1[[#This Row],[ITEM CODE]]&amp;"0123456789"))-1)</f>
        <v/>
      </c>
      <c r="C11" s="61" t="str">
        <f>SUBSTITUTE(Table1[[#This Row],[ITEM CODE]],B11,"")</f>
        <v/>
      </c>
      <c r="D11" s="61" t="str">
        <f t="shared" si="0"/>
        <v/>
      </c>
      <c r="E11" s="61" t="str">
        <f t="shared" si="1"/>
        <v/>
      </c>
      <c r="F11" s="61" t="str">
        <f t="shared" si="2"/>
        <v/>
      </c>
      <c r="G11" s="61" t="str">
        <f t="shared" si="3"/>
        <v/>
      </c>
      <c r="H11" s="61" t="str">
        <f t="shared" si="4"/>
        <v/>
      </c>
      <c r="I11" s="61" t="str">
        <f t="shared" si="5"/>
        <v/>
      </c>
      <c r="J11" s="61" t="str">
        <f>IFERROR(IF(Table2[[#This Row],[L]]&lt;Table2[[#This Row],[W]],Table2[[#This Row],[W]],Table2[[#This Row],[L]]),"")</f>
        <v/>
      </c>
      <c r="K11" s="61" t="str">
        <f>IF(Table2[[#This Row],[L]]&lt;Table2[[#This Row],[W]],Table2[[#This Row],[L]],Table2[[#This Row],[W]])</f>
        <v/>
      </c>
      <c r="L11" s="61" t="str">
        <f t="shared" si="6"/>
        <v/>
      </c>
      <c r="M11" s="61" t="str">
        <f t="shared" si="7"/>
        <v/>
      </c>
      <c r="N11" s="61" t="str">
        <f t="shared" si="8"/>
        <v>XX</v>
      </c>
      <c r="O11" s="61" t="str">
        <f t="shared" si="11"/>
        <v>XX</v>
      </c>
      <c r="P11" s="61" t="str">
        <f>+CONCATENATE(Table2[[#This Row],[1]],Table2[[#This Row],[H]])</f>
        <v/>
      </c>
      <c r="Q11" s="61">
        <f>+Table1[[#This Row],[QTY]]</f>
        <v>0</v>
      </c>
      <c r="S11" s="60" t="str">
        <f>+Table2[[#This Row],[VARIETY]]</f>
        <v/>
      </c>
      <c r="T11" s="65">
        <f>IFERROR(Table2[[#This Row],[L]]-VLOOKUP(Table5[[#This Row],[VARIETY ]],MASTER!$B:$E,4,0),0)</f>
        <v>0</v>
      </c>
      <c r="U11" s="65">
        <f>IFERROR(Table2[[#This Row],[W]]-VLOOKUP(Table5[[#This Row],[VARIETY ]],MASTER!$B:$F,5,0),0)</f>
        <v>0</v>
      </c>
      <c r="V11" s="65">
        <f>IFERROR(IF(VLOOKUP(Table5[[#This Row],[VARIETY ]],MASTER!$B:$M,12,0)=0,0,(Table2[[#This Row],[L]]-VLOOKUP(Table5[[#This Row],[VARIETY ]],MASTER!$B:$M,12,0))),0)</f>
        <v>0</v>
      </c>
      <c r="W11" s="66">
        <f>IFERROR(IF(VLOOKUP(Table5[[#This Row],[VARIETY ]],MASTER!$B:$N,13,0)=0,0,(Table2[[#This Row],[W]]-VLOOKUP(Table5[[#This Row],[VARIETY ]],MASTER!$B:$N,13,0))),0)</f>
        <v>0</v>
      </c>
      <c r="X11" s="65">
        <v>10</v>
      </c>
      <c r="Y11" s="70" t="str">
        <f>IFERROR(IF(VLOOKUP(S11,MASTER!$B:$I,8,0)="40MM",((CONCATENATE(VLOOKUP(S11,MASTER!$B:$H,7,0),T11,"X",VLOOKUP(S11,MASTER!$B:$G,6,0),"X",VLOOKUP(S11,MASTER!$B:$I,8,0)))),(CONCATENATE(VLOOKUP(S11,MASTER!$B:$H,7,0),T11,"X",VLOOKUP(S11,MASTER!$B:$G,6,0),"X",VLOOKUP(S11,MASTER!$B:$I,8,0)))),"")</f>
        <v/>
      </c>
      <c r="Z11" s="71">
        <f>Table2[[#This Row],[QTY]]*2</f>
        <v>0</v>
      </c>
      <c r="AA11" s="71" t="str">
        <f>IFERROR(IF(VLOOKUP(S11,MASTER!$B:$I,8,0)="40MM",((CONCATENATE(VLOOKUP(S11,MASTER!$B:$H,7,0),U11,"X",VLOOKUP(S11,MASTER!$B:$G,6,0),"X",VLOOKUP(S11,MASTER!$B:$I,8,0)))),((CONCATENATE(VLOOKUP(S11,MASTER!$B:$H,7,0),U11,"X",VLOOKUP(S11,MASTER!$B:$G,6,0),"X",VLOOKUP(S11,MASTER!$B:$I,8,0))))),"")</f>
        <v/>
      </c>
      <c r="AB11" s="71">
        <f>+Table2[[#This Row],[QTY]]*2</f>
        <v>0</v>
      </c>
      <c r="AC11" s="71" t="str">
        <f>IF(OR(S11=MASTER!$B$2,S11=MASTER!$B$3,S11=MASTER!$B$4,S11=MASTER!$B$5,S11=MASTER!$B$6,S11=MASTER!$B$7,S11=MASTER!$B$8,S11=MASTER!$B$9,S11=MASTER!$B$10,S11=MASTER!$B$11,S11=MASTER!$B$12,S11=MASTER!$B$13,S11=MASTER!$B$93,S11=MASTER!$B$94,S11=MASTER!$B$128,S11=MASTER!$B$129,S11=MASTER!$B$130,S11=MASTER!$B$131,S11=MASTER!$B$132,S11=MASTER!$B$136,S11=MASTER!$B$137),(CONCATENATE(VLOOKUP(S11,MASTER!$B:$J,9,0),Table5[[#This Row],[TOP FOAM/REBOUND LENGTH]],"X",Table5[[#This Row],[TOP FOAM / REBOUND WIDTH]],"X",VLOOKUP(Table5[[#This Row],[VARIETY ]],MASTER!$B:$K,10,0))),"")</f>
        <v/>
      </c>
      <c r="AD11" s="71">
        <f>+Table2[[#This Row],[QTY]]*1</f>
        <v>0</v>
      </c>
      <c r="AE11" s="71" t="str">
        <f>IF(OR(S11=MASTER!$B$2,S11=MASTER!$B$3,S11=MASTER!$B$4,S11=MASTER!$B$5,S11=MASTER!$B$6,S11=MASTER!$B$7,S11=MASTER!$B$8,S11=MASTER!$B$9,S11=MASTER!$B$136,S11=MASTER!$B$10,S11=MASTER!$B$11,S11=MASTER!$B$12,S11=MASTER!$B$13,S11=MASTER!$B$2,S11=MASTER!$B$132,S11=MASTER!$B$137),(CONCATENATE(VLOOKUP(S11,MASTER!$B:$J,9,0),Table5[[#This Row],[TOP FOAM/REBOUND LENGTH]],"X",Table5[[#This Row],[TOP FOAM / REBOUND WIDTH]],"X",VLOOKUP(Table5[[#This Row],[VARIETY ]],MASTER!$B:$L,11,0))),"")</f>
        <v/>
      </c>
      <c r="AF11" s="72">
        <f>+Table2[[#This Row],[QTY]]*1</f>
        <v>0</v>
      </c>
      <c r="AH11" s="60" t="str">
        <f>+Table2[[#This Row],[VARIETY]]</f>
        <v/>
      </c>
      <c r="AI11" s="65">
        <f>IFERROR(Table2[[#This Row],[STD-L]]-VLOOKUP(AH11,MASTER!$B:$E,4,0),0)</f>
        <v>0</v>
      </c>
      <c r="AJ11" s="65">
        <f>IFERROR(Table2[[#This Row],[STD-W]]-VLOOKUP(AH11,MASTER!$B:$F,5,0),0)</f>
        <v>0</v>
      </c>
      <c r="AK11" s="65" t="str">
        <f t="shared" si="9"/>
        <v/>
      </c>
      <c r="AL11" s="66" t="str">
        <f t="shared" si="10"/>
        <v/>
      </c>
      <c r="AN11" s="75" t="str">
        <f>IFERROR(CONCATENATE(VLOOKUP(AH11,MASTER!$B:$H,7,0),Table510[[#This Row],[ACTUAL  LENGTH]],"0X",VLOOKUP(AH11,MASTER!$B:$G,6,0),"X",VLOOKUP(AH11,MASTER!$B:$I,8,0)),"")</f>
        <v/>
      </c>
      <c r="AO11" s="71" t="str">
        <f>IFERROR(((VLOOKUP(Table611[[#This Row],[LENGTHSIZE]],'ALL NEW ITEM '!$E:$F,2,0)*2)*Q11),"")</f>
        <v/>
      </c>
      <c r="AP11" s="71" t="str">
        <f>IFERROR(IF(VLOOKUP(AH11,MASTER!$B:$I,8,0)="40MM",(CONCATENATE(VLOOKUP(AH11,MASTER!$B:$H,7,0),Table510[[#This Row],[ACTUAL WIDTH]],"0X",VLOOKUP(AH11,MASTER!$B:$G,6,0),"X",VLOOKUP(AH11,MASTER!$B:$I,8,0))),(CONCATENATE(VLOOKUP(AH11,MASTER!$B:$H,7,0),Table510[[#This Row],[ACTUAL WIDTH]],"X",VLOOKUP(AH11,MASTER!$B:$G,6,0),"X",VLOOKUP(AH11,MASTER!$B:$I,8,0)))),"")</f>
        <v/>
      </c>
      <c r="AQ11" s="71" t="str">
        <f>+IFERROR(((VLOOKUP(AP11,'ALL NEW ITEM '!$E:$F,2,0)*2)*Table2[[#This Row],[QTY]]),"")</f>
        <v/>
      </c>
      <c r="AR11" s="71" t="str">
        <f>IF(OR(AH11=MASTER!$B$2,AH11=MASTER!$B$3,AH11=MASTER!$B$4,AH11=MASTER!$B$5,AH11=MASTER!$B$6,AH11=MASTER!$B$128,AH11=MASTER!$B$129,AH11=MASTER!$B$130,AH11=MASTER!$B$131,AH11=MASTER!$B$132,AH11=MASTER!$B$133,AH11=MASTER!$B$134,AH11=MASTER!$B$135,AH11=MASTER!$B$136,AH11=MASTER!$B$137),(CONCATENATE(VLOOKUP(AH11,MASTER!$B:$J,9,0),AK11,"0X",AL11,"0X",VLOOKUP(Table5[[#This Row],[VARIETY ]],MASTER!$B:$K,10,0))),"")</f>
        <v/>
      </c>
      <c r="AS11" s="71" t="str">
        <f>IFERROR(VLOOKUP(AR11,'ALL NEW ITEM '!$E:$F,2,0)*Q11,"")</f>
        <v/>
      </c>
      <c r="AT11" s="71" t="str">
        <f>IF(OR(AH11=MASTER!$B$2,AH11=MASTER!$B$3,AH11=MASTER!$B$4,AH11=MASTER!$B$5,AH11=MASTER!$B$6,AH11=MASTER!$B$2,AH11=MASTER!$B$132,AH11=MASTER!$B$135,AH11=MASTER!$B$136,AH11=MASTER!$B$137),(CONCATENATE(VLOOKUP(AH11,MASTER!$B:$J,9,0),AK11,"0X",AL11,"0X",VLOOKUP(Table5[[#This Row],[VARIETY ]],MASTER!$B:$L,11,0))),"")</f>
        <v/>
      </c>
      <c r="AU11" s="72" t="str">
        <f>IFERROR(VLOOKUP(Table611[[#This Row],[TOPFOAM/REBOUND14]],'ALL NEW ITEM '!$E:$F,2,0)*Q11,"")</f>
        <v/>
      </c>
    </row>
    <row r="12" spans="1:47">
      <c r="A12" s="60">
        <f t="shared" si="12"/>
        <v>11</v>
      </c>
      <c r="B12" s="60" t="str">
        <f>LEFT(Table1[[#This Row],[ITEM CODE]],MIN(FIND({0,1,2,3,4,5,6,7,8,9},Table1[[#This Row],[ITEM CODE]]&amp;"0123456789"))-1)</f>
        <v/>
      </c>
      <c r="C12" s="61" t="str">
        <f>SUBSTITUTE(Table1[[#This Row],[ITEM CODE]],B12,"")</f>
        <v/>
      </c>
      <c r="D12" s="61" t="str">
        <f t="shared" si="0"/>
        <v/>
      </c>
      <c r="E12" s="61" t="str">
        <f t="shared" si="1"/>
        <v/>
      </c>
      <c r="F12" s="61" t="str">
        <f t="shared" si="2"/>
        <v/>
      </c>
      <c r="G12" s="61" t="str">
        <f t="shared" si="3"/>
        <v/>
      </c>
      <c r="H12" s="61" t="str">
        <f t="shared" si="4"/>
        <v/>
      </c>
      <c r="I12" s="61" t="str">
        <f t="shared" si="5"/>
        <v/>
      </c>
      <c r="J12" s="61" t="str">
        <f>IFERROR(IF(Table2[[#This Row],[L]]&lt;Table2[[#This Row],[W]],Table2[[#This Row],[W]],Table2[[#This Row],[L]]),"")</f>
        <v/>
      </c>
      <c r="K12" s="61" t="str">
        <f>IF(Table2[[#This Row],[L]]&lt;Table2[[#This Row],[W]],Table2[[#This Row],[L]],Table2[[#This Row],[W]])</f>
        <v/>
      </c>
      <c r="L12" s="61" t="str">
        <f t="shared" si="6"/>
        <v/>
      </c>
      <c r="M12" s="61" t="str">
        <f t="shared" si="7"/>
        <v/>
      </c>
      <c r="N12" s="61" t="str">
        <f t="shared" si="8"/>
        <v>XX</v>
      </c>
      <c r="O12" s="61" t="str">
        <f t="shared" si="11"/>
        <v>XX</v>
      </c>
      <c r="P12" s="61" t="str">
        <f>+CONCATENATE(Table2[[#This Row],[1]],Table2[[#This Row],[H]])</f>
        <v/>
      </c>
      <c r="Q12" s="61">
        <f>+Table1[[#This Row],[QTY]]</f>
        <v>0</v>
      </c>
      <c r="S12" s="60" t="str">
        <f>+Table2[[#This Row],[VARIETY]]</f>
        <v/>
      </c>
      <c r="T12" s="65">
        <f>IFERROR(Table2[[#This Row],[L]]-VLOOKUP(Table5[[#This Row],[VARIETY ]],MASTER!$B:$E,4,0),0)</f>
        <v>0</v>
      </c>
      <c r="U12" s="65">
        <f>IFERROR(Table2[[#This Row],[W]]-VLOOKUP(Table5[[#This Row],[VARIETY ]],MASTER!$B:$F,5,0),0)</f>
        <v>0</v>
      </c>
      <c r="V12" s="65">
        <f>IFERROR(IF(VLOOKUP(Table5[[#This Row],[VARIETY ]],MASTER!$B:$M,12,0)=0,0,(Table2[[#This Row],[L]]-VLOOKUP(Table5[[#This Row],[VARIETY ]],MASTER!$B:$M,12,0))),0)</f>
        <v>0</v>
      </c>
      <c r="W12" s="66">
        <f>IFERROR(IF(VLOOKUP(Table5[[#This Row],[VARIETY ]],MASTER!$B:$N,13,0)=0,0,(Table2[[#This Row],[W]]-VLOOKUP(Table5[[#This Row],[VARIETY ]],MASTER!$B:$N,13,0))),0)</f>
        <v>0</v>
      </c>
      <c r="X12" s="67">
        <v>11</v>
      </c>
      <c r="Y12" s="70" t="str">
        <f>IFERROR(IF(VLOOKUP(S12,MASTER!$B:$I,8,0)="40MM",((CONCATENATE(VLOOKUP(S12,MASTER!$B:$H,7,0),T12,"X",VLOOKUP(S12,MASTER!$B:$G,6,0),"X",VLOOKUP(S12,MASTER!$B:$I,8,0)))),(CONCATENATE(VLOOKUP(S12,MASTER!$B:$H,7,0),T12,"X",VLOOKUP(S12,MASTER!$B:$G,6,0),"X",VLOOKUP(S12,MASTER!$B:$I,8,0)))),"")</f>
        <v/>
      </c>
      <c r="Z12" s="71">
        <f>Table2[[#This Row],[QTY]]*2</f>
        <v>0</v>
      </c>
      <c r="AA12" s="71" t="str">
        <f>IFERROR(IF(VLOOKUP(S12,MASTER!$B:$I,8,0)="40MM",((CONCATENATE(VLOOKUP(S12,MASTER!$B:$H,7,0),U12,"X",VLOOKUP(S12,MASTER!$B:$G,6,0),"X",VLOOKUP(S12,MASTER!$B:$I,8,0)))),((CONCATENATE(VLOOKUP(S12,MASTER!$B:$H,7,0),U12,"X",VLOOKUP(S12,MASTER!$B:$G,6,0),"X",VLOOKUP(S12,MASTER!$B:$I,8,0))))),"")</f>
        <v/>
      </c>
      <c r="AB12" s="71">
        <f>+Table2[[#This Row],[QTY]]*2</f>
        <v>0</v>
      </c>
      <c r="AC12" s="71" t="str">
        <f>IF(OR(S12=MASTER!$B$2,S12=MASTER!$B$3,S12=MASTER!$B$4,S12=MASTER!$B$5,S12=MASTER!$B$6,S12=MASTER!$B$7,S12=MASTER!$B$8,S12=MASTER!$B$9,S12=MASTER!$B$10,S12=MASTER!$B$11,S12=MASTER!$B$12,S12=MASTER!$B$13,S12=MASTER!$B$93,S12=MASTER!$B$94,S12=MASTER!$B$128,S12=MASTER!$B$129,S12=MASTER!$B$130,S12=MASTER!$B$131,S12=MASTER!$B$132,S12=MASTER!$B$136,S12=MASTER!$B$137),(CONCATENATE(VLOOKUP(S12,MASTER!$B:$J,9,0),Table5[[#This Row],[TOP FOAM/REBOUND LENGTH]],"X",Table5[[#This Row],[TOP FOAM / REBOUND WIDTH]],"X",VLOOKUP(Table5[[#This Row],[VARIETY ]],MASTER!$B:$K,10,0))),"")</f>
        <v/>
      </c>
      <c r="AD12" s="71">
        <f>+Table2[[#This Row],[QTY]]*1</f>
        <v>0</v>
      </c>
      <c r="AE12" s="71" t="str">
        <f>IF(OR(S12=MASTER!$B$2,S12=MASTER!$B$3,S12=MASTER!$B$4,S12=MASTER!$B$5,S12=MASTER!$B$6,S12=MASTER!$B$7,S12=MASTER!$B$8,S12=MASTER!$B$9,S12=MASTER!$B$136,S12=MASTER!$B$10,S12=MASTER!$B$11,S12=MASTER!$B$12,S12=MASTER!$B$13,S12=MASTER!$B$2,S12=MASTER!$B$132,S12=MASTER!$B$137),(CONCATENATE(VLOOKUP(S12,MASTER!$B:$J,9,0),Table5[[#This Row],[TOP FOAM/REBOUND LENGTH]],"X",Table5[[#This Row],[TOP FOAM / REBOUND WIDTH]],"X",VLOOKUP(Table5[[#This Row],[VARIETY ]],MASTER!$B:$L,11,0))),"")</f>
        <v/>
      </c>
      <c r="AF12" s="72">
        <f>+Table2[[#This Row],[QTY]]*1</f>
        <v>0</v>
      </c>
      <c r="AH12" s="60" t="str">
        <f>+Table2[[#This Row],[VARIETY]]</f>
        <v/>
      </c>
      <c r="AI12" s="65">
        <f>IFERROR(Table2[[#This Row],[STD-L]]-VLOOKUP(AH12,MASTER!$B:$E,4,0),0)</f>
        <v>0</v>
      </c>
      <c r="AJ12" s="65">
        <f>IFERROR(Table2[[#This Row],[STD-W]]-VLOOKUP(AH12,MASTER!$B:$F,5,0),0)</f>
        <v>0</v>
      </c>
      <c r="AK12" s="65" t="str">
        <f t="shared" si="9"/>
        <v/>
      </c>
      <c r="AL12" s="66" t="str">
        <f t="shared" si="10"/>
        <v/>
      </c>
      <c r="AN12" s="75" t="str">
        <f>IFERROR(CONCATENATE(VLOOKUP(AH12,MASTER!$B:$H,7,0),Table510[[#This Row],[ACTUAL  LENGTH]],"0X",VLOOKUP(AH12,MASTER!$B:$G,6,0),"X",VLOOKUP(AH12,MASTER!$B:$I,8,0)),"")</f>
        <v/>
      </c>
      <c r="AO12" s="71" t="str">
        <f>IFERROR(((VLOOKUP(Table611[[#This Row],[LENGTHSIZE]],'ALL NEW ITEM '!$E:$F,2,0)*2)*Q12),"")</f>
        <v/>
      </c>
      <c r="AP12" s="71" t="str">
        <f>IFERROR(IF(VLOOKUP(AH12,MASTER!$B:$I,8,0)="40MM",(CONCATENATE(VLOOKUP(AH12,MASTER!$B:$H,7,0),Table510[[#This Row],[ACTUAL WIDTH]],"0X",VLOOKUP(AH12,MASTER!$B:$G,6,0),"X",VLOOKUP(AH12,MASTER!$B:$I,8,0))),(CONCATENATE(VLOOKUP(AH12,MASTER!$B:$H,7,0),Table510[[#This Row],[ACTUAL WIDTH]],"X",VLOOKUP(AH12,MASTER!$B:$G,6,0),"X",VLOOKUP(AH12,MASTER!$B:$I,8,0)))),"")</f>
        <v/>
      </c>
      <c r="AQ12" s="71" t="str">
        <f>+IFERROR(((VLOOKUP(AP12,'ALL NEW ITEM '!$E:$F,2,0)*2)*Table2[[#This Row],[QTY]]),"")</f>
        <v/>
      </c>
      <c r="AR12" s="71" t="str">
        <f>IF(OR(AH12=MASTER!$B$2,AH12=MASTER!$B$3,AH12=MASTER!$B$4,AH12=MASTER!$B$5,AH12=MASTER!$B$6,AH12=MASTER!$B$128,AH12=MASTER!$B$129,AH12=MASTER!$B$130,AH12=MASTER!$B$131,AH12=MASTER!$B$132,AH12=MASTER!$B$133,AH12=MASTER!$B$134,AH12=MASTER!$B$135,AH12=MASTER!$B$136,AH12=MASTER!$B$137),(CONCATENATE(VLOOKUP(AH12,MASTER!$B:$J,9,0),AK12,"0X",AL12,"0X",VLOOKUP(Table5[[#This Row],[VARIETY ]],MASTER!$B:$K,10,0))),"")</f>
        <v/>
      </c>
      <c r="AS12" s="71" t="str">
        <f>IFERROR(VLOOKUP(AR12,'ALL NEW ITEM '!$E:$F,2,0)*Q12,"")</f>
        <v/>
      </c>
      <c r="AT12" s="71" t="str">
        <f>IF(OR(AH12=MASTER!$B$2,AH12=MASTER!$B$3,AH12=MASTER!$B$4,AH12=MASTER!$B$5,AH12=MASTER!$B$6,AH12=MASTER!$B$2,AH12=MASTER!$B$132,AH12=MASTER!$B$135,AH12=MASTER!$B$136,AH12=MASTER!$B$137),(CONCATENATE(VLOOKUP(AH12,MASTER!$B:$J,9,0),AK12,"0X",AL12,"0X",VLOOKUP(Table5[[#This Row],[VARIETY ]],MASTER!$B:$L,11,0))),"")</f>
        <v/>
      </c>
      <c r="AU12" s="72" t="str">
        <f>IFERROR(VLOOKUP(Table611[[#This Row],[TOPFOAM/REBOUND14]],'ALL NEW ITEM '!$E:$F,2,0)*Q12,"")</f>
        <v/>
      </c>
    </row>
    <row r="13" spans="1:47">
      <c r="A13" s="60">
        <f t="shared" si="12"/>
        <v>12</v>
      </c>
      <c r="B13" s="60" t="str">
        <f>LEFT(Table1[[#This Row],[ITEM CODE]],MIN(FIND({0,1,2,3,4,5,6,7,8,9},Table1[[#This Row],[ITEM CODE]]&amp;"0123456789"))-1)</f>
        <v/>
      </c>
      <c r="C13" s="61" t="str">
        <f>SUBSTITUTE(Table1[[#This Row],[ITEM CODE]],B13,"")</f>
        <v/>
      </c>
      <c r="D13" s="61" t="str">
        <f t="shared" si="0"/>
        <v/>
      </c>
      <c r="E13" s="61" t="str">
        <f t="shared" si="1"/>
        <v/>
      </c>
      <c r="F13" s="61" t="str">
        <f t="shared" si="2"/>
        <v/>
      </c>
      <c r="G13" s="61" t="str">
        <f t="shared" si="3"/>
        <v/>
      </c>
      <c r="H13" s="61" t="str">
        <f t="shared" si="4"/>
        <v/>
      </c>
      <c r="I13" s="61" t="str">
        <f t="shared" si="5"/>
        <v/>
      </c>
      <c r="J13" s="61" t="str">
        <f>IFERROR(IF(Table2[[#This Row],[L]]&lt;Table2[[#This Row],[W]],Table2[[#This Row],[W]],Table2[[#This Row],[L]]),"")</f>
        <v/>
      </c>
      <c r="K13" s="61" t="str">
        <f>IF(Table2[[#This Row],[L]]&lt;Table2[[#This Row],[W]],Table2[[#This Row],[L]],Table2[[#This Row],[W]])</f>
        <v/>
      </c>
      <c r="L13" s="61" t="str">
        <f t="shared" si="6"/>
        <v/>
      </c>
      <c r="M13" s="61" t="str">
        <f t="shared" si="7"/>
        <v/>
      </c>
      <c r="N13" s="61" t="str">
        <f t="shared" si="8"/>
        <v>XX</v>
      </c>
      <c r="O13" s="61" t="str">
        <f t="shared" si="11"/>
        <v>XX</v>
      </c>
      <c r="P13" s="61" t="str">
        <f>+CONCATENATE(Table2[[#This Row],[1]],Table2[[#This Row],[H]])</f>
        <v/>
      </c>
      <c r="Q13" s="61">
        <f>+Table1[[#This Row],[QTY]]</f>
        <v>0</v>
      </c>
      <c r="S13" s="60" t="str">
        <f>+Table2[[#This Row],[VARIETY]]</f>
        <v/>
      </c>
      <c r="T13" s="65">
        <f>IFERROR(Table2[[#This Row],[L]]-VLOOKUP(Table5[[#This Row],[VARIETY ]],MASTER!$B:$E,4,0),0)</f>
        <v>0</v>
      </c>
      <c r="U13" s="65">
        <f>IFERROR(Table2[[#This Row],[W]]-VLOOKUP(Table5[[#This Row],[VARIETY ]],MASTER!$B:$F,5,0),0)</f>
        <v>0</v>
      </c>
      <c r="V13" s="65">
        <f>IFERROR(IF(VLOOKUP(Table5[[#This Row],[VARIETY ]],MASTER!$B:$M,12,0)=0,0,(Table2[[#This Row],[L]]-VLOOKUP(Table5[[#This Row],[VARIETY ]],MASTER!$B:$M,12,0))),0)</f>
        <v>0</v>
      </c>
      <c r="W13" s="66">
        <f>IFERROR(IF(VLOOKUP(Table5[[#This Row],[VARIETY ]],MASTER!$B:$N,13,0)=0,0,(Table2[[#This Row],[W]]-VLOOKUP(Table5[[#This Row],[VARIETY ]],MASTER!$B:$N,13,0))),0)</f>
        <v>0</v>
      </c>
      <c r="X13" s="65">
        <v>12</v>
      </c>
      <c r="Y13" s="70" t="str">
        <f>IFERROR(IF(VLOOKUP(S13,MASTER!$B:$I,8,0)="40MM",((CONCATENATE(VLOOKUP(S13,MASTER!$B:$H,7,0),T13,"X",VLOOKUP(S13,MASTER!$B:$G,6,0),"X",VLOOKUP(S13,MASTER!$B:$I,8,0)))),(CONCATENATE(VLOOKUP(S13,MASTER!$B:$H,7,0),T13,"X",VLOOKUP(S13,MASTER!$B:$G,6,0),"X",VLOOKUP(S13,MASTER!$B:$I,8,0)))),"")</f>
        <v/>
      </c>
      <c r="Z13" s="71">
        <f>Table2[[#This Row],[QTY]]*2</f>
        <v>0</v>
      </c>
      <c r="AA13" s="71" t="str">
        <f>IFERROR(IF(VLOOKUP(S13,MASTER!$B:$I,8,0)="40MM",((CONCATENATE(VLOOKUP(S13,MASTER!$B:$H,7,0),U13,"X",VLOOKUP(S13,MASTER!$B:$G,6,0),"X",VLOOKUP(S13,MASTER!$B:$I,8,0)))),((CONCATENATE(VLOOKUP(S13,MASTER!$B:$H,7,0),U13,"X",VLOOKUP(S13,MASTER!$B:$G,6,0),"X",VLOOKUP(S13,MASTER!$B:$I,8,0))))),"")</f>
        <v/>
      </c>
      <c r="AB13" s="71">
        <f>+Table2[[#This Row],[QTY]]*2</f>
        <v>0</v>
      </c>
      <c r="AC13" s="71" t="str">
        <f>IF(OR(S13=MASTER!$B$2,S13=MASTER!$B$3,S13=MASTER!$B$4,S13=MASTER!$B$5,S13=MASTER!$B$6,S13=MASTER!$B$7,S13=MASTER!$B$8,S13=MASTER!$B$9,S13=MASTER!$B$10,S13=MASTER!$B$11,S13=MASTER!$B$12,S13=MASTER!$B$13,S13=MASTER!$B$93,S13=MASTER!$B$94,S13=MASTER!$B$128,S13=MASTER!$B$129,S13=MASTER!$B$130,S13=MASTER!$B$131,S13=MASTER!$B$132,S13=MASTER!$B$136,S13=MASTER!$B$137),(CONCATENATE(VLOOKUP(S13,MASTER!$B:$J,9,0),Table5[[#This Row],[TOP FOAM/REBOUND LENGTH]],"X",Table5[[#This Row],[TOP FOAM / REBOUND WIDTH]],"X",VLOOKUP(Table5[[#This Row],[VARIETY ]],MASTER!$B:$K,10,0))),"")</f>
        <v/>
      </c>
      <c r="AD13" s="71">
        <f>+Table2[[#This Row],[QTY]]*1</f>
        <v>0</v>
      </c>
      <c r="AE13" s="71" t="str">
        <f>IF(OR(S13=MASTER!$B$2,S13=MASTER!$B$3,S13=MASTER!$B$4,S13=MASTER!$B$5,S13=MASTER!$B$6,S13=MASTER!$B$7,S13=MASTER!$B$8,S13=MASTER!$B$9,S13=MASTER!$B$136,S13=MASTER!$B$10,S13=MASTER!$B$11,S13=MASTER!$B$12,S13=MASTER!$B$13,S13=MASTER!$B$2,S13=MASTER!$B$132,S13=MASTER!$B$137),(CONCATENATE(VLOOKUP(S13,MASTER!$B:$J,9,0),Table5[[#This Row],[TOP FOAM/REBOUND LENGTH]],"X",Table5[[#This Row],[TOP FOAM / REBOUND WIDTH]],"X",VLOOKUP(Table5[[#This Row],[VARIETY ]],MASTER!$B:$L,11,0))),"")</f>
        <v/>
      </c>
      <c r="AF13" s="72">
        <f>+Table2[[#This Row],[QTY]]*1</f>
        <v>0</v>
      </c>
      <c r="AH13" s="60" t="str">
        <f>+Table2[[#This Row],[VARIETY]]</f>
        <v/>
      </c>
      <c r="AI13" s="65">
        <f>IFERROR(Table2[[#This Row],[STD-L]]-VLOOKUP(AH13,MASTER!$B:$E,4,0),0)</f>
        <v>0</v>
      </c>
      <c r="AJ13" s="65">
        <f>IFERROR(Table2[[#This Row],[STD-W]]-VLOOKUP(AH13,MASTER!$B:$F,5,0),0)</f>
        <v>0</v>
      </c>
      <c r="AK13" s="65" t="str">
        <f t="shared" si="9"/>
        <v/>
      </c>
      <c r="AL13" s="66" t="str">
        <f t="shared" si="10"/>
        <v/>
      </c>
      <c r="AN13" s="75" t="str">
        <f>IFERROR(CONCATENATE(VLOOKUP(AH13,MASTER!$B:$H,7,0),Table510[[#This Row],[ACTUAL  LENGTH]],"0X",VLOOKUP(AH13,MASTER!$B:$G,6,0),"X",VLOOKUP(AH13,MASTER!$B:$I,8,0)),"")</f>
        <v/>
      </c>
      <c r="AO13" s="71" t="str">
        <f>IFERROR(((VLOOKUP(Table611[[#This Row],[LENGTHSIZE]],'ALL NEW ITEM '!$E:$F,2,0)*2)*Q13),"")</f>
        <v/>
      </c>
      <c r="AP13" s="71" t="str">
        <f>IFERROR(IF(VLOOKUP(AH13,MASTER!$B:$I,8,0)="40MM",(CONCATENATE(VLOOKUP(AH13,MASTER!$B:$H,7,0),Table510[[#This Row],[ACTUAL WIDTH]],"0X",VLOOKUP(AH13,MASTER!$B:$G,6,0),"X",VLOOKUP(AH13,MASTER!$B:$I,8,0))),(CONCATENATE(VLOOKUP(AH13,MASTER!$B:$H,7,0),Table510[[#This Row],[ACTUAL WIDTH]],"X",VLOOKUP(AH13,MASTER!$B:$G,6,0),"X",VLOOKUP(AH13,MASTER!$B:$I,8,0)))),"")</f>
        <v/>
      </c>
      <c r="AQ13" s="71" t="str">
        <f>+IFERROR(((VLOOKUP(AP13,'ALL NEW ITEM '!$E:$F,2,0)*2)*Table2[[#This Row],[QTY]]),"")</f>
        <v/>
      </c>
      <c r="AR13" s="71" t="str">
        <f>IF(OR(AH13=MASTER!$B$2,AH13=MASTER!$B$3,AH13=MASTER!$B$4,AH13=MASTER!$B$5,AH13=MASTER!$B$6,AH13=MASTER!$B$128,AH13=MASTER!$B$129,AH13=MASTER!$B$130,AH13=MASTER!$B$131,AH13=MASTER!$B$132,AH13=MASTER!$B$133,AH13=MASTER!$B$134,AH13=MASTER!$B$135,AH13=MASTER!$B$136,AH13=MASTER!$B$137),(CONCATENATE(VLOOKUP(AH13,MASTER!$B:$J,9,0),AK13,"0X",AL13,"0X",VLOOKUP(Table5[[#This Row],[VARIETY ]],MASTER!$B:$K,10,0))),"")</f>
        <v/>
      </c>
      <c r="AS13" s="71" t="str">
        <f>IFERROR(VLOOKUP(AR13,'ALL NEW ITEM '!$E:$F,2,0)*Q13,"")</f>
        <v/>
      </c>
      <c r="AT13" s="71" t="str">
        <f>IF(OR(AH13=MASTER!$B$2,AH13=MASTER!$B$3,AH13=MASTER!$B$4,AH13=MASTER!$B$5,AH13=MASTER!$B$6,AH13=MASTER!$B$2,AH13=MASTER!$B$132,AH13=MASTER!$B$135,AH13=MASTER!$B$136,AH13=MASTER!$B$137),(CONCATENATE(VLOOKUP(AH13,MASTER!$B:$J,9,0),AK13,"0X",AL13,"0X",VLOOKUP(Table5[[#This Row],[VARIETY ]],MASTER!$B:$L,11,0))),"")</f>
        <v/>
      </c>
      <c r="AU13" s="72" t="str">
        <f>IFERROR(VLOOKUP(Table611[[#This Row],[TOPFOAM/REBOUND14]],'ALL NEW ITEM '!$E:$F,2,0)*Q13,"")</f>
        <v/>
      </c>
    </row>
    <row r="14" spans="1:47">
      <c r="A14" s="60">
        <f t="shared" si="12"/>
        <v>13</v>
      </c>
      <c r="B14" s="60" t="str">
        <f>LEFT(Table1[[#This Row],[ITEM CODE]],MIN(FIND({0,1,2,3,4,5,6,7,8,9},Table1[[#This Row],[ITEM CODE]]&amp;"0123456789"))-1)</f>
        <v/>
      </c>
      <c r="C14" s="61" t="str">
        <f>SUBSTITUTE(Table1[[#This Row],[ITEM CODE]],B14,"")</f>
        <v/>
      </c>
      <c r="D14" s="61" t="str">
        <f t="shared" si="0"/>
        <v/>
      </c>
      <c r="E14" s="61" t="str">
        <f t="shared" si="1"/>
        <v/>
      </c>
      <c r="F14" s="61" t="str">
        <f t="shared" si="2"/>
        <v/>
      </c>
      <c r="G14" s="61" t="str">
        <f t="shared" si="3"/>
        <v/>
      </c>
      <c r="H14" s="61" t="str">
        <f t="shared" si="4"/>
        <v/>
      </c>
      <c r="I14" s="61" t="str">
        <f t="shared" si="5"/>
        <v/>
      </c>
      <c r="J14" s="61" t="str">
        <f>IFERROR(IF(Table2[[#This Row],[L]]&lt;Table2[[#This Row],[W]],Table2[[#This Row],[W]],Table2[[#This Row],[L]]),"")</f>
        <v/>
      </c>
      <c r="K14" s="61" t="str">
        <f>IF(Table2[[#This Row],[L]]&lt;Table2[[#This Row],[W]],Table2[[#This Row],[L]],Table2[[#This Row],[W]])</f>
        <v/>
      </c>
      <c r="L14" s="61" t="str">
        <f t="shared" si="6"/>
        <v/>
      </c>
      <c r="M14" s="61" t="str">
        <f t="shared" si="7"/>
        <v/>
      </c>
      <c r="N14" s="61" t="str">
        <f t="shared" si="8"/>
        <v>XX</v>
      </c>
      <c r="O14" s="61" t="str">
        <f t="shared" si="11"/>
        <v>XX</v>
      </c>
      <c r="P14" s="61" t="str">
        <f>+CONCATENATE(Table2[[#This Row],[1]],Table2[[#This Row],[H]])</f>
        <v/>
      </c>
      <c r="Q14" s="61">
        <f>+Table1[[#This Row],[QTY]]</f>
        <v>0</v>
      </c>
      <c r="S14" s="60" t="str">
        <f>+Table2[[#This Row],[VARIETY]]</f>
        <v/>
      </c>
      <c r="T14" s="65">
        <f>IFERROR(Table2[[#This Row],[L]]-VLOOKUP(Table5[[#This Row],[VARIETY ]],MASTER!$B:$E,4,0),0)</f>
        <v>0</v>
      </c>
      <c r="U14" s="65">
        <f>IFERROR(Table2[[#This Row],[W]]-VLOOKUP(Table5[[#This Row],[VARIETY ]],MASTER!$B:$F,5,0),0)</f>
        <v>0</v>
      </c>
      <c r="V14" s="65">
        <f>IFERROR(IF(VLOOKUP(Table5[[#This Row],[VARIETY ]],MASTER!$B:$M,12,0)=0,0,(Table2[[#This Row],[L]]-VLOOKUP(Table5[[#This Row],[VARIETY ]],MASTER!$B:$M,12,0))),0)</f>
        <v>0</v>
      </c>
      <c r="W14" s="66">
        <f>IFERROR(IF(VLOOKUP(Table5[[#This Row],[VARIETY ]],MASTER!$B:$N,13,0)=0,0,(Table2[[#This Row],[W]]-VLOOKUP(Table5[[#This Row],[VARIETY ]],MASTER!$B:$N,13,0))),0)</f>
        <v>0</v>
      </c>
      <c r="X14" s="67">
        <v>13</v>
      </c>
      <c r="Y14" s="70" t="str">
        <f>IFERROR(IF(VLOOKUP(S14,MASTER!$B:$I,8,0)="40MM",((CONCATENATE(VLOOKUP(S14,MASTER!$B:$H,7,0),T14,"X",VLOOKUP(S14,MASTER!$B:$G,6,0),"X",VLOOKUP(S14,MASTER!$B:$I,8,0)))),(CONCATENATE(VLOOKUP(S14,MASTER!$B:$H,7,0),T14,"X",VLOOKUP(S14,MASTER!$B:$G,6,0),"X",VLOOKUP(S14,MASTER!$B:$I,8,0)))),"")</f>
        <v/>
      </c>
      <c r="Z14" s="71">
        <f>Table2[[#This Row],[QTY]]*2</f>
        <v>0</v>
      </c>
      <c r="AA14" s="71" t="str">
        <f>IFERROR(IF(VLOOKUP(S14,MASTER!$B:$I,8,0)="40MM",((CONCATENATE(VLOOKUP(S14,MASTER!$B:$H,7,0),U14,"X",VLOOKUP(S14,MASTER!$B:$G,6,0),"X",VLOOKUP(S14,MASTER!$B:$I,8,0)))),((CONCATENATE(VLOOKUP(S14,MASTER!$B:$H,7,0),U14,"X",VLOOKUP(S14,MASTER!$B:$G,6,0),"X",VLOOKUP(S14,MASTER!$B:$I,8,0))))),"")</f>
        <v/>
      </c>
      <c r="AB14" s="71">
        <f>+Table2[[#This Row],[QTY]]*2</f>
        <v>0</v>
      </c>
      <c r="AC14" s="71" t="str">
        <f>IF(OR(S14=MASTER!$B$2,S14=MASTER!$B$3,S14=MASTER!$B$4,S14=MASTER!$B$5,S14=MASTER!$B$6,S14=MASTER!$B$7,S14=MASTER!$B$8,S14=MASTER!$B$9,S14=MASTER!$B$10,S14=MASTER!$B$11,S14=MASTER!$B$12,S14=MASTER!$B$13,S14=MASTER!$B$93,S14=MASTER!$B$94,S14=MASTER!$B$128,S14=MASTER!$B$129,S14=MASTER!$B$130,S14=MASTER!$B$131,S14=MASTER!$B$132,S14=MASTER!$B$136,S14=MASTER!$B$137),(CONCATENATE(VLOOKUP(S14,MASTER!$B:$J,9,0),Table5[[#This Row],[TOP FOAM/REBOUND LENGTH]],"X",Table5[[#This Row],[TOP FOAM / REBOUND WIDTH]],"X",VLOOKUP(Table5[[#This Row],[VARIETY ]],MASTER!$B:$K,10,0))),"")</f>
        <v/>
      </c>
      <c r="AD14" s="71">
        <f>+Table2[[#This Row],[QTY]]*1</f>
        <v>0</v>
      </c>
      <c r="AE14" s="71" t="str">
        <f>IF(OR(S14=MASTER!$B$2,S14=MASTER!$B$3,S14=MASTER!$B$4,S14=MASTER!$B$5,S14=MASTER!$B$6,S14=MASTER!$B$7,S14=MASTER!$B$8,S14=MASTER!$B$9,S14=MASTER!$B$136,S14=MASTER!$B$10,S14=MASTER!$B$11,S14=MASTER!$B$12,S14=MASTER!$B$13,S14=MASTER!$B$2,S14=MASTER!$B$132,S14=MASTER!$B$137),(CONCATENATE(VLOOKUP(S14,MASTER!$B:$J,9,0),Table5[[#This Row],[TOP FOAM/REBOUND LENGTH]],"X",Table5[[#This Row],[TOP FOAM / REBOUND WIDTH]],"X",VLOOKUP(Table5[[#This Row],[VARIETY ]],MASTER!$B:$L,11,0))),"")</f>
        <v/>
      </c>
      <c r="AF14" s="72">
        <f>+Table2[[#This Row],[QTY]]*1</f>
        <v>0</v>
      </c>
      <c r="AH14" s="60" t="str">
        <f>+Table2[[#This Row],[VARIETY]]</f>
        <v/>
      </c>
      <c r="AI14" s="65">
        <f>IFERROR(Table2[[#This Row],[STD-L]]-VLOOKUP(AH14,MASTER!$B:$E,4,0),0)</f>
        <v>0</v>
      </c>
      <c r="AJ14" s="65">
        <f>IFERROR(Table2[[#This Row],[STD-W]]-VLOOKUP(AH14,MASTER!$B:$F,5,0),0)</f>
        <v>0</v>
      </c>
      <c r="AK14" s="65" t="str">
        <f t="shared" si="9"/>
        <v/>
      </c>
      <c r="AL14" s="66" t="str">
        <f t="shared" si="10"/>
        <v/>
      </c>
      <c r="AN14" s="75" t="str">
        <f>IFERROR(CONCATENATE(VLOOKUP(AH14,MASTER!$B:$H,7,0),Table510[[#This Row],[ACTUAL  LENGTH]],"0X",VLOOKUP(AH14,MASTER!$B:$G,6,0),"X",VLOOKUP(AH14,MASTER!$B:$I,8,0)),"")</f>
        <v/>
      </c>
      <c r="AO14" s="71" t="str">
        <f>IFERROR(((VLOOKUP(Table611[[#This Row],[LENGTHSIZE]],'ALL NEW ITEM '!$E:$F,2,0)*2)*Q14),"")</f>
        <v/>
      </c>
      <c r="AP14" s="71" t="str">
        <f>IFERROR(IF(VLOOKUP(AH14,MASTER!$B:$I,8,0)="40MM",(CONCATENATE(VLOOKUP(AH14,MASTER!$B:$H,7,0),Table510[[#This Row],[ACTUAL WIDTH]],"0X",VLOOKUP(AH14,MASTER!$B:$G,6,0),"X",VLOOKUP(AH14,MASTER!$B:$I,8,0))),(CONCATENATE(VLOOKUP(AH14,MASTER!$B:$H,7,0),Table510[[#This Row],[ACTUAL WIDTH]],"X",VLOOKUP(AH14,MASTER!$B:$G,6,0),"X",VLOOKUP(AH14,MASTER!$B:$I,8,0)))),"")</f>
        <v/>
      </c>
      <c r="AQ14" s="71" t="str">
        <f>+IFERROR(((VLOOKUP(AP14,'ALL NEW ITEM '!$E:$F,2,0)*2)*Table2[[#This Row],[QTY]]),"")</f>
        <v/>
      </c>
      <c r="AR14" s="71" t="str">
        <f>IF(OR(AH14=MASTER!$B$2,AH14=MASTER!$B$3,AH14=MASTER!$B$4,AH14=MASTER!$B$5,AH14=MASTER!$B$6,AH14=MASTER!$B$128,AH14=MASTER!$B$129,AH14=MASTER!$B$130,AH14=MASTER!$B$131,AH14=MASTER!$B$132,AH14=MASTER!$B$133,AH14=MASTER!$B$134,AH14=MASTER!$B$135,AH14=MASTER!$B$136,AH14=MASTER!$B$137),(CONCATENATE(VLOOKUP(AH14,MASTER!$B:$J,9,0),AK14,"0X",AL14,"0X",VLOOKUP(Table5[[#This Row],[VARIETY ]],MASTER!$B:$K,10,0))),"")</f>
        <v/>
      </c>
      <c r="AS14" s="71" t="str">
        <f>IFERROR(VLOOKUP(AR14,'ALL NEW ITEM '!$E:$F,2,0)*Q14,"")</f>
        <v/>
      </c>
      <c r="AT14" s="71" t="str">
        <f>IF(OR(AH14=MASTER!$B$2,AH14=MASTER!$B$3,AH14=MASTER!$B$4,AH14=MASTER!$B$5,AH14=MASTER!$B$6,AH14=MASTER!$B$2,AH14=MASTER!$B$132,AH14=MASTER!$B$135,AH14=MASTER!$B$136,AH14=MASTER!$B$137),(CONCATENATE(VLOOKUP(AH14,MASTER!$B:$J,9,0),AK14,"0X",AL14,"0X",VLOOKUP(Table5[[#This Row],[VARIETY ]],MASTER!$B:$L,11,0))),"")</f>
        <v/>
      </c>
      <c r="AU14" s="72" t="str">
        <f>IFERROR(VLOOKUP(Table611[[#This Row],[TOPFOAM/REBOUND14]],'ALL NEW ITEM '!$E:$F,2,0)*Q14,"")</f>
        <v/>
      </c>
    </row>
    <row r="15" spans="1:47">
      <c r="A15" s="60">
        <f t="shared" si="12"/>
        <v>14</v>
      </c>
      <c r="B15" s="60" t="str">
        <f>LEFT(Table1[[#This Row],[ITEM CODE]],MIN(FIND({0,1,2,3,4,5,6,7,8,9},Table1[[#This Row],[ITEM CODE]]&amp;"0123456789"))-1)</f>
        <v/>
      </c>
      <c r="C15" s="61" t="str">
        <f>SUBSTITUTE(Table1[[#This Row],[ITEM CODE]],B15,"")</f>
        <v/>
      </c>
      <c r="D15" s="61" t="str">
        <f t="shared" si="0"/>
        <v/>
      </c>
      <c r="E15" s="61" t="str">
        <f t="shared" si="1"/>
        <v/>
      </c>
      <c r="F15" s="61" t="str">
        <f t="shared" si="2"/>
        <v/>
      </c>
      <c r="G15" s="61" t="str">
        <f t="shared" si="3"/>
        <v/>
      </c>
      <c r="H15" s="61" t="str">
        <f t="shared" si="4"/>
        <v/>
      </c>
      <c r="I15" s="61" t="str">
        <f t="shared" si="5"/>
        <v/>
      </c>
      <c r="J15" s="61" t="str">
        <f>IFERROR(IF(Table2[[#This Row],[L]]&lt;Table2[[#This Row],[W]],Table2[[#This Row],[W]],Table2[[#This Row],[L]]),"")</f>
        <v/>
      </c>
      <c r="K15" s="61" t="str">
        <f>IF(Table2[[#This Row],[L]]&lt;Table2[[#This Row],[W]],Table2[[#This Row],[L]],Table2[[#This Row],[W]])</f>
        <v/>
      </c>
      <c r="L15" s="61" t="str">
        <f t="shared" si="6"/>
        <v/>
      </c>
      <c r="M15" s="61" t="str">
        <f t="shared" si="7"/>
        <v/>
      </c>
      <c r="N15" s="61" t="str">
        <f t="shared" si="8"/>
        <v>XX</v>
      </c>
      <c r="O15" s="61" t="str">
        <f t="shared" si="11"/>
        <v>XX</v>
      </c>
      <c r="P15" s="61" t="str">
        <f>+CONCATENATE(Table2[[#This Row],[1]],Table2[[#This Row],[H]])</f>
        <v/>
      </c>
      <c r="Q15" s="61">
        <f>+Table1[[#This Row],[QTY]]</f>
        <v>0</v>
      </c>
      <c r="S15" s="60" t="str">
        <f>+Table2[[#This Row],[VARIETY]]</f>
        <v/>
      </c>
      <c r="T15" s="65">
        <f>IFERROR(Table2[[#This Row],[L]]-VLOOKUP(Table5[[#This Row],[VARIETY ]],MASTER!$B:$E,4,0),0)</f>
        <v>0</v>
      </c>
      <c r="U15" s="65">
        <f>IFERROR(Table2[[#This Row],[W]]-VLOOKUP(Table5[[#This Row],[VARIETY ]],MASTER!$B:$F,5,0),0)</f>
        <v>0</v>
      </c>
      <c r="V15" s="65">
        <f>IFERROR(IF(VLOOKUP(Table5[[#This Row],[VARIETY ]],MASTER!$B:$M,12,0)=0,0,(Table2[[#This Row],[L]]-VLOOKUP(Table5[[#This Row],[VARIETY ]],MASTER!$B:$M,12,0))),0)</f>
        <v>0</v>
      </c>
      <c r="W15" s="66">
        <f>IFERROR(IF(VLOOKUP(Table5[[#This Row],[VARIETY ]],MASTER!$B:$N,13,0)=0,0,(Table2[[#This Row],[W]]-VLOOKUP(Table5[[#This Row],[VARIETY ]],MASTER!$B:$N,13,0))),0)</f>
        <v>0</v>
      </c>
      <c r="X15" s="65">
        <v>14</v>
      </c>
      <c r="Y15" s="70" t="str">
        <f>IFERROR(IF(VLOOKUP(S15,MASTER!$B:$I,8,0)="40MM",((CONCATENATE(VLOOKUP(S15,MASTER!$B:$H,7,0),T15,"X",VLOOKUP(S15,MASTER!$B:$G,6,0),"X",VLOOKUP(S15,MASTER!$B:$I,8,0)))),(CONCATENATE(VLOOKUP(S15,MASTER!$B:$H,7,0),T15,"X",VLOOKUP(S15,MASTER!$B:$G,6,0),"X",VLOOKUP(S15,MASTER!$B:$I,8,0)))),"")</f>
        <v/>
      </c>
      <c r="Z15" s="71">
        <f>Table2[[#This Row],[QTY]]*2</f>
        <v>0</v>
      </c>
      <c r="AA15" s="71" t="str">
        <f>IFERROR(IF(VLOOKUP(S15,MASTER!$B:$I,8,0)="40MM",((CONCATENATE(VLOOKUP(S15,MASTER!$B:$H,7,0),U15,"X",VLOOKUP(S15,MASTER!$B:$G,6,0),"X",VLOOKUP(S15,MASTER!$B:$I,8,0)))),((CONCATENATE(VLOOKUP(S15,MASTER!$B:$H,7,0),U15,"X",VLOOKUP(S15,MASTER!$B:$G,6,0),"X",VLOOKUP(S15,MASTER!$B:$I,8,0))))),"")</f>
        <v/>
      </c>
      <c r="AB15" s="71">
        <f>+Table2[[#This Row],[QTY]]*2</f>
        <v>0</v>
      </c>
      <c r="AC15" s="71" t="str">
        <f>IF(OR(S15=MASTER!$B$2,S15=MASTER!$B$3,S15=MASTER!$B$4,S15=MASTER!$B$5,S15=MASTER!$B$6,S15=MASTER!$B$7,S15=MASTER!$B$8,S15=MASTER!$B$9,S15=MASTER!$B$10,S15=MASTER!$B$11,S15=MASTER!$B$12,S15=MASTER!$B$13,S15=MASTER!$B$93,S15=MASTER!$B$94,S15=MASTER!$B$128,S15=MASTER!$B$129,S15=MASTER!$B$130,S15=MASTER!$B$131,S15=MASTER!$B$132,S15=MASTER!$B$136,S15=MASTER!$B$137),(CONCATENATE(VLOOKUP(S15,MASTER!$B:$J,9,0),Table5[[#This Row],[TOP FOAM/REBOUND LENGTH]],"X",Table5[[#This Row],[TOP FOAM / REBOUND WIDTH]],"X",VLOOKUP(Table5[[#This Row],[VARIETY ]],MASTER!$B:$K,10,0))),"")</f>
        <v/>
      </c>
      <c r="AD15" s="71">
        <f>+Table2[[#This Row],[QTY]]*1</f>
        <v>0</v>
      </c>
      <c r="AE15" s="71" t="str">
        <f>IF(OR(S15=MASTER!$B$2,S15=MASTER!$B$3,S15=MASTER!$B$4,S15=MASTER!$B$5,S15=MASTER!$B$6,S15=MASTER!$B$7,S15=MASTER!$B$8,S15=MASTER!$B$9,S15=MASTER!$B$136,S15=MASTER!$B$10,S15=MASTER!$B$11,S15=MASTER!$B$12,S15=MASTER!$B$13,S15=MASTER!$B$2,S15=MASTER!$B$132,S15=MASTER!$B$137),(CONCATENATE(VLOOKUP(S15,MASTER!$B:$J,9,0),Table5[[#This Row],[TOP FOAM/REBOUND LENGTH]],"X",Table5[[#This Row],[TOP FOAM / REBOUND WIDTH]],"X",VLOOKUP(Table5[[#This Row],[VARIETY ]],MASTER!$B:$L,11,0))),"")</f>
        <v/>
      </c>
      <c r="AF15" s="72">
        <f>+Table2[[#This Row],[QTY]]*1</f>
        <v>0</v>
      </c>
      <c r="AH15" s="60" t="str">
        <f>+Table2[[#This Row],[VARIETY]]</f>
        <v/>
      </c>
      <c r="AI15" s="65">
        <f>IFERROR(Table2[[#This Row],[STD-L]]-VLOOKUP(AH15,MASTER!$B:$E,4,0),0)</f>
        <v>0</v>
      </c>
      <c r="AJ15" s="65">
        <f>IFERROR(Table2[[#This Row],[STD-W]]-VLOOKUP(AH15,MASTER!$B:$F,5,0),0)</f>
        <v>0</v>
      </c>
      <c r="AK15" s="65" t="str">
        <f t="shared" si="9"/>
        <v/>
      </c>
      <c r="AL15" s="66" t="str">
        <f t="shared" si="10"/>
        <v/>
      </c>
      <c r="AN15" s="75" t="str">
        <f>IFERROR(CONCATENATE(VLOOKUP(AH15,MASTER!$B:$H,7,0),Table510[[#This Row],[ACTUAL  LENGTH]],"0X",VLOOKUP(AH15,MASTER!$B:$G,6,0),"X",VLOOKUP(AH15,MASTER!$B:$I,8,0)),"")</f>
        <v/>
      </c>
      <c r="AO15" s="71" t="str">
        <f>IFERROR(((VLOOKUP(Table611[[#This Row],[LENGTHSIZE]],'ALL NEW ITEM '!$E:$F,2,0)*2)*Q15),"")</f>
        <v/>
      </c>
      <c r="AP15" s="71" t="str">
        <f>IFERROR(IF(VLOOKUP(AH15,MASTER!$B:$I,8,0)="40MM",(CONCATENATE(VLOOKUP(AH15,MASTER!$B:$H,7,0),Table510[[#This Row],[ACTUAL WIDTH]],"0X",VLOOKUP(AH15,MASTER!$B:$G,6,0),"X",VLOOKUP(AH15,MASTER!$B:$I,8,0))),(CONCATENATE(VLOOKUP(AH15,MASTER!$B:$H,7,0),Table510[[#This Row],[ACTUAL WIDTH]],"X",VLOOKUP(AH15,MASTER!$B:$G,6,0),"X",VLOOKUP(AH15,MASTER!$B:$I,8,0)))),"")</f>
        <v/>
      </c>
      <c r="AQ15" s="71" t="str">
        <f>+IFERROR(((VLOOKUP(AP15,'ALL NEW ITEM '!$E:$F,2,0)*2)*Table2[[#This Row],[QTY]]),"")</f>
        <v/>
      </c>
      <c r="AR15" s="71" t="str">
        <f>IF(OR(AH15=MASTER!$B$2,AH15=MASTER!$B$3,AH15=MASTER!$B$4,AH15=MASTER!$B$5,AH15=MASTER!$B$6,AH15=MASTER!$B$128,AH15=MASTER!$B$129,AH15=MASTER!$B$130,AH15=MASTER!$B$131,AH15=MASTER!$B$132,AH15=MASTER!$B$133,AH15=MASTER!$B$134,AH15=MASTER!$B$135,AH15=MASTER!$B$136,AH15=MASTER!$B$137),(CONCATENATE(VLOOKUP(AH15,MASTER!$B:$J,9,0),AK15,"0X",AL15,"0X",VLOOKUP(Table5[[#This Row],[VARIETY ]],MASTER!$B:$K,10,0))),"")</f>
        <v/>
      </c>
      <c r="AS15" s="71" t="str">
        <f>IFERROR(VLOOKUP(AR15,'ALL NEW ITEM '!$E:$F,2,0)*Q15,"")</f>
        <v/>
      </c>
      <c r="AT15" s="71" t="str">
        <f>IF(OR(AH15=MASTER!$B$2,AH15=MASTER!$B$3,AH15=MASTER!$B$4,AH15=MASTER!$B$5,AH15=MASTER!$B$6,AH15=MASTER!$B$2,AH15=MASTER!$B$132,AH15=MASTER!$B$135,AH15=MASTER!$B$136,AH15=MASTER!$B$137),(CONCATENATE(VLOOKUP(AH15,MASTER!$B:$J,9,0),AK15,"0X",AL15,"0X",VLOOKUP(Table5[[#This Row],[VARIETY ]],MASTER!$B:$L,11,0))),"")</f>
        <v/>
      </c>
      <c r="AU15" s="72" t="str">
        <f>IFERROR(VLOOKUP(Table611[[#This Row],[TOPFOAM/REBOUND14]],'ALL NEW ITEM '!$E:$F,2,0)*Q15,"")</f>
        <v/>
      </c>
    </row>
    <row r="16" spans="1:47">
      <c r="A16" s="60">
        <f t="shared" si="12"/>
        <v>15</v>
      </c>
      <c r="B16" s="60" t="str">
        <f>LEFT(Table1[[#This Row],[ITEM CODE]],MIN(FIND({0,1,2,3,4,5,6,7,8,9},Table1[[#This Row],[ITEM CODE]]&amp;"0123456789"))-1)</f>
        <v/>
      </c>
      <c r="C16" s="61" t="str">
        <f>SUBSTITUTE(Table1[[#This Row],[ITEM CODE]],B16,"")</f>
        <v/>
      </c>
      <c r="D16" s="61" t="str">
        <f t="shared" si="0"/>
        <v/>
      </c>
      <c r="E16" s="61" t="str">
        <f t="shared" si="1"/>
        <v/>
      </c>
      <c r="F16" s="61" t="str">
        <f t="shared" si="2"/>
        <v/>
      </c>
      <c r="G16" s="61" t="str">
        <f t="shared" si="3"/>
        <v/>
      </c>
      <c r="H16" s="61" t="str">
        <f t="shared" si="4"/>
        <v/>
      </c>
      <c r="I16" s="61" t="str">
        <f t="shared" si="5"/>
        <v/>
      </c>
      <c r="J16" s="61" t="str">
        <f>IFERROR(IF(Table2[[#This Row],[L]]&lt;Table2[[#This Row],[W]],Table2[[#This Row],[W]],Table2[[#This Row],[L]]),"")</f>
        <v/>
      </c>
      <c r="K16" s="61" t="str">
        <f>IF(Table2[[#This Row],[L]]&lt;Table2[[#This Row],[W]],Table2[[#This Row],[L]],Table2[[#This Row],[W]])</f>
        <v/>
      </c>
      <c r="L16" s="61" t="str">
        <f t="shared" si="6"/>
        <v/>
      </c>
      <c r="M16" s="61" t="str">
        <f t="shared" si="7"/>
        <v/>
      </c>
      <c r="N16" s="61" t="str">
        <f t="shared" si="8"/>
        <v>XX</v>
      </c>
      <c r="O16" s="61" t="str">
        <f t="shared" si="11"/>
        <v>XX</v>
      </c>
      <c r="P16" s="61" t="str">
        <f>+CONCATENATE(Table2[[#This Row],[1]],Table2[[#This Row],[H]])</f>
        <v/>
      </c>
      <c r="Q16" s="61">
        <f>+Table1[[#This Row],[QTY]]</f>
        <v>0</v>
      </c>
      <c r="S16" s="60" t="str">
        <f>+Table2[[#This Row],[VARIETY]]</f>
        <v/>
      </c>
      <c r="T16" s="65">
        <f>IFERROR(Table2[[#This Row],[L]]-VLOOKUP(Table5[[#This Row],[VARIETY ]],MASTER!$B:$E,4,0),0)</f>
        <v>0</v>
      </c>
      <c r="U16" s="65">
        <f>IFERROR(Table2[[#This Row],[W]]-VLOOKUP(Table5[[#This Row],[VARIETY ]],MASTER!$B:$F,5,0),0)</f>
        <v>0</v>
      </c>
      <c r="V16" s="65">
        <f>IFERROR(IF(VLOOKUP(Table5[[#This Row],[VARIETY ]],MASTER!$B:$M,12,0)=0,0,(Table2[[#This Row],[L]]-VLOOKUP(Table5[[#This Row],[VARIETY ]],MASTER!$B:$M,12,0))),0)</f>
        <v>0</v>
      </c>
      <c r="W16" s="66">
        <f>IFERROR(IF(VLOOKUP(Table5[[#This Row],[VARIETY ]],MASTER!$B:$N,13,0)=0,0,(Table2[[#This Row],[W]]-VLOOKUP(Table5[[#This Row],[VARIETY ]],MASTER!$B:$N,13,0))),0)</f>
        <v>0</v>
      </c>
      <c r="X16" s="67">
        <v>15</v>
      </c>
      <c r="Y16" s="70" t="str">
        <f>IFERROR(IF(VLOOKUP(S16,MASTER!$B:$I,8,0)="40MM",((CONCATENATE(VLOOKUP(S16,MASTER!$B:$H,7,0),T16,"X",VLOOKUP(S16,MASTER!$B:$G,6,0),"X",VLOOKUP(S16,MASTER!$B:$I,8,0)))),(CONCATENATE(VLOOKUP(S16,MASTER!$B:$H,7,0),T16,"X",VLOOKUP(S16,MASTER!$B:$G,6,0),"X",VLOOKUP(S16,MASTER!$B:$I,8,0)))),"")</f>
        <v/>
      </c>
      <c r="Z16" s="71">
        <f>Table2[[#This Row],[QTY]]*2</f>
        <v>0</v>
      </c>
      <c r="AA16" s="71" t="str">
        <f>IFERROR(IF(VLOOKUP(S16,MASTER!$B:$I,8,0)="40MM",((CONCATENATE(VLOOKUP(S16,MASTER!$B:$H,7,0),U16,"X",VLOOKUP(S16,MASTER!$B:$G,6,0),"X",VLOOKUP(S16,MASTER!$B:$I,8,0)))),((CONCATENATE(VLOOKUP(S16,MASTER!$B:$H,7,0),U16,"X",VLOOKUP(S16,MASTER!$B:$G,6,0),"X",VLOOKUP(S16,MASTER!$B:$I,8,0))))),"")</f>
        <v/>
      </c>
      <c r="AB16" s="71">
        <f>+Table2[[#This Row],[QTY]]*2</f>
        <v>0</v>
      </c>
      <c r="AC16" s="71" t="str">
        <f>IF(OR(S16=MASTER!$B$2,S16=MASTER!$B$3,S16=MASTER!$B$4,S16=MASTER!$B$5,S16=MASTER!$B$6,S16=MASTER!$B$7,S16=MASTER!$B$8,S16=MASTER!$B$9,S16=MASTER!$B$10,S16=MASTER!$B$11,S16=MASTER!$B$12,S16=MASTER!$B$13,S16=MASTER!$B$93,S16=MASTER!$B$94,S16=MASTER!$B$128,S16=MASTER!$B$129,S16=MASTER!$B$130,S16=MASTER!$B$131,S16=MASTER!$B$132,S16=MASTER!$B$136,S16=MASTER!$B$137),(CONCATENATE(VLOOKUP(S16,MASTER!$B:$J,9,0),Table5[[#This Row],[TOP FOAM/REBOUND LENGTH]],"X",Table5[[#This Row],[TOP FOAM / REBOUND WIDTH]],"X",VLOOKUP(Table5[[#This Row],[VARIETY ]],MASTER!$B:$K,10,0))),"")</f>
        <v/>
      </c>
      <c r="AD16" s="71">
        <f>+Table2[[#This Row],[QTY]]*1</f>
        <v>0</v>
      </c>
      <c r="AE16" s="71" t="str">
        <f>IF(OR(S16=MASTER!$B$2,S16=MASTER!$B$3,S16=MASTER!$B$4,S16=MASTER!$B$5,S16=MASTER!$B$6,S16=MASTER!$B$7,S16=MASTER!$B$8,S16=MASTER!$B$9,S16=MASTER!$B$136,S16=MASTER!$B$10,S16=MASTER!$B$11,S16=MASTER!$B$12,S16=MASTER!$B$13,S16=MASTER!$B$2,S16=MASTER!$B$132,S16=MASTER!$B$137),(CONCATENATE(VLOOKUP(S16,MASTER!$B:$J,9,0),Table5[[#This Row],[TOP FOAM/REBOUND LENGTH]],"X",Table5[[#This Row],[TOP FOAM / REBOUND WIDTH]],"X",VLOOKUP(Table5[[#This Row],[VARIETY ]],MASTER!$B:$L,11,0))),"")</f>
        <v/>
      </c>
      <c r="AF16" s="72">
        <f>+Table2[[#This Row],[QTY]]*1</f>
        <v>0</v>
      </c>
      <c r="AH16" s="60" t="str">
        <f>+Table2[[#This Row],[VARIETY]]</f>
        <v/>
      </c>
      <c r="AI16" s="65">
        <f>IFERROR(Table2[[#This Row],[STD-L]]-VLOOKUP(AH16,MASTER!$B:$E,4,0),0)</f>
        <v>0</v>
      </c>
      <c r="AJ16" s="65">
        <f>IFERROR(Table2[[#This Row],[STD-W]]-VLOOKUP(AH16,MASTER!$B:$F,5,0),0)</f>
        <v>0</v>
      </c>
      <c r="AK16" s="65" t="str">
        <f t="shared" si="9"/>
        <v/>
      </c>
      <c r="AL16" s="66" t="str">
        <f t="shared" si="10"/>
        <v/>
      </c>
      <c r="AN16" s="75" t="str">
        <f>IFERROR(CONCATENATE(VLOOKUP(AH16,MASTER!$B:$H,7,0),Table510[[#This Row],[ACTUAL  LENGTH]],"0X",VLOOKUP(AH16,MASTER!$B:$G,6,0),"X",VLOOKUP(AH16,MASTER!$B:$I,8,0)),"")</f>
        <v/>
      </c>
      <c r="AO16" s="71" t="str">
        <f>IFERROR(((VLOOKUP(Table611[[#This Row],[LENGTHSIZE]],'ALL NEW ITEM '!$E:$F,2,0)*2)*Q16),"")</f>
        <v/>
      </c>
      <c r="AP16" s="71" t="str">
        <f>IFERROR(IF(VLOOKUP(AH16,MASTER!$B:$I,8,0)="40MM",(CONCATENATE(VLOOKUP(AH16,MASTER!$B:$H,7,0),Table510[[#This Row],[ACTUAL WIDTH]],"0X",VLOOKUP(AH16,MASTER!$B:$G,6,0),"X",VLOOKUP(AH16,MASTER!$B:$I,8,0))),(CONCATENATE(VLOOKUP(AH16,MASTER!$B:$H,7,0),Table510[[#This Row],[ACTUAL WIDTH]],"X",VLOOKUP(AH16,MASTER!$B:$G,6,0),"X",VLOOKUP(AH16,MASTER!$B:$I,8,0)))),"")</f>
        <v/>
      </c>
      <c r="AQ16" s="71" t="str">
        <f>+IFERROR(((VLOOKUP(AP16,'ALL NEW ITEM '!$E:$F,2,0)*2)*Table2[[#This Row],[QTY]]),"")</f>
        <v/>
      </c>
      <c r="AR16" s="71" t="str">
        <f>IF(OR(AH16=MASTER!$B$2,AH16=MASTER!$B$3,AH16=MASTER!$B$4,AH16=MASTER!$B$5,AH16=MASTER!$B$6,AH16=MASTER!$B$128,AH16=MASTER!$B$129,AH16=MASTER!$B$130,AH16=MASTER!$B$131,AH16=MASTER!$B$132,AH16=MASTER!$B$133,AH16=MASTER!$B$134,AH16=MASTER!$B$135,AH16=MASTER!$B$136,AH16=MASTER!$B$137),(CONCATENATE(VLOOKUP(AH16,MASTER!$B:$J,9,0),AK16,"0X",AL16,"0X",VLOOKUP(Table5[[#This Row],[VARIETY ]],MASTER!$B:$K,10,0))),"")</f>
        <v/>
      </c>
      <c r="AS16" s="71" t="str">
        <f>IFERROR(VLOOKUP(AR16,'ALL NEW ITEM '!$E:$F,2,0)*Q16,"")</f>
        <v/>
      </c>
      <c r="AT16" s="71" t="str">
        <f>IF(OR(AH16=MASTER!$B$2,AH16=MASTER!$B$3,AH16=MASTER!$B$4,AH16=MASTER!$B$5,AH16=MASTER!$B$6,AH16=MASTER!$B$2,AH16=MASTER!$B$132,AH16=MASTER!$B$135,AH16=MASTER!$B$136,AH16=MASTER!$B$137),(CONCATENATE(VLOOKUP(AH16,MASTER!$B:$J,9,0),AK16,"0X",AL16,"0X",VLOOKUP(Table5[[#This Row],[VARIETY ]],MASTER!$B:$L,11,0))),"")</f>
        <v/>
      </c>
      <c r="AU16" s="72" t="str">
        <f>IFERROR(VLOOKUP(Table611[[#This Row],[TOPFOAM/REBOUND14]],'ALL NEW ITEM '!$E:$F,2,0)*Q16,"")</f>
        <v/>
      </c>
    </row>
    <row r="17" spans="1:47">
      <c r="A17" s="60">
        <f t="shared" si="12"/>
        <v>16</v>
      </c>
      <c r="B17" s="60" t="str">
        <f>LEFT(Table1[[#This Row],[ITEM CODE]],MIN(FIND({0,1,2,3,4,5,6,7,8,9},Table1[[#This Row],[ITEM CODE]]&amp;"0123456789"))-1)</f>
        <v/>
      </c>
      <c r="C17" s="61" t="str">
        <f>SUBSTITUTE(Table1[[#This Row],[ITEM CODE]],B17,"")</f>
        <v/>
      </c>
      <c r="D17" s="61" t="str">
        <f t="shared" si="0"/>
        <v/>
      </c>
      <c r="E17" s="61" t="str">
        <f t="shared" si="1"/>
        <v/>
      </c>
      <c r="F17" s="61" t="str">
        <f t="shared" si="2"/>
        <v/>
      </c>
      <c r="G17" s="61" t="str">
        <f t="shared" si="3"/>
        <v/>
      </c>
      <c r="H17" s="61" t="str">
        <f t="shared" si="4"/>
        <v/>
      </c>
      <c r="I17" s="61" t="str">
        <f t="shared" si="5"/>
        <v/>
      </c>
      <c r="J17" s="61" t="str">
        <f>IFERROR(IF(Table2[[#This Row],[L]]&lt;Table2[[#This Row],[W]],Table2[[#This Row],[W]],Table2[[#This Row],[L]]),"")</f>
        <v/>
      </c>
      <c r="K17" s="61" t="str">
        <f>IF(Table2[[#This Row],[L]]&lt;Table2[[#This Row],[W]],Table2[[#This Row],[L]],Table2[[#This Row],[W]])</f>
        <v/>
      </c>
      <c r="L17" s="61" t="str">
        <f t="shared" si="6"/>
        <v/>
      </c>
      <c r="M17" s="61" t="str">
        <f t="shared" si="7"/>
        <v/>
      </c>
      <c r="N17" s="61" t="str">
        <f t="shared" si="8"/>
        <v>XX</v>
      </c>
      <c r="O17" s="61" t="str">
        <f t="shared" si="11"/>
        <v>XX</v>
      </c>
      <c r="P17" s="61" t="str">
        <f>+CONCATENATE(Table2[[#This Row],[1]],Table2[[#This Row],[H]])</f>
        <v/>
      </c>
      <c r="Q17" s="61">
        <f>+Table1[[#This Row],[QTY]]</f>
        <v>0</v>
      </c>
      <c r="S17" s="60" t="str">
        <f>+Table2[[#This Row],[VARIETY]]</f>
        <v/>
      </c>
      <c r="T17" s="65">
        <f>IFERROR(Table2[[#This Row],[L]]-VLOOKUP(Table5[[#This Row],[VARIETY ]],MASTER!$B:$E,4,0),0)</f>
        <v>0</v>
      </c>
      <c r="U17" s="65">
        <f>IFERROR(Table2[[#This Row],[W]]-VLOOKUP(Table5[[#This Row],[VARIETY ]],MASTER!$B:$F,5,0),0)</f>
        <v>0</v>
      </c>
      <c r="V17" s="65">
        <f>IFERROR(IF(VLOOKUP(Table5[[#This Row],[VARIETY ]],MASTER!$B:$M,12,0)=0,0,(Table2[[#This Row],[L]]-VLOOKUP(Table5[[#This Row],[VARIETY ]],MASTER!$B:$M,12,0))),0)</f>
        <v>0</v>
      </c>
      <c r="W17" s="66">
        <f>IFERROR(IF(VLOOKUP(Table5[[#This Row],[VARIETY ]],MASTER!$B:$N,13,0)=0,0,(Table2[[#This Row],[W]]-VLOOKUP(Table5[[#This Row],[VARIETY ]],MASTER!$B:$N,13,0))),0)</f>
        <v>0</v>
      </c>
      <c r="X17" s="65">
        <v>16</v>
      </c>
      <c r="Y17" s="70" t="str">
        <f>IFERROR(IF(VLOOKUP(S17,MASTER!$B:$I,8,0)="40MM",((CONCATENATE(VLOOKUP(S17,MASTER!$B:$H,7,0),T17,"X",VLOOKUP(S17,MASTER!$B:$G,6,0),"X",VLOOKUP(S17,MASTER!$B:$I,8,0)))),(CONCATENATE(VLOOKUP(S17,MASTER!$B:$H,7,0),T17,"X",VLOOKUP(S17,MASTER!$B:$G,6,0),"X",VLOOKUP(S17,MASTER!$B:$I,8,0)))),"")</f>
        <v/>
      </c>
      <c r="Z17" s="71">
        <f>Table2[[#This Row],[QTY]]*2</f>
        <v>0</v>
      </c>
      <c r="AA17" s="71" t="str">
        <f>IFERROR(IF(VLOOKUP(S17,MASTER!$B:$I,8,0)="40MM",((CONCATENATE(VLOOKUP(S17,MASTER!$B:$H,7,0),U17,"X",VLOOKUP(S17,MASTER!$B:$G,6,0),"X",VLOOKUP(S17,MASTER!$B:$I,8,0)))),((CONCATENATE(VLOOKUP(S17,MASTER!$B:$H,7,0),U17,"X",VLOOKUP(S17,MASTER!$B:$G,6,0),"X",VLOOKUP(S17,MASTER!$B:$I,8,0))))),"")</f>
        <v/>
      </c>
      <c r="AB17" s="71">
        <f>+Table2[[#This Row],[QTY]]*2</f>
        <v>0</v>
      </c>
      <c r="AC17" s="71" t="str">
        <f>IF(OR(S17=MASTER!$B$2,S17=MASTER!$B$3,S17=MASTER!$B$4,S17=MASTER!$B$5,S17=MASTER!$B$6,S17=MASTER!$B$7,S17=MASTER!$B$8,S17=MASTER!$B$9,S17=MASTER!$B$10,S17=MASTER!$B$11,S17=MASTER!$B$12,S17=MASTER!$B$13,S17=MASTER!$B$93,S17=MASTER!$B$94,S17=MASTER!$B$128,S17=MASTER!$B$129,S17=MASTER!$B$130,S17=MASTER!$B$131,S17=MASTER!$B$132,S17=MASTER!$B$136,S17=MASTER!$B$137),(CONCATENATE(VLOOKUP(S17,MASTER!$B:$J,9,0),Table5[[#This Row],[TOP FOAM/REBOUND LENGTH]],"X",Table5[[#This Row],[TOP FOAM / REBOUND WIDTH]],"X",VLOOKUP(Table5[[#This Row],[VARIETY ]],MASTER!$B:$K,10,0))),"")</f>
        <v/>
      </c>
      <c r="AD17" s="71">
        <f>+Table2[[#This Row],[QTY]]*1</f>
        <v>0</v>
      </c>
      <c r="AE17" s="71" t="str">
        <f>IF(OR(S17=MASTER!$B$2,S17=MASTER!$B$3,S17=MASTER!$B$4,S17=MASTER!$B$5,S17=MASTER!$B$6,S17=MASTER!$B$7,S17=MASTER!$B$8,S17=MASTER!$B$9,S17=MASTER!$B$136,S17=MASTER!$B$10,S17=MASTER!$B$11,S17=MASTER!$B$12,S17=MASTER!$B$13,S17=MASTER!$B$2,S17=MASTER!$B$132,S17=MASTER!$B$137),(CONCATENATE(VLOOKUP(S17,MASTER!$B:$J,9,0),Table5[[#This Row],[TOP FOAM/REBOUND LENGTH]],"X",Table5[[#This Row],[TOP FOAM / REBOUND WIDTH]],"X",VLOOKUP(Table5[[#This Row],[VARIETY ]],MASTER!$B:$L,11,0))),"")</f>
        <v/>
      </c>
      <c r="AF17" s="72">
        <f>+Table2[[#This Row],[QTY]]*1</f>
        <v>0</v>
      </c>
      <c r="AH17" s="60" t="str">
        <f>+Table2[[#This Row],[VARIETY]]</f>
        <v/>
      </c>
      <c r="AI17" s="65">
        <f>IFERROR(Table2[[#This Row],[STD-L]]-VLOOKUP(AH17,MASTER!$B:$E,4,0),0)</f>
        <v>0</v>
      </c>
      <c r="AJ17" s="65">
        <f>IFERROR(Table2[[#This Row],[STD-W]]-VLOOKUP(AH17,MASTER!$B:$F,5,0),0)</f>
        <v>0</v>
      </c>
      <c r="AK17" s="65" t="str">
        <f t="shared" si="9"/>
        <v/>
      </c>
      <c r="AL17" s="66" t="str">
        <f t="shared" si="10"/>
        <v/>
      </c>
      <c r="AN17" s="75" t="str">
        <f>IFERROR(CONCATENATE(VLOOKUP(AH17,MASTER!$B:$H,7,0),Table510[[#This Row],[ACTUAL  LENGTH]],"0X",VLOOKUP(AH17,MASTER!$B:$G,6,0),"X",VLOOKUP(AH17,MASTER!$B:$I,8,0)),"")</f>
        <v/>
      </c>
      <c r="AO17" s="71" t="str">
        <f>IFERROR(((VLOOKUP(Table611[[#This Row],[LENGTHSIZE]],'ALL NEW ITEM '!$E:$F,2,0)*2)*Q17),"")</f>
        <v/>
      </c>
      <c r="AP17" s="71" t="str">
        <f>IFERROR(IF(VLOOKUP(AH17,MASTER!$B:$I,8,0)="40MM",(CONCATENATE(VLOOKUP(AH17,MASTER!$B:$H,7,0),Table510[[#This Row],[ACTUAL WIDTH]],"0X",VLOOKUP(AH17,MASTER!$B:$G,6,0),"X",VLOOKUP(AH17,MASTER!$B:$I,8,0))),(CONCATENATE(VLOOKUP(AH17,MASTER!$B:$H,7,0),Table510[[#This Row],[ACTUAL WIDTH]],"X",VLOOKUP(AH17,MASTER!$B:$G,6,0),"X",VLOOKUP(AH17,MASTER!$B:$I,8,0)))),"")</f>
        <v/>
      </c>
      <c r="AQ17" s="71" t="str">
        <f>+IFERROR(((VLOOKUP(AP17,'ALL NEW ITEM '!$E:$F,2,0)*2)*Table2[[#This Row],[QTY]]),"")</f>
        <v/>
      </c>
      <c r="AR17" s="71" t="str">
        <f>IF(OR(AH17=MASTER!$B$2,AH17=MASTER!$B$3,AH17=MASTER!$B$4,AH17=MASTER!$B$5,AH17=MASTER!$B$6,AH17=MASTER!$B$128,AH17=MASTER!$B$129,AH17=MASTER!$B$130,AH17=MASTER!$B$131,AH17=MASTER!$B$132,AH17=MASTER!$B$133,AH17=MASTER!$B$134,AH17=MASTER!$B$135,AH17=MASTER!$B$136,AH17=MASTER!$B$137),(CONCATENATE(VLOOKUP(AH17,MASTER!$B:$J,9,0),AK17,"0X",AL17,"0X",VLOOKUP(Table5[[#This Row],[VARIETY ]],MASTER!$B:$K,10,0))),"")</f>
        <v/>
      </c>
      <c r="AS17" s="71" t="str">
        <f>IFERROR(VLOOKUP(AR17,'ALL NEW ITEM '!$E:$F,2,0)*Q17,"")</f>
        <v/>
      </c>
      <c r="AT17" s="71" t="str">
        <f>IF(OR(AH17=MASTER!$B$2,AH17=MASTER!$B$3,AH17=MASTER!$B$4,AH17=MASTER!$B$5,AH17=MASTER!$B$6,AH17=MASTER!$B$2,AH17=MASTER!$B$132,AH17=MASTER!$B$135,AH17=MASTER!$B$136,AH17=MASTER!$B$137),(CONCATENATE(VLOOKUP(AH17,MASTER!$B:$J,9,0),AK17,"0X",AL17,"0X",VLOOKUP(Table5[[#This Row],[VARIETY ]],MASTER!$B:$L,11,0))),"")</f>
        <v/>
      </c>
      <c r="AU17" s="72" t="str">
        <f>IFERROR(VLOOKUP(Table611[[#This Row],[TOPFOAM/REBOUND14]],'ALL NEW ITEM '!$E:$F,2,0)*Q17,"")</f>
        <v/>
      </c>
    </row>
    <row r="18" spans="1:47">
      <c r="A18" s="60">
        <f t="shared" si="12"/>
        <v>17</v>
      </c>
      <c r="B18" s="60" t="str">
        <f>LEFT(Table1[[#This Row],[ITEM CODE]],MIN(FIND({0,1,2,3,4,5,6,7,8,9},Table1[[#This Row],[ITEM CODE]]&amp;"0123456789"))-1)</f>
        <v/>
      </c>
      <c r="C18" s="61" t="str">
        <f>SUBSTITUTE(Table1[[#This Row],[ITEM CODE]],B18,"")</f>
        <v/>
      </c>
      <c r="D18" s="61" t="str">
        <f t="shared" si="0"/>
        <v/>
      </c>
      <c r="E18" s="61" t="str">
        <f t="shared" si="1"/>
        <v/>
      </c>
      <c r="F18" s="61" t="str">
        <f t="shared" si="2"/>
        <v/>
      </c>
      <c r="G18" s="61" t="str">
        <f t="shared" si="3"/>
        <v/>
      </c>
      <c r="H18" s="61" t="str">
        <f t="shared" si="4"/>
        <v/>
      </c>
      <c r="I18" s="61" t="str">
        <f t="shared" si="5"/>
        <v/>
      </c>
      <c r="J18" s="61" t="str">
        <f>IFERROR(IF(Table2[[#This Row],[L]]&lt;Table2[[#This Row],[W]],Table2[[#This Row],[W]],Table2[[#This Row],[L]]),"")</f>
        <v/>
      </c>
      <c r="K18" s="61" t="str">
        <f>IF(Table2[[#This Row],[L]]&lt;Table2[[#This Row],[W]],Table2[[#This Row],[L]],Table2[[#This Row],[W]])</f>
        <v/>
      </c>
      <c r="L18" s="61" t="str">
        <f t="shared" si="6"/>
        <v/>
      </c>
      <c r="M18" s="61" t="str">
        <f t="shared" si="7"/>
        <v/>
      </c>
      <c r="N18" s="61" t="str">
        <f t="shared" si="8"/>
        <v>XX</v>
      </c>
      <c r="O18" s="61" t="str">
        <f t="shared" si="11"/>
        <v>XX</v>
      </c>
      <c r="P18" s="61" t="str">
        <f>+CONCATENATE(Table2[[#This Row],[1]],Table2[[#This Row],[H]])</f>
        <v/>
      </c>
      <c r="Q18" s="61">
        <f>+Table1[[#This Row],[QTY]]</f>
        <v>0</v>
      </c>
      <c r="S18" s="60" t="str">
        <f>+Table2[[#This Row],[VARIETY]]</f>
        <v/>
      </c>
      <c r="T18" s="65">
        <f>IFERROR(Table2[[#This Row],[L]]-VLOOKUP(Table5[[#This Row],[VARIETY ]],MASTER!$B:$E,4,0),0)</f>
        <v>0</v>
      </c>
      <c r="U18" s="65">
        <f>IFERROR(Table2[[#This Row],[W]]-VLOOKUP(Table5[[#This Row],[VARIETY ]],MASTER!$B:$F,5,0),0)</f>
        <v>0</v>
      </c>
      <c r="V18" s="65">
        <f>IFERROR(IF(VLOOKUP(Table5[[#This Row],[VARIETY ]],MASTER!$B:$M,12,0)=0,0,(Table2[[#This Row],[L]]-VLOOKUP(Table5[[#This Row],[VARIETY ]],MASTER!$B:$M,12,0))),0)</f>
        <v>0</v>
      </c>
      <c r="W18" s="66">
        <f>IFERROR(IF(VLOOKUP(Table5[[#This Row],[VARIETY ]],MASTER!$B:$N,13,0)=0,0,(Table2[[#This Row],[W]]-VLOOKUP(Table5[[#This Row],[VARIETY ]],MASTER!$B:$N,13,0))),0)</f>
        <v>0</v>
      </c>
      <c r="X18" s="67">
        <v>17</v>
      </c>
      <c r="Y18" s="70" t="str">
        <f>IFERROR(IF(VLOOKUP(S18,MASTER!$B:$I,8,0)="40MM",((CONCATENATE(VLOOKUP(S18,MASTER!$B:$H,7,0),T18,"X",VLOOKUP(S18,MASTER!$B:$G,6,0),"X",VLOOKUP(S18,MASTER!$B:$I,8,0)))),(CONCATENATE(VLOOKUP(S18,MASTER!$B:$H,7,0),T18,"X",VLOOKUP(S18,MASTER!$B:$G,6,0),"X",VLOOKUP(S18,MASTER!$B:$I,8,0)))),"")</f>
        <v/>
      </c>
      <c r="Z18" s="71">
        <f>Table2[[#This Row],[QTY]]*2</f>
        <v>0</v>
      </c>
      <c r="AA18" s="71" t="str">
        <f>IFERROR(IF(VLOOKUP(S18,MASTER!$B:$I,8,0)="40MM",((CONCATENATE(VLOOKUP(S18,MASTER!$B:$H,7,0),U18,"X",VLOOKUP(S18,MASTER!$B:$G,6,0),"X",VLOOKUP(S18,MASTER!$B:$I,8,0)))),((CONCATENATE(VLOOKUP(S18,MASTER!$B:$H,7,0),U18,"X",VLOOKUP(S18,MASTER!$B:$G,6,0),"X",VLOOKUP(S18,MASTER!$B:$I,8,0))))),"")</f>
        <v/>
      </c>
      <c r="AB18" s="71">
        <f>+Table2[[#This Row],[QTY]]*2</f>
        <v>0</v>
      </c>
      <c r="AC18" s="71" t="str">
        <f>IF(OR(S18=MASTER!$B$2,S18=MASTER!$B$3,S18=MASTER!$B$4,S18=MASTER!$B$5,S18=MASTER!$B$6,S18=MASTER!$B$7,S18=MASTER!$B$8,S18=MASTER!$B$9,S18=MASTER!$B$10,S18=MASTER!$B$11,S18=MASTER!$B$12,S18=MASTER!$B$13,S18=MASTER!$B$93,S18=MASTER!$B$94,S18=MASTER!$B$128,S18=MASTER!$B$129,S18=MASTER!$B$130,S18=MASTER!$B$131,S18=MASTER!$B$132,S18=MASTER!$B$136,S18=MASTER!$B$137),(CONCATENATE(VLOOKUP(S18,MASTER!$B:$J,9,0),Table5[[#This Row],[TOP FOAM/REBOUND LENGTH]],"X",Table5[[#This Row],[TOP FOAM / REBOUND WIDTH]],"X",VLOOKUP(Table5[[#This Row],[VARIETY ]],MASTER!$B:$K,10,0))),"")</f>
        <v/>
      </c>
      <c r="AD18" s="71">
        <f>+Table2[[#This Row],[QTY]]*1</f>
        <v>0</v>
      </c>
      <c r="AE18" s="71" t="str">
        <f>IF(OR(S18=MASTER!$B$2,S18=MASTER!$B$3,S18=MASTER!$B$4,S18=MASTER!$B$5,S18=MASTER!$B$6,S18=MASTER!$B$7,S18=MASTER!$B$8,S18=MASTER!$B$9,S18=MASTER!$B$136,S18=MASTER!$B$10,S18=MASTER!$B$11,S18=MASTER!$B$12,S18=MASTER!$B$13,S18=MASTER!$B$2,S18=MASTER!$B$132,S18=MASTER!$B$137),(CONCATENATE(VLOOKUP(S18,MASTER!$B:$J,9,0),Table5[[#This Row],[TOP FOAM/REBOUND LENGTH]],"X",Table5[[#This Row],[TOP FOAM / REBOUND WIDTH]],"X",VLOOKUP(Table5[[#This Row],[VARIETY ]],MASTER!$B:$L,11,0))),"")</f>
        <v/>
      </c>
      <c r="AF18" s="72">
        <f>+Table2[[#This Row],[QTY]]*1</f>
        <v>0</v>
      </c>
      <c r="AH18" s="60" t="str">
        <f>+Table2[[#This Row],[VARIETY]]</f>
        <v/>
      </c>
      <c r="AI18" s="65">
        <f>IFERROR(Table2[[#This Row],[STD-L]]-VLOOKUP(AH18,MASTER!$B:$E,4,0),0)</f>
        <v>0</v>
      </c>
      <c r="AJ18" s="65">
        <f>IFERROR(Table2[[#This Row],[STD-W]]-VLOOKUP(AH18,MASTER!$B:$F,5,0),0)</f>
        <v>0</v>
      </c>
      <c r="AK18" s="65" t="str">
        <f t="shared" si="9"/>
        <v/>
      </c>
      <c r="AL18" s="66" t="str">
        <f t="shared" si="10"/>
        <v/>
      </c>
      <c r="AN18" s="75" t="str">
        <f>IFERROR(CONCATENATE(VLOOKUP(AH18,MASTER!$B:$H,7,0),Table510[[#This Row],[ACTUAL  LENGTH]],"0X",VLOOKUP(AH18,MASTER!$B:$G,6,0),"X",VLOOKUP(AH18,MASTER!$B:$I,8,0)),"")</f>
        <v/>
      </c>
      <c r="AO18" s="71" t="str">
        <f>IFERROR(((VLOOKUP(Table611[[#This Row],[LENGTHSIZE]],'ALL NEW ITEM '!$E:$F,2,0)*2)*Q18),"")</f>
        <v/>
      </c>
      <c r="AP18" s="71" t="str">
        <f>IFERROR(IF(VLOOKUP(AH18,MASTER!$B:$I,8,0)="40MM",(CONCATENATE(VLOOKUP(AH18,MASTER!$B:$H,7,0),Table510[[#This Row],[ACTUAL WIDTH]],"0X",VLOOKUP(AH18,MASTER!$B:$G,6,0),"X",VLOOKUP(AH18,MASTER!$B:$I,8,0))),(CONCATENATE(VLOOKUP(AH18,MASTER!$B:$H,7,0),Table510[[#This Row],[ACTUAL WIDTH]],"X",VLOOKUP(AH18,MASTER!$B:$G,6,0),"X",VLOOKUP(AH18,MASTER!$B:$I,8,0)))),"")</f>
        <v/>
      </c>
      <c r="AQ18" s="71" t="str">
        <f>+IFERROR(((VLOOKUP(AP18,'ALL NEW ITEM '!$E:$F,2,0)*2)*Table2[[#This Row],[QTY]]),"")</f>
        <v/>
      </c>
      <c r="AR18" s="71" t="str">
        <f>IF(OR(AH18=MASTER!$B$2,AH18=MASTER!$B$3,AH18=MASTER!$B$4,AH18=MASTER!$B$5,AH18=MASTER!$B$6,AH18=MASTER!$B$128,AH18=MASTER!$B$129,AH18=MASTER!$B$130,AH18=MASTER!$B$131,AH18=MASTER!$B$132,AH18=MASTER!$B$133,AH18=MASTER!$B$134,AH18=MASTER!$B$135,AH18=MASTER!$B$136,AH18=MASTER!$B$137),(CONCATENATE(VLOOKUP(AH18,MASTER!$B:$J,9,0),AK18,"0X",AL18,"0X",VLOOKUP(Table5[[#This Row],[VARIETY ]],MASTER!$B:$K,10,0))),"")</f>
        <v/>
      </c>
      <c r="AS18" s="71" t="str">
        <f>IFERROR(VLOOKUP(AR18,'ALL NEW ITEM '!$E:$F,2,0)*Q18,"")</f>
        <v/>
      </c>
      <c r="AT18" s="71" t="str">
        <f>IF(OR(AH18=MASTER!$B$2,AH18=MASTER!$B$3,AH18=MASTER!$B$4,AH18=MASTER!$B$5,AH18=MASTER!$B$6,AH18=MASTER!$B$2,AH18=MASTER!$B$132,AH18=MASTER!$B$135,AH18=MASTER!$B$136,AH18=MASTER!$B$137),(CONCATENATE(VLOOKUP(AH18,MASTER!$B:$J,9,0),AK18,"0X",AL18,"0X",VLOOKUP(Table5[[#This Row],[VARIETY ]],MASTER!$B:$L,11,0))),"")</f>
        <v/>
      </c>
      <c r="AU18" s="72" t="str">
        <f>IFERROR(VLOOKUP(Table611[[#This Row],[TOPFOAM/REBOUND14]],'ALL NEW ITEM '!$E:$F,2,0)*Q18,"")</f>
        <v/>
      </c>
    </row>
    <row r="19" spans="1:47">
      <c r="A19" s="60">
        <f t="shared" si="12"/>
        <v>18</v>
      </c>
      <c r="B19" s="60" t="str">
        <f>LEFT(Table1[[#This Row],[ITEM CODE]],MIN(FIND({0,1,2,3,4,5,6,7,8,9},Table1[[#This Row],[ITEM CODE]]&amp;"0123456789"))-1)</f>
        <v/>
      </c>
      <c r="C19" s="61" t="str">
        <f>SUBSTITUTE(Table1[[#This Row],[ITEM CODE]],B19,"")</f>
        <v/>
      </c>
      <c r="D19" s="61" t="str">
        <f t="shared" si="0"/>
        <v/>
      </c>
      <c r="E19" s="61" t="str">
        <f t="shared" si="1"/>
        <v/>
      </c>
      <c r="F19" s="61" t="str">
        <f t="shared" si="2"/>
        <v/>
      </c>
      <c r="G19" s="61" t="str">
        <f t="shared" si="3"/>
        <v/>
      </c>
      <c r="H19" s="61" t="str">
        <f t="shared" si="4"/>
        <v/>
      </c>
      <c r="I19" s="61" t="str">
        <f t="shared" si="5"/>
        <v/>
      </c>
      <c r="J19" s="61" t="str">
        <f>IFERROR(IF(Table2[[#This Row],[L]]&lt;Table2[[#This Row],[W]],Table2[[#This Row],[W]],Table2[[#This Row],[L]]),"")</f>
        <v/>
      </c>
      <c r="K19" s="61" t="str">
        <f>IF(Table2[[#This Row],[L]]&lt;Table2[[#This Row],[W]],Table2[[#This Row],[L]],Table2[[#This Row],[W]])</f>
        <v/>
      </c>
      <c r="L19" s="61" t="str">
        <f t="shared" si="6"/>
        <v/>
      </c>
      <c r="M19" s="61" t="str">
        <f t="shared" si="7"/>
        <v/>
      </c>
      <c r="N19" s="61" t="str">
        <f t="shared" si="8"/>
        <v>XX</v>
      </c>
      <c r="O19" s="61" t="str">
        <f t="shared" si="11"/>
        <v>XX</v>
      </c>
      <c r="P19" s="61" t="str">
        <f>+CONCATENATE(Table2[[#This Row],[1]],Table2[[#This Row],[H]])</f>
        <v/>
      </c>
      <c r="Q19" s="61">
        <f>+Table1[[#This Row],[QTY]]</f>
        <v>0</v>
      </c>
      <c r="S19" s="60" t="str">
        <f>+Table2[[#This Row],[VARIETY]]</f>
        <v/>
      </c>
      <c r="T19" s="65">
        <f>IFERROR(Table2[[#This Row],[L]]-VLOOKUP(Table5[[#This Row],[VARIETY ]],MASTER!$B:$E,4,0),0)</f>
        <v>0</v>
      </c>
      <c r="U19" s="65">
        <f>IFERROR(Table2[[#This Row],[W]]-VLOOKUP(Table5[[#This Row],[VARIETY ]],MASTER!$B:$F,5,0),0)</f>
        <v>0</v>
      </c>
      <c r="V19" s="65">
        <f>IFERROR(IF(VLOOKUP(Table5[[#This Row],[VARIETY ]],MASTER!$B:$M,12,0)=0,0,(Table2[[#This Row],[L]]-VLOOKUP(Table5[[#This Row],[VARIETY ]],MASTER!$B:$M,12,0))),0)</f>
        <v>0</v>
      </c>
      <c r="W19" s="66">
        <f>IFERROR(IF(VLOOKUP(Table5[[#This Row],[VARIETY ]],MASTER!$B:$N,13,0)=0,0,(Table2[[#This Row],[W]]-VLOOKUP(Table5[[#This Row],[VARIETY ]],MASTER!$B:$N,13,0))),0)</f>
        <v>0</v>
      </c>
      <c r="X19" s="65">
        <v>18</v>
      </c>
      <c r="Y19" s="70" t="str">
        <f>IFERROR(IF(VLOOKUP(S19,MASTER!$B:$I,8,0)="40MM",((CONCATENATE(VLOOKUP(S19,MASTER!$B:$H,7,0),T19,"X",VLOOKUP(S19,MASTER!$B:$G,6,0),"X",VLOOKUP(S19,MASTER!$B:$I,8,0)))),(CONCATENATE(VLOOKUP(S19,MASTER!$B:$H,7,0),T19,"X",VLOOKUP(S19,MASTER!$B:$G,6,0),"X",VLOOKUP(S19,MASTER!$B:$I,8,0)))),"")</f>
        <v/>
      </c>
      <c r="Z19" s="71">
        <f>Table2[[#This Row],[QTY]]*2</f>
        <v>0</v>
      </c>
      <c r="AA19" s="71" t="str">
        <f>IFERROR(IF(VLOOKUP(S19,MASTER!$B:$I,8,0)="40MM",((CONCATENATE(VLOOKUP(S19,MASTER!$B:$H,7,0),U19,"X",VLOOKUP(S19,MASTER!$B:$G,6,0),"X",VLOOKUP(S19,MASTER!$B:$I,8,0)))),((CONCATENATE(VLOOKUP(S19,MASTER!$B:$H,7,0),U19,"X",VLOOKUP(S19,MASTER!$B:$G,6,0),"X",VLOOKUP(S19,MASTER!$B:$I,8,0))))),"")</f>
        <v/>
      </c>
      <c r="AB19" s="71">
        <f>+Table2[[#This Row],[QTY]]*2</f>
        <v>0</v>
      </c>
      <c r="AC19" s="71" t="str">
        <f>IF(OR(S19=MASTER!$B$2,S19=MASTER!$B$3,S19=MASTER!$B$4,S19=MASTER!$B$5,S19=MASTER!$B$6,S19=MASTER!$B$7,S19=MASTER!$B$8,S19=MASTER!$B$9,S19=MASTER!$B$10,S19=MASTER!$B$11,S19=MASTER!$B$12,S19=MASTER!$B$13,S19=MASTER!$B$93,S19=MASTER!$B$94,S19=MASTER!$B$128,S19=MASTER!$B$129,S19=MASTER!$B$130,S19=MASTER!$B$131,S19=MASTER!$B$132,S19=MASTER!$B$136,S19=MASTER!$B$137),(CONCATENATE(VLOOKUP(S19,MASTER!$B:$J,9,0),Table5[[#This Row],[TOP FOAM/REBOUND LENGTH]],"X",Table5[[#This Row],[TOP FOAM / REBOUND WIDTH]],"X",VLOOKUP(Table5[[#This Row],[VARIETY ]],MASTER!$B:$K,10,0))),"")</f>
        <v/>
      </c>
      <c r="AD19" s="71">
        <f>+Table2[[#This Row],[QTY]]*1</f>
        <v>0</v>
      </c>
      <c r="AE19" s="71" t="str">
        <f>IF(OR(S19=MASTER!$B$2,S19=MASTER!$B$3,S19=MASTER!$B$4,S19=MASTER!$B$5,S19=MASTER!$B$6,S19=MASTER!$B$7,S19=MASTER!$B$8,S19=MASTER!$B$9,S19=MASTER!$B$136,S19=MASTER!$B$10,S19=MASTER!$B$11,S19=MASTER!$B$12,S19=MASTER!$B$13,S19=MASTER!$B$2,S19=MASTER!$B$132,S19=MASTER!$B$137),(CONCATENATE(VLOOKUP(S19,MASTER!$B:$J,9,0),Table5[[#This Row],[TOP FOAM/REBOUND LENGTH]],"X",Table5[[#This Row],[TOP FOAM / REBOUND WIDTH]],"X",VLOOKUP(Table5[[#This Row],[VARIETY ]],MASTER!$B:$L,11,0))),"")</f>
        <v/>
      </c>
      <c r="AF19" s="72">
        <f>+Table2[[#This Row],[QTY]]*1</f>
        <v>0</v>
      </c>
      <c r="AH19" s="60" t="str">
        <f>+Table2[[#This Row],[VARIETY]]</f>
        <v/>
      </c>
      <c r="AI19" s="65">
        <f>IFERROR(Table2[[#This Row],[STD-L]]-VLOOKUP(AH19,MASTER!$B:$E,4,0),0)</f>
        <v>0</v>
      </c>
      <c r="AJ19" s="65">
        <f>IFERROR(Table2[[#This Row],[STD-W]]-VLOOKUP(AH19,MASTER!$B:$F,5,0),0)</f>
        <v>0</v>
      </c>
      <c r="AK19" s="65" t="str">
        <f t="shared" si="9"/>
        <v/>
      </c>
      <c r="AL19" s="66" t="str">
        <f t="shared" si="10"/>
        <v/>
      </c>
      <c r="AN19" s="75" t="str">
        <f>IFERROR(CONCATENATE(VLOOKUP(AH19,MASTER!$B:$H,7,0),Table510[[#This Row],[ACTUAL  LENGTH]],"0X",VLOOKUP(AH19,MASTER!$B:$G,6,0),"X",VLOOKUP(AH19,MASTER!$B:$I,8,0)),"")</f>
        <v/>
      </c>
      <c r="AO19" s="71" t="str">
        <f>IFERROR(((VLOOKUP(Table611[[#This Row],[LENGTHSIZE]],'ALL NEW ITEM '!$E:$F,2,0)*2)*Q19),"")</f>
        <v/>
      </c>
      <c r="AP19" s="71" t="str">
        <f>IFERROR(IF(VLOOKUP(AH19,MASTER!$B:$I,8,0)="40MM",(CONCATENATE(VLOOKUP(AH19,MASTER!$B:$H,7,0),Table510[[#This Row],[ACTUAL WIDTH]],"0X",VLOOKUP(AH19,MASTER!$B:$G,6,0),"X",VLOOKUP(AH19,MASTER!$B:$I,8,0))),(CONCATENATE(VLOOKUP(AH19,MASTER!$B:$H,7,0),Table510[[#This Row],[ACTUAL WIDTH]],"X",VLOOKUP(AH19,MASTER!$B:$G,6,0),"X",VLOOKUP(AH19,MASTER!$B:$I,8,0)))),"")</f>
        <v/>
      </c>
      <c r="AQ19" s="71" t="str">
        <f>+IFERROR(((VLOOKUP(AP19,'ALL NEW ITEM '!$E:$F,2,0)*2)*Table2[[#This Row],[QTY]]),"")</f>
        <v/>
      </c>
      <c r="AR19" s="71" t="str">
        <f>IF(OR(AH19=MASTER!$B$2,AH19=MASTER!$B$3,AH19=MASTER!$B$4,AH19=MASTER!$B$5,AH19=MASTER!$B$6,AH19=MASTER!$B$128,AH19=MASTER!$B$129,AH19=MASTER!$B$130,AH19=MASTER!$B$131,AH19=MASTER!$B$132,AH19=MASTER!$B$133,AH19=MASTER!$B$134,AH19=MASTER!$B$135,AH19=MASTER!$B$136,AH19=MASTER!$B$137),(CONCATENATE(VLOOKUP(AH19,MASTER!$B:$J,9,0),AK19,"0X",AL19,"0X",VLOOKUP(Table5[[#This Row],[VARIETY ]],MASTER!$B:$K,10,0))),"")</f>
        <v/>
      </c>
      <c r="AS19" s="71" t="str">
        <f>IFERROR(VLOOKUP(AR19,'ALL NEW ITEM '!$E:$F,2,0)*Q19,"")</f>
        <v/>
      </c>
      <c r="AT19" s="71" t="str">
        <f>IF(OR(AH19=MASTER!$B$2,AH19=MASTER!$B$3,AH19=MASTER!$B$4,AH19=MASTER!$B$5,AH19=MASTER!$B$6,AH19=MASTER!$B$2,AH19=MASTER!$B$132,AH19=MASTER!$B$135,AH19=MASTER!$B$136,AH19=MASTER!$B$137),(CONCATENATE(VLOOKUP(AH19,MASTER!$B:$J,9,0),AK19,"0X",AL19,"0X",VLOOKUP(Table5[[#This Row],[VARIETY ]],MASTER!$B:$L,11,0))),"")</f>
        <v/>
      </c>
      <c r="AU19" s="72" t="str">
        <f>IFERROR(VLOOKUP(Table611[[#This Row],[TOPFOAM/REBOUND14]],'ALL NEW ITEM '!$E:$F,2,0)*Q19,"")</f>
        <v/>
      </c>
    </row>
    <row r="20" spans="1:47">
      <c r="A20" s="60">
        <f t="shared" si="12"/>
        <v>19</v>
      </c>
      <c r="B20" s="60" t="str">
        <f>LEFT(Table1[[#This Row],[ITEM CODE]],MIN(FIND({0,1,2,3,4,5,6,7,8,9},Table1[[#This Row],[ITEM CODE]]&amp;"0123456789"))-1)</f>
        <v/>
      </c>
      <c r="C20" s="61" t="str">
        <f>SUBSTITUTE(Table1[[#This Row],[ITEM CODE]],B20,"")</f>
        <v/>
      </c>
      <c r="D20" s="61" t="str">
        <f t="shared" si="0"/>
        <v/>
      </c>
      <c r="E20" s="61" t="str">
        <f t="shared" si="1"/>
        <v/>
      </c>
      <c r="F20" s="61" t="str">
        <f t="shared" si="2"/>
        <v/>
      </c>
      <c r="G20" s="61" t="str">
        <f t="shared" si="3"/>
        <v/>
      </c>
      <c r="H20" s="61" t="str">
        <f t="shared" si="4"/>
        <v/>
      </c>
      <c r="I20" s="61" t="str">
        <f t="shared" si="5"/>
        <v/>
      </c>
      <c r="J20" s="61" t="str">
        <f>IFERROR(IF(Table2[[#This Row],[L]]&lt;Table2[[#This Row],[W]],Table2[[#This Row],[W]],Table2[[#This Row],[L]]),"")</f>
        <v/>
      </c>
      <c r="K20" s="61" t="str">
        <f>IF(Table2[[#This Row],[L]]&lt;Table2[[#This Row],[W]],Table2[[#This Row],[L]],Table2[[#This Row],[W]])</f>
        <v/>
      </c>
      <c r="L20" s="61" t="str">
        <f t="shared" si="6"/>
        <v/>
      </c>
      <c r="M20" s="61" t="str">
        <f t="shared" si="7"/>
        <v/>
      </c>
      <c r="N20" s="61" t="str">
        <f t="shared" si="8"/>
        <v>XX</v>
      </c>
      <c r="O20" s="61" t="str">
        <f t="shared" si="11"/>
        <v>XX</v>
      </c>
      <c r="P20" s="61" t="str">
        <f>+CONCATENATE(Table2[[#This Row],[1]],Table2[[#This Row],[H]])</f>
        <v/>
      </c>
      <c r="Q20" s="61">
        <f>+Table1[[#This Row],[QTY]]</f>
        <v>0</v>
      </c>
      <c r="S20" s="60" t="str">
        <f>+Table2[[#This Row],[VARIETY]]</f>
        <v/>
      </c>
      <c r="T20" s="65">
        <f>IFERROR(Table2[[#This Row],[L]]-VLOOKUP(Table5[[#This Row],[VARIETY ]],MASTER!$B:$E,4,0),0)</f>
        <v>0</v>
      </c>
      <c r="U20" s="65">
        <f>IFERROR(Table2[[#This Row],[W]]-VLOOKUP(Table5[[#This Row],[VARIETY ]],MASTER!$B:$F,5,0),0)</f>
        <v>0</v>
      </c>
      <c r="V20" s="65">
        <f>IFERROR(IF(VLOOKUP(Table5[[#This Row],[VARIETY ]],MASTER!$B:$M,12,0)=0,0,(Table2[[#This Row],[L]]-VLOOKUP(Table5[[#This Row],[VARIETY ]],MASTER!$B:$M,12,0))),0)</f>
        <v>0</v>
      </c>
      <c r="W20" s="66">
        <f>IFERROR(IF(VLOOKUP(Table5[[#This Row],[VARIETY ]],MASTER!$B:$N,13,0)=0,0,(Table2[[#This Row],[W]]-VLOOKUP(Table5[[#This Row],[VARIETY ]],MASTER!$B:$N,13,0))),0)</f>
        <v>0</v>
      </c>
      <c r="X20" s="67">
        <v>19</v>
      </c>
      <c r="Y20" s="70" t="str">
        <f>IFERROR(IF(VLOOKUP(S20,MASTER!$B:$I,8,0)="40MM",((CONCATENATE(VLOOKUP(S20,MASTER!$B:$H,7,0),T20,"X",VLOOKUP(S20,MASTER!$B:$G,6,0),"X",VLOOKUP(S20,MASTER!$B:$I,8,0)))),(CONCATENATE(VLOOKUP(S20,MASTER!$B:$H,7,0),T20,"X",VLOOKUP(S20,MASTER!$B:$G,6,0),"X",VLOOKUP(S20,MASTER!$B:$I,8,0)))),"")</f>
        <v/>
      </c>
      <c r="Z20" s="71">
        <f>Table2[[#This Row],[QTY]]*2</f>
        <v>0</v>
      </c>
      <c r="AA20" s="71" t="str">
        <f>IFERROR(IF(VLOOKUP(S20,MASTER!$B:$I,8,0)="40MM",((CONCATENATE(VLOOKUP(S20,MASTER!$B:$H,7,0),U20,"X",VLOOKUP(S20,MASTER!$B:$G,6,0),"X",VLOOKUP(S20,MASTER!$B:$I,8,0)))),((CONCATENATE(VLOOKUP(S20,MASTER!$B:$H,7,0),U20,"X",VLOOKUP(S20,MASTER!$B:$G,6,0),"X",VLOOKUP(S20,MASTER!$B:$I,8,0))))),"")</f>
        <v/>
      </c>
      <c r="AB20" s="71">
        <f>+Table2[[#This Row],[QTY]]*2</f>
        <v>0</v>
      </c>
      <c r="AC20" s="71" t="str">
        <f>IF(OR(S20=MASTER!$B$2,S20=MASTER!$B$3,S20=MASTER!$B$4,S20=MASTER!$B$5,S20=MASTER!$B$6,S20=MASTER!$B$7,S20=MASTER!$B$8,S20=MASTER!$B$9,S20=MASTER!$B$10,S20=MASTER!$B$11,S20=MASTER!$B$12,S20=MASTER!$B$13,S20=MASTER!$B$93,S20=MASTER!$B$94,S20=MASTER!$B$128,S20=MASTER!$B$129,S20=MASTER!$B$130,S20=MASTER!$B$131,S20=MASTER!$B$132,S20=MASTER!$B$136,S20=MASTER!$B$137),(CONCATENATE(VLOOKUP(S20,MASTER!$B:$J,9,0),Table5[[#This Row],[TOP FOAM/REBOUND LENGTH]],"X",Table5[[#This Row],[TOP FOAM / REBOUND WIDTH]],"X",VLOOKUP(Table5[[#This Row],[VARIETY ]],MASTER!$B:$K,10,0))),"")</f>
        <v/>
      </c>
      <c r="AD20" s="71">
        <f>+Table2[[#This Row],[QTY]]*1</f>
        <v>0</v>
      </c>
      <c r="AE20" s="71" t="str">
        <f>IF(OR(S20=MASTER!$B$2,S20=MASTER!$B$3,S20=MASTER!$B$4,S20=MASTER!$B$5,S20=MASTER!$B$6,S20=MASTER!$B$7,S20=MASTER!$B$8,S20=MASTER!$B$9,S20=MASTER!$B$136,S20=MASTER!$B$10,S20=MASTER!$B$11,S20=MASTER!$B$12,S20=MASTER!$B$13,S20=MASTER!$B$2,S20=MASTER!$B$132,S20=MASTER!$B$137),(CONCATENATE(VLOOKUP(S20,MASTER!$B:$J,9,0),Table5[[#This Row],[TOP FOAM/REBOUND LENGTH]],"X",Table5[[#This Row],[TOP FOAM / REBOUND WIDTH]],"X",VLOOKUP(Table5[[#This Row],[VARIETY ]],MASTER!$B:$L,11,0))),"")</f>
        <v/>
      </c>
      <c r="AF20" s="72">
        <f>+Table2[[#This Row],[QTY]]*1</f>
        <v>0</v>
      </c>
      <c r="AH20" s="60" t="str">
        <f>+Table2[[#This Row],[VARIETY]]</f>
        <v/>
      </c>
      <c r="AI20" s="65">
        <f>IFERROR(Table2[[#This Row],[STD-L]]-VLOOKUP(AH20,MASTER!$B:$E,4,0),0)</f>
        <v>0</v>
      </c>
      <c r="AJ20" s="65">
        <f>IFERROR(Table2[[#This Row],[STD-W]]-VLOOKUP(AH20,MASTER!$B:$F,5,0),0)</f>
        <v>0</v>
      </c>
      <c r="AK20" s="65" t="str">
        <f t="shared" si="9"/>
        <v/>
      </c>
      <c r="AL20" s="66" t="str">
        <f t="shared" si="10"/>
        <v/>
      </c>
      <c r="AN20" s="75" t="str">
        <f>IFERROR(CONCATENATE(VLOOKUP(AH20,MASTER!$B:$H,7,0),Table510[[#This Row],[ACTUAL  LENGTH]],"0X",VLOOKUP(AH20,MASTER!$B:$G,6,0),"X",VLOOKUP(AH20,MASTER!$B:$I,8,0)),"")</f>
        <v/>
      </c>
      <c r="AO20" s="71" t="str">
        <f>IFERROR(((VLOOKUP(Table611[[#This Row],[LENGTHSIZE]],'ALL NEW ITEM '!$E:$F,2,0)*2)*Q20),"")</f>
        <v/>
      </c>
      <c r="AP20" s="71" t="str">
        <f>IFERROR(IF(VLOOKUP(AH20,MASTER!$B:$I,8,0)="40MM",(CONCATENATE(VLOOKUP(AH20,MASTER!$B:$H,7,0),Table510[[#This Row],[ACTUAL WIDTH]],"0X",VLOOKUP(AH20,MASTER!$B:$G,6,0),"X",VLOOKUP(AH20,MASTER!$B:$I,8,0))),(CONCATENATE(VLOOKUP(AH20,MASTER!$B:$H,7,0),Table510[[#This Row],[ACTUAL WIDTH]],"X",VLOOKUP(AH20,MASTER!$B:$G,6,0),"X",VLOOKUP(AH20,MASTER!$B:$I,8,0)))),"")</f>
        <v/>
      </c>
      <c r="AQ20" s="71" t="str">
        <f>+IFERROR(((VLOOKUP(AP20,'ALL NEW ITEM '!$E:$F,2,0)*2)*Table2[[#This Row],[QTY]]),"")</f>
        <v/>
      </c>
      <c r="AR20" s="71" t="str">
        <f>IF(OR(AH20=MASTER!$B$2,AH20=MASTER!$B$3,AH20=MASTER!$B$4,AH20=MASTER!$B$5,AH20=MASTER!$B$6,AH20=MASTER!$B$128,AH20=MASTER!$B$129,AH20=MASTER!$B$130,AH20=MASTER!$B$131,AH20=MASTER!$B$132,AH20=MASTER!$B$133,AH20=MASTER!$B$134,AH20=MASTER!$B$135,AH20=MASTER!$B$136,AH20=MASTER!$B$137),(CONCATENATE(VLOOKUP(AH20,MASTER!$B:$J,9,0),AK20,"0X",AL20,"0X",VLOOKUP(Table5[[#This Row],[VARIETY ]],MASTER!$B:$K,10,0))),"")</f>
        <v/>
      </c>
      <c r="AS20" s="71" t="str">
        <f>IFERROR(VLOOKUP(AR20,'ALL NEW ITEM '!$E:$F,2,0)*Q20,"")</f>
        <v/>
      </c>
      <c r="AT20" s="71" t="str">
        <f>IF(OR(AH20=MASTER!$B$2,AH20=MASTER!$B$3,AH20=MASTER!$B$4,AH20=MASTER!$B$5,AH20=MASTER!$B$6,AH20=MASTER!$B$2,AH20=MASTER!$B$132,AH20=MASTER!$B$135,AH20=MASTER!$B$136,AH20=MASTER!$B$137),(CONCATENATE(VLOOKUP(AH20,MASTER!$B:$J,9,0),AK20,"0X",AL20,"0X",VLOOKUP(Table5[[#This Row],[VARIETY ]],MASTER!$B:$L,11,0))),"")</f>
        <v/>
      </c>
      <c r="AU20" s="72" t="str">
        <f>IFERROR(VLOOKUP(Table611[[#This Row],[TOPFOAM/REBOUND14]],'ALL NEW ITEM '!$E:$F,2,0)*Q20,"")</f>
        <v/>
      </c>
    </row>
    <row r="21" spans="1:47">
      <c r="A21" s="60">
        <f t="shared" si="12"/>
        <v>20</v>
      </c>
      <c r="B21" s="60" t="str">
        <f>LEFT(Table1[[#This Row],[ITEM CODE]],MIN(FIND({0,1,2,3,4,5,6,7,8,9},Table1[[#This Row],[ITEM CODE]]&amp;"0123456789"))-1)</f>
        <v/>
      </c>
      <c r="C21" s="61" t="str">
        <f>SUBSTITUTE(Table1[[#This Row],[ITEM CODE]],B21,"")</f>
        <v/>
      </c>
      <c r="D21" s="61" t="str">
        <f t="shared" si="0"/>
        <v/>
      </c>
      <c r="E21" s="61" t="str">
        <f t="shared" si="1"/>
        <v/>
      </c>
      <c r="F21" s="61" t="str">
        <f t="shared" si="2"/>
        <v/>
      </c>
      <c r="G21" s="61" t="str">
        <f t="shared" si="3"/>
        <v/>
      </c>
      <c r="H21" s="61" t="str">
        <f t="shared" si="4"/>
        <v/>
      </c>
      <c r="I21" s="61" t="str">
        <f t="shared" si="5"/>
        <v/>
      </c>
      <c r="J21" s="61" t="str">
        <f>IFERROR(IF(Table2[[#This Row],[L]]&lt;Table2[[#This Row],[W]],Table2[[#This Row],[W]],Table2[[#This Row],[L]]),"")</f>
        <v/>
      </c>
      <c r="K21" s="61" t="str">
        <f>IF(Table2[[#This Row],[L]]&lt;Table2[[#This Row],[W]],Table2[[#This Row],[L]],Table2[[#This Row],[W]])</f>
        <v/>
      </c>
      <c r="L21" s="61" t="str">
        <f t="shared" si="6"/>
        <v/>
      </c>
      <c r="M21" s="61" t="str">
        <f t="shared" si="7"/>
        <v/>
      </c>
      <c r="N21" s="61" t="str">
        <f t="shared" si="8"/>
        <v>XX</v>
      </c>
      <c r="O21" s="61" t="str">
        <f t="shared" si="11"/>
        <v>XX</v>
      </c>
      <c r="P21" s="61" t="str">
        <f>+CONCATENATE(Table2[[#This Row],[1]],Table2[[#This Row],[H]])</f>
        <v/>
      </c>
      <c r="Q21" s="61">
        <f>+Table1[[#This Row],[QTY]]</f>
        <v>0</v>
      </c>
      <c r="S21" s="60" t="str">
        <f>+Table2[[#This Row],[VARIETY]]</f>
        <v/>
      </c>
      <c r="T21" s="65">
        <f>IFERROR(Table2[[#This Row],[L]]-VLOOKUP(Table5[[#This Row],[VARIETY ]],MASTER!$B:$E,4,0),0)</f>
        <v>0</v>
      </c>
      <c r="U21" s="65">
        <f>IFERROR(Table2[[#This Row],[W]]-VLOOKUP(Table5[[#This Row],[VARIETY ]],MASTER!$B:$F,5,0),0)</f>
        <v>0</v>
      </c>
      <c r="V21" s="65">
        <f>IFERROR(IF(VLOOKUP(Table5[[#This Row],[VARIETY ]],MASTER!$B:$M,12,0)=0,0,(Table2[[#This Row],[L]]-VLOOKUP(Table5[[#This Row],[VARIETY ]],MASTER!$B:$M,12,0))),0)</f>
        <v>0</v>
      </c>
      <c r="W21" s="66">
        <f>IFERROR(IF(VLOOKUP(Table5[[#This Row],[VARIETY ]],MASTER!$B:$N,13,0)=0,0,(Table2[[#This Row],[W]]-VLOOKUP(Table5[[#This Row],[VARIETY ]],MASTER!$B:$N,13,0))),0)</f>
        <v>0</v>
      </c>
      <c r="X21" s="65">
        <v>20</v>
      </c>
      <c r="Y21" s="70" t="str">
        <f>IFERROR(IF(VLOOKUP(S21,MASTER!$B:$I,8,0)="40MM",((CONCATENATE(VLOOKUP(S21,MASTER!$B:$H,7,0),T21,"X",VLOOKUP(S21,MASTER!$B:$G,6,0),"X",VLOOKUP(S21,MASTER!$B:$I,8,0)))),(CONCATENATE(VLOOKUP(S21,MASTER!$B:$H,7,0),T21,"X",VLOOKUP(S21,MASTER!$B:$G,6,0),"X",VLOOKUP(S21,MASTER!$B:$I,8,0)))),"")</f>
        <v/>
      </c>
      <c r="Z21" s="71">
        <f>Table2[[#This Row],[QTY]]*2</f>
        <v>0</v>
      </c>
      <c r="AA21" s="71" t="str">
        <f>IFERROR(IF(VLOOKUP(S21,MASTER!$B:$I,8,0)="40MM",((CONCATENATE(VLOOKUP(S21,MASTER!$B:$H,7,0),U21,"X",VLOOKUP(S21,MASTER!$B:$G,6,0),"X",VLOOKUP(S21,MASTER!$B:$I,8,0)))),((CONCATENATE(VLOOKUP(S21,MASTER!$B:$H,7,0),U21,"X",VLOOKUP(S21,MASTER!$B:$G,6,0),"X",VLOOKUP(S21,MASTER!$B:$I,8,0))))),"")</f>
        <v/>
      </c>
      <c r="AB21" s="71">
        <f>+Table2[[#This Row],[QTY]]*2</f>
        <v>0</v>
      </c>
      <c r="AC21" s="71" t="str">
        <f>IF(OR(S21=MASTER!$B$2,S21=MASTER!$B$3,S21=MASTER!$B$4,S21=MASTER!$B$5,S21=MASTER!$B$6,S21=MASTER!$B$7,S21=MASTER!$B$8,S21=MASTER!$B$9,S21=MASTER!$B$10,S21=MASTER!$B$11,S21=MASTER!$B$12,S21=MASTER!$B$13,S21=MASTER!$B$93,S21=MASTER!$B$94,S21=MASTER!$B$128,S21=MASTER!$B$129,S21=MASTER!$B$130,S21=MASTER!$B$131,S21=MASTER!$B$132,S21=MASTER!$B$136,S21=MASTER!$B$137),(CONCATENATE(VLOOKUP(S21,MASTER!$B:$J,9,0),Table5[[#This Row],[TOP FOAM/REBOUND LENGTH]],"X",Table5[[#This Row],[TOP FOAM / REBOUND WIDTH]],"X",VLOOKUP(Table5[[#This Row],[VARIETY ]],MASTER!$B:$K,10,0))),"")</f>
        <v/>
      </c>
      <c r="AD21" s="71">
        <f>+Table2[[#This Row],[QTY]]*1</f>
        <v>0</v>
      </c>
      <c r="AE21" s="71" t="str">
        <f>IF(OR(S21=MASTER!$B$2,S21=MASTER!$B$3,S21=MASTER!$B$4,S21=MASTER!$B$5,S21=MASTER!$B$6,S21=MASTER!$B$7,S21=MASTER!$B$8,S21=MASTER!$B$9,S21=MASTER!$B$136,S21=MASTER!$B$10,S21=MASTER!$B$11,S21=MASTER!$B$12,S21=MASTER!$B$13,S21=MASTER!$B$2,S21=MASTER!$B$132,S21=MASTER!$B$137),(CONCATENATE(VLOOKUP(S21,MASTER!$B:$J,9,0),Table5[[#This Row],[TOP FOAM/REBOUND LENGTH]],"X",Table5[[#This Row],[TOP FOAM / REBOUND WIDTH]],"X",VLOOKUP(Table5[[#This Row],[VARIETY ]],MASTER!$B:$L,11,0))),"")</f>
        <v/>
      </c>
      <c r="AF21" s="72">
        <f>+Table2[[#This Row],[QTY]]*1</f>
        <v>0</v>
      </c>
      <c r="AH21" s="60" t="str">
        <f>+Table2[[#This Row],[VARIETY]]</f>
        <v/>
      </c>
      <c r="AI21" s="65">
        <f>IFERROR(Table2[[#This Row],[STD-L]]-VLOOKUP(AH21,MASTER!$B:$E,4,0),0)</f>
        <v>0</v>
      </c>
      <c r="AJ21" s="65">
        <f>IFERROR(Table2[[#This Row],[STD-W]]-VLOOKUP(AH21,MASTER!$B:$F,5,0),0)</f>
        <v>0</v>
      </c>
      <c r="AK21" s="65" t="str">
        <f t="shared" si="9"/>
        <v/>
      </c>
      <c r="AL21" s="66" t="str">
        <f t="shared" si="10"/>
        <v/>
      </c>
      <c r="AN21" s="75" t="str">
        <f>IFERROR(CONCATENATE(VLOOKUP(AH21,MASTER!$B:$H,7,0),Table510[[#This Row],[ACTUAL  LENGTH]],"0X",VLOOKUP(AH21,MASTER!$B:$G,6,0),"X",VLOOKUP(AH21,MASTER!$B:$I,8,0)),"")</f>
        <v/>
      </c>
      <c r="AO21" s="71" t="str">
        <f>IFERROR(((VLOOKUP(Table611[[#This Row],[LENGTHSIZE]],'ALL NEW ITEM '!$E:$F,2,0)*2)*Q21),"")</f>
        <v/>
      </c>
      <c r="AP21" s="71" t="str">
        <f>IFERROR(IF(VLOOKUP(AH21,MASTER!$B:$I,8,0)="40MM",(CONCATENATE(VLOOKUP(AH21,MASTER!$B:$H,7,0),Table510[[#This Row],[ACTUAL WIDTH]],"0X",VLOOKUP(AH21,MASTER!$B:$G,6,0),"X",VLOOKUP(AH21,MASTER!$B:$I,8,0))),(CONCATENATE(VLOOKUP(AH21,MASTER!$B:$H,7,0),Table510[[#This Row],[ACTUAL WIDTH]],"X",VLOOKUP(AH21,MASTER!$B:$G,6,0),"X",VLOOKUP(AH21,MASTER!$B:$I,8,0)))),"")</f>
        <v/>
      </c>
      <c r="AQ21" s="71" t="str">
        <f>+IFERROR(((VLOOKUP(AP21,'ALL NEW ITEM '!$E:$F,2,0)*2)*Table2[[#This Row],[QTY]]),"")</f>
        <v/>
      </c>
      <c r="AR21" s="71" t="str">
        <f>IF(OR(AH21=MASTER!$B$2,AH21=MASTER!$B$3,AH21=MASTER!$B$4,AH21=MASTER!$B$5,AH21=MASTER!$B$6,AH21=MASTER!$B$128,AH21=MASTER!$B$129,AH21=MASTER!$B$130,AH21=MASTER!$B$131,AH21=MASTER!$B$132,AH21=MASTER!$B$133,AH21=MASTER!$B$134,AH21=MASTER!$B$135,AH21=MASTER!$B$136,AH21=MASTER!$B$137),(CONCATENATE(VLOOKUP(AH21,MASTER!$B:$J,9,0),AK21,"0X",AL21,"0X",VLOOKUP(Table5[[#This Row],[VARIETY ]],MASTER!$B:$K,10,0))),"")</f>
        <v/>
      </c>
      <c r="AS21" s="71" t="str">
        <f>IFERROR(VLOOKUP(AR21,'ALL NEW ITEM '!$E:$F,2,0)*Q21,"")</f>
        <v/>
      </c>
      <c r="AT21" s="71" t="str">
        <f>IF(OR(AH21=MASTER!$B$2,AH21=MASTER!$B$3,AH21=MASTER!$B$4,AH21=MASTER!$B$5,AH21=MASTER!$B$6,AH21=MASTER!$B$2,AH21=MASTER!$B$132,AH21=MASTER!$B$135,AH21=MASTER!$B$136,AH21=MASTER!$B$137),(CONCATENATE(VLOOKUP(AH21,MASTER!$B:$J,9,0),AK21,"0X",AL21,"0X",VLOOKUP(Table5[[#This Row],[VARIETY ]],MASTER!$B:$L,11,0))),"")</f>
        <v/>
      </c>
      <c r="AU21" s="72" t="str">
        <f>IFERROR(VLOOKUP(Table611[[#This Row],[TOPFOAM/REBOUND14]],'ALL NEW ITEM '!$E:$F,2,0)*Q21,"")</f>
        <v/>
      </c>
    </row>
    <row r="22" spans="1:47">
      <c r="A22" s="60">
        <f t="shared" si="12"/>
        <v>21</v>
      </c>
      <c r="B22" s="60" t="str">
        <f>LEFT(Table1[[#This Row],[ITEM CODE]],MIN(FIND({0,1,2,3,4,5,6,7,8,9},Table1[[#This Row],[ITEM CODE]]&amp;"0123456789"))-1)</f>
        <v/>
      </c>
      <c r="C22" s="61" t="str">
        <f>SUBSTITUTE(Table1[[#This Row],[ITEM CODE]],B22,"")</f>
        <v/>
      </c>
      <c r="D22" s="61" t="str">
        <f t="shared" si="0"/>
        <v/>
      </c>
      <c r="E22" s="61" t="str">
        <f t="shared" si="1"/>
        <v/>
      </c>
      <c r="F22" s="61" t="str">
        <f t="shared" si="2"/>
        <v/>
      </c>
      <c r="G22" s="61" t="str">
        <f t="shared" si="3"/>
        <v/>
      </c>
      <c r="H22" s="61" t="str">
        <f t="shared" si="4"/>
        <v/>
      </c>
      <c r="I22" s="61" t="str">
        <f t="shared" si="5"/>
        <v/>
      </c>
      <c r="J22" s="61" t="str">
        <f>IFERROR(IF(Table2[[#This Row],[L]]&lt;Table2[[#This Row],[W]],Table2[[#This Row],[W]],Table2[[#This Row],[L]]),"")</f>
        <v/>
      </c>
      <c r="K22" s="61" t="str">
        <f>IF(Table2[[#This Row],[L]]&lt;Table2[[#This Row],[W]],Table2[[#This Row],[L]],Table2[[#This Row],[W]])</f>
        <v/>
      </c>
      <c r="L22" s="61" t="str">
        <f t="shared" si="6"/>
        <v/>
      </c>
      <c r="M22" s="61" t="str">
        <f t="shared" si="7"/>
        <v/>
      </c>
      <c r="N22" s="61" t="str">
        <f t="shared" si="8"/>
        <v>XX</v>
      </c>
      <c r="O22" s="61" t="str">
        <f t="shared" si="11"/>
        <v>XX</v>
      </c>
      <c r="P22" s="61" t="str">
        <f>+CONCATENATE(Table2[[#This Row],[1]],Table2[[#This Row],[H]])</f>
        <v/>
      </c>
      <c r="Q22" s="61">
        <f>+Table1[[#This Row],[QTY]]</f>
        <v>0</v>
      </c>
      <c r="S22" s="60" t="str">
        <f>+Table2[[#This Row],[VARIETY]]</f>
        <v/>
      </c>
      <c r="T22" s="65">
        <f>IFERROR(Table2[[#This Row],[L]]-VLOOKUP(Table5[[#This Row],[VARIETY ]],MASTER!$B:$E,4,0),0)</f>
        <v>0</v>
      </c>
      <c r="U22" s="65">
        <f>IFERROR(Table2[[#This Row],[W]]-VLOOKUP(Table5[[#This Row],[VARIETY ]],MASTER!$B:$F,5,0),0)</f>
        <v>0</v>
      </c>
      <c r="V22" s="65">
        <f>IFERROR(IF(VLOOKUP(Table5[[#This Row],[VARIETY ]],MASTER!$B:$M,12,0)=0,0,(Table2[[#This Row],[L]]-VLOOKUP(Table5[[#This Row],[VARIETY ]],MASTER!$B:$M,12,0))),0)</f>
        <v>0</v>
      </c>
      <c r="W22" s="66">
        <f>IFERROR(IF(VLOOKUP(Table5[[#This Row],[VARIETY ]],MASTER!$B:$N,13,0)=0,0,(Table2[[#This Row],[W]]-VLOOKUP(Table5[[#This Row],[VARIETY ]],MASTER!$B:$N,13,0))),0)</f>
        <v>0</v>
      </c>
      <c r="X22" s="67">
        <v>21</v>
      </c>
      <c r="Y22" s="70" t="str">
        <f>IFERROR(IF(VLOOKUP(S22,MASTER!$B:$I,8,0)="40MM",((CONCATENATE(VLOOKUP(S22,MASTER!$B:$H,7,0),T22,"X",VLOOKUP(S22,MASTER!$B:$G,6,0),"X",VLOOKUP(S22,MASTER!$B:$I,8,0)))),(CONCATENATE(VLOOKUP(S22,MASTER!$B:$H,7,0),T22,"X",VLOOKUP(S22,MASTER!$B:$G,6,0),"X",VLOOKUP(S22,MASTER!$B:$I,8,0)))),"")</f>
        <v/>
      </c>
      <c r="Z22" s="71">
        <f>Table2[[#This Row],[QTY]]*2</f>
        <v>0</v>
      </c>
      <c r="AA22" s="71" t="str">
        <f>IFERROR(IF(VLOOKUP(S22,MASTER!$B:$I,8,0)="40MM",((CONCATENATE(VLOOKUP(S22,MASTER!$B:$H,7,0),U22,"X",VLOOKUP(S22,MASTER!$B:$G,6,0),"X",VLOOKUP(S22,MASTER!$B:$I,8,0)))),((CONCATENATE(VLOOKUP(S22,MASTER!$B:$H,7,0),U22,"X",VLOOKUP(S22,MASTER!$B:$G,6,0),"X",VLOOKUP(S22,MASTER!$B:$I,8,0))))),"")</f>
        <v/>
      </c>
      <c r="AB22" s="71">
        <f>+Table2[[#This Row],[QTY]]*2</f>
        <v>0</v>
      </c>
      <c r="AC22" s="71" t="str">
        <f>IF(OR(S22=MASTER!$B$2,S22=MASTER!$B$3,S22=MASTER!$B$4,S22=MASTER!$B$5,S22=MASTER!$B$6,S22=MASTER!$B$7,S22=MASTER!$B$8,S22=MASTER!$B$9,S22=MASTER!$B$10,S22=MASTER!$B$11,S22=MASTER!$B$12,S22=MASTER!$B$13,S22=MASTER!$B$93,S22=MASTER!$B$94,S22=MASTER!$B$128,S22=MASTER!$B$129,S22=MASTER!$B$130,S22=MASTER!$B$131,S22=MASTER!$B$132,S22=MASTER!$B$136,S22=MASTER!$B$137),(CONCATENATE(VLOOKUP(S22,MASTER!$B:$J,9,0),Table5[[#This Row],[TOP FOAM/REBOUND LENGTH]],"X",Table5[[#This Row],[TOP FOAM / REBOUND WIDTH]],"X",VLOOKUP(Table5[[#This Row],[VARIETY ]],MASTER!$B:$K,10,0))),"")</f>
        <v/>
      </c>
      <c r="AD22" s="71">
        <f>+Table2[[#This Row],[QTY]]*1</f>
        <v>0</v>
      </c>
      <c r="AE22" s="71" t="str">
        <f>IF(OR(S22=MASTER!$B$2,S22=MASTER!$B$3,S22=MASTER!$B$4,S22=MASTER!$B$5,S22=MASTER!$B$6,S22=MASTER!$B$7,S22=MASTER!$B$8,S22=MASTER!$B$9,S22=MASTER!$B$136,S22=MASTER!$B$10,S22=MASTER!$B$11,S22=MASTER!$B$12,S22=MASTER!$B$13,S22=MASTER!$B$2,S22=MASTER!$B$132,S22=MASTER!$B$137),(CONCATENATE(VLOOKUP(S22,MASTER!$B:$J,9,0),Table5[[#This Row],[TOP FOAM/REBOUND LENGTH]],"X",Table5[[#This Row],[TOP FOAM / REBOUND WIDTH]],"X",VLOOKUP(Table5[[#This Row],[VARIETY ]],MASTER!$B:$L,11,0))),"")</f>
        <v/>
      </c>
      <c r="AF22" s="72">
        <f>+Table2[[#This Row],[QTY]]*1</f>
        <v>0</v>
      </c>
      <c r="AH22" s="60" t="str">
        <f>+Table2[[#This Row],[VARIETY]]</f>
        <v/>
      </c>
      <c r="AI22" s="65">
        <f>IFERROR(Table2[[#This Row],[STD-L]]-VLOOKUP(AH22,MASTER!$B:$E,4,0),0)</f>
        <v>0</v>
      </c>
      <c r="AJ22" s="65">
        <f>IFERROR(Table2[[#This Row],[STD-W]]-VLOOKUP(AH22,MASTER!$B:$F,5,0),0)</f>
        <v>0</v>
      </c>
      <c r="AK22" s="65" t="str">
        <f t="shared" si="9"/>
        <v/>
      </c>
      <c r="AL22" s="66" t="str">
        <f t="shared" si="10"/>
        <v/>
      </c>
      <c r="AN22" s="75" t="str">
        <f>IFERROR(CONCATENATE(VLOOKUP(AH22,MASTER!$B:$H,7,0),Table510[[#This Row],[ACTUAL  LENGTH]],"0X",VLOOKUP(AH22,MASTER!$B:$G,6,0),"X",VLOOKUP(AH22,MASTER!$B:$I,8,0)),"")</f>
        <v/>
      </c>
      <c r="AO22" s="71" t="str">
        <f>IFERROR(((VLOOKUP(Table611[[#This Row],[LENGTHSIZE]],'ALL NEW ITEM '!$E:$F,2,0)*2)*Q22),"")</f>
        <v/>
      </c>
      <c r="AP22" s="71" t="str">
        <f>IFERROR(IF(VLOOKUP(AH22,MASTER!$B:$I,8,0)="40MM",(CONCATENATE(VLOOKUP(AH22,MASTER!$B:$H,7,0),Table510[[#This Row],[ACTUAL WIDTH]],"0X",VLOOKUP(AH22,MASTER!$B:$G,6,0),"X",VLOOKUP(AH22,MASTER!$B:$I,8,0))),(CONCATENATE(VLOOKUP(AH22,MASTER!$B:$H,7,0),Table510[[#This Row],[ACTUAL WIDTH]],"X",VLOOKUP(AH22,MASTER!$B:$G,6,0),"X",VLOOKUP(AH22,MASTER!$B:$I,8,0)))),"")</f>
        <v/>
      </c>
      <c r="AQ22" s="71" t="str">
        <f>+IFERROR(((VLOOKUP(AP22,'ALL NEW ITEM '!$E:$F,2,0)*2)*Table2[[#This Row],[QTY]]),"")</f>
        <v/>
      </c>
      <c r="AR22" s="71" t="str">
        <f>IF(OR(AH22=MASTER!$B$2,AH22=MASTER!$B$3,AH22=MASTER!$B$4,AH22=MASTER!$B$5,AH22=MASTER!$B$6,AH22=MASTER!$B$128,AH22=MASTER!$B$129,AH22=MASTER!$B$130,AH22=MASTER!$B$131,AH22=MASTER!$B$132,AH22=MASTER!$B$133,AH22=MASTER!$B$134,AH22=MASTER!$B$135,AH22=MASTER!$B$136,AH22=MASTER!$B$137),(CONCATENATE(VLOOKUP(AH22,MASTER!$B:$J,9,0),AK22,"0X",AL22,"0X",VLOOKUP(Table5[[#This Row],[VARIETY ]],MASTER!$B:$K,10,0))),"")</f>
        <v/>
      </c>
      <c r="AS22" s="71" t="str">
        <f>IFERROR(VLOOKUP(AR22,'ALL NEW ITEM '!$E:$F,2,0)*Q22,"")</f>
        <v/>
      </c>
      <c r="AT22" s="71" t="str">
        <f>IF(OR(AH22=MASTER!$B$2,AH22=MASTER!$B$3,AH22=MASTER!$B$4,AH22=MASTER!$B$5,AH22=MASTER!$B$6,AH22=MASTER!$B$2,AH22=MASTER!$B$132,AH22=MASTER!$B$135,AH22=MASTER!$B$136,AH22=MASTER!$B$137),(CONCATENATE(VLOOKUP(AH22,MASTER!$B:$J,9,0),AK22,"0X",AL22,"0X",VLOOKUP(Table5[[#This Row],[VARIETY ]],MASTER!$B:$L,11,0))),"")</f>
        <v/>
      </c>
      <c r="AU22" s="72" t="str">
        <f>IFERROR(VLOOKUP(Table611[[#This Row],[TOPFOAM/REBOUND14]],'ALL NEW ITEM '!$E:$F,2,0)*Q22,"")</f>
        <v/>
      </c>
    </row>
    <row r="23" spans="1:47">
      <c r="A23" s="60">
        <f t="shared" si="12"/>
        <v>22</v>
      </c>
      <c r="B23" s="60" t="str">
        <f>LEFT(Table1[[#This Row],[ITEM CODE]],MIN(FIND({0,1,2,3,4,5,6,7,8,9},Table1[[#This Row],[ITEM CODE]]&amp;"0123456789"))-1)</f>
        <v/>
      </c>
      <c r="C23" s="61" t="str">
        <f>SUBSTITUTE(Table1[[#This Row],[ITEM CODE]],B23,"")</f>
        <v/>
      </c>
      <c r="D23" s="61" t="str">
        <f t="shared" si="0"/>
        <v/>
      </c>
      <c r="E23" s="61" t="str">
        <f t="shared" si="1"/>
        <v/>
      </c>
      <c r="F23" s="61" t="str">
        <f t="shared" si="2"/>
        <v/>
      </c>
      <c r="G23" s="61" t="str">
        <f t="shared" si="3"/>
        <v/>
      </c>
      <c r="H23" s="61" t="str">
        <f t="shared" si="4"/>
        <v/>
      </c>
      <c r="I23" s="61" t="str">
        <f t="shared" si="5"/>
        <v/>
      </c>
      <c r="J23" s="61" t="str">
        <f>IFERROR(IF(Table2[[#This Row],[L]]&lt;Table2[[#This Row],[W]],Table2[[#This Row],[W]],Table2[[#This Row],[L]]),"")</f>
        <v/>
      </c>
      <c r="K23" s="61" t="str">
        <f>IF(Table2[[#This Row],[L]]&lt;Table2[[#This Row],[W]],Table2[[#This Row],[L]],Table2[[#This Row],[W]])</f>
        <v/>
      </c>
      <c r="L23" s="61" t="str">
        <f t="shared" si="6"/>
        <v/>
      </c>
      <c r="M23" s="61" t="str">
        <f t="shared" si="7"/>
        <v/>
      </c>
      <c r="N23" s="61" t="str">
        <f t="shared" si="8"/>
        <v>XX</v>
      </c>
      <c r="O23" s="61" t="str">
        <f t="shared" si="11"/>
        <v>XX</v>
      </c>
      <c r="P23" s="61" t="str">
        <f>+CONCATENATE(Table2[[#This Row],[1]],Table2[[#This Row],[H]])</f>
        <v/>
      </c>
      <c r="Q23" s="61">
        <f>+Table1[[#This Row],[QTY]]</f>
        <v>0</v>
      </c>
      <c r="S23" s="60" t="str">
        <f>+Table2[[#This Row],[VARIETY]]</f>
        <v/>
      </c>
      <c r="T23" s="65">
        <f>IFERROR(Table2[[#This Row],[L]]-VLOOKUP(Table5[[#This Row],[VARIETY ]],MASTER!$B:$E,4,0),0)</f>
        <v>0</v>
      </c>
      <c r="U23" s="65">
        <f>IFERROR(Table2[[#This Row],[W]]-VLOOKUP(Table5[[#This Row],[VARIETY ]],MASTER!$B:$F,5,0),0)</f>
        <v>0</v>
      </c>
      <c r="V23" s="65">
        <f>IFERROR(IF(VLOOKUP(Table5[[#This Row],[VARIETY ]],MASTER!$B:$M,12,0)=0,0,(Table2[[#This Row],[L]]-VLOOKUP(Table5[[#This Row],[VARIETY ]],MASTER!$B:$M,12,0))),0)</f>
        <v>0</v>
      </c>
      <c r="W23" s="66">
        <f>IFERROR(IF(VLOOKUP(Table5[[#This Row],[VARIETY ]],MASTER!$B:$N,13,0)=0,0,(Table2[[#This Row],[W]]-VLOOKUP(Table5[[#This Row],[VARIETY ]],MASTER!$B:$N,13,0))),0)</f>
        <v>0</v>
      </c>
      <c r="X23" s="65">
        <v>22</v>
      </c>
      <c r="Y23" s="70" t="str">
        <f>IFERROR(IF(VLOOKUP(S23,MASTER!$B:$I,8,0)="40MM",((CONCATENATE(VLOOKUP(S23,MASTER!$B:$H,7,0),T23,"X",VLOOKUP(S23,MASTER!$B:$G,6,0),"X",VLOOKUP(S23,MASTER!$B:$I,8,0)))),(CONCATENATE(VLOOKUP(S23,MASTER!$B:$H,7,0),T23,"X",VLOOKUP(S23,MASTER!$B:$G,6,0),"X",VLOOKUP(S23,MASTER!$B:$I,8,0)))),"")</f>
        <v/>
      </c>
      <c r="Z23" s="71">
        <f>Table2[[#This Row],[QTY]]*2</f>
        <v>0</v>
      </c>
      <c r="AA23" s="71" t="str">
        <f>IFERROR(IF(VLOOKUP(S23,MASTER!$B:$I,8,0)="40MM",((CONCATENATE(VLOOKUP(S23,MASTER!$B:$H,7,0),U23,"X",VLOOKUP(S23,MASTER!$B:$G,6,0),"X",VLOOKUP(S23,MASTER!$B:$I,8,0)))),((CONCATENATE(VLOOKUP(S23,MASTER!$B:$H,7,0),U23,"X",VLOOKUP(S23,MASTER!$B:$G,6,0),"X",VLOOKUP(S23,MASTER!$B:$I,8,0))))),"")</f>
        <v/>
      </c>
      <c r="AB23" s="71">
        <f>+Table2[[#This Row],[QTY]]*2</f>
        <v>0</v>
      </c>
      <c r="AC23" s="71" t="str">
        <f>IF(OR(S23=MASTER!$B$2,S23=MASTER!$B$3,S23=MASTER!$B$4,S23=MASTER!$B$5,S23=MASTER!$B$6,S23=MASTER!$B$7,S23=MASTER!$B$8,S23=MASTER!$B$9,S23=MASTER!$B$10,S23=MASTER!$B$11,S23=MASTER!$B$12,S23=MASTER!$B$13,S23=MASTER!$B$93,S23=MASTER!$B$94,S23=MASTER!$B$128,S23=MASTER!$B$129,S23=MASTER!$B$130,S23=MASTER!$B$131,S23=MASTER!$B$132,S23=MASTER!$B$136,S23=MASTER!$B$137),(CONCATENATE(VLOOKUP(S23,MASTER!$B:$J,9,0),Table5[[#This Row],[TOP FOAM/REBOUND LENGTH]],"X",Table5[[#This Row],[TOP FOAM / REBOUND WIDTH]],"X",VLOOKUP(Table5[[#This Row],[VARIETY ]],MASTER!$B:$K,10,0))),"")</f>
        <v/>
      </c>
      <c r="AD23" s="71">
        <f>+Table2[[#This Row],[QTY]]*1</f>
        <v>0</v>
      </c>
      <c r="AE23" s="71" t="str">
        <f>IF(OR(S23=MASTER!$B$2,S23=MASTER!$B$3,S23=MASTER!$B$4,S23=MASTER!$B$5,S23=MASTER!$B$6,S23=MASTER!$B$7,S23=MASTER!$B$8,S23=MASTER!$B$9,S23=MASTER!$B$136,S23=MASTER!$B$10,S23=MASTER!$B$11,S23=MASTER!$B$12,S23=MASTER!$B$13,S23=MASTER!$B$2,S23=MASTER!$B$132,S23=MASTER!$B$137),(CONCATENATE(VLOOKUP(S23,MASTER!$B:$J,9,0),Table5[[#This Row],[TOP FOAM/REBOUND LENGTH]],"X",Table5[[#This Row],[TOP FOAM / REBOUND WIDTH]],"X",VLOOKUP(Table5[[#This Row],[VARIETY ]],MASTER!$B:$L,11,0))),"")</f>
        <v/>
      </c>
      <c r="AF23" s="72">
        <f>+Table2[[#This Row],[QTY]]*1</f>
        <v>0</v>
      </c>
      <c r="AH23" s="60" t="str">
        <f>+Table2[[#This Row],[VARIETY]]</f>
        <v/>
      </c>
      <c r="AI23" s="65">
        <f>IFERROR(Table2[[#This Row],[STD-L]]-VLOOKUP(AH23,MASTER!$B:$E,4,0),0)</f>
        <v>0</v>
      </c>
      <c r="AJ23" s="65">
        <f>IFERROR(Table2[[#This Row],[STD-W]]-VLOOKUP(AH23,MASTER!$B:$F,5,0),0)</f>
        <v>0</v>
      </c>
      <c r="AK23" s="65" t="str">
        <f t="shared" si="9"/>
        <v/>
      </c>
      <c r="AL23" s="66" t="str">
        <f t="shared" si="10"/>
        <v/>
      </c>
      <c r="AN23" s="75" t="str">
        <f>IFERROR(CONCATENATE(VLOOKUP(AH23,MASTER!$B:$H,7,0),Table510[[#This Row],[ACTUAL  LENGTH]],"0X",VLOOKUP(AH23,MASTER!$B:$G,6,0),"X",VLOOKUP(AH23,MASTER!$B:$I,8,0)),"")</f>
        <v/>
      </c>
      <c r="AO23" s="71" t="str">
        <f>IFERROR(((VLOOKUP(Table611[[#This Row],[LENGTHSIZE]],'ALL NEW ITEM '!$E:$F,2,0)*2)*Q23),"")</f>
        <v/>
      </c>
      <c r="AP23" s="71" t="str">
        <f>IFERROR(IF(VLOOKUP(AH23,MASTER!$B:$I,8,0)="40MM",(CONCATENATE(VLOOKUP(AH23,MASTER!$B:$H,7,0),Table510[[#This Row],[ACTUAL WIDTH]],"0X",VLOOKUP(AH23,MASTER!$B:$G,6,0),"X",VLOOKUP(AH23,MASTER!$B:$I,8,0))),(CONCATENATE(VLOOKUP(AH23,MASTER!$B:$H,7,0),Table510[[#This Row],[ACTUAL WIDTH]],"X",VLOOKUP(AH23,MASTER!$B:$G,6,0),"X",VLOOKUP(AH23,MASTER!$B:$I,8,0)))),"")</f>
        <v/>
      </c>
      <c r="AQ23" s="71" t="str">
        <f>+IFERROR(((VLOOKUP(AP23,'ALL NEW ITEM '!$E:$F,2,0)*2)*Table2[[#This Row],[QTY]]),"")</f>
        <v/>
      </c>
      <c r="AR23" s="71" t="str">
        <f>IF(OR(AH23=MASTER!$B$2,AH23=MASTER!$B$3,AH23=MASTER!$B$4,AH23=MASTER!$B$5,AH23=MASTER!$B$6,AH23=MASTER!$B$128,AH23=MASTER!$B$129,AH23=MASTER!$B$130,AH23=MASTER!$B$131,AH23=MASTER!$B$132,AH23=MASTER!$B$133,AH23=MASTER!$B$134,AH23=MASTER!$B$135,AH23=MASTER!$B$136,AH23=MASTER!$B$137),(CONCATENATE(VLOOKUP(AH23,MASTER!$B:$J,9,0),AK23,"0X",AL23,"0X",VLOOKUP(Table5[[#This Row],[VARIETY ]],MASTER!$B:$K,10,0))),"")</f>
        <v/>
      </c>
      <c r="AS23" s="71" t="str">
        <f>IFERROR(VLOOKUP(AR23,'ALL NEW ITEM '!$E:$F,2,0)*Q23,"")</f>
        <v/>
      </c>
      <c r="AT23" s="71" t="str">
        <f>IF(OR(AH23=MASTER!$B$2,AH23=MASTER!$B$3,AH23=MASTER!$B$4,AH23=MASTER!$B$5,AH23=MASTER!$B$6,AH23=MASTER!$B$2,AH23=MASTER!$B$132,AH23=MASTER!$B$135,AH23=MASTER!$B$136,AH23=MASTER!$B$137),(CONCATENATE(VLOOKUP(AH23,MASTER!$B:$J,9,0),AK23,"0X",AL23,"0X",VLOOKUP(Table5[[#This Row],[VARIETY ]],MASTER!$B:$L,11,0))),"")</f>
        <v/>
      </c>
      <c r="AU23" s="72" t="str">
        <f>IFERROR(VLOOKUP(Table611[[#This Row],[TOPFOAM/REBOUND14]],'ALL NEW ITEM '!$E:$F,2,0)*Q23,"")</f>
        <v/>
      </c>
    </row>
    <row r="24" spans="1:47">
      <c r="A24" s="60">
        <f t="shared" si="12"/>
        <v>23</v>
      </c>
      <c r="B24" s="60" t="str">
        <f>LEFT(Table1[[#This Row],[ITEM CODE]],MIN(FIND({0,1,2,3,4,5,6,7,8,9},Table1[[#This Row],[ITEM CODE]]&amp;"0123456789"))-1)</f>
        <v/>
      </c>
      <c r="C24" s="61" t="str">
        <f>SUBSTITUTE(Table1[[#This Row],[ITEM CODE]],B24,"")</f>
        <v/>
      </c>
      <c r="D24" s="61" t="str">
        <f t="shared" si="0"/>
        <v/>
      </c>
      <c r="E24" s="61" t="str">
        <f t="shared" si="1"/>
        <v/>
      </c>
      <c r="F24" s="61" t="str">
        <f t="shared" si="2"/>
        <v/>
      </c>
      <c r="G24" s="61" t="str">
        <f t="shared" si="3"/>
        <v/>
      </c>
      <c r="H24" s="61" t="str">
        <f t="shared" si="4"/>
        <v/>
      </c>
      <c r="I24" s="61" t="str">
        <f t="shared" si="5"/>
        <v/>
      </c>
      <c r="J24" s="61" t="str">
        <f>IFERROR(IF(Table2[[#This Row],[L]]&lt;Table2[[#This Row],[W]],Table2[[#This Row],[W]],Table2[[#This Row],[L]]),"")</f>
        <v/>
      </c>
      <c r="K24" s="61" t="str">
        <f>IF(Table2[[#This Row],[L]]&lt;Table2[[#This Row],[W]],Table2[[#This Row],[L]],Table2[[#This Row],[W]])</f>
        <v/>
      </c>
      <c r="L24" s="61" t="str">
        <f t="shared" si="6"/>
        <v/>
      </c>
      <c r="M24" s="61" t="str">
        <f t="shared" si="7"/>
        <v/>
      </c>
      <c r="N24" s="61" t="str">
        <f t="shared" si="8"/>
        <v>XX</v>
      </c>
      <c r="O24" s="61" t="str">
        <f t="shared" si="11"/>
        <v>XX</v>
      </c>
      <c r="P24" s="61" t="str">
        <f>+CONCATENATE(Table2[[#This Row],[1]],Table2[[#This Row],[H]])</f>
        <v/>
      </c>
      <c r="Q24" s="61">
        <f>+Table1[[#This Row],[QTY]]</f>
        <v>0</v>
      </c>
      <c r="S24" s="60" t="str">
        <f>+Table2[[#This Row],[VARIETY]]</f>
        <v/>
      </c>
      <c r="T24" s="65">
        <f>IFERROR(Table2[[#This Row],[L]]-VLOOKUP(Table5[[#This Row],[VARIETY ]],MASTER!$B:$E,4,0),0)</f>
        <v>0</v>
      </c>
      <c r="U24" s="65">
        <f>IFERROR(Table2[[#This Row],[W]]-VLOOKUP(Table5[[#This Row],[VARIETY ]],MASTER!$B:$F,5,0),0)</f>
        <v>0</v>
      </c>
      <c r="V24" s="65">
        <f>IFERROR(IF(VLOOKUP(Table5[[#This Row],[VARIETY ]],MASTER!$B:$M,12,0)=0,0,(Table2[[#This Row],[L]]-VLOOKUP(Table5[[#This Row],[VARIETY ]],MASTER!$B:$M,12,0))),0)</f>
        <v>0</v>
      </c>
      <c r="W24" s="66">
        <f>IFERROR(IF(VLOOKUP(Table5[[#This Row],[VARIETY ]],MASTER!$B:$N,13,0)=0,0,(Table2[[#This Row],[W]]-VLOOKUP(Table5[[#This Row],[VARIETY ]],MASTER!$B:$N,13,0))),0)</f>
        <v>0</v>
      </c>
      <c r="X24" s="67">
        <v>23</v>
      </c>
      <c r="Y24" s="70" t="str">
        <f>IFERROR(IF(VLOOKUP(S24,MASTER!$B:$I,8,0)="40MM",((CONCATENATE(VLOOKUP(S24,MASTER!$B:$H,7,0),T24,"X",VLOOKUP(S24,MASTER!$B:$G,6,0),"X",VLOOKUP(S24,MASTER!$B:$I,8,0)))),(CONCATENATE(VLOOKUP(S24,MASTER!$B:$H,7,0),T24,"X",VLOOKUP(S24,MASTER!$B:$G,6,0),"X",VLOOKUP(S24,MASTER!$B:$I,8,0)))),"")</f>
        <v/>
      </c>
      <c r="Z24" s="71">
        <f>Table2[[#This Row],[QTY]]*2</f>
        <v>0</v>
      </c>
      <c r="AA24" s="71" t="str">
        <f>IFERROR(IF(VLOOKUP(S24,MASTER!$B:$I,8,0)="40MM",((CONCATENATE(VLOOKUP(S24,MASTER!$B:$H,7,0),U24,"X",VLOOKUP(S24,MASTER!$B:$G,6,0),"X",VLOOKUP(S24,MASTER!$B:$I,8,0)))),((CONCATENATE(VLOOKUP(S24,MASTER!$B:$H,7,0),U24,"X",VLOOKUP(S24,MASTER!$B:$G,6,0),"X",VLOOKUP(S24,MASTER!$B:$I,8,0))))),"")</f>
        <v/>
      </c>
      <c r="AB24" s="71">
        <f>+Table2[[#This Row],[QTY]]*2</f>
        <v>0</v>
      </c>
      <c r="AC24" s="71" t="str">
        <f>IF(OR(S24=MASTER!$B$2,S24=MASTER!$B$3,S24=MASTER!$B$4,S24=MASTER!$B$5,S24=MASTER!$B$6,S24=MASTER!$B$7,S24=MASTER!$B$8,S24=MASTER!$B$9,S24=MASTER!$B$10,S24=MASTER!$B$11,S24=MASTER!$B$12,S24=MASTER!$B$13,S24=MASTER!$B$93,S24=MASTER!$B$94,S24=MASTER!$B$128,S24=MASTER!$B$129,S24=MASTER!$B$130,S24=MASTER!$B$131,S24=MASTER!$B$132,S24=MASTER!$B$136,S24=MASTER!$B$137),(CONCATENATE(VLOOKUP(S24,MASTER!$B:$J,9,0),Table5[[#This Row],[TOP FOAM/REBOUND LENGTH]],"X",Table5[[#This Row],[TOP FOAM / REBOUND WIDTH]],"X",VLOOKUP(Table5[[#This Row],[VARIETY ]],MASTER!$B:$K,10,0))),"")</f>
        <v/>
      </c>
      <c r="AD24" s="71">
        <f>+Table2[[#This Row],[QTY]]*1</f>
        <v>0</v>
      </c>
      <c r="AE24" s="71" t="str">
        <f>IF(OR(S24=MASTER!$B$2,S24=MASTER!$B$3,S24=MASTER!$B$4,S24=MASTER!$B$5,S24=MASTER!$B$6,S24=MASTER!$B$7,S24=MASTER!$B$8,S24=MASTER!$B$9,S24=MASTER!$B$136,S24=MASTER!$B$10,S24=MASTER!$B$11,S24=MASTER!$B$12,S24=MASTER!$B$13,S24=MASTER!$B$2,S24=MASTER!$B$132,S24=MASTER!$B$137),(CONCATENATE(VLOOKUP(S24,MASTER!$B:$J,9,0),Table5[[#This Row],[TOP FOAM/REBOUND LENGTH]],"X",Table5[[#This Row],[TOP FOAM / REBOUND WIDTH]],"X",VLOOKUP(Table5[[#This Row],[VARIETY ]],MASTER!$B:$L,11,0))),"")</f>
        <v/>
      </c>
      <c r="AF24" s="72">
        <f>+Table2[[#This Row],[QTY]]*1</f>
        <v>0</v>
      </c>
      <c r="AH24" s="60" t="str">
        <f>+Table2[[#This Row],[VARIETY]]</f>
        <v/>
      </c>
      <c r="AI24" s="65">
        <f>IFERROR(Table2[[#This Row],[STD-L]]-VLOOKUP(AH24,MASTER!$B:$E,4,0),0)</f>
        <v>0</v>
      </c>
      <c r="AJ24" s="65">
        <f>IFERROR(Table2[[#This Row],[STD-W]]-VLOOKUP(AH24,MASTER!$B:$F,5,0),0)</f>
        <v>0</v>
      </c>
      <c r="AK24" s="65" t="str">
        <f t="shared" si="9"/>
        <v/>
      </c>
      <c r="AL24" s="66" t="str">
        <f t="shared" si="10"/>
        <v/>
      </c>
      <c r="AN24" s="75" t="str">
        <f>IFERROR(CONCATENATE(VLOOKUP(AH24,MASTER!$B:$H,7,0),Table510[[#This Row],[ACTUAL  LENGTH]],"0X",VLOOKUP(AH24,MASTER!$B:$G,6,0),"X",VLOOKUP(AH24,MASTER!$B:$I,8,0)),"")</f>
        <v/>
      </c>
      <c r="AO24" s="71" t="str">
        <f>IFERROR(((VLOOKUP(Table611[[#This Row],[LENGTHSIZE]],'ALL NEW ITEM '!$E:$F,2,0)*2)*Q24),"")</f>
        <v/>
      </c>
      <c r="AP24" s="71" t="str">
        <f>IFERROR(IF(VLOOKUP(AH24,MASTER!$B:$I,8,0)="40MM",(CONCATENATE(VLOOKUP(AH24,MASTER!$B:$H,7,0),Table510[[#This Row],[ACTUAL WIDTH]],"0X",VLOOKUP(AH24,MASTER!$B:$G,6,0),"X",VLOOKUP(AH24,MASTER!$B:$I,8,0))),(CONCATENATE(VLOOKUP(AH24,MASTER!$B:$H,7,0),Table510[[#This Row],[ACTUAL WIDTH]],"X",VLOOKUP(AH24,MASTER!$B:$G,6,0),"X",VLOOKUP(AH24,MASTER!$B:$I,8,0)))),"")</f>
        <v/>
      </c>
      <c r="AQ24" s="71" t="str">
        <f>+IFERROR(((VLOOKUP(AP24,'ALL NEW ITEM '!$E:$F,2,0)*2)*Table2[[#This Row],[QTY]]),"")</f>
        <v/>
      </c>
      <c r="AR24" s="71" t="str">
        <f>IF(OR(AH24=MASTER!$B$2,AH24=MASTER!$B$3,AH24=MASTER!$B$4,AH24=MASTER!$B$5,AH24=MASTER!$B$6,AH24=MASTER!$B$128,AH24=MASTER!$B$129,AH24=MASTER!$B$130,AH24=MASTER!$B$131,AH24=MASTER!$B$132,AH24=MASTER!$B$133,AH24=MASTER!$B$134,AH24=MASTER!$B$135,AH24=MASTER!$B$136,AH24=MASTER!$B$137),(CONCATENATE(VLOOKUP(AH24,MASTER!$B:$J,9,0),AK24,"0X",AL24,"0X",VLOOKUP(Table5[[#This Row],[VARIETY ]],MASTER!$B:$K,10,0))),"")</f>
        <v/>
      </c>
      <c r="AS24" s="71" t="str">
        <f>IFERROR(VLOOKUP(AR24,'ALL NEW ITEM '!$E:$F,2,0)*Q24,"")</f>
        <v/>
      </c>
      <c r="AT24" s="71" t="str">
        <f>IF(OR(AH24=MASTER!$B$2,AH24=MASTER!$B$3,AH24=MASTER!$B$4,AH24=MASTER!$B$5,AH24=MASTER!$B$6,AH24=MASTER!$B$2,AH24=MASTER!$B$132,AH24=MASTER!$B$135,AH24=MASTER!$B$136,AH24=MASTER!$B$137),(CONCATENATE(VLOOKUP(AH24,MASTER!$B:$J,9,0),AK24,"0X",AL24,"0X",VLOOKUP(Table5[[#This Row],[VARIETY ]],MASTER!$B:$L,11,0))),"")</f>
        <v/>
      </c>
      <c r="AU24" s="72" t="str">
        <f>IFERROR(VLOOKUP(Table611[[#This Row],[TOPFOAM/REBOUND14]],'ALL NEW ITEM '!$E:$F,2,0)*Q24,"")</f>
        <v/>
      </c>
    </row>
    <row r="25" spans="1:47">
      <c r="A25" s="60">
        <f t="shared" si="12"/>
        <v>24</v>
      </c>
      <c r="B25" s="60" t="str">
        <f>LEFT(Table1[[#This Row],[ITEM CODE]],MIN(FIND({0,1,2,3,4,5,6,7,8,9},Table1[[#This Row],[ITEM CODE]]&amp;"0123456789"))-1)</f>
        <v/>
      </c>
      <c r="C25" s="61" t="str">
        <f>SUBSTITUTE(Table1[[#This Row],[ITEM CODE]],B25,"")</f>
        <v/>
      </c>
      <c r="D25" s="61" t="str">
        <f t="shared" si="0"/>
        <v/>
      </c>
      <c r="E25" s="61" t="str">
        <f t="shared" si="1"/>
        <v/>
      </c>
      <c r="F25" s="61" t="str">
        <f t="shared" si="2"/>
        <v/>
      </c>
      <c r="G25" s="61" t="str">
        <f t="shared" si="3"/>
        <v/>
      </c>
      <c r="H25" s="61" t="str">
        <f t="shared" si="4"/>
        <v/>
      </c>
      <c r="I25" s="61" t="str">
        <f t="shared" si="5"/>
        <v/>
      </c>
      <c r="J25" s="61" t="str">
        <f>IFERROR(IF(Table2[[#This Row],[L]]&lt;Table2[[#This Row],[W]],Table2[[#This Row],[W]],Table2[[#This Row],[L]]),"")</f>
        <v/>
      </c>
      <c r="K25" s="61" t="str">
        <f>IF(Table2[[#This Row],[L]]&lt;Table2[[#This Row],[W]],Table2[[#This Row],[L]],Table2[[#This Row],[W]])</f>
        <v/>
      </c>
      <c r="L25" s="61" t="str">
        <f t="shared" si="6"/>
        <v/>
      </c>
      <c r="M25" s="61" t="str">
        <f t="shared" si="7"/>
        <v/>
      </c>
      <c r="N25" s="61" t="str">
        <f t="shared" si="8"/>
        <v>XX</v>
      </c>
      <c r="O25" s="61" t="str">
        <f t="shared" si="11"/>
        <v>XX</v>
      </c>
      <c r="P25" s="61" t="str">
        <f>+CONCATENATE(Table2[[#This Row],[1]],Table2[[#This Row],[H]])</f>
        <v/>
      </c>
      <c r="Q25" s="61">
        <f>+Table1[[#This Row],[QTY]]</f>
        <v>0</v>
      </c>
      <c r="S25" s="60" t="str">
        <f>+Table2[[#This Row],[VARIETY]]</f>
        <v/>
      </c>
      <c r="T25" s="65">
        <f>IFERROR(Table2[[#This Row],[L]]-VLOOKUP(Table5[[#This Row],[VARIETY ]],MASTER!$B:$E,4,0),0)</f>
        <v>0</v>
      </c>
      <c r="U25" s="65">
        <f>IFERROR(Table2[[#This Row],[W]]-VLOOKUP(Table5[[#This Row],[VARIETY ]],MASTER!$B:$F,5,0),0)</f>
        <v>0</v>
      </c>
      <c r="V25" s="65">
        <f>IFERROR(IF(VLOOKUP(Table5[[#This Row],[VARIETY ]],MASTER!$B:$M,12,0)=0,0,(Table2[[#This Row],[L]]-VLOOKUP(Table5[[#This Row],[VARIETY ]],MASTER!$B:$M,12,0))),0)</f>
        <v>0</v>
      </c>
      <c r="W25" s="66">
        <f>IFERROR(IF(VLOOKUP(Table5[[#This Row],[VARIETY ]],MASTER!$B:$N,13,0)=0,0,(Table2[[#This Row],[W]]-VLOOKUP(Table5[[#This Row],[VARIETY ]],MASTER!$B:$N,13,0))),0)</f>
        <v>0</v>
      </c>
      <c r="X25" s="65">
        <v>24</v>
      </c>
      <c r="Y25" s="70" t="str">
        <f>IFERROR(IF(VLOOKUP(S25,MASTER!$B:$I,8,0)="40MM",((CONCATENATE(VLOOKUP(S25,MASTER!$B:$H,7,0),T25,"X",VLOOKUP(S25,MASTER!$B:$G,6,0),"X",VLOOKUP(S25,MASTER!$B:$I,8,0)))),(CONCATENATE(VLOOKUP(S25,MASTER!$B:$H,7,0),T25,"X",VLOOKUP(S25,MASTER!$B:$G,6,0),"X",VLOOKUP(S25,MASTER!$B:$I,8,0)))),"")</f>
        <v/>
      </c>
      <c r="Z25" s="71">
        <f>Table2[[#This Row],[QTY]]*2</f>
        <v>0</v>
      </c>
      <c r="AA25" s="71" t="str">
        <f>IFERROR(IF(VLOOKUP(S25,MASTER!$B:$I,8,0)="40MM",((CONCATENATE(VLOOKUP(S25,MASTER!$B:$H,7,0),U25,"X",VLOOKUP(S25,MASTER!$B:$G,6,0),"X",VLOOKUP(S25,MASTER!$B:$I,8,0)))),((CONCATENATE(VLOOKUP(S25,MASTER!$B:$H,7,0),U25,"X",VLOOKUP(S25,MASTER!$B:$G,6,0),"X",VLOOKUP(S25,MASTER!$B:$I,8,0))))),"")</f>
        <v/>
      </c>
      <c r="AB25" s="71">
        <f>+Table2[[#This Row],[QTY]]*2</f>
        <v>0</v>
      </c>
      <c r="AC25" s="71" t="str">
        <f>IF(OR(S25=MASTER!$B$2,S25=MASTER!$B$3,S25=MASTER!$B$4,S25=MASTER!$B$5,S25=MASTER!$B$6,S25=MASTER!$B$7,S25=MASTER!$B$8,S25=MASTER!$B$9,S25=MASTER!$B$10,S25=MASTER!$B$11,S25=MASTER!$B$12,S25=MASTER!$B$13,S25=MASTER!$B$93,S25=MASTER!$B$94,S25=MASTER!$B$128,S25=MASTER!$B$129,S25=MASTER!$B$130,S25=MASTER!$B$131,S25=MASTER!$B$132,S25=MASTER!$B$136,S25=MASTER!$B$137),(CONCATENATE(VLOOKUP(S25,MASTER!$B:$J,9,0),Table5[[#This Row],[TOP FOAM/REBOUND LENGTH]],"X",Table5[[#This Row],[TOP FOAM / REBOUND WIDTH]],"X",VLOOKUP(Table5[[#This Row],[VARIETY ]],MASTER!$B:$K,10,0))),"")</f>
        <v/>
      </c>
      <c r="AD25" s="71">
        <f>+Table2[[#This Row],[QTY]]*1</f>
        <v>0</v>
      </c>
      <c r="AE25" s="71" t="str">
        <f>IF(OR(S25=MASTER!$B$2,S25=MASTER!$B$3,S25=MASTER!$B$4,S25=MASTER!$B$5,S25=MASTER!$B$6,S25=MASTER!$B$7,S25=MASTER!$B$8,S25=MASTER!$B$9,S25=MASTER!$B$136,S25=MASTER!$B$10,S25=MASTER!$B$11,S25=MASTER!$B$12,S25=MASTER!$B$13,S25=MASTER!$B$2,S25=MASTER!$B$132,S25=MASTER!$B$137),(CONCATENATE(VLOOKUP(S25,MASTER!$B:$J,9,0),Table5[[#This Row],[TOP FOAM/REBOUND LENGTH]],"X",Table5[[#This Row],[TOP FOAM / REBOUND WIDTH]],"X",VLOOKUP(Table5[[#This Row],[VARIETY ]],MASTER!$B:$L,11,0))),"")</f>
        <v/>
      </c>
      <c r="AF25" s="72">
        <f>+Table2[[#This Row],[QTY]]*1</f>
        <v>0</v>
      </c>
      <c r="AH25" s="60" t="str">
        <f>+Table2[[#This Row],[VARIETY]]</f>
        <v/>
      </c>
      <c r="AI25" s="65">
        <f>IFERROR(Table2[[#This Row],[STD-L]]-VLOOKUP(AH25,MASTER!$B:$E,4,0),0)</f>
        <v>0</v>
      </c>
      <c r="AJ25" s="65">
        <f>IFERROR(Table2[[#This Row],[STD-W]]-VLOOKUP(AH25,MASTER!$B:$F,5,0),0)</f>
        <v>0</v>
      </c>
      <c r="AK25" s="65" t="str">
        <f t="shared" si="9"/>
        <v/>
      </c>
      <c r="AL25" s="66" t="str">
        <f t="shared" si="10"/>
        <v/>
      </c>
      <c r="AN25" s="75" t="str">
        <f>IFERROR(CONCATENATE(VLOOKUP(AH25,MASTER!$B:$H,7,0),Table510[[#This Row],[ACTUAL  LENGTH]],"0X",VLOOKUP(AH25,MASTER!$B:$G,6,0),"X",VLOOKUP(AH25,MASTER!$B:$I,8,0)),"")</f>
        <v/>
      </c>
      <c r="AO25" s="71" t="str">
        <f>IFERROR(((VLOOKUP(Table611[[#This Row],[LENGTHSIZE]],'ALL NEW ITEM '!$E:$F,2,0)*2)*Q25),"")</f>
        <v/>
      </c>
      <c r="AP25" s="71" t="str">
        <f>IFERROR(IF(VLOOKUP(AH25,MASTER!$B:$I,8,0)="40MM",(CONCATENATE(VLOOKUP(AH25,MASTER!$B:$H,7,0),Table510[[#This Row],[ACTUAL WIDTH]],"0X",VLOOKUP(AH25,MASTER!$B:$G,6,0),"X",VLOOKUP(AH25,MASTER!$B:$I,8,0))),(CONCATENATE(VLOOKUP(AH25,MASTER!$B:$H,7,0),Table510[[#This Row],[ACTUAL WIDTH]],"X",VLOOKUP(AH25,MASTER!$B:$G,6,0),"X",VLOOKUP(AH25,MASTER!$B:$I,8,0)))),"")</f>
        <v/>
      </c>
      <c r="AQ25" s="71" t="str">
        <f>+IFERROR(((VLOOKUP(AP25,'ALL NEW ITEM '!$E:$F,2,0)*2)*Table2[[#This Row],[QTY]]),"")</f>
        <v/>
      </c>
      <c r="AR25" s="71" t="str">
        <f>IF(OR(AH25=MASTER!$B$2,AH25=MASTER!$B$3,AH25=MASTER!$B$4,AH25=MASTER!$B$5,AH25=MASTER!$B$6,AH25=MASTER!$B$128,AH25=MASTER!$B$129,AH25=MASTER!$B$130,AH25=MASTER!$B$131,AH25=MASTER!$B$132,AH25=MASTER!$B$133,AH25=MASTER!$B$134,AH25=MASTER!$B$135,AH25=MASTER!$B$136,AH25=MASTER!$B$137),(CONCATENATE(VLOOKUP(AH25,MASTER!$B:$J,9,0),AK25,"0X",AL25,"0X",VLOOKUP(Table5[[#This Row],[VARIETY ]],MASTER!$B:$K,10,0))),"")</f>
        <v/>
      </c>
      <c r="AS25" s="71" t="str">
        <f>IFERROR(VLOOKUP(AR25,'ALL NEW ITEM '!$E:$F,2,0)*Q25,"")</f>
        <v/>
      </c>
      <c r="AT25" s="71" t="str">
        <f>IF(OR(AH25=MASTER!$B$2,AH25=MASTER!$B$3,AH25=MASTER!$B$4,AH25=MASTER!$B$5,AH25=MASTER!$B$6,AH25=MASTER!$B$2,AH25=MASTER!$B$132,AH25=MASTER!$B$135,AH25=MASTER!$B$136,AH25=MASTER!$B$137),(CONCATENATE(VLOOKUP(AH25,MASTER!$B:$J,9,0),AK25,"0X",AL25,"0X",VLOOKUP(Table5[[#This Row],[VARIETY ]],MASTER!$B:$L,11,0))),"")</f>
        <v/>
      </c>
      <c r="AU25" s="72" t="str">
        <f>IFERROR(VLOOKUP(Table611[[#This Row],[TOPFOAM/REBOUND14]],'ALL NEW ITEM '!$E:$F,2,0)*Q25,"")</f>
        <v/>
      </c>
    </row>
    <row r="26" spans="1:47">
      <c r="A26" s="60">
        <f t="shared" si="12"/>
        <v>25</v>
      </c>
      <c r="B26" s="60" t="str">
        <f>LEFT(Table1[[#This Row],[ITEM CODE]],MIN(FIND({0,1,2,3,4,5,6,7,8,9},Table1[[#This Row],[ITEM CODE]]&amp;"0123456789"))-1)</f>
        <v/>
      </c>
      <c r="C26" s="61" t="str">
        <f>SUBSTITUTE(Table1[[#This Row],[ITEM CODE]],B26,"")</f>
        <v/>
      </c>
      <c r="D26" s="61" t="str">
        <f t="shared" si="0"/>
        <v/>
      </c>
      <c r="E26" s="61" t="str">
        <f t="shared" si="1"/>
        <v/>
      </c>
      <c r="F26" s="61" t="str">
        <f t="shared" si="2"/>
        <v/>
      </c>
      <c r="G26" s="61" t="str">
        <f t="shared" si="3"/>
        <v/>
      </c>
      <c r="H26" s="61" t="str">
        <f t="shared" si="4"/>
        <v/>
      </c>
      <c r="I26" s="61" t="str">
        <f t="shared" si="5"/>
        <v/>
      </c>
      <c r="J26" s="61" t="str">
        <f>IFERROR(IF(Table2[[#This Row],[L]]&lt;Table2[[#This Row],[W]],Table2[[#This Row],[W]],Table2[[#This Row],[L]]),"")</f>
        <v/>
      </c>
      <c r="K26" s="61" t="str">
        <f>IF(Table2[[#This Row],[L]]&lt;Table2[[#This Row],[W]],Table2[[#This Row],[L]],Table2[[#This Row],[W]])</f>
        <v/>
      </c>
      <c r="L26" s="61" t="str">
        <f t="shared" si="6"/>
        <v/>
      </c>
      <c r="M26" s="61" t="str">
        <f t="shared" si="7"/>
        <v/>
      </c>
      <c r="N26" s="61" t="str">
        <f t="shared" si="8"/>
        <v>XX</v>
      </c>
      <c r="O26" s="61" t="str">
        <f t="shared" si="11"/>
        <v>XX</v>
      </c>
      <c r="P26" s="61" t="str">
        <f>+CONCATENATE(Table2[[#This Row],[1]],Table2[[#This Row],[H]])</f>
        <v/>
      </c>
      <c r="Q26" s="61">
        <f>+Table1[[#This Row],[QTY]]</f>
        <v>0</v>
      </c>
      <c r="S26" s="60" t="str">
        <f>+Table2[[#This Row],[VARIETY]]</f>
        <v/>
      </c>
      <c r="T26" s="65">
        <f>IFERROR(Table2[[#This Row],[L]]-VLOOKUP(Table5[[#This Row],[VARIETY ]],MASTER!$B:$E,4,0),0)</f>
        <v>0</v>
      </c>
      <c r="U26" s="65">
        <f>IFERROR(Table2[[#This Row],[W]]-VLOOKUP(Table5[[#This Row],[VARIETY ]],MASTER!$B:$F,5,0),0)</f>
        <v>0</v>
      </c>
      <c r="V26" s="65">
        <f>IFERROR(IF(VLOOKUP(Table5[[#This Row],[VARIETY ]],MASTER!$B:$M,12,0)=0,0,(Table2[[#This Row],[L]]-VLOOKUP(Table5[[#This Row],[VARIETY ]],MASTER!$B:$M,12,0))),0)</f>
        <v>0</v>
      </c>
      <c r="W26" s="66">
        <f>IFERROR(IF(VLOOKUP(Table5[[#This Row],[VARIETY ]],MASTER!$B:$N,13,0)=0,0,(Table2[[#This Row],[W]]-VLOOKUP(Table5[[#This Row],[VARIETY ]],MASTER!$B:$N,13,0))),0)</f>
        <v>0</v>
      </c>
      <c r="X26" s="67">
        <v>25</v>
      </c>
      <c r="Y26" s="70" t="str">
        <f>IFERROR(IF(VLOOKUP(S26,MASTER!$B:$I,8,0)="40MM",((CONCATENATE(VLOOKUP(S26,MASTER!$B:$H,7,0),T26,"X",VLOOKUP(S26,MASTER!$B:$G,6,0),"X",VLOOKUP(S26,MASTER!$B:$I,8,0)))),(CONCATENATE(VLOOKUP(S26,MASTER!$B:$H,7,0),T26,"X",VLOOKUP(S26,MASTER!$B:$G,6,0),"X",VLOOKUP(S26,MASTER!$B:$I,8,0)))),"")</f>
        <v/>
      </c>
      <c r="Z26" s="71">
        <f>Table2[[#This Row],[QTY]]*2</f>
        <v>0</v>
      </c>
      <c r="AA26" s="71" t="str">
        <f>IFERROR(IF(VLOOKUP(S26,MASTER!$B:$I,8,0)="40MM",((CONCATENATE(VLOOKUP(S26,MASTER!$B:$H,7,0),U26,"X",VLOOKUP(S26,MASTER!$B:$G,6,0),"X",VLOOKUP(S26,MASTER!$B:$I,8,0)))),((CONCATENATE(VLOOKUP(S26,MASTER!$B:$H,7,0),U26,"X",VLOOKUP(S26,MASTER!$B:$G,6,0),"X",VLOOKUP(S26,MASTER!$B:$I,8,0))))),"")</f>
        <v/>
      </c>
      <c r="AB26" s="71">
        <f>+Table2[[#This Row],[QTY]]*2</f>
        <v>0</v>
      </c>
      <c r="AC26" s="71" t="str">
        <f>IF(OR(S26=MASTER!$B$2,S26=MASTER!$B$3,S26=MASTER!$B$4,S26=MASTER!$B$5,S26=MASTER!$B$6,S26=MASTER!$B$7,S26=MASTER!$B$8,S26=MASTER!$B$9,S26=MASTER!$B$10,S26=MASTER!$B$11,S26=MASTER!$B$12,S26=MASTER!$B$13,S26=MASTER!$B$93,S26=MASTER!$B$94,S26=MASTER!$B$128,S26=MASTER!$B$129,S26=MASTER!$B$130,S26=MASTER!$B$131,S26=MASTER!$B$132,S26=MASTER!$B$136,S26=MASTER!$B$137),(CONCATENATE(VLOOKUP(S26,MASTER!$B:$J,9,0),Table5[[#This Row],[TOP FOAM/REBOUND LENGTH]],"X",Table5[[#This Row],[TOP FOAM / REBOUND WIDTH]],"X",VLOOKUP(Table5[[#This Row],[VARIETY ]],MASTER!$B:$K,10,0))),"")</f>
        <v/>
      </c>
      <c r="AD26" s="71">
        <f>+Table2[[#This Row],[QTY]]*1</f>
        <v>0</v>
      </c>
      <c r="AE26" s="71" t="str">
        <f>IF(OR(S26=MASTER!$B$2,S26=MASTER!$B$3,S26=MASTER!$B$4,S26=MASTER!$B$5,S26=MASTER!$B$6,S26=MASTER!$B$7,S26=MASTER!$B$8,S26=MASTER!$B$9,S26=MASTER!$B$136,S26=MASTER!$B$10,S26=MASTER!$B$11,S26=MASTER!$B$12,S26=MASTER!$B$13,S26=MASTER!$B$2,S26=MASTER!$B$132,S26=MASTER!$B$137),(CONCATENATE(VLOOKUP(S26,MASTER!$B:$J,9,0),Table5[[#This Row],[TOP FOAM/REBOUND LENGTH]],"X",Table5[[#This Row],[TOP FOAM / REBOUND WIDTH]],"X",VLOOKUP(Table5[[#This Row],[VARIETY ]],MASTER!$B:$L,11,0))),"")</f>
        <v/>
      </c>
      <c r="AF26" s="72">
        <f>+Table2[[#This Row],[QTY]]*1</f>
        <v>0</v>
      </c>
      <c r="AH26" s="60" t="str">
        <f>+Table2[[#This Row],[VARIETY]]</f>
        <v/>
      </c>
      <c r="AI26" s="65">
        <f>IFERROR(Table2[[#This Row],[STD-L]]-VLOOKUP(AH26,MASTER!$B:$E,4,0),0)</f>
        <v>0</v>
      </c>
      <c r="AJ26" s="65">
        <f>IFERROR(Table2[[#This Row],[STD-W]]-VLOOKUP(AH26,MASTER!$B:$F,5,0),0)</f>
        <v>0</v>
      </c>
      <c r="AK26" s="65" t="str">
        <f t="shared" si="9"/>
        <v/>
      </c>
      <c r="AL26" s="66" t="str">
        <f t="shared" si="10"/>
        <v/>
      </c>
      <c r="AN26" s="75" t="str">
        <f>IFERROR(CONCATENATE(VLOOKUP(AH26,MASTER!$B:$H,7,0),Table510[[#This Row],[ACTUAL  LENGTH]],"0X",VLOOKUP(AH26,MASTER!$B:$G,6,0),"X",VLOOKUP(AH26,MASTER!$B:$I,8,0)),"")</f>
        <v/>
      </c>
      <c r="AO26" s="71" t="str">
        <f>IFERROR(((VLOOKUP(Table611[[#This Row],[LENGTHSIZE]],'ALL NEW ITEM '!$E:$F,2,0)*2)*Q26),"")</f>
        <v/>
      </c>
      <c r="AP26" s="71" t="str">
        <f>IFERROR(IF(VLOOKUP(AH26,MASTER!$B:$I,8,0)="40MM",(CONCATENATE(VLOOKUP(AH26,MASTER!$B:$H,7,0),Table510[[#This Row],[ACTUAL WIDTH]],"0X",VLOOKUP(AH26,MASTER!$B:$G,6,0),"X",VLOOKUP(AH26,MASTER!$B:$I,8,0))),(CONCATENATE(VLOOKUP(AH26,MASTER!$B:$H,7,0),Table510[[#This Row],[ACTUAL WIDTH]],"X",VLOOKUP(AH26,MASTER!$B:$G,6,0),"X",VLOOKUP(AH26,MASTER!$B:$I,8,0)))),"")</f>
        <v/>
      </c>
      <c r="AQ26" s="71" t="str">
        <f>+IFERROR(((VLOOKUP(AP26,'ALL NEW ITEM '!$E:$F,2,0)*2)*Table2[[#This Row],[QTY]]),"")</f>
        <v/>
      </c>
      <c r="AR26" s="71" t="str">
        <f>IF(OR(AH26=MASTER!$B$2,AH26=MASTER!$B$3,AH26=MASTER!$B$4,AH26=MASTER!$B$5,AH26=MASTER!$B$6,AH26=MASTER!$B$128,AH26=MASTER!$B$129,AH26=MASTER!$B$130,AH26=MASTER!$B$131,AH26=MASTER!$B$132,AH26=MASTER!$B$133,AH26=MASTER!$B$134,AH26=MASTER!$B$135,AH26=MASTER!$B$136,AH26=MASTER!$B$137),(CONCATENATE(VLOOKUP(AH26,MASTER!$B:$J,9,0),AK26,"0X",AL26,"0X",VLOOKUP(Table5[[#This Row],[VARIETY ]],MASTER!$B:$K,10,0))),"")</f>
        <v/>
      </c>
      <c r="AS26" s="71" t="str">
        <f>IFERROR(VLOOKUP(AR26,'ALL NEW ITEM '!$E:$F,2,0)*Q26,"")</f>
        <v/>
      </c>
      <c r="AT26" s="71" t="str">
        <f>IF(OR(AH26=MASTER!$B$2,AH26=MASTER!$B$3,AH26=MASTER!$B$4,AH26=MASTER!$B$5,AH26=MASTER!$B$6,AH26=MASTER!$B$2,AH26=MASTER!$B$132,AH26=MASTER!$B$135,AH26=MASTER!$B$136,AH26=MASTER!$B$137),(CONCATENATE(VLOOKUP(AH26,MASTER!$B:$J,9,0),AK26,"0X",AL26,"0X",VLOOKUP(Table5[[#This Row],[VARIETY ]],MASTER!$B:$L,11,0))),"")</f>
        <v/>
      </c>
      <c r="AU26" s="72" t="str">
        <f>IFERROR(VLOOKUP(Table611[[#This Row],[TOPFOAM/REBOUND14]],'ALL NEW ITEM '!$E:$F,2,0)*Q26,"")</f>
        <v/>
      </c>
    </row>
    <row r="27" spans="1:47">
      <c r="A27" s="60">
        <f t="shared" si="12"/>
        <v>26</v>
      </c>
      <c r="B27" s="60" t="str">
        <f>LEFT(Table1[[#This Row],[ITEM CODE]],MIN(FIND({0,1,2,3,4,5,6,7,8,9},Table1[[#This Row],[ITEM CODE]]&amp;"0123456789"))-1)</f>
        <v/>
      </c>
      <c r="C27" s="61" t="str">
        <f>SUBSTITUTE(Table1[[#This Row],[ITEM CODE]],B27,"")</f>
        <v/>
      </c>
      <c r="D27" s="61" t="str">
        <f t="shared" si="0"/>
        <v/>
      </c>
      <c r="E27" s="61" t="str">
        <f t="shared" si="1"/>
        <v/>
      </c>
      <c r="F27" s="61" t="str">
        <f t="shared" si="2"/>
        <v/>
      </c>
      <c r="G27" s="61" t="str">
        <f t="shared" si="3"/>
        <v/>
      </c>
      <c r="H27" s="61" t="str">
        <f t="shared" si="4"/>
        <v/>
      </c>
      <c r="I27" s="61" t="str">
        <f t="shared" si="5"/>
        <v/>
      </c>
      <c r="J27" s="61" t="str">
        <f>IFERROR(IF(Table2[[#This Row],[L]]&lt;Table2[[#This Row],[W]],Table2[[#This Row],[W]],Table2[[#This Row],[L]]),"")</f>
        <v/>
      </c>
      <c r="K27" s="61" t="str">
        <f>IF(Table2[[#This Row],[L]]&lt;Table2[[#This Row],[W]],Table2[[#This Row],[L]],Table2[[#This Row],[W]])</f>
        <v/>
      </c>
      <c r="L27" s="61" t="str">
        <f t="shared" si="6"/>
        <v/>
      </c>
      <c r="M27" s="61" t="str">
        <f t="shared" si="7"/>
        <v/>
      </c>
      <c r="N27" s="61" t="str">
        <f t="shared" si="8"/>
        <v>XX</v>
      </c>
      <c r="O27" s="61" t="str">
        <f t="shared" si="11"/>
        <v>XX</v>
      </c>
      <c r="P27" s="61" t="str">
        <f>+CONCATENATE(Table2[[#This Row],[1]],Table2[[#This Row],[H]])</f>
        <v/>
      </c>
      <c r="Q27" s="61">
        <f>+Table1[[#This Row],[QTY]]</f>
        <v>0</v>
      </c>
      <c r="S27" s="60" t="str">
        <f>+Table2[[#This Row],[VARIETY]]</f>
        <v/>
      </c>
      <c r="T27" s="65">
        <f>IFERROR(Table2[[#This Row],[L]]-VLOOKUP(Table5[[#This Row],[VARIETY ]],MASTER!$B:$E,4,0),0)</f>
        <v>0</v>
      </c>
      <c r="U27" s="65">
        <f>IFERROR(Table2[[#This Row],[W]]-VLOOKUP(Table5[[#This Row],[VARIETY ]],MASTER!$B:$F,5,0),0)</f>
        <v>0</v>
      </c>
      <c r="V27" s="65">
        <f>IFERROR(IF(VLOOKUP(Table5[[#This Row],[VARIETY ]],MASTER!$B:$M,12,0)=0,0,(Table2[[#This Row],[L]]-VLOOKUP(Table5[[#This Row],[VARIETY ]],MASTER!$B:$M,12,0))),0)</f>
        <v>0</v>
      </c>
      <c r="W27" s="66">
        <f>IFERROR(IF(VLOOKUP(Table5[[#This Row],[VARIETY ]],MASTER!$B:$N,13,0)=0,0,(Table2[[#This Row],[W]]-VLOOKUP(Table5[[#This Row],[VARIETY ]],MASTER!$B:$N,13,0))),0)</f>
        <v>0</v>
      </c>
      <c r="X27" s="65">
        <v>26</v>
      </c>
      <c r="Y27" s="70" t="str">
        <f>IFERROR(IF(VLOOKUP(S27,MASTER!$B:$I,8,0)="40MM",((CONCATENATE(VLOOKUP(S27,MASTER!$B:$H,7,0),T27,"X",VLOOKUP(S27,MASTER!$B:$G,6,0),"X",VLOOKUP(S27,MASTER!$B:$I,8,0)))),(CONCATENATE(VLOOKUP(S27,MASTER!$B:$H,7,0),T27,"X",VLOOKUP(S27,MASTER!$B:$G,6,0),"X",VLOOKUP(S27,MASTER!$B:$I,8,0)))),"")</f>
        <v/>
      </c>
      <c r="Z27" s="71">
        <f>Table2[[#This Row],[QTY]]*2</f>
        <v>0</v>
      </c>
      <c r="AA27" s="71" t="str">
        <f>IFERROR(IF(VLOOKUP(S27,MASTER!$B:$I,8,0)="40MM",((CONCATENATE(VLOOKUP(S27,MASTER!$B:$H,7,0),U27,"X",VLOOKUP(S27,MASTER!$B:$G,6,0),"X",VLOOKUP(S27,MASTER!$B:$I,8,0)))),((CONCATENATE(VLOOKUP(S27,MASTER!$B:$H,7,0),U27,"X",VLOOKUP(S27,MASTER!$B:$G,6,0),"X",VLOOKUP(S27,MASTER!$B:$I,8,0))))),"")</f>
        <v/>
      </c>
      <c r="AB27" s="71">
        <f>+Table2[[#This Row],[QTY]]*2</f>
        <v>0</v>
      </c>
      <c r="AC27" s="71" t="str">
        <f>IF(OR(S27=MASTER!$B$2,S27=MASTER!$B$3,S27=MASTER!$B$4,S27=MASTER!$B$5,S27=MASTER!$B$6,S27=MASTER!$B$7,S27=MASTER!$B$8,S27=MASTER!$B$9,S27=MASTER!$B$10,S27=MASTER!$B$11,S27=MASTER!$B$12,S27=MASTER!$B$13,S27=MASTER!$B$93,S27=MASTER!$B$94,S27=MASTER!$B$128,S27=MASTER!$B$129,S27=MASTER!$B$130,S27=MASTER!$B$131,S27=MASTER!$B$132,S27=MASTER!$B$136,S27=MASTER!$B$137),(CONCATENATE(VLOOKUP(S27,MASTER!$B:$J,9,0),Table5[[#This Row],[TOP FOAM/REBOUND LENGTH]],"X",Table5[[#This Row],[TOP FOAM / REBOUND WIDTH]],"X",VLOOKUP(Table5[[#This Row],[VARIETY ]],MASTER!$B:$K,10,0))),"")</f>
        <v/>
      </c>
      <c r="AD27" s="71">
        <f>+Table2[[#This Row],[QTY]]*1</f>
        <v>0</v>
      </c>
      <c r="AE27" s="71" t="str">
        <f>IF(OR(S27=MASTER!$B$2,S27=MASTER!$B$3,S27=MASTER!$B$4,S27=MASTER!$B$5,S27=MASTER!$B$6,S27=MASTER!$B$7,S27=MASTER!$B$8,S27=MASTER!$B$9,S27=MASTER!$B$136,S27=MASTER!$B$10,S27=MASTER!$B$11,S27=MASTER!$B$12,S27=MASTER!$B$13,S27=MASTER!$B$2,S27=MASTER!$B$132,S27=MASTER!$B$137),(CONCATENATE(VLOOKUP(S27,MASTER!$B:$J,9,0),Table5[[#This Row],[TOP FOAM/REBOUND LENGTH]],"X",Table5[[#This Row],[TOP FOAM / REBOUND WIDTH]],"X",VLOOKUP(Table5[[#This Row],[VARIETY ]],MASTER!$B:$L,11,0))),"")</f>
        <v/>
      </c>
      <c r="AF27" s="72">
        <f>+Table2[[#This Row],[QTY]]*1</f>
        <v>0</v>
      </c>
      <c r="AH27" s="60" t="str">
        <f>+Table2[[#This Row],[VARIETY]]</f>
        <v/>
      </c>
      <c r="AI27" s="65">
        <f>IFERROR(Table2[[#This Row],[STD-L]]-VLOOKUP(AH27,MASTER!$B:$E,4,0),0)</f>
        <v>0</v>
      </c>
      <c r="AJ27" s="65">
        <f>IFERROR(Table2[[#This Row],[STD-W]]-VLOOKUP(AH27,MASTER!$B:$F,5,0),0)</f>
        <v>0</v>
      </c>
      <c r="AK27" s="65" t="str">
        <f t="shared" si="9"/>
        <v/>
      </c>
      <c r="AL27" s="66" t="str">
        <f t="shared" si="10"/>
        <v/>
      </c>
      <c r="AN27" s="75" t="str">
        <f>IFERROR(CONCATENATE(VLOOKUP(AH27,MASTER!$B:$H,7,0),Table510[[#This Row],[ACTUAL  LENGTH]],"0X",VLOOKUP(AH27,MASTER!$B:$G,6,0),"X",VLOOKUP(AH27,MASTER!$B:$I,8,0)),"")</f>
        <v/>
      </c>
      <c r="AO27" s="71" t="str">
        <f>IFERROR(((VLOOKUP(Table611[[#This Row],[LENGTHSIZE]],'ALL NEW ITEM '!$E:$F,2,0)*2)*Q27),"")</f>
        <v/>
      </c>
      <c r="AP27" s="71" t="str">
        <f>IFERROR(IF(VLOOKUP(AH27,MASTER!$B:$I,8,0)="40MM",(CONCATENATE(VLOOKUP(AH27,MASTER!$B:$H,7,0),Table510[[#This Row],[ACTUAL WIDTH]],"0X",VLOOKUP(AH27,MASTER!$B:$G,6,0),"X",VLOOKUP(AH27,MASTER!$B:$I,8,0))),(CONCATENATE(VLOOKUP(AH27,MASTER!$B:$H,7,0),Table510[[#This Row],[ACTUAL WIDTH]],"X",VLOOKUP(AH27,MASTER!$B:$G,6,0),"X",VLOOKUP(AH27,MASTER!$B:$I,8,0)))),"")</f>
        <v/>
      </c>
      <c r="AQ27" s="71" t="str">
        <f>+IFERROR(((VLOOKUP(AP27,'ALL NEW ITEM '!$E:$F,2,0)*2)*Table2[[#This Row],[QTY]]),"")</f>
        <v/>
      </c>
      <c r="AR27" s="71" t="str">
        <f>IF(OR(AH27=MASTER!$B$2,AH27=MASTER!$B$3,AH27=MASTER!$B$4,AH27=MASTER!$B$5,AH27=MASTER!$B$6,AH27=MASTER!$B$128,AH27=MASTER!$B$129,AH27=MASTER!$B$130,AH27=MASTER!$B$131,AH27=MASTER!$B$132,AH27=MASTER!$B$133,AH27=MASTER!$B$134,AH27=MASTER!$B$135,AH27=MASTER!$B$136,AH27=MASTER!$B$137),(CONCATENATE(VLOOKUP(AH27,MASTER!$B:$J,9,0),AK27,"0X",AL27,"0X",VLOOKUP(Table5[[#This Row],[VARIETY ]],MASTER!$B:$K,10,0))),"")</f>
        <v/>
      </c>
      <c r="AS27" s="71" t="str">
        <f>IFERROR(VLOOKUP(AR27,'ALL NEW ITEM '!$E:$F,2,0)*Q27,"")</f>
        <v/>
      </c>
      <c r="AT27" s="71" t="str">
        <f>IF(OR(AH27=MASTER!$B$2,AH27=MASTER!$B$3,AH27=MASTER!$B$4,AH27=MASTER!$B$5,AH27=MASTER!$B$6,AH27=MASTER!$B$2,AH27=MASTER!$B$132,AH27=MASTER!$B$135,AH27=MASTER!$B$136,AH27=MASTER!$B$137),(CONCATENATE(VLOOKUP(AH27,MASTER!$B:$J,9,0),AK27,"0X",AL27,"0X",VLOOKUP(Table5[[#This Row],[VARIETY ]],MASTER!$B:$L,11,0))),"")</f>
        <v/>
      </c>
      <c r="AU27" s="72" t="str">
        <f>IFERROR(VLOOKUP(Table611[[#This Row],[TOPFOAM/REBOUND14]],'ALL NEW ITEM '!$E:$F,2,0)*Q27,"")</f>
        <v/>
      </c>
    </row>
    <row r="28" spans="1:47">
      <c r="A28" s="60">
        <f t="shared" si="12"/>
        <v>27</v>
      </c>
      <c r="B28" s="60" t="str">
        <f>LEFT(Table1[[#This Row],[ITEM CODE]],MIN(FIND({0,1,2,3,4,5,6,7,8,9},Table1[[#This Row],[ITEM CODE]]&amp;"0123456789"))-1)</f>
        <v/>
      </c>
      <c r="C28" s="61" t="str">
        <f>SUBSTITUTE(Table1[[#This Row],[ITEM CODE]],B28,"")</f>
        <v/>
      </c>
      <c r="D28" s="61" t="str">
        <f t="shared" si="0"/>
        <v/>
      </c>
      <c r="E28" s="61" t="str">
        <f t="shared" si="1"/>
        <v/>
      </c>
      <c r="F28" s="61" t="str">
        <f t="shared" si="2"/>
        <v/>
      </c>
      <c r="G28" s="61" t="str">
        <f t="shared" si="3"/>
        <v/>
      </c>
      <c r="H28" s="61" t="str">
        <f t="shared" si="4"/>
        <v/>
      </c>
      <c r="I28" s="61" t="str">
        <f t="shared" si="5"/>
        <v/>
      </c>
      <c r="J28" s="61" t="str">
        <f>IFERROR(IF(Table2[[#This Row],[L]]&lt;Table2[[#This Row],[W]],Table2[[#This Row],[W]],Table2[[#This Row],[L]]),"")</f>
        <v/>
      </c>
      <c r="K28" s="61" t="str">
        <f>IF(Table2[[#This Row],[L]]&lt;Table2[[#This Row],[W]],Table2[[#This Row],[L]],Table2[[#This Row],[W]])</f>
        <v/>
      </c>
      <c r="L28" s="61" t="str">
        <f t="shared" si="6"/>
        <v/>
      </c>
      <c r="M28" s="61" t="str">
        <f t="shared" si="7"/>
        <v/>
      </c>
      <c r="N28" s="61" t="str">
        <f t="shared" si="8"/>
        <v>XX</v>
      </c>
      <c r="O28" s="61" t="str">
        <f t="shared" si="11"/>
        <v>XX</v>
      </c>
      <c r="P28" s="61" t="str">
        <f>+CONCATENATE(Table2[[#This Row],[1]],Table2[[#This Row],[H]])</f>
        <v/>
      </c>
      <c r="Q28" s="61">
        <f>+Table1[[#This Row],[QTY]]</f>
        <v>0</v>
      </c>
      <c r="S28" s="60" t="str">
        <f>+Table2[[#This Row],[VARIETY]]</f>
        <v/>
      </c>
      <c r="T28" s="65">
        <f>IFERROR(Table2[[#This Row],[L]]-VLOOKUP(Table5[[#This Row],[VARIETY ]],MASTER!$B:$E,4,0),0)</f>
        <v>0</v>
      </c>
      <c r="U28" s="65">
        <f>IFERROR(Table2[[#This Row],[W]]-VLOOKUP(Table5[[#This Row],[VARIETY ]],MASTER!$B:$F,5,0),0)</f>
        <v>0</v>
      </c>
      <c r="V28" s="65">
        <f>IFERROR(IF(VLOOKUP(Table5[[#This Row],[VARIETY ]],MASTER!$B:$M,12,0)=0,0,(Table2[[#This Row],[L]]-VLOOKUP(Table5[[#This Row],[VARIETY ]],MASTER!$B:$M,12,0))),0)</f>
        <v>0</v>
      </c>
      <c r="W28" s="66">
        <f>IFERROR(IF(VLOOKUP(Table5[[#This Row],[VARIETY ]],MASTER!$B:$N,13,0)=0,0,(Table2[[#This Row],[W]]-VLOOKUP(Table5[[#This Row],[VARIETY ]],MASTER!$B:$N,13,0))),0)</f>
        <v>0</v>
      </c>
      <c r="X28" s="67">
        <v>27</v>
      </c>
      <c r="Y28" s="70" t="str">
        <f>IFERROR(IF(VLOOKUP(S28,MASTER!$B:$I,8,0)="40MM",((CONCATENATE(VLOOKUP(S28,MASTER!$B:$H,7,0),T28,"X",VLOOKUP(S28,MASTER!$B:$G,6,0),"X",VLOOKUP(S28,MASTER!$B:$I,8,0)))),(CONCATENATE(VLOOKUP(S28,MASTER!$B:$H,7,0),T28,"X",VLOOKUP(S28,MASTER!$B:$G,6,0),"X",VLOOKUP(S28,MASTER!$B:$I,8,0)))),"")</f>
        <v/>
      </c>
      <c r="Z28" s="71">
        <f>Table2[[#This Row],[QTY]]*2</f>
        <v>0</v>
      </c>
      <c r="AA28" s="71" t="str">
        <f>IFERROR(IF(VLOOKUP(S28,MASTER!$B:$I,8,0)="40MM",((CONCATENATE(VLOOKUP(S28,MASTER!$B:$H,7,0),U28,"X",VLOOKUP(S28,MASTER!$B:$G,6,0),"X",VLOOKUP(S28,MASTER!$B:$I,8,0)))),((CONCATENATE(VLOOKUP(S28,MASTER!$B:$H,7,0),U28,"X",VLOOKUP(S28,MASTER!$B:$G,6,0),"X",VLOOKUP(S28,MASTER!$B:$I,8,0))))),"")</f>
        <v/>
      </c>
      <c r="AB28" s="71">
        <f>+Table2[[#This Row],[QTY]]*2</f>
        <v>0</v>
      </c>
      <c r="AC28" s="71" t="str">
        <f>IF(OR(S28=MASTER!$B$2,S28=MASTER!$B$3,S28=MASTER!$B$4,S28=MASTER!$B$5,S28=MASTER!$B$6,S28=MASTER!$B$7,S28=MASTER!$B$8,S28=MASTER!$B$9,S28=MASTER!$B$10,S28=MASTER!$B$11,S28=MASTER!$B$12,S28=MASTER!$B$13,S28=MASTER!$B$93,S28=MASTER!$B$94,S28=MASTER!$B$128,S28=MASTER!$B$129,S28=MASTER!$B$130,S28=MASTER!$B$131,S28=MASTER!$B$132,S28=MASTER!$B$136,S28=MASTER!$B$137),(CONCATENATE(VLOOKUP(S28,MASTER!$B:$J,9,0),Table5[[#This Row],[TOP FOAM/REBOUND LENGTH]],"X",Table5[[#This Row],[TOP FOAM / REBOUND WIDTH]],"X",VLOOKUP(Table5[[#This Row],[VARIETY ]],MASTER!$B:$K,10,0))),"")</f>
        <v/>
      </c>
      <c r="AD28" s="71">
        <f>+Table2[[#This Row],[QTY]]*1</f>
        <v>0</v>
      </c>
      <c r="AE28" s="71" t="str">
        <f>IF(OR(S28=MASTER!$B$2,S28=MASTER!$B$3,S28=MASTER!$B$4,S28=MASTER!$B$5,S28=MASTER!$B$6,S28=MASTER!$B$7,S28=MASTER!$B$8,S28=MASTER!$B$9,S28=MASTER!$B$136,S28=MASTER!$B$10,S28=MASTER!$B$11,S28=MASTER!$B$12,S28=MASTER!$B$13,S28=MASTER!$B$2,S28=MASTER!$B$132,S28=MASTER!$B$137),(CONCATENATE(VLOOKUP(S28,MASTER!$B:$J,9,0),Table5[[#This Row],[TOP FOAM/REBOUND LENGTH]],"X",Table5[[#This Row],[TOP FOAM / REBOUND WIDTH]],"X",VLOOKUP(Table5[[#This Row],[VARIETY ]],MASTER!$B:$L,11,0))),"")</f>
        <v/>
      </c>
      <c r="AF28" s="72">
        <f>+Table2[[#This Row],[QTY]]*1</f>
        <v>0</v>
      </c>
      <c r="AH28" s="60" t="str">
        <f>+Table2[[#This Row],[VARIETY]]</f>
        <v/>
      </c>
      <c r="AI28" s="65">
        <f>IFERROR(Table2[[#This Row],[STD-L]]-VLOOKUP(AH28,MASTER!$B:$E,4,0),0)</f>
        <v>0</v>
      </c>
      <c r="AJ28" s="65">
        <f>IFERROR(Table2[[#This Row],[STD-W]]-VLOOKUP(AH28,MASTER!$B:$F,5,0),0)</f>
        <v>0</v>
      </c>
      <c r="AK28" s="65" t="str">
        <f t="shared" si="9"/>
        <v/>
      </c>
      <c r="AL28" s="66" t="str">
        <f t="shared" si="10"/>
        <v/>
      </c>
      <c r="AN28" s="75" t="str">
        <f>IFERROR(CONCATENATE(VLOOKUP(AH28,MASTER!$B:$H,7,0),Table510[[#This Row],[ACTUAL  LENGTH]],"0X",VLOOKUP(AH28,MASTER!$B:$G,6,0),"X",VLOOKUP(AH28,MASTER!$B:$I,8,0)),"")</f>
        <v/>
      </c>
      <c r="AO28" s="71" t="str">
        <f>IFERROR(((VLOOKUP(Table611[[#This Row],[LENGTHSIZE]],'ALL NEW ITEM '!$E:$F,2,0)*2)*Q28),"")</f>
        <v/>
      </c>
      <c r="AP28" s="71" t="str">
        <f>IFERROR(IF(VLOOKUP(AH28,MASTER!$B:$I,8,0)="40MM",(CONCATENATE(VLOOKUP(AH28,MASTER!$B:$H,7,0),Table510[[#This Row],[ACTUAL WIDTH]],"0X",VLOOKUP(AH28,MASTER!$B:$G,6,0),"X",VLOOKUP(AH28,MASTER!$B:$I,8,0))),(CONCATENATE(VLOOKUP(AH28,MASTER!$B:$H,7,0),Table510[[#This Row],[ACTUAL WIDTH]],"X",VLOOKUP(AH28,MASTER!$B:$G,6,0),"X",VLOOKUP(AH28,MASTER!$B:$I,8,0)))),"")</f>
        <v/>
      </c>
      <c r="AQ28" s="71" t="str">
        <f>+IFERROR(((VLOOKUP(AP28,'ALL NEW ITEM '!$E:$F,2,0)*2)*Table2[[#This Row],[QTY]]),"")</f>
        <v/>
      </c>
      <c r="AR28" s="71" t="str">
        <f>IF(OR(AH28=MASTER!$B$2,AH28=MASTER!$B$3,AH28=MASTER!$B$4,AH28=MASTER!$B$5,AH28=MASTER!$B$6,AH28=MASTER!$B$128,AH28=MASTER!$B$129,AH28=MASTER!$B$130,AH28=MASTER!$B$131,AH28=MASTER!$B$132,AH28=MASTER!$B$133,AH28=MASTER!$B$134,AH28=MASTER!$B$135,AH28=MASTER!$B$136,AH28=MASTER!$B$137),(CONCATENATE(VLOOKUP(AH28,MASTER!$B:$J,9,0),AK28,"0X",AL28,"0X",VLOOKUP(Table5[[#This Row],[VARIETY ]],MASTER!$B:$K,10,0))),"")</f>
        <v/>
      </c>
      <c r="AS28" s="71" t="str">
        <f>IFERROR(VLOOKUP(AR28,'ALL NEW ITEM '!$E:$F,2,0)*Q28,"")</f>
        <v/>
      </c>
      <c r="AT28" s="71" t="str">
        <f>IF(OR(AH28=MASTER!$B$2,AH28=MASTER!$B$3,AH28=MASTER!$B$4,AH28=MASTER!$B$5,AH28=MASTER!$B$6,AH28=MASTER!$B$2,AH28=MASTER!$B$132,AH28=MASTER!$B$135,AH28=MASTER!$B$136,AH28=MASTER!$B$137),(CONCATENATE(VLOOKUP(AH28,MASTER!$B:$J,9,0),AK28,"0X",AL28,"0X",VLOOKUP(Table5[[#This Row],[VARIETY ]],MASTER!$B:$L,11,0))),"")</f>
        <v/>
      </c>
      <c r="AU28" s="72" t="str">
        <f>IFERROR(VLOOKUP(Table611[[#This Row],[TOPFOAM/REBOUND14]],'ALL NEW ITEM '!$E:$F,2,0)*Q28,"")</f>
        <v/>
      </c>
    </row>
    <row r="29" spans="1:47">
      <c r="A29" s="60">
        <f t="shared" si="12"/>
        <v>28</v>
      </c>
      <c r="B29" s="60" t="str">
        <f>LEFT(Table1[[#This Row],[ITEM CODE]],MIN(FIND({0,1,2,3,4,5,6,7,8,9},Table1[[#This Row],[ITEM CODE]]&amp;"0123456789"))-1)</f>
        <v/>
      </c>
      <c r="C29" s="61" t="str">
        <f>SUBSTITUTE(Table1[[#This Row],[ITEM CODE]],B29,"")</f>
        <v/>
      </c>
      <c r="D29" s="61" t="str">
        <f t="shared" si="0"/>
        <v/>
      </c>
      <c r="E29" s="61" t="str">
        <f t="shared" si="1"/>
        <v/>
      </c>
      <c r="F29" s="61" t="str">
        <f t="shared" si="2"/>
        <v/>
      </c>
      <c r="G29" s="61" t="str">
        <f t="shared" si="3"/>
        <v/>
      </c>
      <c r="H29" s="61" t="str">
        <f t="shared" si="4"/>
        <v/>
      </c>
      <c r="I29" s="61" t="str">
        <f t="shared" si="5"/>
        <v/>
      </c>
      <c r="J29" s="61" t="str">
        <f>IFERROR(IF(Table2[[#This Row],[L]]&lt;Table2[[#This Row],[W]],Table2[[#This Row],[W]],Table2[[#This Row],[L]]),"")</f>
        <v/>
      </c>
      <c r="K29" s="61" t="str">
        <f>IF(Table2[[#This Row],[L]]&lt;Table2[[#This Row],[W]],Table2[[#This Row],[L]],Table2[[#This Row],[W]])</f>
        <v/>
      </c>
      <c r="L29" s="61" t="str">
        <f t="shared" si="6"/>
        <v/>
      </c>
      <c r="M29" s="61" t="str">
        <f t="shared" si="7"/>
        <v/>
      </c>
      <c r="N29" s="61" t="str">
        <f t="shared" si="8"/>
        <v>XX</v>
      </c>
      <c r="O29" s="61" t="str">
        <f t="shared" si="11"/>
        <v>XX</v>
      </c>
      <c r="P29" s="61" t="str">
        <f>+CONCATENATE(Table2[[#This Row],[1]],Table2[[#This Row],[H]])</f>
        <v/>
      </c>
      <c r="Q29" s="61">
        <f>+Table1[[#This Row],[QTY]]</f>
        <v>0</v>
      </c>
      <c r="S29" s="60" t="str">
        <f>+Table2[[#This Row],[VARIETY]]</f>
        <v/>
      </c>
      <c r="T29" s="65">
        <f>IFERROR(Table2[[#This Row],[L]]-VLOOKUP(Table5[[#This Row],[VARIETY ]],MASTER!$B:$E,4,0),0)</f>
        <v>0</v>
      </c>
      <c r="U29" s="65">
        <f>IFERROR(Table2[[#This Row],[W]]-VLOOKUP(Table5[[#This Row],[VARIETY ]],MASTER!$B:$F,5,0),0)</f>
        <v>0</v>
      </c>
      <c r="V29" s="65">
        <f>IFERROR(IF(VLOOKUP(Table5[[#This Row],[VARIETY ]],MASTER!$B:$M,12,0)=0,0,(Table2[[#This Row],[L]]-VLOOKUP(Table5[[#This Row],[VARIETY ]],MASTER!$B:$M,12,0))),0)</f>
        <v>0</v>
      </c>
      <c r="W29" s="66">
        <f>IFERROR(IF(VLOOKUP(Table5[[#This Row],[VARIETY ]],MASTER!$B:$N,13,0)=0,0,(Table2[[#This Row],[W]]-VLOOKUP(Table5[[#This Row],[VARIETY ]],MASTER!$B:$N,13,0))),0)</f>
        <v>0</v>
      </c>
      <c r="X29" s="65">
        <v>28</v>
      </c>
      <c r="Y29" s="70" t="str">
        <f>IFERROR(IF(VLOOKUP(S29,MASTER!$B:$I,8,0)="40MM",((CONCATENATE(VLOOKUP(S29,MASTER!$B:$H,7,0),T29,"X",VLOOKUP(S29,MASTER!$B:$G,6,0),"X",VLOOKUP(S29,MASTER!$B:$I,8,0)))),(CONCATENATE(VLOOKUP(S29,MASTER!$B:$H,7,0),T29,"X",VLOOKUP(S29,MASTER!$B:$G,6,0),"X",VLOOKUP(S29,MASTER!$B:$I,8,0)))),"")</f>
        <v/>
      </c>
      <c r="Z29" s="71">
        <f>Table2[[#This Row],[QTY]]*2</f>
        <v>0</v>
      </c>
      <c r="AA29" s="71" t="str">
        <f>IFERROR(IF(VLOOKUP(S29,MASTER!$B:$I,8,0)="40MM",((CONCATENATE(VLOOKUP(S29,MASTER!$B:$H,7,0),U29,"X",VLOOKUP(S29,MASTER!$B:$G,6,0),"X",VLOOKUP(S29,MASTER!$B:$I,8,0)))),((CONCATENATE(VLOOKUP(S29,MASTER!$B:$H,7,0),U29,"X",VLOOKUP(S29,MASTER!$B:$G,6,0),"X",VLOOKUP(S29,MASTER!$B:$I,8,0))))),"")</f>
        <v/>
      </c>
      <c r="AB29" s="71">
        <f>+Table2[[#This Row],[QTY]]*2</f>
        <v>0</v>
      </c>
      <c r="AC29" s="71" t="str">
        <f>IF(OR(S29=MASTER!$B$2,S29=MASTER!$B$3,S29=MASTER!$B$4,S29=MASTER!$B$5,S29=MASTER!$B$6,S29=MASTER!$B$7,S29=MASTER!$B$8,S29=MASTER!$B$9,S29=MASTER!$B$10,S29=MASTER!$B$11,S29=MASTER!$B$12,S29=MASTER!$B$13,S29=MASTER!$B$93,S29=MASTER!$B$94,S29=MASTER!$B$128,S29=MASTER!$B$129,S29=MASTER!$B$130,S29=MASTER!$B$131,S29=MASTER!$B$132,S29=MASTER!$B$136,S29=MASTER!$B$137),(CONCATENATE(VLOOKUP(S29,MASTER!$B:$J,9,0),Table5[[#This Row],[TOP FOAM/REBOUND LENGTH]],"X",Table5[[#This Row],[TOP FOAM / REBOUND WIDTH]],"X",VLOOKUP(Table5[[#This Row],[VARIETY ]],MASTER!$B:$K,10,0))),"")</f>
        <v/>
      </c>
      <c r="AD29" s="71">
        <f>+Table2[[#This Row],[QTY]]*1</f>
        <v>0</v>
      </c>
      <c r="AE29" s="71" t="str">
        <f>IF(OR(S29=MASTER!$B$2,S29=MASTER!$B$3,S29=MASTER!$B$4,S29=MASTER!$B$5,S29=MASTER!$B$6,S29=MASTER!$B$7,S29=MASTER!$B$8,S29=MASTER!$B$9,S29=MASTER!$B$136,S29=MASTER!$B$10,S29=MASTER!$B$11,S29=MASTER!$B$12,S29=MASTER!$B$13,S29=MASTER!$B$2,S29=MASTER!$B$132,S29=MASTER!$B$137),(CONCATENATE(VLOOKUP(S29,MASTER!$B:$J,9,0),Table5[[#This Row],[TOP FOAM/REBOUND LENGTH]],"X",Table5[[#This Row],[TOP FOAM / REBOUND WIDTH]],"X",VLOOKUP(Table5[[#This Row],[VARIETY ]],MASTER!$B:$L,11,0))),"")</f>
        <v/>
      </c>
      <c r="AF29" s="72">
        <f>+Table2[[#This Row],[QTY]]*1</f>
        <v>0</v>
      </c>
      <c r="AH29" s="60" t="str">
        <f>+Table2[[#This Row],[VARIETY]]</f>
        <v/>
      </c>
      <c r="AI29" s="65">
        <f>IFERROR(Table2[[#This Row],[STD-L]]-VLOOKUP(AH29,MASTER!$B:$E,4,0),0)</f>
        <v>0</v>
      </c>
      <c r="AJ29" s="65">
        <f>IFERROR(Table2[[#This Row],[STD-W]]-VLOOKUP(AH29,MASTER!$B:$F,5,0),0)</f>
        <v>0</v>
      </c>
      <c r="AK29" s="65" t="str">
        <f t="shared" si="9"/>
        <v/>
      </c>
      <c r="AL29" s="66" t="str">
        <f t="shared" si="10"/>
        <v/>
      </c>
      <c r="AN29" s="75" t="str">
        <f>IFERROR(CONCATENATE(VLOOKUP(AH29,MASTER!$B:$H,7,0),Table510[[#This Row],[ACTUAL  LENGTH]],"0X",VLOOKUP(AH29,MASTER!$B:$G,6,0),"X",VLOOKUP(AH29,MASTER!$B:$I,8,0)),"")</f>
        <v/>
      </c>
      <c r="AO29" s="71" t="str">
        <f>IFERROR(((VLOOKUP(Table611[[#This Row],[LENGTHSIZE]],'ALL NEW ITEM '!$E:$F,2,0)*2)*Q29),"")</f>
        <v/>
      </c>
      <c r="AP29" s="71" t="str">
        <f>IFERROR(IF(VLOOKUP(AH29,MASTER!$B:$I,8,0)="40MM",(CONCATENATE(VLOOKUP(AH29,MASTER!$B:$H,7,0),Table510[[#This Row],[ACTUAL WIDTH]],"0X",VLOOKUP(AH29,MASTER!$B:$G,6,0),"X",VLOOKUP(AH29,MASTER!$B:$I,8,0))),(CONCATENATE(VLOOKUP(AH29,MASTER!$B:$H,7,0),Table510[[#This Row],[ACTUAL WIDTH]],"X",VLOOKUP(AH29,MASTER!$B:$G,6,0),"X",VLOOKUP(AH29,MASTER!$B:$I,8,0)))),"")</f>
        <v/>
      </c>
      <c r="AQ29" s="71" t="str">
        <f>+IFERROR(((VLOOKUP(AP29,'ALL NEW ITEM '!$E:$F,2,0)*2)*Table2[[#This Row],[QTY]]),"")</f>
        <v/>
      </c>
      <c r="AR29" s="71" t="str">
        <f>IF(OR(AH29=MASTER!$B$2,AH29=MASTER!$B$3,AH29=MASTER!$B$4,AH29=MASTER!$B$5,AH29=MASTER!$B$6,AH29=MASTER!$B$128,AH29=MASTER!$B$129,AH29=MASTER!$B$130,AH29=MASTER!$B$131,AH29=MASTER!$B$132,AH29=MASTER!$B$133,AH29=MASTER!$B$134,AH29=MASTER!$B$135,AH29=MASTER!$B$136,AH29=MASTER!$B$137),(CONCATENATE(VLOOKUP(AH29,MASTER!$B:$J,9,0),AK29,"0X",AL29,"0X",VLOOKUP(Table5[[#This Row],[VARIETY ]],MASTER!$B:$K,10,0))),"")</f>
        <v/>
      </c>
      <c r="AS29" s="71" t="str">
        <f>IFERROR(VLOOKUP(AR29,'ALL NEW ITEM '!$E:$F,2,0)*Q29,"")</f>
        <v/>
      </c>
      <c r="AT29" s="71" t="str">
        <f>IF(OR(AH29=MASTER!$B$2,AH29=MASTER!$B$3,AH29=MASTER!$B$4,AH29=MASTER!$B$5,AH29=MASTER!$B$6,AH29=MASTER!$B$2,AH29=MASTER!$B$132,AH29=MASTER!$B$135,AH29=MASTER!$B$136,AH29=MASTER!$B$137),(CONCATENATE(VLOOKUP(AH29,MASTER!$B:$J,9,0),AK29,"0X",AL29,"0X",VLOOKUP(Table5[[#This Row],[VARIETY ]],MASTER!$B:$L,11,0))),"")</f>
        <v/>
      </c>
      <c r="AU29" s="72" t="str">
        <f>IFERROR(VLOOKUP(Table611[[#This Row],[TOPFOAM/REBOUND14]],'ALL NEW ITEM '!$E:$F,2,0)*Q29,"")</f>
        <v/>
      </c>
    </row>
    <row r="30" spans="1:47">
      <c r="A30" s="60">
        <f t="shared" si="12"/>
        <v>29</v>
      </c>
      <c r="B30" s="60" t="str">
        <f>LEFT(Table1[[#This Row],[ITEM CODE]],MIN(FIND({0,1,2,3,4,5,6,7,8,9},Table1[[#This Row],[ITEM CODE]]&amp;"0123456789"))-1)</f>
        <v/>
      </c>
      <c r="C30" s="61" t="str">
        <f>SUBSTITUTE(Table1[[#This Row],[ITEM CODE]],B30,"")</f>
        <v/>
      </c>
      <c r="D30" s="61" t="str">
        <f t="shared" si="0"/>
        <v/>
      </c>
      <c r="E30" s="61" t="str">
        <f t="shared" si="1"/>
        <v/>
      </c>
      <c r="F30" s="61" t="str">
        <f t="shared" si="2"/>
        <v/>
      </c>
      <c r="G30" s="61" t="str">
        <f t="shared" si="3"/>
        <v/>
      </c>
      <c r="H30" s="61" t="str">
        <f t="shared" si="4"/>
        <v/>
      </c>
      <c r="I30" s="61" t="str">
        <f t="shared" si="5"/>
        <v/>
      </c>
      <c r="J30" s="61" t="str">
        <f>IFERROR(IF(Table2[[#This Row],[L]]&lt;Table2[[#This Row],[W]],Table2[[#This Row],[W]],Table2[[#This Row],[L]]),"")</f>
        <v/>
      </c>
      <c r="K30" s="61" t="str">
        <f>IF(Table2[[#This Row],[L]]&lt;Table2[[#This Row],[W]],Table2[[#This Row],[L]],Table2[[#This Row],[W]])</f>
        <v/>
      </c>
      <c r="L30" s="61" t="str">
        <f t="shared" si="6"/>
        <v/>
      </c>
      <c r="M30" s="61" t="str">
        <f t="shared" si="7"/>
        <v/>
      </c>
      <c r="N30" s="61" t="str">
        <f t="shared" si="8"/>
        <v>XX</v>
      </c>
      <c r="O30" s="61" t="str">
        <f t="shared" si="11"/>
        <v>XX</v>
      </c>
      <c r="P30" s="61" t="str">
        <f>+CONCATENATE(Table2[[#This Row],[1]],Table2[[#This Row],[H]])</f>
        <v/>
      </c>
      <c r="Q30" s="61">
        <f>+Table1[[#This Row],[QTY]]</f>
        <v>0</v>
      </c>
      <c r="S30" s="60" t="str">
        <f>+Table2[[#This Row],[VARIETY]]</f>
        <v/>
      </c>
      <c r="T30" s="65">
        <f>IFERROR(Table2[[#This Row],[L]]-VLOOKUP(Table5[[#This Row],[VARIETY ]],MASTER!$B:$E,4,0),0)</f>
        <v>0</v>
      </c>
      <c r="U30" s="65">
        <f>IFERROR(Table2[[#This Row],[W]]-VLOOKUP(Table5[[#This Row],[VARIETY ]],MASTER!$B:$F,5,0),0)</f>
        <v>0</v>
      </c>
      <c r="V30" s="65">
        <f>IFERROR(IF(VLOOKUP(Table5[[#This Row],[VARIETY ]],MASTER!$B:$M,12,0)=0,0,(Table2[[#This Row],[L]]-VLOOKUP(Table5[[#This Row],[VARIETY ]],MASTER!$B:$M,12,0))),0)</f>
        <v>0</v>
      </c>
      <c r="W30" s="66">
        <f>IFERROR(IF(VLOOKUP(Table5[[#This Row],[VARIETY ]],MASTER!$B:$N,13,0)=0,0,(Table2[[#This Row],[W]]-VLOOKUP(Table5[[#This Row],[VARIETY ]],MASTER!$B:$N,13,0))),0)</f>
        <v>0</v>
      </c>
      <c r="X30" s="67">
        <v>29</v>
      </c>
      <c r="Y30" s="70" t="str">
        <f>IFERROR(IF(VLOOKUP(S30,MASTER!$B:$I,8,0)="40MM",((CONCATENATE(VLOOKUP(S30,MASTER!$B:$H,7,0),T30,"X",VLOOKUP(S30,MASTER!$B:$G,6,0),"X",VLOOKUP(S30,MASTER!$B:$I,8,0)))),(CONCATENATE(VLOOKUP(S30,MASTER!$B:$H,7,0),T30,"X",VLOOKUP(S30,MASTER!$B:$G,6,0),"X",VLOOKUP(S30,MASTER!$B:$I,8,0)))),"")</f>
        <v/>
      </c>
      <c r="Z30" s="71">
        <f>Table2[[#This Row],[QTY]]*2</f>
        <v>0</v>
      </c>
      <c r="AA30" s="71" t="str">
        <f>IFERROR(IF(VLOOKUP(S30,MASTER!$B:$I,8,0)="40MM",((CONCATENATE(VLOOKUP(S30,MASTER!$B:$H,7,0),U30,"X",VLOOKUP(S30,MASTER!$B:$G,6,0),"X",VLOOKUP(S30,MASTER!$B:$I,8,0)))),((CONCATENATE(VLOOKUP(S30,MASTER!$B:$H,7,0),U30,"X",VLOOKUP(S30,MASTER!$B:$G,6,0),"X",VLOOKUP(S30,MASTER!$B:$I,8,0))))),"")</f>
        <v/>
      </c>
      <c r="AB30" s="71">
        <f>+Table2[[#This Row],[QTY]]*2</f>
        <v>0</v>
      </c>
      <c r="AC30" s="71" t="str">
        <f>IF(OR(S30=MASTER!$B$2,S30=MASTER!$B$3,S30=MASTER!$B$4,S30=MASTER!$B$5,S30=MASTER!$B$6,S30=MASTER!$B$7,S30=MASTER!$B$8,S30=MASTER!$B$9,S30=MASTER!$B$10,S30=MASTER!$B$11,S30=MASTER!$B$12,S30=MASTER!$B$13,S30=MASTER!$B$93,S30=MASTER!$B$94,S30=MASTER!$B$128,S30=MASTER!$B$129,S30=MASTER!$B$130,S30=MASTER!$B$131,S30=MASTER!$B$132,S30=MASTER!$B$136,S30=MASTER!$B$137),(CONCATENATE(VLOOKUP(S30,MASTER!$B:$J,9,0),Table5[[#This Row],[TOP FOAM/REBOUND LENGTH]],"X",Table5[[#This Row],[TOP FOAM / REBOUND WIDTH]],"X",VLOOKUP(Table5[[#This Row],[VARIETY ]],MASTER!$B:$K,10,0))),"")</f>
        <v/>
      </c>
      <c r="AD30" s="71">
        <f>+Table2[[#This Row],[QTY]]*1</f>
        <v>0</v>
      </c>
      <c r="AE30" s="71" t="str">
        <f>IF(OR(S30=MASTER!$B$2,S30=MASTER!$B$3,S30=MASTER!$B$4,S30=MASTER!$B$5,S30=MASTER!$B$6,S30=MASTER!$B$7,S30=MASTER!$B$8,S30=MASTER!$B$9,S30=MASTER!$B$136,S30=MASTER!$B$10,S30=MASTER!$B$11,S30=MASTER!$B$12,S30=MASTER!$B$13,S30=MASTER!$B$2,S30=MASTER!$B$132,S30=MASTER!$B$137),(CONCATENATE(VLOOKUP(S30,MASTER!$B:$J,9,0),Table5[[#This Row],[TOP FOAM/REBOUND LENGTH]],"X",Table5[[#This Row],[TOP FOAM / REBOUND WIDTH]],"X",VLOOKUP(Table5[[#This Row],[VARIETY ]],MASTER!$B:$L,11,0))),"")</f>
        <v/>
      </c>
      <c r="AF30" s="72">
        <f>+Table2[[#This Row],[QTY]]*1</f>
        <v>0</v>
      </c>
      <c r="AH30" s="60" t="str">
        <f>+Table2[[#This Row],[VARIETY]]</f>
        <v/>
      </c>
      <c r="AI30" s="65">
        <f>IFERROR(Table2[[#This Row],[STD-L]]-VLOOKUP(AH30,MASTER!$B:$E,4,0),0)</f>
        <v>0</v>
      </c>
      <c r="AJ30" s="65">
        <f>IFERROR(Table2[[#This Row],[STD-W]]-VLOOKUP(AH30,MASTER!$B:$F,5,0),0)</f>
        <v>0</v>
      </c>
      <c r="AK30" s="65" t="str">
        <f t="shared" si="9"/>
        <v/>
      </c>
      <c r="AL30" s="66" t="str">
        <f t="shared" si="10"/>
        <v/>
      </c>
      <c r="AN30" s="75" t="str">
        <f>IFERROR(CONCATENATE(VLOOKUP(AH30,MASTER!$B:$H,7,0),Table510[[#This Row],[ACTUAL  LENGTH]],"0X",VLOOKUP(AH30,MASTER!$B:$G,6,0),"X",VLOOKUP(AH30,MASTER!$B:$I,8,0)),"")</f>
        <v/>
      </c>
      <c r="AO30" s="71" t="str">
        <f>IFERROR(((VLOOKUP(Table611[[#This Row],[LENGTHSIZE]],'ALL NEW ITEM '!$E:$F,2,0)*2)*Q30),"")</f>
        <v/>
      </c>
      <c r="AP30" s="71" t="str">
        <f>IFERROR(IF(VLOOKUP(AH30,MASTER!$B:$I,8,0)="40MM",(CONCATENATE(VLOOKUP(AH30,MASTER!$B:$H,7,0),Table510[[#This Row],[ACTUAL WIDTH]],"0X",VLOOKUP(AH30,MASTER!$B:$G,6,0),"X",VLOOKUP(AH30,MASTER!$B:$I,8,0))),(CONCATENATE(VLOOKUP(AH30,MASTER!$B:$H,7,0),Table510[[#This Row],[ACTUAL WIDTH]],"X",VLOOKUP(AH30,MASTER!$B:$G,6,0),"X",VLOOKUP(AH30,MASTER!$B:$I,8,0)))),"")</f>
        <v/>
      </c>
      <c r="AQ30" s="71" t="str">
        <f>+IFERROR(((VLOOKUP(AP30,'ALL NEW ITEM '!$E:$F,2,0)*2)*Table2[[#This Row],[QTY]]),"")</f>
        <v/>
      </c>
      <c r="AR30" s="71" t="str">
        <f>IF(OR(AH30=MASTER!$B$2,AH30=MASTER!$B$3,AH30=MASTER!$B$4,AH30=MASTER!$B$5,AH30=MASTER!$B$6,AH30=MASTER!$B$128,AH30=MASTER!$B$129,AH30=MASTER!$B$130,AH30=MASTER!$B$131,AH30=MASTER!$B$132,AH30=MASTER!$B$133,AH30=MASTER!$B$134,AH30=MASTER!$B$135,AH30=MASTER!$B$136,AH30=MASTER!$B$137),(CONCATENATE(VLOOKUP(AH30,MASTER!$B:$J,9,0),AK30,"0X",AL30,"0X",VLOOKUP(Table5[[#This Row],[VARIETY ]],MASTER!$B:$K,10,0))),"")</f>
        <v/>
      </c>
      <c r="AS30" s="71" t="str">
        <f>IFERROR(VLOOKUP(AR30,'ALL NEW ITEM '!$E:$F,2,0)*Q30,"")</f>
        <v/>
      </c>
      <c r="AT30" s="71" t="str">
        <f>IF(OR(AH30=MASTER!$B$2,AH30=MASTER!$B$3,AH30=MASTER!$B$4,AH30=MASTER!$B$5,AH30=MASTER!$B$6,AH30=MASTER!$B$2,AH30=MASTER!$B$132,AH30=MASTER!$B$135,AH30=MASTER!$B$136,AH30=MASTER!$B$137),(CONCATENATE(VLOOKUP(AH30,MASTER!$B:$J,9,0),AK30,"0X",AL30,"0X",VLOOKUP(Table5[[#This Row],[VARIETY ]],MASTER!$B:$L,11,0))),"")</f>
        <v/>
      </c>
      <c r="AU30" s="72" t="str">
        <f>IFERROR(VLOOKUP(Table611[[#This Row],[TOPFOAM/REBOUND14]],'ALL NEW ITEM '!$E:$F,2,0)*Q30,"")</f>
        <v/>
      </c>
    </row>
    <row r="31" spans="1:47">
      <c r="A31" s="60">
        <f t="shared" si="12"/>
        <v>30</v>
      </c>
      <c r="B31" s="60" t="str">
        <f>LEFT(Table1[[#This Row],[ITEM CODE]],MIN(FIND({0,1,2,3,4,5,6,7,8,9},Table1[[#This Row],[ITEM CODE]]&amp;"0123456789"))-1)</f>
        <v/>
      </c>
      <c r="C31" s="61" t="str">
        <f>SUBSTITUTE(Table1[[#This Row],[ITEM CODE]],B31,"")</f>
        <v/>
      </c>
      <c r="D31" s="61" t="str">
        <f t="shared" si="0"/>
        <v/>
      </c>
      <c r="E31" s="61" t="str">
        <f t="shared" si="1"/>
        <v/>
      </c>
      <c r="F31" s="61" t="str">
        <f t="shared" si="2"/>
        <v/>
      </c>
      <c r="G31" s="61" t="str">
        <f t="shared" si="3"/>
        <v/>
      </c>
      <c r="H31" s="61" t="str">
        <f t="shared" si="4"/>
        <v/>
      </c>
      <c r="I31" s="61" t="str">
        <f t="shared" si="5"/>
        <v/>
      </c>
      <c r="J31" s="61" t="str">
        <f>IFERROR(IF(Table2[[#This Row],[L]]&lt;Table2[[#This Row],[W]],Table2[[#This Row],[W]],Table2[[#This Row],[L]]),"")</f>
        <v/>
      </c>
      <c r="K31" s="61" t="str">
        <f>IF(Table2[[#This Row],[L]]&lt;Table2[[#This Row],[W]],Table2[[#This Row],[L]],Table2[[#This Row],[W]])</f>
        <v/>
      </c>
      <c r="L31" s="61" t="str">
        <f t="shared" si="6"/>
        <v/>
      </c>
      <c r="M31" s="61" t="str">
        <f t="shared" si="7"/>
        <v/>
      </c>
      <c r="N31" s="61" t="str">
        <f t="shared" si="8"/>
        <v>XX</v>
      </c>
      <c r="O31" s="61" t="str">
        <f t="shared" si="11"/>
        <v>XX</v>
      </c>
      <c r="P31" s="61" t="str">
        <f>+CONCATENATE(Table2[[#This Row],[1]],Table2[[#This Row],[H]])</f>
        <v/>
      </c>
      <c r="Q31" s="61">
        <f>+Table1[[#This Row],[QTY]]</f>
        <v>0</v>
      </c>
      <c r="S31" s="60" t="str">
        <f>+Table2[[#This Row],[VARIETY]]</f>
        <v/>
      </c>
      <c r="T31" s="65">
        <f>IFERROR(Table2[[#This Row],[L]]-VLOOKUP(Table5[[#This Row],[VARIETY ]],MASTER!$B:$E,4,0),0)</f>
        <v>0</v>
      </c>
      <c r="U31" s="65">
        <f>IFERROR(Table2[[#This Row],[W]]-VLOOKUP(Table5[[#This Row],[VARIETY ]],MASTER!$B:$F,5,0),0)</f>
        <v>0</v>
      </c>
      <c r="V31" s="65">
        <f>IFERROR(IF(VLOOKUP(Table5[[#This Row],[VARIETY ]],MASTER!$B:$M,12,0)=0,0,(Table2[[#This Row],[L]]-VLOOKUP(Table5[[#This Row],[VARIETY ]],MASTER!$B:$M,12,0))),0)</f>
        <v>0</v>
      </c>
      <c r="W31" s="66">
        <f>IFERROR(IF(VLOOKUP(Table5[[#This Row],[VARIETY ]],MASTER!$B:$N,13,0)=0,0,(Table2[[#This Row],[W]]-VLOOKUP(Table5[[#This Row],[VARIETY ]],MASTER!$B:$N,13,0))),0)</f>
        <v>0</v>
      </c>
      <c r="X31" s="65">
        <v>30</v>
      </c>
      <c r="Y31" s="70" t="str">
        <f>IFERROR(IF(VLOOKUP(S31,MASTER!$B:$I,8,0)="40MM",((CONCATENATE(VLOOKUP(S31,MASTER!$B:$H,7,0),T31,"X",VLOOKUP(S31,MASTER!$B:$G,6,0),"X",VLOOKUP(S31,MASTER!$B:$I,8,0)))),(CONCATENATE(VLOOKUP(S31,MASTER!$B:$H,7,0),T31,"X",VLOOKUP(S31,MASTER!$B:$G,6,0),"X",VLOOKUP(S31,MASTER!$B:$I,8,0)))),"")</f>
        <v/>
      </c>
      <c r="Z31" s="73">
        <f>Table2[[#This Row],[QTY]]*2</f>
        <v>0</v>
      </c>
      <c r="AA31" s="73" t="str">
        <f>IFERROR(IF(VLOOKUP(S31,MASTER!$B:$I,8,0)="40MM",((CONCATENATE(VLOOKUP(S31,MASTER!$B:$H,7,0),U31,"X",VLOOKUP(S31,MASTER!$B:$G,6,0),"X",VLOOKUP(S31,MASTER!$B:$I,8,0)))),((CONCATENATE(VLOOKUP(S31,MASTER!$B:$H,7,0),U31,"X",VLOOKUP(S31,MASTER!$B:$G,6,0),"X",VLOOKUP(S31,MASTER!$B:$I,8,0))))),"")</f>
        <v/>
      </c>
      <c r="AB31" s="73">
        <f>+Table2[[#This Row],[QTY]]*2</f>
        <v>0</v>
      </c>
      <c r="AC31" s="71" t="str">
        <f>IF(OR(S31=MASTER!$B$2,S31=MASTER!$B$3,S31=MASTER!$B$4,S31=MASTER!$B$5,S31=MASTER!$B$6,S31=MASTER!$B$7,S31=MASTER!$B$8,S31=MASTER!$B$9,S31=MASTER!$B$10,S31=MASTER!$B$11,S31=MASTER!$B$12,S31=MASTER!$B$13,S31=MASTER!$B$93,S31=MASTER!$B$94,S31=MASTER!$B$128,S31=MASTER!$B$129,S31=MASTER!$B$130,S31=MASTER!$B$131,S31=MASTER!$B$132,S31=MASTER!$B$136,S31=MASTER!$B$137),(CONCATENATE(VLOOKUP(S31,MASTER!$B:$J,9,0),Table5[[#This Row],[TOP FOAM/REBOUND LENGTH]],"X",Table5[[#This Row],[TOP FOAM / REBOUND WIDTH]],"X",VLOOKUP(Table5[[#This Row],[VARIETY ]],MASTER!$B:$K,10,0))),"")</f>
        <v/>
      </c>
      <c r="AD31" s="73">
        <f>+Table2[[#This Row],[QTY]]*1</f>
        <v>0</v>
      </c>
      <c r="AE31" s="71" t="str">
        <f>IF(OR(S31=MASTER!$B$2,S31=MASTER!$B$3,S31=MASTER!$B$4,S31=MASTER!$B$5,S31=MASTER!$B$6,S31=MASTER!$B$7,S31=MASTER!$B$8,S31=MASTER!$B$9,S31=MASTER!$B$136,S31=MASTER!$B$10,S31=MASTER!$B$11,S31=MASTER!$B$12,S31=MASTER!$B$13,S31=MASTER!$B$2,S31=MASTER!$B$132,S31=MASTER!$B$137),(CONCATENATE(VLOOKUP(S31,MASTER!$B:$J,9,0),Table5[[#This Row],[TOP FOAM/REBOUND LENGTH]],"X",Table5[[#This Row],[TOP FOAM / REBOUND WIDTH]],"X",VLOOKUP(Table5[[#This Row],[VARIETY ]],MASTER!$B:$L,11,0))),"")</f>
        <v/>
      </c>
      <c r="AF31" s="74">
        <f>+Table2[[#This Row],[QTY]]*1</f>
        <v>0</v>
      </c>
      <c r="AH31" s="60" t="str">
        <f>+Table2[[#This Row],[VARIETY]]</f>
        <v/>
      </c>
      <c r="AI31" s="65">
        <f>IFERROR(Table2[[#This Row],[STD-L]]-VLOOKUP(AH31,MASTER!$B:$E,4,0),0)</f>
        <v>0</v>
      </c>
      <c r="AJ31" s="65">
        <f>IFERROR(Table2[[#This Row],[STD-W]]-VLOOKUP(AH31,MASTER!$B:$F,5,0),0)</f>
        <v>0</v>
      </c>
      <c r="AK31" s="65" t="str">
        <f t="shared" si="9"/>
        <v/>
      </c>
      <c r="AL31" s="66" t="str">
        <f t="shared" si="10"/>
        <v/>
      </c>
      <c r="AN31" s="75" t="str">
        <f>IFERROR(CONCATENATE(VLOOKUP(AH31,MASTER!$B:$H,7,0),Table510[[#This Row],[ACTUAL  LENGTH]],"0X",VLOOKUP(AH31,MASTER!$B:$G,6,0),"X",VLOOKUP(AH31,MASTER!$B:$I,8,0)),"")</f>
        <v/>
      </c>
      <c r="AO31" s="71" t="str">
        <f>IFERROR(((VLOOKUP(Table611[[#This Row],[LENGTHSIZE]],'ALL NEW ITEM '!$E:$F,2,0)*2)*Q31),"")</f>
        <v/>
      </c>
      <c r="AP31" s="71" t="str">
        <f>IFERROR(IF(VLOOKUP(AH31,MASTER!$B:$I,8,0)="40MM",(CONCATENATE(VLOOKUP(AH31,MASTER!$B:$H,7,0),Table510[[#This Row],[ACTUAL WIDTH]],"0X",VLOOKUP(AH31,MASTER!$B:$G,6,0),"X",VLOOKUP(AH31,MASTER!$B:$I,8,0))),(CONCATENATE(VLOOKUP(AH31,MASTER!$B:$H,7,0),Table510[[#This Row],[ACTUAL WIDTH]],"X",VLOOKUP(AH31,MASTER!$B:$G,6,0),"X",VLOOKUP(AH31,MASTER!$B:$I,8,0)))),"")</f>
        <v/>
      </c>
      <c r="AQ31" s="73" t="str">
        <f>+IFERROR(((VLOOKUP(AP31,'ALL NEW ITEM '!$E:$F,2,0)*2)*Table2[[#This Row],[QTY]]),"")</f>
        <v/>
      </c>
      <c r="AR31" s="71" t="str">
        <f>IF(OR(AH31=MASTER!$B$2,AH31=MASTER!$B$3,AH31=MASTER!$B$4,AH31=MASTER!$B$5,AH31=MASTER!$B$6,AH31=MASTER!$B$128,AH31=MASTER!$B$129,AH31=MASTER!$B$130,AH31=MASTER!$B$131,AH31=MASTER!$B$132,AH31=MASTER!$B$133,AH31=MASTER!$B$134,AH31=MASTER!$B$135,AH31=MASTER!$B$136,AH31=MASTER!$B$137),(CONCATENATE(VLOOKUP(AH31,MASTER!$B:$J,9,0),AK31,"0X",AL31,"0X",VLOOKUP(Table5[[#This Row],[VARIETY ]],MASTER!$B:$K,10,0))),"")</f>
        <v/>
      </c>
      <c r="AS31" s="73" t="str">
        <f>IFERROR(VLOOKUP(AR31,'ALL NEW ITEM '!$E:$F,2,0)*Q31,"")</f>
        <v/>
      </c>
      <c r="AT31" s="71" t="str">
        <f>IF(OR(AH31=MASTER!$B$2,AH31=MASTER!$B$3,AH31=MASTER!$B$4,AH31=MASTER!$B$5,AH31=MASTER!$B$6,AH31=MASTER!$B$2,AH31=MASTER!$B$132,AH31=MASTER!$B$135,AH31=MASTER!$B$136,AH31=MASTER!$B$137),(CONCATENATE(VLOOKUP(AH31,MASTER!$B:$J,9,0),AK31,"0X",AL31,"0X",VLOOKUP(Table5[[#This Row],[VARIETY ]],MASTER!$B:$L,11,0))),"")</f>
        <v/>
      </c>
      <c r="AU31" s="72" t="str">
        <f>IFERROR(VLOOKUP(Table611[[#This Row],[TOPFOAM/REBOUND14]],'ALL NEW ITEM '!$E:$F,2,0)*Q31,"")</f>
        <v/>
      </c>
    </row>
    <row r="32" spans="1:47">
      <c r="A32" s="60">
        <f t="shared" ref="A32:A51" si="13">ROW()-1</f>
        <v>31</v>
      </c>
      <c r="B32" s="60" t="str">
        <f>LEFT(Table1[[#This Row],[ITEM CODE]],MIN(FIND({0,1,2,3,4,5,6,7,8,9},Table1[[#This Row],[ITEM CODE]]&amp;"0123456789"))-1)</f>
        <v/>
      </c>
      <c r="C32" s="61" t="str">
        <f>SUBSTITUTE(Table1[[#This Row],[ITEM CODE]],B32,"")</f>
        <v/>
      </c>
      <c r="D32" s="61" t="str">
        <f t="shared" ref="D32:D51" si="14">IFERROR(LEFT(C32,FIND("-",C32)-1),C32)</f>
        <v/>
      </c>
      <c r="E32" s="61" t="str">
        <f t="shared" si="1"/>
        <v/>
      </c>
      <c r="F32" s="61" t="str">
        <f t="shared" si="2"/>
        <v/>
      </c>
      <c r="G32" s="61" t="str">
        <f t="shared" si="3"/>
        <v/>
      </c>
      <c r="H32" s="61" t="str">
        <f t="shared" si="4"/>
        <v/>
      </c>
      <c r="I32" s="61" t="str">
        <f t="shared" si="5"/>
        <v/>
      </c>
      <c r="J32" s="61" t="str">
        <f>IFERROR(IF(Table2[[#This Row],[L]]&lt;Table2[[#This Row],[W]],Table2[[#This Row],[W]],Table2[[#This Row],[L]]),"")</f>
        <v/>
      </c>
      <c r="K32" s="61" t="str">
        <f>IF(Table2[[#This Row],[L]]&lt;Table2[[#This Row],[W]],Table2[[#This Row],[L]],Table2[[#This Row],[W]])</f>
        <v/>
      </c>
      <c r="L32" s="61" t="str">
        <f t="shared" si="6"/>
        <v/>
      </c>
      <c r="M32" s="61" t="str">
        <f t="shared" si="7"/>
        <v/>
      </c>
      <c r="N32" s="61" t="str">
        <f t="shared" si="8"/>
        <v>XX</v>
      </c>
      <c r="O32" s="61" t="str">
        <f t="shared" ref="O32:O51" si="15">CONCATENATE(B32,N32)</f>
        <v>XX</v>
      </c>
      <c r="P32" s="61" t="str">
        <f>+CONCATENATE(Table2[[#This Row],[1]],Table2[[#This Row],[H]])</f>
        <v/>
      </c>
      <c r="Q32" s="61">
        <f>+Table1[[#This Row],[QTY]]</f>
        <v>0</v>
      </c>
      <c r="S32" s="60" t="str">
        <f>+Table2[[#This Row],[VARIETY]]</f>
        <v/>
      </c>
      <c r="T32" s="65">
        <f>IFERROR(Table2[[#This Row],[L]]-VLOOKUP(Table5[[#This Row],[VARIETY ]],MASTER!$B:$E,4,0),0)</f>
        <v>0</v>
      </c>
      <c r="U32" s="65">
        <f>IFERROR(Table2[[#This Row],[W]]-VLOOKUP(Table5[[#This Row],[VARIETY ]],MASTER!$B:$F,5,0),0)</f>
        <v>0</v>
      </c>
      <c r="V32" s="65">
        <f>IFERROR(IF(VLOOKUP(Table5[[#This Row],[VARIETY ]],MASTER!$B:$M,12,0)=0,0,(Table2[[#This Row],[L]]-VLOOKUP(Table5[[#This Row],[VARIETY ]],MASTER!$B:$M,12,0))),0)</f>
        <v>0</v>
      </c>
      <c r="W32" s="66">
        <f>IFERROR(IF(VLOOKUP(Table5[[#This Row],[VARIETY ]],MASTER!$B:$N,13,0)=0,0,(Table2[[#This Row],[W]]-VLOOKUP(Table5[[#This Row],[VARIETY ]],MASTER!$B:$N,13,0))),0)</f>
        <v>0</v>
      </c>
      <c r="X32" s="67">
        <v>31</v>
      </c>
      <c r="Y32" s="70" t="str">
        <f>IFERROR(IF(VLOOKUP(S32,MASTER!$B:$I,8,0)="40MM",((CONCATENATE(VLOOKUP(S32,MASTER!$B:$H,7,0),T32,"X",VLOOKUP(S32,MASTER!$B:$G,6,0),"X",VLOOKUP(S32,MASTER!$B:$I,8,0)))),(CONCATENATE(VLOOKUP(S32,MASTER!$B:$H,7,0),T32,"X",VLOOKUP(S32,MASTER!$B:$G,6,0),"X",VLOOKUP(S32,MASTER!$B:$I,8,0)))),"")</f>
        <v/>
      </c>
      <c r="Z32" s="73">
        <f>Table2[[#This Row],[QTY]]*2</f>
        <v>0</v>
      </c>
      <c r="AA32" s="73" t="str">
        <f>IFERROR(IF(VLOOKUP(S32,MASTER!$B:$I,8,0)="40MM",((CONCATENATE(VLOOKUP(S32,MASTER!$B:$H,7,0),U32,"X",VLOOKUP(S32,MASTER!$B:$G,6,0),"X",VLOOKUP(S32,MASTER!$B:$I,8,0)))),((CONCATENATE(VLOOKUP(S32,MASTER!$B:$H,7,0),U32,"X",VLOOKUP(S32,MASTER!$B:$G,6,0),"X",VLOOKUP(S32,MASTER!$B:$I,8,0))))),"")</f>
        <v/>
      </c>
      <c r="AB32" s="73">
        <f>+Table2[[#This Row],[QTY]]*2</f>
        <v>0</v>
      </c>
      <c r="AC32" s="71" t="str">
        <f>IF(OR(S32=MASTER!$B$2,S32=MASTER!$B$3,S32=MASTER!$B$4,S32=MASTER!$B$5,S32=MASTER!$B$6,S32=MASTER!$B$7,S32=MASTER!$B$8,S32=MASTER!$B$9,S32=MASTER!$B$10,S32=MASTER!$B$11,S32=MASTER!$B$12,S32=MASTER!$B$13,S32=MASTER!$B$93,S32=MASTER!$B$94,S32=MASTER!$B$128,S32=MASTER!$B$129,S32=MASTER!$B$130,S32=MASTER!$B$131,S32=MASTER!$B$132,S32=MASTER!$B$136,S32=MASTER!$B$137),(CONCATENATE(VLOOKUP(S32,MASTER!$B:$J,9,0),Table5[[#This Row],[TOP FOAM/REBOUND LENGTH]],"X",Table5[[#This Row],[TOP FOAM / REBOUND WIDTH]],"X",VLOOKUP(Table5[[#This Row],[VARIETY ]],MASTER!$B:$K,10,0))),"")</f>
        <v/>
      </c>
      <c r="AD32" s="73">
        <f>+Table2[[#This Row],[QTY]]*1</f>
        <v>0</v>
      </c>
      <c r="AE32" s="71" t="str">
        <f>IF(OR(S32=MASTER!$B$2,S32=MASTER!$B$3,S32=MASTER!$B$4,S32=MASTER!$B$5,S32=MASTER!$B$6,S32=MASTER!$B$7,S32=MASTER!$B$8,S32=MASTER!$B$9,S32=MASTER!$B$136,S32=MASTER!$B$10,S32=MASTER!$B$11,S32=MASTER!$B$12,S32=MASTER!$B$13,S32=MASTER!$B$2,S32=MASTER!$B$132,S32=MASTER!$B$137),(CONCATENATE(VLOOKUP(S32,MASTER!$B:$J,9,0),Table5[[#This Row],[TOP FOAM/REBOUND LENGTH]],"X",Table5[[#This Row],[TOP FOAM / REBOUND WIDTH]],"X",VLOOKUP(Table5[[#This Row],[VARIETY ]],MASTER!$B:$L,11,0))),"")</f>
        <v/>
      </c>
      <c r="AF32" s="74">
        <f>+Table2[[#This Row],[QTY]]*1</f>
        <v>0</v>
      </c>
      <c r="AH32" s="60" t="str">
        <f>+Table2[[#This Row],[VARIETY]]</f>
        <v/>
      </c>
      <c r="AI32" s="65">
        <f>IFERROR(Table2[[#This Row],[STD-L]]-VLOOKUP(AH32,MASTER!$B:$E,4,0),0)</f>
        <v>0</v>
      </c>
      <c r="AJ32" s="65">
        <f>IFERROR(Table2[[#This Row],[STD-W]]-VLOOKUP(AH32,MASTER!$B:$F,5,0),0)</f>
        <v>0</v>
      </c>
      <c r="AK32" s="65" t="str">
        <f t="shared" si="9"/>
        <v/>
      </c>
      <c r="AL32" s="66" t="str">
        <f t="shared" si="10"/>
        <v/>
      </c>
      <c r="AN32" s="75" t="str">
        <f>IFERROR(CONCATENATE(VLOOKUP(AH32,MASTER!$B:$H,7,0),Table510[[#This Row],[ACTUAL  LENGTH]],"0X",VLOOKUP(AH32,MASTER!$B:$G,6,0),"X",VLOOKUP(AH32,MASTER!$B:$I,8,0)),"")</f>
        <v/>
      </c>
      <c r="AO32" s="71" t="str">
        <f>IFERROR(((VLOOKUP(Table611[[#This Row],[LENGTHSIZE]],'ALL NEW ITEM '!$E:$F,2,0)*2)*Q32),"")</f>
        <v/>
      </c>
      <c r="AP32" s="71" t="str">
        <f>IFERROR(IF(VLOOKUP(AH32,MASTER!$B:$I,8,0)="40MM",(CONCATENATE(VLOOKUP(AH32,MASTER!$B:$H,7,0),Table510[[#This Row],[ACTUAL WIDTH]],"0X",VLOOKUP(AH32,MASTER!$B:$G,6,0),"X",VLOOKUP(AH32,MASTER!$B:$I,8,0))),(CONCATENATE(VLOOKUP(AH32,MASTER!$B:$H,7,0),Table510[[#This Row],[ACTUAL WIDTH]],"X",VLOOKUP(AH32,MASTER!$B:$G,6,0),"X",VLOOKUP(AH32,MASTER!$B:$I,8,0)))),"")</f>
        <v/>
      </c>
      <c r="AQ32" s="73" t="str">
        <f>+IFERROR(((VLOOKUP(AP32,'ALL NEW ITEM '!$E:$F,2,0)*2)*Table2[[#This Row],[QTY]]),"")</f>
        <v/>
      </c>
      <c r="AR32" s="71" t="str">
        <f>IF(OR(AH32=MASTER!$B$2,AH32=MASTER!$B$3,AH32=MASTER!$B$4,AH32=MASTER!$B$5,AH32=MASTER!$B$6,AH32=MASTER!$B$128,AH32=MASTER!$B$129,AH32=MASTER!$B$130,AH32=MASTER!$B$131,AH32=MASTER!$B$132,AH32=MASTER!$B$133,AH32=MASTER!$B$134,AH32=MASTER!$B$135,AH32=MASTER!$B$136,AH32=MASTER!$B$137),(CONCATENATE(VLOOKUP(AH32,MASTER!$B:$J,9,0),AK32,"0X",AL32,"0X",VLOOKUP(Table5[[#This Row],[VARIETY ]],MASTER!$B:$K,10,0))),"")</f>
        <v/>
      </c>
      <c r="AS32" s="73" t="str">
        <f>IFERROR(VLOOKUP(AR32,'ALL NEW ITEM '!$E:$F,2,0)*Q32,"")</f>
        <v/>
      </c>
      <c r="AT32" s="71" t="str">
        <f>IF(OR(AH32=MASTER!$B$2,AH32=MASTER!$B$3,AH32=MASTER!$B$4,AH32=MASTER!$B$5,AH32=MASTER!$B$6,AH32=MASTER!$B$2,AH32=MASTER!$B$132,AH32=MASTER!$B$135,AH32=MASTER!$B$136,AH32=MASTER!$B$137),(CONCATENATE(VLOOKUP(AH32,MASTER!$B:$J,9,0),AK32,"0X",AL32,"0X",VLOOKUP(Table5[[#This Row],[VARIETY ]],MASTER!$B:$L,11,0))),"")</f>
        <v/>
      </c>
      <c r="AU32" s="72" t="str">
        <f>IFERROR(VLOOKUP(Table611[[#This Row],[TOPFOAM/REBOUND14]],'ALL NEW ITEM '!$E:$F,2,0)*Q32,"")</f>
        <v/>
      </c>
    </row>
    <row r="33" spans="1:47">
      <c r="A33" s="60">
        <f t="shared" si="13"/>
        <v>32</v>
      </c>
      <c r="B33" s="60" t="str">
        <f>LEFT(Table1[[#This Row],[ITEM CODE]],MIN(FIND({0,1,2,3,4,5,6,7,8,9},Table1[[#This Row],[ITEM CODE]]&amp;"0123456789"))-1)</f>
        <v/>
      </c>
      <c r="C33" s="61" t="str">
        <f>SUBSTITUTE(Table1[[#This Row],[ITEM CODE]],B33,"")</f>
        <v/>
      </c>
      <c r="D33" s="61" t="str">
        <f t="shared" si="14"/>
        <v/>
      </c>
      <c r="E33" s="61" t="str">
        <f t="shared" si="1"/>
        <v/>
      </c>
      <c r="F33" s="61" t="str">
        <f t="shared" si="2"/>
        <v/>
      </c>
      <c r="G33" s="61" t="str">
        <f t="shared" si="3"/>
        <v/>
      </c>
      <c r="H33" s="61" t="str">
        <f t="shared" si="4"/>
        <v/>
      </c>
      <c r="I33" s="61" t="str">
        <f t="shared" si="5"/>
        <v/>
      </c>
      <c r="J33" s="61" t="str">
        <f>IFERROR(IF(Table2[[#This Row],[L]]&lt;Table2[[#This Row],[W]],Table2[[#This Row],[W]],Table2[[#This Row],[L]]),"")</f>
        <v/>
      </c>
      <c r="K33" s="61" t="str">
        <f>IF(Table2[[#This Row],[L]]&lt;Table2[[#This Row],[W]],Table2[[#This Row],[L]],Table2[[#This Row],[W]])</f>
        <v/>
      </c>
      <c r="L33" s="61" t="str">
        <f t="shared" si="6"/>
        <v/>
      </c>
      <c r="M33" s="61" t="str">
        <f t="shared" si="7"/>
        <v/>
      </c>
      <c r="N33" s="61" t="str">
        <f t="shared" si="8"/>
        <v>XX</v>
      </c>
      <c r="O33" s="61" t="str">
        <f t="shared" si="15"/>
        <v>XX</v>
      </c>
      <c r="P33" s="61" t="str">
        <f>+CONCATENATE(Table2[[#This Row],[1]],Table2[[#This Row],[H]])</f>
        <v/>
      </c>
      <c r="Q33" s="61">
        <f>+Table1[[#This Row],[QTY]]</f>
        <v>0</v>
      </c>
      <c r="S33" s="60" t="str">
        <f>+Table2[[#This Row],[VARIETY]]</f>
        <v/>
      </c>
      <c r="T33" s="65">
        <f>IFERROR(Table2[[#This Row],[L]]-VLOOKUP(Table5[[#This Row],[VARIETY ]],MASTER!$B:$E,4,0),0)</f>
        <v>0</v>
      </c>
      <c r="U33" s="65">
        <f>IFERROR(Table2[[#This Row],[W]]-VLOOKUP(Table5[[#This Row],[VARIETY ]],MASTER!$B:$F,5,0),0)</f>
        <v>0</v>
      </c>
      <c r="V33" s="65">
        <f>IFERROR(IF(VLOOKUP(Table5[[#This Row],[VARIETY ]],MASTER!$B:$M,12,0)=0,0,(Table2[[#This Row],[L]]-VLOOKUP(Table5[[#This Row],[VARIETY ]],MASTER!$B:$M,12,0))),0)</f>
        <v>0</v>
      </c>
      <c r="W33" s="66">
        <f>IFERROR(IF(VLOOKUP(Table5[[#This Row],[VARIETY ]],MASTER!$B:$N,13,0)=0,0,(Table2[[#This Row],[W]]-VLOOKUP(Table5[[#This Row],[VARIETY ]],MASTER!$B:$N,13,0))),0)</f>
        <v>0</v>
      </c>
      <c r="X33" s="65">
        <v>32</v>
      </c>
      <c r="Y33" s="70" t="str">
        <f>IFERROR(IF(VLOOKUP(S33,MASTER!$B:$I,8,0)="40MM",((CONCATENATE(VLOOKUP(S33,MASTER!$B:$H,7,0),T33,"X",VLOOKUP(S33,MASTER!$B:$G,6,0),"X",VLOOKUP(S33,MASTER!$B:$I,8,0)))),(CONCATENATE(VLOOKUP(S33,MASTER!$B:$H,7,0),T33,"X",VLOOKUP(S33,MASTER!$B:$G,6,0),"X",VLOOKUP(S33,MASTER!$B:$I,8,0)))),"")</f>
        <v/>
      </c>
      <c r="Z33" s="73">
        <f>Table2[[#This Row],[QTY]]*2</f>
        <v>0</v>
      </c>
      <c r="AA33" s="73" t="str">
        <f>IFERROR(IF(VLOOKUP(S33,MASTER!$B:$I,8,0)="40MM",((CONCATENATE(VLOOKUP(S33,MASTER!$B:$H,7,0),U33,"X",VLOOKUP(S33,MASTER!$B:$G,6,0),"X",VLOOKUP(S33,MASTER!$B:$I,8,0)))),((CONCATENATE(VLOOKUP(S33,MASTER!$B:$H,7,0),U33,"X",VLOOKUP(S33,MASTER!$B:$G,6,0),"X",VLOOKUP(S33,MASTER!$B:$I,8,0))))),"")</f>
        <v/>
      </c>
      <c r="AB33" s="73">
        <f>+Table2[[#This Row],[QTY]]*2</f>
        <v>0</v>
      </c>
      <c r="AC33" s="71" t="str">
        <f>IF(OR(S33=MASTER!$B$2,S33=MASTER!$B$3,S33=MASTER!$B$4,S33=MASTER!$B$5,S33=MASTER!$B$6,S33=MASTER!$B$7,S33=MASTER!$B$8,S33=MASTER!$B$9,S33=MASTER!$B$10,S33=MASTER!$B$11,S33=MASTER!$B$12,S33=MASTER!$B$13,S33=MASTER!$B$93,S33=MASTER!$B$94,S33=MASTER!$B$128,S33=MASTER!$B$129,S33=MASTER!$B$130,S33=MASTER!$B$131,S33=MASTER!$B$132,S33=MASTER!$B$136,S33=MASTER!$B$137),(CONCATENATE(VLOOKUP(S33,MASTER!$B:$J,9,0),Table5[[#This Row],[TOP FOAM/REBOUND LENGTH]],"X",Table5[[#This Row],[TOP FOAM / REBOUND WIDTH]],"X",VLOOKUP(Table5[[#This Row],[VARIETY ]],MASTER!$B:$K,10,0))),"")</f>
        <v/>
      </c>
      <c r="AD33" s="73">
        <f>+Table2[[#This Row],[QTY]]*1</f>
        <v>0</v>
      </c>
      <c r="AE33" s="71" t="str">
        <f>IF(OR(S33=MASTER!$B$2,S33=MASTER!$B$3,S33=MASTER!$B$4,S33=MASTER!$B$5,S33=MASTER!$B$6,S33=MASTER!$B$7,S33=MASTER!$B$8,S33=MASTER!$B$9,S33=MASTER!$B$136,S33=MASTER!$B$10,S33=MASTER!$B$11,S33=MASTER!$B$12,S33=MASTER!$B$13,S33=MASTER!$B$2,S33=MASTER!$B$132,S33=MASTER!$B$137),(CONCATENATE(VLOOKUP(S33,MASTER!$B:$J,9,0),Table5[[#This Row],[TOP FOAM/REBOUND LENGTH]],"X",Table5[[#This Row],[TOP FOAM / REBOUND WIDTH]],"X",VLOOKUP(Table5[[#This Row],[VARIETY ]],MASTER!$B:$L,11,0))),"")</f>
        <v/>
      </c>
      <c r="AF33" s="74">
        <f>+Table2[[#This Row],[QTY]]*1</f>
        <v>0</v>
      </c>
      <c r="AH33" s="60" t="str">
        <f>+Table2[[#This Row],[VARIETY]]</f>
        <v/>
      </c>
      <c r="AI33" s="65">
        <f>IFERROR(Table2[[#This Row],[STD-L]]-VLOOKUP(AH33,MASTER!$B:$E,4,0),0)</f>
        <v>0</v>
      </c>
      <c r="AJ33" s="65">
        <f>IFERROR(Table2[[#This Row],[STD-W]]-VLOOKUP(AH33,MASTER!$B:$F,5,0),0)</f>
        <v>0</v>
      </c>
      <c r="AK33" s="65" t="str">
        <f t="shared" si="9"/>
        <v/>
      </c>
      <c r="AL33" s="66" t="str">
        <f t="shared" si="10"/>
        <v/>
      </c>
      <c r="AN33" s="75" t="str">
        <f>IFERROR(CONCATENATE(VLOOKUP(AH33,MASTER!$B:$H,7,0),Table510[[#This Row],[ACTUAL  LENGTH]],"0X",VLOOKUP(AH33,MASTER!$B:$G,6,0),"X",VLOOKUP(AH33,MASTER!$B:$I,8,0)),"")</f>
        <v/>
      </c>
      <c r="AO33" s="71" t="str">
        <f>IFERROR(((VLOOKUP(Table611[[#This Row],[LENGTHSIZE]],'ALL NEW ITEM '!$E:$F,2,0)*2)*Q33),"")</f>
        <v/>
      </c>
      <c r="AP33" s="71" t="str">
        <f>IFERROR(IF(VLOOKUP(AH33,MASTER!$B:$I,8,0)="40MM",(CONCATENATE(VLOOKUP(AH33,MASTER!$B:$H,7,0),Table510[[#This Row],[ACTUAL WIDTH]],"0X",VLOOKUP(AH33,MASTER!$B:$G,6,0),"X",VLOOKUP(AH33,MASTER!$B:$I,8,0))),(CONCATENATE(VLOOKUP(AH33,MASTER!$B:$H,7,0),Table510[[#This Row],[ACTUAL WIDTH]],"X",VLOOKUP(AH33,MASTER!$B:$G,6,0),"X",VLOOKUP(AH33,MASTER!$B:$I,8,0)))),"")</f>
        <v/>
      </c>
      <c r="AQ33" s="73" t="str">
        <f>+IFERROR(((VLOOKUP(AP33,'ALL NEW ITEM '!$E:$F,2,0)*2)*Table2[[#This Row],[QTY]]),"")</f>
        <v/>
      </c>
      <c r="AR33" s="71" t="str">
        <f>IF(OR(AH33=MASTER!$B$2,AH33=MASTER!$B$3,AH33=MASTER!$B$4,AH33=MASTER!$B$5,AH33=MASTER!$B$6,AH33=MASTER!$B$128,AH33=MASTER!$B$129,AH33=MASTER!$B$130,AH33=MASTER!$B$131,AH33=MASTER!$B$132,AH33=MASTER!$B$133,AH33=MASTER!$B$134,AH33=MASTER!$B$135,AH33=MASTER!$B$136,AH33=MASTER!$B$137),(CONCATENATE(VLOOKUP(AH33,MASTER!$B:$J,9,0),AK33,"0X",AL33,"0X",VLOOKUP(Table5[[#This Row],[VARIETY ]],MASTER!$B:$K,10,0))),"")</f>
        <v/>
      </c>
      <c r="AS33" s="73" t="str">
        <f>IFERROR(VLOOKUP(AR33,'ALL NEW ITEM '!$E:$F,2,0)*Q33,"")</f>
        <v/>
      </c>
      <c r="AT33" s="71" t="str">
        <f>IF(OR(AH33=MASTER!$B$2,AH33=MASTER!$B$3,AH33=MASTER!$B$4,AH33=MASTER!$B$5,AH33=MASTER!$B$6,AH33=MASTER!$B$2,AH33=MASTER!$B$132,AH33=MASTER!$B$135,AH33=MASTER!$B$136,AH33=MASTER!$B$137),(CONCATENATE(VLOOKUP(AH33,MASTER!$B:$J,9,0),AK33,"0X",AL33,"0X",VLOOKUP(Table5[[#This Row],[VARIETY ]],MASTER!$B:$L,11,0))),"")</f>
        <v/>
      </c>
      <c r="AU33" s="72" t="str">
        <f>IFERROR(VLOOKUP(Table611[[#This Row],[TOPFOAM/REBOUND14]],'ALL NEW ITEM '!$E:$F,2,0)*Q33,"")</f>
        <v/>
      </c>
    </row>
    <row r="34" spans="1:47">
      <c r="A34" s="60">
        <f t="shared" si="13"/>
        <v>33</v>
      </c>
      <c r="B34" s="60" t="str">
        <f>LEFT(Table1[[#This Row],[ITEM CODE]],MIN(FIND({0,1,2,3,4,5,6,7,8,9},Table1[[#This Row],[ITEM CODE]]&amp;"0123456789"))-1)</f>
        <v/>
      </c>
      <c r="C34" s="61" t="str">
        <f>SUBSTITUTE(Table1[[#This Row],[ITEM CODE]],B34,"")</f>
        <v/>
      </c>
      <c r="D34" s="61" t="str">
        <f t="shared" si="14"/>
        <v/>
      </c>
      <c r="E34" s="61" t="str">
        <f t="shared" ref="E34:E51" si="16">IFERROR(SEARCH("X",D34),"")</f>
        <v/>
      </c>
      <c r="F34" s="61" t="str">
        <f t="shared" ref="F34:F51" si="17">IFERROR(SEARCH("X",D34,E34+1),"")</f>
        <v/>
      </c>
      <c r="G34" s="61" t="str">
        <f t="shared" ref="G34:G51" si="18">IFERROR(LEFT(C34,SEARCH("x",C34)-1),"")</f>
        <v/>
      </c>
      <c r="H34" s="61" t="str">
        <f t="shared" ref="H34:H51" si="19">IFERROR(MID(D34,E34+1,F34-E34-1),"")</f>
        <v/>
      </c>
      <c r="I34" s="61" t="str">
        <f t="shared" ref="I34:I51" si="20">IFERROR(MID(D34,F34+1,20),"")</f>
        <v/>
      </c>
      <c r="J34" s="61" t="str">
        <f>IFERROR(IF(Table2[[#This Row],[L]]&lt;Table2[[#This Row],[W]],Table2[[#This Row],[W]],Table2[[#This Row],[L]]),"")</f>
        <v/>
      </c>
      <c r="K34" s="61" t="str">
        <f>IF(Table2[[#This Row],[L]]&lt;Table2[[#This Row],[W]],Table2[[#This Row],[L]],Table2[[#This Row],[W]])</f>
        <v/>
      </c>
      <c r="L34" s="61" t="str">
        <f t="shared" ref="L34:L51" si="21">IFERROR(IF(J34="","",IF(VALUE(J34)&gt;=VALUE(K34),IF(OR(VALUE(J34)=13,VALUE(J34)=20,VALUE(J34)=72,VALUE(J34)=75,VALUE(J34)=78,VALUE(J34)=80,VALUE(J34)=84),J34,IF(VALUE(J34)&lt;72,72,IF(VALUE(J34)&lt;75,75,IF(VALUE(J34)&lt;78,78,IF(VALUE(J34)&lt;80,80,IF(VALUE(J34)&lt;84,84,IF(VALUE(J34)&gt;84,84,""""))))))))),0)</f>
        <v/>
      </c>
      <c r="M34" s="61" t="str">
        <f t="shared" ref="M34:M51" si="22">IF(H34="","",IF(VALUE(J34)&gt;=VALUE(K34),IF(OR(VALUE(K34)=13,VALUE(K34)=18,VALUE(K34)=18,VALUE(K34)=30,VALUE(K34)=33,VALUE(K34)=36,VALUE(K34)=39,VALUE(K34)=42,VALUE(K34)=45,VALUE(K34)=48,VALUE(K34)=51,VALUE(K34)=54,VALUE(K34)=57,VALUE(K34)=60,VALUE(K34)=63,VALUE(K34)=66,VALUE(K34)=69,VALUE(K34)=72),K34,IF(VALUE(K34)&lt;30,30,IF(VALUE(K34)&lt;33,33,IF(VALUE(H34)&lt;36,36,IF(VALUE(H34)&lt;39,39,IF(VALUE(H34)&lt;42,42,IF(VALUE(H34)&lt;45,45,IF(VALUE(H34)&lt;48,48,IF(VALUE(H34)&lt;51,51,IF(VALUE(H34)&lt;54,54,IF(VALUE(H34)&lt;57,57,IF(VALUE(K34)&lt;60,60,IF(VALUE(K34)&lt;63,63,IF(VALUE(K34)&lt;66,66,IF(VALUE(K34)&lt;69,69,IF(VALUE(K34)&lt;72,72,IF(VALUE(K34)&gt;72,72,"""")))))))))))))))))))</f>
        <v/>
      </c>
      <c r="N34" s="61" t="str">
        <f t="shared" ref="N34:N51" si="23">IFERROR(CONCATENATE(L34,"X",M34,"X",I34),"")</f>
        <v>XX</v>
      </c>
      <c r="O34" s="61" t="str">
        <f t="shared" si="15"/>
        <v>XX</v>
      </c>
      <c r="P34" s="61" t="str">
        <f>+CONCATENATE(Table2[[#This Row],[1]],Table2[[#This Row],[H]])</f>
        <v/>
      </c>
      <c r="Q34" s="61">
        <f>+Table1[[#This Row],[QTY]]</f>
        <v>0</v>
      </c>
      <c r="S34" s="60" t="str">
        <f>+Table2[[#This Row],[VARIETY]]</f>
        <v/>
      </c>
      <c r="T34" s="65">
        <f>IFERROR(Table2[[#This Row],[L]]-VLOOKUP(Table5[[#This Row],[VARIETY ]],MASTER!$B:$E,4,0),0)</f>
        <v>0</v>
      </c>
      <c r="U34" s="65">
        <f>IFERROR(Table2[[#This Row],[W]]-VLOOKUP(Table5[[#This Row],[VARIETY ]],MASTER!$B:$F,5,0),0)</f>
        <v>0</v>
      </c>
      <c r="V34" s="65">
        <f>IFERROR(IF(VLOOKUP(Table5[[#This Row],[VARIETY ]],MASTER!$B:$M,12,0)=0,0,(Table2[[#This Row],[L]]-VLOOKUP(Table5[[#This Row],[VARIETY ]],MASTER!$B:$M,12,0))),0)</f>
        <v>0</v>
      </c>
      <c r="W34" s="66">
        <f>IFERROR(IF(VLOOKUP(Table5[[#This Row],[VARIETY ]],MASTER!$B:$N,13,0)=0,0,(Table2[[#This Row],[W]]-VLOOKUP(Table5[[#This Row],[VARIETY ]],MASTER!$B:$N,13,0))),0)</f>
        <v>0</v>
      </c>
      <c r="X34" s="67">
        <v>33</v>
      </c>
      <c r="Y34" s="70" t="str">
        <f>IFERROR(IF(VLOOKUP(S34,MASTER!$B:$I,8,0)="40MM",((CONCATENATE(VLOOKUP(S34,MASTER!$B:$H,7,0),T34,"X",VLOOKUP(S34,MASTER!$B:$G,6,0),"X",VLOOKUP(S34,MASTER!$B:$I,8,0)))),(CONCATENATE(VLOOKUP(S34,MASTER!$B:$H,7,0),T34,"X",VLOOKUP(S34,MASTER!$B:$G,6,0),"X",VLOOKUP(S34,MASTER!$B:$I,8,0)))),"")</f>
        <v/>
      </c>
      <c r="Z34" s="73">
        <f>Table2[[#This Row],[QTY]]*2</f>
        <v>0</v>
      </c>
      <c r="AA34" s="73" t="str">
        <f>IFERROR(IF(VLOOKUP(S34,MASTER!$B:$I,8,0)="40MM",((CONCATENATE(VLOOKUP(S34,MASTER!$B:$H,7,0),U34,"X",VLOOKUP(S34,MASTER!$B:$G,6,0),"X",VLOOKUP(S34,MASTER!$B:$I,8,0)))),((CONCATENATE(VLOOKUP(S34,MASTER!$B:$H,7,0),U34,"X",VLOOKUP(S34,MASTER!$B:$G,6,0),"X",VLOOKUP(S34,MASTER!$B:$I,8,0))))),"")</f>
        <v/>
      </c>
      <c r="AB34" s="73">
        <f>+Table2[[#This Row],[QTY]]*2</f>
        <v>0</v>
      </c>
      <c r="AC34" s="71" t="str">
        <f>IF(OR(S34=MASTER!$B$2,S34=MASTER!$B$3,S34=MASTER!$B$4,S34=MASTER!$B$5,S34=MASTER!$B$6,S34=MASTER!$B$7,S34=MASTER!$B$8,S34=MASTER!$B$9,S34=MASTER!$B$10,S34=MASTER!$B$11,S34=MASTER!$B$12,S34=MASTER!$B$13,S34=MASTER!$B$93,S34=MASTER!$B$94,S34=MASTER!$B$128,S34=MASTER!$B$129,S34=MASTER!$B$130,S34=MASTER!$B$131,S34=MASTER!$B$132,S34=MASTER!$B$136,S34=MASTER!$B$137),(CONCATENATE(VLOOKUP(S34,MASTER!$B:$J,9,0),Table5[[#This Row],[TOP FOAM/REBOUND LENGTH]],"X",Table5[[#This Row],[TOP FOAM / REBOUND WIDTH]],"X",VLOOKUP(Table5[[#This Row],[VARIETY ]],MASTER!$B:$K,10,0))),"")</f>
        <v/>
      </c>
      <c r="AD34" s="73">
        <f>+Table2[[#This Row],[QTY]]*1</f>
        <v>0</v>
      </c>
      <c r="AE34" s="71" t="str">
        <f>IF(OR(S34=MASTER!$B$2,S34=MASTER!$B$3,S34=MASTER!$B$4,S34=MASTER!$B$5,S34=MASTER!$B$6,S34=MASTER!$B$7,S34=MASTER!$B$8,S34=MASTER!$B$9,S34=MASTER!$B$136,S34=MASTER!$B$10,S34=MASTER!$B$11,S34=MASTER!$B$12,S34=MASTER!$B$13,S34=MASTER!$B$2,S34=MASTER!$B$132,S34=MASTER!$B$137),(CONCATENATE(VLOOKUP(S34,MASTER!$B:$J,9,0),Table5[[#This Row],[TOP FOAM/REBOUND LENGTH]],"X",Table5[[#This Row],[TOP FOAM / REBOUND WIDTH]],"X",VLOOKUP(Table5[[#This Row],[VARIETY ]],MASTER!$B:$L,11,0))),"")</f>
        <v/>
      </c>
      <c r="AF34" s="74">
        <f>+Table2[[#This Row],[QTY]]*1</f>
        <v>0</v>
      </c>
      <c r="AH34" s="60" t="str">
        <f>+Table2[[#This Row],[VARIETY]]</f>
        <v/>
      </c>
      <c r="AI34" s="65">
        <f>IFERROR(Table2[[#This Row],[STD-L]]-VLOOKUP(AH34,MASTER!$B:$E,4,0),0)</f>
        <v>0</v>
      </c>
      <c r="AJ34" s="65">
        <f>IFERROR(Table2[[#This Row],[STD-W]]-VLOOKUP(AH34,MASTER!$B:$F,5,0),0)</f>
        <v>0</v>
      </c>
      <c r="AK34" s="65" t="str">
        <f t="shared" ref="AK34:AK51" si="24">IFERROR(L34-0.5,"")</f>
        <v/>
      </c>
      <c r="AL34" s="66" t="str">
        <f t="shared" ref="AL34:AL51" si="25">IFERROR(M34-0.5,"")</f>
        <v/>
      </c>
      <c r="AN34" s="75" t="str">
        <f>IFERROR(CONCATENATE(VLOOKUP(AH34,MASTER!$B:$H,7,0),Table510[[#This Row],[ACTUAL  LENGTH]],"0X",VLOOKUP(AH34,MASTER!$B:$G,6,0),"X",VLOOKUP(AH34,MASTER!$B:$I,8,0)),"")</f>
        <v/>
      </c>
      <c r="AO34" s="71" t="str">
        <f>IFERROR(((VLOOKUP(Table611[[#This Row],[LENGTHSIZE]],'ALL NEW ITEM '!$E:$F,2,0)*2)*Q34),"")</f>
        <v/>
      </c>
      <c r="AP34" s="71" t="str">
        <f>IFERROR(IF(VLOOKUP(AH34,MASTER!$B:$I,8,0)="40MM",(CONCATENATE(VLOOKUP(AH34,MASTER!$B:$H,7,0),Table510[[#This Row],[ACTUAL WIDTH]],"0X",VLOOKUP(AH34,MASTER!$B:$G,6,0),"X",VLOOKUP(AH34,MASTER!$B:$I,8,0))),(CONCATENATE(VLOOKUP(AH34,MASTER!$B:$H,7,0),Table510[[#This Row],[ACTUAL WIDTH]],"X",VLOOKUP(AH34,MASTER!$B:$G,6,0),"X",VLOOKUP(AH34,MASTER!$B:$I,8,0)))),"")</f>
        <v/>
      </c>
      <c r="AQ34" s="73" t="str">
        <f>+IFERROR(((VLOOKUP(AP34,'ALL NEW ITEM '!$E:$F,2,0)*2)*Table2[[#This Row],[QTY]]),"")</f>
        <v/>
      </c>
      <c r="AR34" s="71" t="str">
        <f>IF(OR(AH34=MASTER!$B$2,AH34=MASTER!$B$3,AH34=MASTER!$B$4,AH34=MASTER!$B$5,AH34=MASTER!$B$6,AH34=MASTER!$B$128,AH34=MASTER!$B$129,AH34=MASTER!$B$130,AH34=MASTER!$B$131,AH34=MASTER!$B$132,AH34=MASTER!$B$133,AH34=MASTER!$B$134,AH34=MASTER!$B$135,AH34=MASTER!$B$136,AH34=MASTER!$B$137),(CONCATENATE(VLOOKUP(AH34,MASTER!$B:$J,9,0),AK34,"0X",AL34,"0X",VLOOKUP(Table5[[#This Row],[VARIETY ]],MASTER!$B:$K,10,0))),"")</f>
        <v/>
      </c>
      <c r="AS34" s="73" t="str">
        <f>IFERROR(VLOOKUP(AR34,'ALL NEW ITEM '!$E:$F,2,0)*Q34,"")</f>
        <v/>
      </c>
      <c r="AT34" s="71" t="str">
        <f>IF(OR(AH34=MASTER!$B$2,AH34=MASTER!$B$3,AH34=MASTER!$B$4,AH34=MASTER!$B$5,AH34=MASTER!$B$6,AH34=MASTER!$B$2,AH34=MASTER!$B$132,AH34=MASTER!$B$135,AH34=MASTER!$B$136,AH34=MASTER!$B$137),(CONCATENATE(VLOOKUP(AH34,MASTER!$B:$J,9,0),AK34,"0X",AL34,"0X",VLOOKUP(Table5[[#This Row],[VARIETY ]],MASTER!$B:$L,11,0))),"")</f>
        <v/>
      </c>
      <c r="AU34" s="72" t="str">
        <f>IFERROR(VLOOKUP(Table611[[#This Row],[TOPFOAM/REBOUND14]],'ALL NEW ITEM '!$E:$F,2,0)*Q34,"")</f>
        <v/>
      </c>
    </row>
    <row r="35" spans="1:47">
      <c r="A35" s="60">
        <f t="shared" si="13"/>
        <v>34</v>
      </c>
      <c r="B35" s="60" t="str">
        <f>LEFT(Table1[[#This Row],[ITEM CODE]],MIN(FIND({0,1,2,3,4,5,6,7,8,9},Table1[[#This Row],[ITEM CODE]]&amp;"0123456789"))-1)</f>
        <v/>
      </c>
      <c r="C35" s="61" t="str">
        <f>SUBSTITUTE(Table1[[#This Row],[ITEM CODE]],B35,"")</f>
        <v/>
      </c>
      <c r="D35" s="61" t="str">
        <f t="shared" si="14"/>
        <v/>
      </c>
      <c r="E35" s="61" t="str">
        <f t="shared" si="16"/>
        <v/>
      </c>
      <c r="F35" s="61" t="str">
        <f t="shared" si="17"/>
        <v/>
      </c>
      <c r="G35" s="61" t="str">
        <f t="shared" si="18"/>
        <v/>
      </c>
      <c r="H35" s="61" t="str">
        <f t="shared" si="19"/>
        <v/>
      </c>
      <c r="I35" s="61" t="str">
        <f t="shared" si="20"/>
        <v/>
      </c>
      <c r="J35" s="61" t="str">
        <f>IFERROR(IF(Table2[[#This Row],[L]]&lt;Table2[[#This Row],[W]],Table2[[#This Row],[W]],Table2[[#This Row],[L]]),"")</f>
        <v/>
      </c>
      <c r="K35" s="61" t="str">
        <f>IF(Table2[[#This Row],[L]]&lt;Table2[[#This Row],[W]],Table2[[#This Row],[L]],Table2[[#This Row],[W]])</f>
        <v/>
      </c>
      <c r="L35" s="61" t="str">
        <f t="shared" si="21"/>
        <v/>
      </c>
      <c r="M35" s="61" t="str">
        <f t="shared" si="22"/>
        <v/>
      </c>
      <c r="N35" s="61" t="str">
        <f t="shared" si="23"/>
        <v>XX</v>
      </c>
      <c r="O35" s="61" t="str">
        <f t="shared" si="15"/>
        <v>XX</v>
      </c>
      <c r="P35" s="61" t="str">
        <f>+CONCATENATE(Table2[[#This Row],[1]],Table2[[#This Row],[H]])</f>
        <v/>
      </c>
      <c r="Q35" s="61">
        <f>+Table1[[#This Row],[QTY]]</f>
        <v>0</v>
      </c>
      <c r="S35" s="60" t="str">
        <f>+Table2[[#This Row],[VARIETY]]</f>
        <v/>
      </c>
      <c r="T35" s="65">
        <f>IFERROR(Table2[[#This Row],[L]]-VLOOKUP(Table5[[#This Row],[VARIETY ]],MASTER!$B:$E,4,0),0)</f>
        <v>0</v>
      </c>
      <c r="U35" s="65">
        <f>IFERROR(Table2[[#This Row],[W]]-VLOOKUP(Table5[[#This Row],[VARIETY ]],MASTER!$B:$F,5,0),0)</f>
        <v>0</v>
      </c>
      <c r="V35" s="65">
        <f>IFERROR(IF(VLOOKUP(Table5[[#This Row],[VARIETY ]],MASTER!$B:$M,12,0)=0,0,(Table2[[#This Row],[L]]-VLOOKUP(Table5[[#This Row],[VARIETY ]],MASTER!$B:$M,12,0))),0)</f>
        <v>0</v>
      </c>
      <c r="W35" s="66">
        <f>IFERROR(IF(VLOOKUP(Table5[[#This Row],[VARIETY ]],MASTER!$B:$N,13,0)=0,0,(Table2[[#This Row],[W]]-VLOOKUP(Table5[[#This Row],[VARIETY ]],MASTER!$B:$N,13,0))),0)</f>
        <v>0</v>
      </c>
      <c r="X35" s="65">
        <v>34</v>
      </c>
      <c r="Y35" s="70" t="str">
        <f>IFERROR(IF(VLOOKUP(S35,MASTER!$B:$I,8,0)="40MM",((CONCATENATE(VLOOKUP(S35,MASTER!$B:$H,7,0),T35,"X",VLOOKUP(S35,MASTER!$B:$G,6,0),"X",VLOOKUP(S35,MASTER!$B:$I,8,0)))),(CONCATENATE(VLOOKUP(S35,MASTER!$B:$H,7,0),T35,"X",VLOOKUP(S35,MASTER!$B:$G,6,0),"X",VLOOKUP(S35,MASTER!$B:$I,8,0)))),"")</f>
        <v/>
      </c>
      <c r="Z35" s="73">
        <f>Table2[[#This Row],[QTY]]*2</f>
        <v>0</v>
      </c>
      <c r="AA35" s="73" t="str">
        <f>IFERROR(IF(VLOOKUP(S35,MASTER!$B:$I,8,0)="40MM",((CONCATENATE(VLOOKUP(S35,MASTER!$B:$H,7,0),U35,"X",VLOOKUP(S35,MASTER!$B:$G,6,0),"X",VLOOKUP(S35,MASTER!$B:$I,8,0)))),((CONCATENATE(VLOOKUP(S35,MASTER!$B:$H,7,0),U35,"X",VLOOKUP(S35,MASTER!$B:$G,6,0),"X",VLOOKUP(S35,MASTER!$B:$I,8,0))))),"")</f>
        <v/>
      </c>
      <c r="AB35" s="73">
        <f>+Table2[[#This Row],[QTY]]*2</f>
        <v>0</v>
      </c>
      <c r="AC35" s="71" t="str">
        <f>IF(OR(S35=MASTER!$B$2,S35=MASTER!$B$3,S35=MASTER!$B$4,S35=MASTER!$B$5,S35=MASTER!$B$6,S35=MASTER!$B$7,S35=MASTER!$B$8,S35=MASTER!$B$9,S35=MASTER!$B$10,S35=MASTER!$B$11,S35=MASTER!$B$12,S35=MASTER!$B$13,S35=MASTER!$B$93,S35=MASTER!$B$94,S35=MASTER!$B$128,S35=MASTER!$B$129,S35=MASTER!$B$130,S35=MASTER!$B$131,S35=MASTER!$B$132,S35=MASTER!$B$136,S35=MASTER!$B$137),(CONCATENATE(VLOOKUP(S35,MASTER!$B:$J,9,0),Table5[[#This Row],[TOP FOAM/REBOUND LENGTH]],"X",Table5[[#This Row],[TOP FOAM / REBOUND WIDTH]],"X",VLOOKUP(Table5[[#This Row],[VARIETY ]],MASTER!$B:$K,10,0))),"")</f>
        <v/>
      </c>
      <c r="AD35" s="73">
        <f>+Table2[[#This Row],[QTY]]*1</f>
        <v>0</v>
      </c>
      <c r="AE35" s="71" t="str">
        <f>IF(OR(S35=MASTER!$B$2,S35=MASTER!$B$3,S35=MASTER!$B$4,S35=MASTER!$B$5,S35=MASTER!$B$6,S35=MASTER!$B$7,S35=MASTER!$B$8,S35=MASTER!$B$9,S35=MASTER!$B$136,S35=MASTER!$B$10,S35=MASTER!$B$11,S35=MASTER!$B$12,S35=MASTER!$B$13,S35=MASTER!$B$2,S35=MASTER!$B$132,S35=MASTER!$B$137),(CONCATENATE(VLOOKUP(S35,MASTER!$B:$J,9,0),Table5[[#This Row],[TOP FOAM/REBOUND LENGTH]],"X",Table5[[#This Row],[TOP FOAM / REBOUND WIDTH]],"X",VLOOKUP(Table5[[#This Row],[VARIETY ]],MASTER!$B:$L,11,0))),"")</f>
        <v/>
      </c>
      <c r="AF35" s="74">
        <f>+Table2[[#This Row],[QTY]]*1</f>
        <v>0</v>
      </c>
      <c r="AH35" s="60" t="str">
        <f>+Table2[[#This Row],[VARIETY]]</f>
        <v/>
      </c>
      <c r="AI35" s="65">
        <f>IFERROR(Table2[[#This Row],[STD-L]]-VLOOKUP(AH35,MASTER!$B:$E,4,0),0)</f>
        <v>0</v>
      </c>
      <c r="AJ35" s="65">
        <f>IFERROR(Table2[[#This Row],[STD-W]]-VLOOKUP(AH35,MASTER!$B:$F,5,0),0)</f>
        <v>0</v>
      </c>
      <c r="AK35" s="65" t="str">
        <f t="shared" si="24"/>
        <v/>
      </c>
      <c r="AL35" s="66" t="str">
        <f t="shared" si="25"/>
        <v/>
      </c>
      <c r="AN35" s="75" t="str">
        <f>IFERROR(CONCATENATE(VLOOKUP(AH35,MASTER!$B:$H,7,0),Table510[[#This Row],[ACTUAL  LENGTH]],"0X",VLOOKUP(AH35,MASTER!$B:$G,6,0),"X",VLOOKUP(AH35,MASTER!$B:$I,8,0)),"")</f>
        <v/>
      </c>
      <c r="AO35" s="71" t="str">
        <f>IFERROR(((VLOOKUP(Table611[[#This Row],[LENGTHSIZE]],'ALL NEW ITEM '!$E:$F,2,0)*2)*Q35),"")</f>
        <v/>
      </c>
      <c r="AP35" s="71" t="str">
        <f>IFERROR(IF(VLOOKUP(AH35,MASTER!$B:$I,8,0)="40MM",(CONCATENATE(VLOOKUP(AH35,MASTER!$B:$H,7,0),Table510[[#This Row],[ACTUAL WIDTH]],"0X",VLOOKUP(AH35,MASTER!$B:$G,6,0),"X",VLOOKUP(AH35,MASTER!$B:$I,8,0))),(CONCATENATE(VLOOKUP(AH35,MASTER!$B:$H,7,0),Table510[[#This Row],[ACTUAL WIDTH]],"X",VLOOKUP(AH35,MASTER!$B:$G,6,0),"X",VLOOKUP(AH35,MASTER!$B:$I,8,0)))),"")</f>
        <v/>
      </c>
      <c r="AQ35" s="73" t="str">
        <f>+IFERROR(((VLOOKUP(AP35,'ALL NEW ITEM '!$E:$F,2,0)*2)*Table2[[#This Row],[QTY]]),"")</f>
        <v/>
      </c>
      <c r="AR35" s="71" t="str">
        <f>IF(OR(AH35=MASTER!$B$2,AH35=MASTER!$B$3,AH35=MASTER!$B$4,AH35=MASTER!$B$5,AH35=MASTER!$B$6,AH35=MASTER!$B$128,AH35=MASTER!$B$129,AH35=MASTER!$B$130,AH35=MASTER!$B$131,AH35=MASTER!$B$132,AH35=MASTER!$B$133,AH35=MASTER!$B$134,AH35=MASTER!$B$135,AH35=MASTER!$B$136,AH35=MASTER!$B$137),(CONCATENATE(VLOOKUP(AH35,MASTER!$B:$J,9,0),AK35,"0X",AL35,"0X",VLOOKUP(Table5[[#This Row],[VARIETY ]],MASTER!$B:$K,10,0))),"")</f>
        <v/>
      </c>
      <c r="AS35" s="73" t="str">
        <f>IFERROR(VLOOKUP(AR35,'ALL NEW ITEM '!$E:$F,2,0)*Q35,"")</f>
        <v/>
      </c>
      <c r="AT35" s="71" t="str">
        <f>IF(OR(AH35=MASTER!$B$2,AH35=MASTER!$B$3,AH35=MASTER!$B$4,AH35=MASTER!$B$5,AH35=MASTER!$B$6,AH35=MASTER!$B$2,AH35=MASTER!$B$132,AH35=MASTER!$B$135,AH35=MASTER!$B$136,AH35=MASTER!$B$137),(CONCATENATE(VLOOKUP(AH35,MASTER!$B:$J,9,0),AK35,"0X",AL35,"0X",VLOOKUP(Table5[[#This Row],[VARIETY ]],MASTER!$B:$L,11,0))),"")</f>
        <v/>
      </c>
      <c r="AU35" s="72" t="str">
        <f>IFERROR(VLOOKUP(Table611[[#This Row],[TOPFOAM/REBOUND14]],'ALL NEW ITEM '!$E:$F,2,0)*Q35,"")</f>
        <v/>
      </c>
    </row>
    <row r="36" spans="1:47">
      <c r="A36" s="60">
        <f t="shared" si="13"/>
        <v>35</v>
      </c>
      <c r="B36" s="60" t="str">
        <f>LEFT(Table1[[#This Row],[ITEM CODE]],MIN(FIND({0,1,2,3,4,5,6,7,8,9},Table1[[#This Row],[ITEM CODE]]&amp;"0123456789"))-1)</f>
        <v/>
      </c>
      <c r="C36" s="61" t="str">
        <f>SUBSTITUTE(Table1[[#This Row],[ITEM CODE]],B36,"")</f>
        <v/>
      </c>
      <c r="D36" s="61" t="str">
        <f t="shared" si="14"/>
        <v/>
      </c>
      <c r="E36" s="61" t="str">
        <f t="shared" si="16"/>
        <v/>
      </c>
      <c r="F36" s="61" t="str">
        <f t="shared" si="17"/>
        <v/>
      </c>
      <c r="G36" s="61" t="str">
        <f t="shared" si="18"/>
        <v/>
      </c>
      <c r="H36" s="61" t="str">
        <f t="shared" si="19"/>
        <v/>
      </c>
      <c r="I36" s="61" t="str">
        <f t="shared" si="20"/>
        <v/>
      </c>
      <c r="J36" s="61" t="str">
        <f>IFERROR(IF(Table2[[#This Row],[L]]&lt;Table2[[#This Row],[W]],Table2[[#This Row],[W]],Table2[[#This Row],[L]]),"")</f>
        <v/>
      </c>
      <c r="K36" s="61" t="str">
        <f>IF(Table2[[#This Row],[L]]&lt;Table2[[#This Row],[W]],Table2[[#This Row],[L]],Table2[[#This Row],[W]])</f>
        <v/>
      </c>
      <c r="L36" s="61" t="str">
        <f t="shared" si="21"/>
        <v/>
      </c>
      <c r="M36" s="61" t="str">
        <f t="shared" si="22"/>
        <v/>
      </c>
      <c r="N36" s="61" t="str">
        <f t="shared" si="23"/>
        <v>XX</v>
      </c>
      <c r="O36" s="61" t="str">
        <f t="shared" si="15"/>
        <v>XX</v>
      </c>
      <c r="P36" s="61" t="str">
        <f>+CONCATENATE(Table2[[#This Row],[1]],Table2[[#This Row],[H]])</f>
        <v/>
      </c>
      <c r="Q36" s="61">
        <f>+Table1[[#This Row],[QTY]]</f>
        <v>0</v>
      </c>
      <c r="S36" s="60" t="str">
        <f>+Table2[[#This Row],[VARIETY]]</f>
        <v/>
      </c>
      <c r="T36" s="65">
        <f>IFERROR(Table2[[#This Row],[L]]-VLOOKUP(Table5[[#This Row],[VARIETY ]],MASTER!$B:$E,4,0),0)</f>
        <v>0</v>
      </c>
      <c r="U36" s="65">
        <f>IFERROR(Table2[[#This Row],[W]]-VLOOKUP(Table5[[#This Row],[VARIETY ]],MASTER!$B:$F,5,0),0)</f>
        <v>0</v>
      </c>
      <c r="V36" s="65">
        <f>IFERROR(IF(VLOOKUP(Table5[[#This Row],[VARIETY ]],MASTER!$B:$M,12,0)=0,0,(Table2[[#This Row],[L]]-VLOOKUP(Table5[[#This Row],[VARIETY ]],MASTER!$B:$M,12,0))),0)</f>
        <v>0</v>
      </c>
      <c r="W36" s="66">
        <f>IFERROR(IF(VLOOKUP(Table5[[#This Row],[VARIETY ]],MASTER!$B:$N,13,0)=0,0,(Table2[[#This Row],[W]]-VLOOKUP(Table5[[#This Row],[VARIETY ]],MASTER!$B:$N,13,0))),0)</f>
        <v>0</v>
      </c>
      <c r="X36" s="67">
        <v>35</v>
      </c>
      <c r="Y36" s="70" t="str">
        <f>IFERROR(IF(VLOOKUP(S36,MASTER!$B:$I,8,0)="40MM",((CONCATENATE(VLOOKUP(S36,MASTER!$B:$H,7,0),T36,"X",VLOOKUP(S36,MASTER!$B:$G,6,0),"X",VLOOKUP(S36,MASTER!$B:$I,8,0)))),(CONCATENATE(VLOOKUP(S36,MASTER!$B:$H,7,0),T36,"X",VLOOKUP(S36,MASTER!$B:$G,6,0),"X",VLOOKUP(S36,MASTER!$B:$I,8,0)))),"")</f>
        <v/>
      </c>
      <c r="Z36" s="73">
        <f>Table2[[#This Row],[QTY]]*2</f>
        <v>0</v>
      </c>
      <c r="AA36" s="73" t="str">
        <f>IFERROR(IF(VLOOKUP(S36,MASTER!$B:$I,8,0)="40MM",((CONCATENATE(VLOOKUP(S36,MASTER!$B:$H,7,0),U36,"X",VLOOKUP(S36,MASTER!$B:$G,6,0),"X",VLOOKUP(S36,MASTER!$B:$I,8,0)))),((CONCATENATE(VLOOKUP(S36,MASTER!$B:$H,7,0),U36,"X",VLOOKUP(S36,MASTER!$B:$G,6,0),"X",VLOOKUP(S36,MASTER!$B:$I,8,0))))),"")</f>
        <v/>
      </c>
      <c r="AB36" s="73">
        <f>+Table2[[#This Row],[QTY]]*2</f>
        <v>0</v>
      </c>
      <c r="AC36" s="71" t="str">
        <f>IF(OR(S36=MASTER!$B$2,S36=MASTER!$B$3,S36=MASTER!$B$4,S36=MASTER!$B$5,S36=MASTER!$B$6,S36=MASTER!$B$7,S36=MASTER!$B$8,S36=MASTER!$B$9,S36=MASTER!$B$10,S36=MASTER!$B$11,S36=MASTER!$B$12,S36=MASTER!$B$13,S36=MASTER!$B$93,S36=MASTER!$B$94,S36=MASTER!$B$128,S36=MASTER!$B$129,S36=MASTER!$B$130,S36=MASTER!$B$131,S36=MASTER!$B$132,S36=MASTER!$B$136,S36=MASTER!$B$137),(CONCATENATE(VLOOKUP(S36,MASTER!$B:$J,9,0),Table5[[#This Row],[TOP FOAM/REBOUND LENGTH]],"X",Table5[[#This Row],[TOP FOAM / REBOUND WIDTH]],"X",VLOOKUP(Table5[[#This Row],[VARIETY ]],MASTER!$B:$K,10,0))),"")</f>
        <v/>
      </c>
      <c r="AD36" s="73">
        <f>+Table2[[#This Row],[QTY]]*1</f>
        <v>0</v>
      </c>
      <c r="AE36" s="71" t="str">
        <f>IF(OR(S36=MASTER!$B$2,S36=MASTER!$B$3,S36=MASTER!$B$4,S36=MASTER!$B$5,S36=MASTER!$B$6,S36=MASTER!$B$7,S36=MASTER!$B$8,S36=MASTER!$B$9,S36=MASTER!$B$136,S36=MASTER!$B$10,S36=MASTER!$B$11,S36=MASTER!$B$12,S36=MASTER!$B$13,S36=MASTER!$B$2,S36=MASTER!$B$132,S36=MASTER!$B$137),(CONCATENATE(VLOOKUP(S36,MASTER!$B:$J,9,0),Table5[[#This Row],[TOP FOAM/REBOUND LENGTH]],"X",Table5[[#This Row],[TOP FOAM / REBOUND WIDTH]],"X",VLOOKUP(Table5[[#This Row],[VARIETY ]],MASTER!$B:$L,11,0))),"")</f>
        <v/>
      </c>
      <c r="AF36" s="74">
        <f>+Table2[[#This Row],[QTY]]*1</f>
        <v>0</v>
      </c>
      <c r="AH36" s="60" t="str">
        <f>+Table2[[#This Row],[VARIETY]]</f>
        <v/>
      </c>
      <c r="AI36" s="65">
        <f>IFERROR(Table2[[#This Row],[STD-L]]-VLOOKUP(AH36,MASTER!$B:$E,4,0),0)</f>
        <v>0</v>
      </c>
      <c r="AJ36" s="65">
        <f>IFERROR(Table2[[#This Row],[STD-W]]-VLOOKUP(AH36,MASTER!$B:$F,5,0),0)</f>
        <v>0</v>
      </c>
      <c r="AK36" s="65" t="str">
        <f t="shared" si="24"/>
        <v/>
      </c>
      <c r="AL36" s="66" t="str">
        <f t="shared" si="25"/>
        <v/>
      </c>
      <c r="AN36" s="75" t="str">
        <f>IFERROR(CONCATENATE(VLOOKUP(AH36,MASTER!$B:$H,7,0),Table510[[#This Row],[ACTUAL  LENGTH]],"0X",VLOOKUP(AH36,MASTER!$B:$G,6,0),"X",VLOOKUP(AH36,MASTER!$B:$I,8,0)),"")</f>
        <v/>
      </c>
      <c r="AO36" s="71" t="str">
        <f>IFERROR(((VLOOKUP(Table611[[#This Row],[LENGTHSIZE]],'ALL NEW ITEM '!$E:$F,2,0)*2)*Q36),"")</f>
        <v/>
      </c>
      <c r="AP36" s="71" t="str">
        <f>IFERROR(IF(VLOOKUP(AH36,MASTER!$B:$I,8,0)="40MM",(CONCATENATE(VLOOKUP(AH36,MASTER!$B:$H,7,0),Table510[[#This Row],[ACTUAL WIDTH]],"0X",VLOOKUP(AH36,MASTER!$B:$G,6,0),"X",VLOOKUP(AH36,MASTER!$B:$I,8,0))),(CONCATENATE(VLOOKUP(AH36,MASTER!$B:$H,7,0),Table510[[#This Row],[ACTUAL WIDTH]],"X",VLOOKUP(AH36,MASTER!$B:$G,6,0),"X",VLOOKUP(AH36,MASTER!$B:$I,8,0)))),"")</f>
        <v/>
      </c>
      <c r="AQ36" s="73" t="str">
        <f>+IFERROR(((VLOOKUP(AP36,'ALL NEW ITEM '!$E:$F,2,0)*2)*Table2[[#This Row],[QTY]]),"")</f>
        <v/>
      </c>
      <c r="AR36" s="71" t="str">
        <f>IF(OR(AH36=MASTER!$B$2,AH36=MASTER!$B$3,AH36=MASTER!$B$4,AH36=MASTER!$B$5,AH36=MASTER!$B$6,AH36=MASTER!$B$128,AH36=MASTER!$B$129,AH36=MASTER!$B$130,AH36=MASTER!$B$131,AH36=MASTER!$B$132,AH36=MASTER!$B$133,AH36=MASTER!$B$134,AH36=MASTER!$B$135,AH36=MASTER!$B$136,AH36=MASTER!$B$137),(CONCATENATE(VLOOKUP(AH36,MASTER!$B:$J,9,0),AK36,"0X",AL36,"0X",VLOOKUP(Table5[[#This Row],[VARIETY ]],MASTER!$B:$K,10,0))),"")</f>
        <v/>
      </c>
      <c r="AS36" s="73" t="str">
        <f>IFERROR(VLOOKUP(AR36,'ALL NEW ITEM '!$E:$F,2,0)*Q36,"")</f>
        <v/>
      </c>
      <c r="AT36" s="71" t="str">
        <f>IF(OR(AH36=MASTER!$B$2,AH36=MASTER!$B$3,AH36=MASTER!$B$4,AH36=MASTER!$B$5,AH36=MASTER!$B$6,AH36=MASTER!$B$2,AH36=MASTER!$B$132,AH36=MASTER!$B$135,AH36=MASTER!$B$136,AH36=MASTER!$B$137),(CONCATENATE(VLOOKUP(AH36,MASTER!$B:$J,9,0),AK36,"0X",AL36,"0X",VLOOKUP(Table5[[#This Row],[VARIETY ]],MASTER!$B:$L,11,0))),"")</f>
        <v/>
      </c>
      <c r="AU36" s="72" t="str">
        <f>IFERROR(VLOOKUP(Table611[[#This Row],[TOPFOAM/REBOUND14]],'ALL NEW ITEM '!$E:$F,2,0)*Q36,"")</f>
        <v/>
      </c>
    </row>
    <row r="37" spans="1:47">
      <c r="A37" s="60">
        <f t="shared" si="13"/>
        <v>36</v>
      </c>
      <c r="B37" s="60" t="str">
        <f>LEFT(Table1[[#This Row],[ITEM CODE]],MIN(FIND({0,1,2,3,4,5,6,7,8,9},Table1[[#This Row],[ITEM CODE]]&amp;"0123456789"))-1)</f>
        <v/>
      </c>
      <c r="C37" s="61" t="str">
        <f>SUBSTITUTE(Table1[[#This Row],[ITEM CODE]],B37,"")</f>
        <v/>
      </c>
      <c r="D37" s="61" t="str">
        <f t="shared" si="14"/>
        <v/>
      </c>
      <c r="E37" s="61" t="str">
        <f t="shared" si="16"/>
        <v/>
      </c>
      <c r="F37" s="61" t="str">
        <f t="shared" si="17"/>
        <v/>
      </c>
      <c r="G37" s="61" t="str">
        <f t="shared" si="18"/>
        <v/>
      </c>
      <c r="H37" s="61" t="str">
        <f t="shared" si="19"/>
        <v/>
      </c>
      <c r="I37" s="61" t="str">
        <f t="shared" si="20"/>
        <v/>
      </c>
      <c r="J37" s="61" t="str">
        <f>IFERROR(IF(Table2[[#This Row],[L]]&lt;Table2[[#This Row],[W]],Table2[[#This Row],[W]],Table2[[#This Row],[L]]),"")</f>
        <v/>
      </c>
      <c r="K37" s="61" t="str">
        <f>IF(Table2[[#This Row],[L]]&lt;Table2[[#This Row],[W]],Table2[[#This Row],[L]],Table2[[#This Row],[W]])</f>
        <v/>
      </c>
      <c r="L37" s="61" t="str">
        <f t="shared" si="21"/>
        <v/>
      </c>
      <c r="M37" s="61" t="str">
        <f t="shared" si="22"/>
        <v/>
      </c>
      <c r="N37" s="61" t="str">
        <f t="shared" si="23"/>
        <v>XX</v>
      </c>
      <c r="O37" s="61" t="str">
        <f t="shared" si="15"/>
        <v>XX</v>
      </c>
      <c r="P37" s="61" t="str">
        <f>+CONCATENATE(Table2[[#This Row],[1]],Table2[[#This Row],[H]])</f>
        <v/>
      </c>
      <c r="Q37" s="61">
        <f>+Table1[[#This Row],[QTY]]</f>
        <v>0</v>
      </c>
      <c r="S37" s="60" t="str">
        <f>+Table2[[#This Row],[VARIETY]]</f>
        <v/>
      </c>
      <c r="T37" s="65">
        <f>IFERROR(Table2[[#This Row],[L]]-VLOOKUP(Table5[[#This Row],[VARIETY ]],MASTER!$B:$E,4,0),0)</f>
        <v>0</v>
      </c>
      <c r="U37" s="65">
        <f>IFERROR(Table2[[#This Row],[W]]-VLOOKUP(Table5[[#This Row],[VARIETY ]],MASTER!$B:$F,5,0),0)</f>
        <v>0</v>
      </c>
      <c r="V37" s="65">
        <f>IFERROR(IF(VLOOKUP(Table5[[#This Row],[VARIETY ]],MASTER!$B:$M,12,0)=0,0,(Table2[[#This Row],[L]]-VLOOKUP(Table5[[#This Row],[VARIETY ]],MASTER!$B:$M,12,0))),0)</f>
        <v>0</v>
      </c>
      <c r="W37" s="66">
        <f>IFERROR(IF(VLOOKUP(Table5[[#This Row],[VARIETY ]],MASTER!$B:$N,13,0)=0,0,(Table2[[#This Row],[W]]-VLOOKUP(Table5[[#This Row],[VARIETY ]],MASTER!$B:$N,13,0))),0)</f>
        <v>0</v>
      </c>
      <c r="X37" s="65">
        <v>36</v>
      </c>
      <c r="Y37" s="70" t="str">
        <f>IFERROR(IF(VLOOKUP(S37,MASTER!$B:$I,8,0)="40MM",((CONCATENATE(VLOOKUP(S37,MASTER!$B:$H,7,0),T37,"X",VLOOKUP(S37,MASTER!$B:$G,6,0),"X",VLOOKUP(S37,MASTER!$B:$I,8,0)))),(CONCATENATE(VLOOKUP(S37,MASTER!$B:$H,7,0),T37,"X",VLOOKUP(S37,MASTER!$B:$G,6,0),"X",VLOOKUP(S37,MASTER!$B:$I,8,0)))),"")</f>
        <v/>
      </c>
      <c r="Z37" s="73">
        <f>Table2[[#This Row],[QTY]]*2</f>
        <v>0</v>
      </c>
      <c r="AA37" s="73" t="str">
        <f>IFERROR(IF(VLOOKUP(S37,MASTER!$B:$I,8,0)="40MM",((CONCATENATE(VLOOKUP(S37,MASTER!$B:$H,7,0),U37,"X",VLOOKUP(S37,MASTER!$B:$G,6,0),"X",VLOOKUP(S37,MASTER!$B:$I,8,0)))),((CONCATENATE(VLOOKUP(S37,MASTER!$B:$H,7,0),U37,"X",VLOOKUP(S37,MASTER!$B:$G,6,0),"X",VLOOKUP(S37,MASTER!$B:$I,8,0))))),"")</f>
        <v/>
      </c>
      <c r="AB37" s="73">
        <f>+Table2[[#This Row],[QTY]]*2</f>
        <v>0</v>
      </c>
      <c r="AC37" s="71" t="str">
        <f>IF(OR(S37=MASTER!$B$2,S37=MASTER!$B$3,S37=MASTER!$B$4,S37=MASTER!$B$5,S37=MASTER!$B$6,S37=MASTER!$B$7,S37=MASTER!$B$8,S37=MASTER!$B$9,S37=MASTER!$B$10,S37=MASTER!$B$11,S37=MASTER!$B$12,S37=MASTER!$B$13,S37=MASTER!$B$93,S37=MASTER!$B$94,S37=MASTER!$B$128,S37=MASTER!$B$129,S37=MASTER!$B$130,S37=MASTER!$B$131,S37=MASTER!$B$132,S37=MASTER!$B$136,S37=MASTER!$B$137),(CONCATENATE(VLOOKUP(S37,MASTER!$B:$J,9,0),Table5[[#This Row],[TOP FOAM/REBOUND LENGTH]],"X",Table5[[#This Row],[TOP FOAM / REBOUND WIDTH]],"X",VLOOKUP(Table5[[#This Row],[VARIETY ]],MASTER!$B:$K,10,0))),"")</f>
        <v/>
      </c>
      <c r="AD37" s="73">
        <f>+Table2[[#This Row],[QTY]]*1</f>
        <v>0</v>
      </c>
      <c r="AE37" s="71" t="str">
        <f>IF(OR(S37=MASTER!$B$2,S37=MASTER!$B$3,S37=MASTER!$B$4,S37=MASTER!$B$5,S37=MASTER!$B$6,S37=MASTER!$B$7,S37=MASTER!$B$8,S37=MASTER!$B$9,S37=MASTER!$B$136,S37=MASTER!$B$10,S37=MASTER!$B$11,S37=MASTER!$B$12,S37=MASTER!$B$13,S37=MASTER!$B$2,S37=MASTER!$B$132,S37=MASTER!$B$137),(CONCATENATE(VLOOKUP(S37,MASTER!$B:$J,9,0),Table5[[#This Row],[TOP FOAM/REBOUND LENGTH]],"X",Table5[[#This Row],[TOP FOAM / REBOUND WIDTH]],"X",VLOOKUP(Table5[[#This Row],[VARIETY ]],MASTER!$B:$L,11,0))),"")</f>
        <v/>
      </c>
      <c r="AF37" s="74">
        <f>+Table2[[#This Row],[QTY]]*1</f>
        <v>0</v>
      </c>
      <c r="AH37" s="60" t="str">
        <f>+Table2[[#This Row],[VARIETY]]</f>
        <v/>
      </c>
      <c r="AI37" s="65">
        <f>IFERROR(Table2[[#This Row],[STD-L]]-VLOOKUP(AH37,MASTER!$B:$E,4,0),0)</f>
        <v>0</v>
      </c>
      <c r="AJ37" s="65">
        <f>IFERROR(Table2[[#This Row],[STD-W]]-VLOOKUP(AH37,MASTER!$B:$F,5,0),0)</f>
        <v>0</v>
      </c>
      <c r="AK37" s="65" t="str">
        <f t="shared" si="24"/>
        <v/>
      </c>
      <c r="AL37" s="66" t="str">
        <f t="shared" si="25"/>
        <v/>
      </c>
      <c r="AN37" s="75" t="str">
        <f>IFERROR(CONCATENATE(VLOOKUP(AH37,MASTER!$B:$H,7,0),Table510[[#This Row],[ACTUAL  LENGTH]],"0X",VLOOKUP(AH37,MASTER!$B:$G,6,0),"X",VLOOKUP(AH37,MASTER!$B:$I,8,0)),"")</f>
        <v/>
      </c>
      <c r="AO37" s="71" t="str">
        <f>IFERROR(((VLOOKUP(Table611[[#This Row],[LENGTHSIZE]],'ALL NEW ITEM '!$E:$F,2,0)*2)*Q37),"")</f>
        <v/>
      </c>
      <c r="AP37" s="71" t="str">
        <f>IFERROR(IF(VLOOKUP(AH37,MASTER!$B:$I,8,0)="40MM",(CONCATENATE(VLOOKUP(AH37,MASTER!$B:$H,7,0),Table510[[#This Row],[ACTUAL WIDTH]],"0X",VLOOKUP(AH37,MASTER!$B:$G,6,0),"X",VLOOKUP(AH37,MASTER!$B:$I,8,0))),(CONCATENATE(VLOOKUP(AH37,MASTER!$B:$H,7,0),Table510[[#This Row],[ACTUAL WIDTH]],"X",VLOOKUP(AH37,MASTER!$B:$G,6,0),"X",VLOOKUP(AH37,MASTER!$B:$I,8,0)))),"")</f>
        <v/>
      </c>
      <c r="AQ37" s="73" t="str">
        <f>+IFERROR(((VLOOKUP(AP37,'ALL NEW ITEM '!$E:$F,2,0)*2)*Table2[[#This Row],[QTY]]),"")</f>
        <v/>
      </c>
      <c r="AR37" s="71" t="str">
        <f>IF(OR(AH37=MASTER!$B$2,AH37=MASTER!$B$3,AH37=MASTER!$B$4,AH37=MASTER!$B$5,AH37=MASTER!$B$6,AH37=MASTER!$B$128,AH37=MASTER!$B$129,AH37=MASTER!$B$130,AH37=MASTER!$B$131,AH37=MASTER!$B$132,AH37=MASTER!$B$133,AH37=MASTER!$B$134,AH37=MASTER!$B$135,AH37=MASTER!$B$136,AH37=MASTER!$B$137),(CONCATENATE(VLOOKUP(AH37,MASTER!$B:$J,9,0),AK37,"0X",AL37,"0X",VLOOKUP(Table5[[#This Row],[VARIETY ]],MASTER!$B:$K,10,0))),"")</f>
        <v/>
      </c>
      <c r="AS37" s="73" t="str">
        <f>IFERROR(VLOOKUP(AR37,'ALL NEW ITEM '!$E:$F,2,0)*Q37,"")</f>
        <v/>
      </c>
      <c r="AT37" s="71" t="str">
        <f>IF(OR(AH37=MASTER!$B$2,AH37=MASTER!$B$3,AH37=MASTER!$B$4,AH37=MASTER!$B$5,AH37=MASTER!$B$6,AH37=MASTER!$B$2,AH37=MASTER!$B$132,AH37=MASTER!$B$135,AH37=MASTER!$B$136,AH37=MASTER!$B$137),(CONCATENATE(VLOOKUP(AH37,MASTER!$B:$J,9,0),AK37,"0X",AL37,"0X",VLOOKUP(Table5[[#This Row],[VARIETY ]],MASTER!$B:$L,11,0))),"")</f>
        <v/>
      </c>
      <c r="AU37" s="72" t="str">
        <f>IFERROR(VLOOKUP(Table611[[#This Row],[TOPFOAM/REBOUND14]],'ALL NEW ITEM '!$E:$F,2,0)*Q37,"")</f>
        <v/>
      </c>
    </row>
    <row r="38" spans="1:47">
      <c r="A38" s="60">
        <f t="shared" si="13"/>
        <v>37</v>
      </c>
      <c r="B38" s="60" t="str">
        <f>LEFT(Table1[[#This Row],[ITEM CODE]],MIN(FIND({0,1,2,3,4,5,6,7,8,9},Table1[[#This Row],[ITEM CODE]]&amp;"0123456789"))-1)</f>
        <v/>
      </c>
      <c r="C38" s="61" t="str">
        <f>SUBSTITUTE(Table1[[#This Row],[ITEM CODE]],B38,"")</f>
        <v/>
      </c>
      <c r="D38" s="61" t="str">
        <f t="shared" si="14"/>
        <v/>
      </c>
      <c r="E38" s="61" t="str">
        <f t="shared" si="16"/>
        <v/>
      </c>
      <c r="F38" s="61" t="str">
        <f t="shared" si="17"/>
        <v/>
      </c>
      <c r="G38" s="61" t="str">
        <f t="shared" si="18"/>
        <v/>
      </c>
      <c r="H38" s="61" t="str">
        <f t="shared" si="19"/>
        <v/>
      </c>
      <c r="I38" s="61" t="str">
        <f t="shared" si="20"/>
        <v/>
      </c>
      <c r="J38" s="61" t="str">
        <f>IFERROR(IF(Table2[[#This Row],[L]]&lt;Table2[[#This Row],[W]],Table2[[#This Row],[W]],Table2[[#This Row],[L]]),"")</f>
        <v/>
      </c>
      <c r="K38" s="61" t="str">
        <f>IF(Table2[[#This Row],[L]]&lt;Table2[[#This Row],[W]],Table2[[#This Row],[L]],Table2[[#This Row],[W]])</f>
        <v/>
      </c>
      <c r="L38" s="61" t="str">
        <f t="shared" si="21"/>
        <v/>
      </c>
      <c r="M38" s="61" t="str">
        <f t="shared" si="22"/>
        <v/>
      </c>
      <c r="N38" s="61" t="str">
        <f t="shared" si="23"/>
        <v>XX</v>
      </c>
      <c r="O38" s="61" t="str">
        <f t="shared" si="15"/>
        <v>XX</v>
      </c>
      <c r="P38" s="61" t="str">
        <f>+CONCATENATE(Table2[[#This Row],[1]],Table2[[#This Row],[H]])</f>
        <v/>
      </c>
      <c r="Q38" s="61">
        <f>+Table1[[#This Row],[QTY]]</f>
        <v>0</v>
      </c>
      <c r="S38" s="60" t="str">
        <f>+Table2[[#This Row],[VARIETY]]</f>
        <v/>
      </c>
      <c r="T38" s="65">
        <f>IFERROR(Table2[[#This Row],[L]]-VLOOKUP(Table5[[#This Row],[VARIETY ]],MASTER!$B:$E,4,0),0)</f>
        <v>0</v>
      </c>
      <c r="U38" s="65">
        <f>IFERROR(Table2[[#This Row],[W]]-VLOOKUP(Table5[[#This Row],[VARIETY ]],MASTER!$B:$F,5,0),0)</f>
        <v>0</v>
      </c>
      <c r="V38" s="65">
        <f>IFERROR(IF(VLOOKUP(Table5[[#This Row],[VARIETY ]],MASTER!$B:$M,12,0)=0,0,(Table2[[#This Row],[L]]-VLOOKUP(Table5[[#This Row],[VARIETY ]],MASTER!$B:$M,12,0))),0)</f>
        <v>0</v>
      </c>
      <c r="W38" s="66">
        <f>IFERROR(IF(VLOOKUP(Table5[[#This Row],[VARIETY ]],MASTER!$B:$N,13,0)=0,0,(Table2[[#This Row],[W]]-VLOOKUP(Table5[[#This Row],[VARIETY ]],MASTER!$B:$N,13,0))),0)</f>
        <v>0</v>
      </c>
      <c r="X38" s="67">
        <v>37</v>
      </c>
      <c r="Y38" s="70" t="str">
        <f>IFERROR(IF(VLOOKUP(S38,MASTER!$B:$I,8,0)="40MM",((CONCATENATE(VLOOKUP(S38,MASTER!$B:$H,7,0),T38,"X",VLOOKUP(S38,MASTER!$B:$G,6,0),"X",VLOOKUP(S38,MASTER!$B:$I,8,0)))),(CONCATENATE(VLOOKUP(S38,MASTER!$B:$H,7,0),T38,"X",VLOOKUP(S38,MASTER!$B:$G,6,0),"X",VLOOKUP(S38,MASTER!$B:$I,8,0)))),"")</f>
        <v/>
      </c>
      <c r="Z38" s="73">
        <f>Table2[[#This Row],[QTY]]*2</f>
        <v>0</v>
      </c>
      <c r="AA38" s="73" t="str">
        <f>IFERROR(IF(VLOOKUP(S38,MASTER!$B:$I,8,0)="40MM",((CONCATENATE(VLOOKUP(S38,MASTER!$B:$H,7,0),U38,"X",VLOOKUP(S38,MASTER!$B:$G,6,0),"X",VLOOKUP(S38,MASTER!$B:$I,8,0)))),((CONCATENATE(VLOOKUP(S38,MASTER!$B:$H,7,0),U38,"X",VLOOKUP(S38,MASTER!$B:$G,6,0),"X",VLOOKUP(S38,MASTER!$B:$I,8,0))))),"")</f>
        <v/>
      </c>
      <c r="AB38" s="73">
        <f>+Table2[[#This Row],[QTY]]*2</f>
        <v>0</v>
      </c>
      <c r="AC38" s="71" t="str">
        <f>IF(OR(S38=MASTER!$B$2,S38=MASTER!$B$3,S38=MASTER!$B$4,S38=MASTER!$B$5,S38=MASTER!$B$6,S38=MASTER!$B$7,S38=MASTER!$B$8,S38=MASTER!$B$9,S38=MASTER!$B$10,S38=MASTER!$B$11,S38=MASTER!$B$12,S38=MASTER!$B$13,S38=MASTER!$B$93,S38=MASTER!$B$94,S38=MASTER!$B$128,S38=MASTER!$B$129,S38=MASTER!$B$130,S38=MASTER!$B$131,S38=MASTER!$B$132,S38=MASTER!$B$136,S38=MASTER!$B$137),(CONCATENATE(VLOOKUP(S38,MASTER!$B:$J,9,0),Table5[[#This Row],[TOP FOAM/REBOUND LENGTH]],"X",Table5[[#This Row],[TOP FOAM / REBOUND WIDTH]],"X",VLOOKUP(Table5[[#This Row],[VARIETY ]],MASTER!$B:$K,10,0))),"")</f>
        <v/>
      </c>
      <c r="AD38" s="73">
        <f>+Table2[[#This Row],[QTY]]*1</f>
        <v>0</v>
      </c>
      <c r="AE38" s="71" t="str">
        <f>IF(OR(S38=MASTER!$B$2,S38=MASTER!$B$3,S38=MASTER!$B$4,S38=MASTER!$B$5,S38=MASTER!$B$6,S38=MASTER!$B$7,S38=MASTER!$B$8,S38=MASTER!$B$9,S38=MASTER!$B$136,S38=MASTER!$B$10,S38=MASTER!$B$11,S38=MASTER!$B$12,S38=MASTER!$B$13,S38=MASTER!$B$2,S38=MASTER!$B$132,S38=MASTER!$B$137),(CONCATENATE(VLOOKUP(S38,MASTER!$B:$J,9,0),Table5[[#This Row],[TOP FOAM/REBOUND LENGTH]],"X",Table5[[#This Row],[TOP FOAM / REBOUND WIDTH]],"X",VLOOKUP(Table5[[#This Row],[VARIETY ]],MASTER!$B:$L,11,0))),"")</f>
        <v/>
      </c>
      <c r="AF38" s="74">
        <f>+Table2[[#This Row],[QTY]]*1</f>
        <v>0</v>
      </c>
      <c r="AH38" s="60" t="str">
        <f>+Table2[[#This Row],[VARIETY]]</f>
        <v/>
      </c>
      <c r="AI38" s="65">
        <f>IFERROR(Table2[[#This Row],[STD-L]]-VLOOKUP(AH38,MASTER!$B:$E,4,0),0)</f>
        <v>0</v>
      </c>
      <c r="AJ38" s="65">
        <f>IFERROR(Table2[[#This Row],[STD-W]]-VLOOKUP(AH38,MASTER!$B:$F,5,0),0)</f>
        <v>0</v>
      </c>
      <c r="AK38" s="65" t="str">
        <f t="shared" si="24"/>
        <v/>
      </c>
      <c r="AL38" s="66" t="str">
        <f t="shared" si="25"/>
        <v/>
      </c>
      <c r="AN38" s="75" t="str">
        <f>IFERROR(CONCATENATE(VLOOKUP(AH38,MASTER!$B:$H,7,0),Table510[[#This Row],[ACTUAL  LENGTH]],"0X",VLOOKUP(AH38,MASTER!$B:$G,6,0),"X",VLOOKUP(AH38,MASTER!$B:$I,8,0)),"")</f>
        <v/>
      </c>
      <c r="AO38" s="71" t="str">
        <f>IFERROR(((VLOOKUP(Table611[[#This Row],[LENGTHSIZE]],'ALL NEW ITEM '!$E:$F,2,0)*2)*Q38),"")</f>
        <v/>
      </c>
      <c r="AP38" s="71" t="str">
        <f>IFERROR(IF(VLOOKUP(AH38,MASTER!$B:$I,8,0)="40MM",(CONCATENATE(VLOOKUP(AH38,MASTER!$B:$H,7,0),Table510[[#This Row],[ACTUAL WIDTH]],"0X",VLOOKUP(AH38,MASTER!$B:$G,6,0),"X",VLOOKUP(AH38,MASTER!$B:$I,8,0))),(CONCATENATE(VLOOKUP(AH38,MASTER!$B:$H,7,0),Table510[[#This Row],[ACTUAL WIDTH]],"X",VLOOKUP(AH38,MASTER!$B:$G,6,0),"X",VLOOKUP(AH38,MASTER!$B:$I,8,0)))),"")</f>
        <v/>
      </c>
      <c r="AQ38" s="73" t="str">
        <f>+IFERROR(((VLOOKUP(AP38,'ALL NEW ITEM '!$E:$F,2,0)*2)*Table2[[#This Row],[QTY]]),"")</f>
        <v/>
      </c>
      <c r="AR38" s="71" t="str">
        <f>IF(OR(AH38=MASTER!$B$2,AH38=MASTER!$B$3,AH38=MASTER!$B$4,AH38=MASTER!$B$5,AH38=MASTER!$B$6,AH38=MASTER!$B$128,AH38=MASTER!$B$129,AH38=MASTER!$B$130,AH38=MASTER!$B$131,AH38=MASTER!$B$132,AH38=MASTER!$B$133,AH38=MASTER!$B$134,AH38=MASTER!$B$135,AH38=MASTER!$B$136,AH38=MASTER!$B$137),(CONCATENATE(VLOOKUP(AH38,MASTER!$B:$J,9,0),AK38,"0X",AL38,"0X",VLOOKUP(Table5[[#This Row],[VARIETY ]],MASTER!$B:$K,10,0))),"")</f>
        <v/>
      </c>
      <c r="AS38" s="73" t="str">
        <f>IFERROR(VLOOKUP(AR38,'ALL NEW ITEM '!$E:$F,2,0)*Q38,"")</f>
        <v/>
      </c>
      <c r="AT38" s="71" t="str">
        <f>IF(OR(AH38=MASTER!$B$2,AH38=MASTER!$B$3,AH38=MASTER!$B$4,AH38=MASTER!$B$5,AH38=MASTER!$B$6,AH38=MASTER!$B$2,AH38=MASTER!$B$132,AH38=MASTER!$B$135,AH38=MASTER!$B$136,AH38=MASTER!$B$137),(CONCATENATE(VLOOKUP(AH38,MASTER!$B:$J,9,0),AK38,"0X",AL38,"0X",VLOOKUP(Table5[[#This Row],[VARIETY ]],MASTER!$B:$L,11,0))),"")</f>
        <v/>
      </c>
      <c r="AU38" s="72" t="str">
        <f>IFERROR(VLOOKUP(Table611[[#This Row],[TOPFOAM/REBOUND14]],'ALL NEW ITEM '!$E:$F,2,0)*Q38,"")</f>
        <v/>
      </c>
    </row>
    <row r="39" spans="1:47">
      <c r="A39" s="60">
        <f t="shared" si="13"/>
        <v>38</v>
      </c>
      <c r="B39" s="60" t="str">
        <f>LEFT(Table1[[#This Row],[ITEM CODE]],MIN(FIND({0,1,2,3,4,5,6,7,8,9},Table1[[#This Row],[ITEM CODE]]&amp;"0123456789"))-1)</f>
        <v/>
      </c>
      <c r="C39" s="61" t="str">
        <f>SUBSTITUTE(Table1[[#This Row],[ITEM CODE]],B39,"")</f>
        <v/>
      </c>
      <c r="D39" s="61" t="str">
        <f t="shared" si="14"/>
        <v/>
      </c>
      <c r="E39" s="61" t="str">
        <f t="shared" si="16"/>
        <v/>
      </c>
      <c r="F39" s="61" t="str">
        <f t="shared" si="17"/>
        <v/>
      </c>
      <c r="G39" s="61" t="str">
        <f t="shared" si="18"/>
        <v/>
      </c>
      <c r="H39" s="61" t="str">
        <f t="shared" si="19"/>
        <v/>
      </c>
      <c r="I39" s="61" t="str">
        <f t="shared" si="20"/>
        <v/>
      </c>
      <c r="J39" s="61" t="str">
        <f>IFERROR(IF(Table2[[#This Row],[L]]&lt;Table2[[#This Row],[W]],Table2[[#This Row],[W]],Table2[[#This Row],[L]]),"")</f>
        <v/>
      </c>
      <c r="K39" s="61" t="str">
        <f>IF(Table2[[#This Row],[L]]&lt;Table2[[#This Row],[W]],Table2[[#This Row],[L]],Table2[[#This Row],[W]])</f>
        <v/>
      </c>
      <c r="L39" s="61" t="str">
        <f t="shared" si="21"/>
        <v/>
      </c>
      <c r="M39" s="61" t="str">
        <f t="shared" si="22"/>
        <v/>
      </c>
      <c r="N39" s="61" t="str">
        <f t="shared" si="23"/>
        <v>XX</v>
      </c>
      <c r="O39" s="61" t="str">
        <f t="shared" si="15"/>
        <v>XX</v>
      </c>
      <c r="P39" s="61" t="str">
        <f>+CONCATENATE(Table2[[#This Row],[1]],Table2[[#This Row],[H]])</f>
        <v/>
      </c>
      <c r="Q39" s="61">
        <f>+Table1[[#This Row],[QTY]]</f>
        <v>0</v>
      </c>
      <c r="S39" s="60" t="str">
        <f>+Table2[[#This Row],[VARIETY]]</f>
        <v/>
      </c>
      <c r="T39" s="65">
        <f>IFERROR(Table2[[#This Row],[L]]-VLOOKUP(Table5[[#This Row],[VARIETY ]],MASTER!$B:$E,4,0),0)</f>
        <v>0</v>
      </c>
      <c r="U39" s="65">
        <f>IFERROR(Table2[[#This Row],[W]]-VLOOKUP(Table5[[#This Row],[VARIETY ]],MASTER!$B:$F,5,0),0)</f>
        <v>0</v>
      </c>
      <c r="V39" s="65">
        <f>IFERROR(IF(VLOOKUP(Table5[[#This Row],[VARIETY ]],MASTER!$B:$M,12,0)=0,0,(Table2[[#This Row],[L]]-VLOOKUP(Table5[[#This Row],[VARIETY ]],MASTER!$B:$M,12,0))),0)</f>
        <v>0</v>
      </c>
      <c r="W39" s="66">
        <f>IFERROR(IF(VLOOKUP(Table5[[#This Row],[VARIETY ]],MASTER!$B:$N,13,0)=0,0,(Table2[[#This Row],[W]]-VLOOKUP(Table5[[#This Row],[VARIETY ]],MASTER!$B:$N,13,0))),0)</f>
        <v>0</v>
      </c>
      <c r="X39" s="65">
        <v>38</v>
      </c>
      <c r="Y39" s="70" t="str">
        <f>IFERROR(IF(VLOOKUP(S39,MASTER!$B:$I,8,0)="40MM",((CONCATENATE(VLOOKUP(S39,MASTER!$B:$H,7,0),T39,"X",VLOOKUP(S39,MASTER!$B:$G,6,0),"X",VLOOKUP(S39,MASTER!$B:$I,8,0)))),(CONCATENATE(VLOOKUP(S39,MASTER!$B:$H,7,0),T39,"X",VLOOKUP(S39,MASTER!$B:$G,6,0),"X",VLOOKUP(S39,MASTER!$B:$I,8,0)))),"")</f>
        <v/>
      </c>
      <c r="Z39" s="73">
        <f>Table2[[#This Row],[QTY]]*2</f>
        <v>0</v>
      </c>
      <c r="AA39" s="73" t="str">
        <f>IFERROR(IF(VLOOKUP(S39,MASTER!$B:$I,8,0)="40MM",((CONCATENATE(VLOOKUP(S39,MASTER!$B:$H,7,0),U39,"X",VLOOKUP(S39,MASTER!$B:$G,6,0),"X",VLOOKUP(S39,MASTER!$B:$I,8,0)))),((CONCATENATE(VLOOKUP(S39,MASTER!$B:$H,7,0),U39,"X",VLOOKUP(S39,MASTER!$B:$G,6,0),"X",VLOOKUP(S39,MASTER!$B:$I,8,0))))),"")</f>
        <v/>
      </c>
      <c r="AB39" s="73">
        <f>+Table2[[#This Row],[QTY]]*2</f>
        <v>0</v>
      </c>
      <c r="AC39" s="71" t="str">
        <f>IF(OR(S39=MASTER!$B$2,S39=MASTER!$B$3,S39=MASTER!$B$4,S39=MASTER!$B$5,S39=MASTER!$B$6,S39=MASTER!$B$7,S39=MASTER!$B$8,S39=MASTER!$B$9,S39=MASTER!$B$10,S39=MASTER!$B$11,S39=MASTER!$B$12,S39=MASTER!$B$13,S39=MASTER!$B$93,S39=MASTER!$B$94,S39=MASTER!$B$128,S39=MASTER!$B$129,S39=MASTER!$B$130,S39=MASTER!$B$131,S39=MASTER!$B$132,S39=MASTER!$B$136,S39=MASTER!$B$137),(CONCATENATE(VLOOKUP(S39,MASTER!$B:$J,9,0),Table5[[#This Row],[TOP FOAM/REBOUND LENGTH]],"X",Table5[[#This Row],[TOP FOAM / REBOUND WIDTH]],"X",VLOOKUP(Table5[[#This Row],[VARIETY ]],MASTER!$B:$K,10,0))),"")</f>
        <v/>
      </c>
      <c r="AD39" s="73">
        <f>+Table2[[#This Row],[QTY]]*1</f>
        <v>0</v>
      </c>
      <c r="AE39" s="71" t="str">
        <f>IF(OR(S39=MASTER!$B$2,S39=MASTER!$B$3,S39=MASTER!$B$4,S39=MASTER!$B$5,S39=MASTER!$B$6,S39=MASTER!$B$7,S39=MASTER!$B$8,S39=MASTER!$B$9,S39=MASTER!$B$136,S39=MASTER!$B$10,S39=MASTER!$B$11,S39=MASTER!$B$12,S39=MASTER!$B$13,S39=MASTER!$B$2,S39=MASTER!$B$132,S39=MASTER!$B$137),(CONCATENATE(VLOOKUP(S39,MASTER!$B:$J,9,0),Table5[[#This Row],[TOP FOAM/REBOUND LENGTH]],"X",Table5[[#This Row],[TOP FOAM / REBOUND WIDTH]],"X",VLOOKUP(Table5[[#This Row],[VARIETY ]],MASTER!$B:$L,11,0))),"")</f>
        <v/>
      </c>
      <c r="AF39" s="74">
        <f>+Table2[[#This Row],[QTY]]*1</f>
        <v>0</v>
      </c>
      <c r="AH39" s="60" t="str">
        <f>+Table2[[#This Row],[VARIETY]]</f>
        <v/>
      </c>
      <c r="AI39" s="65">
        <f>IFERROR(Table2[[#This Row],[STD-L]]-VLOOKUP(AH39,MASTER!$B:$E,4,0),0)</f>
        <v>0</v>
      </c>
      <c r="AJ39" s="65">
        <f>IFERROR(Table2[[#This Row],[STD-W]]-VLOOKUP(AH39,MASTER!$B:$F,5,0),0)</f>
        <v>0</v>
      </c>
      <c r="AK39" s="65" t="str">
        <f t="shared" si="24"/>
        <v/>
      </c>
      <c r="AL39" s="66" t="str">
        <f t="shared" si="25"/>
        <v/>
      </c>
      <c r="AN39" s="75" t="str">
        <f>IFERROR(CONCATENATE(VLOOKUP(AH39,MASTER!$B:$H,7,0),Table510[[#This Row],[ACTUAL  LENGTH]],"0X",VLOOKUP(AH39,MASTER!$B:$G,6,0),"X",VLOOKUP(AH39,MASTER!$B:$I,8,0)),"")</f>
        <v/>
      </c>
      <c r="AO39" s="71" t="str">
        <f>IFERROR(((VLOOKUP(Table611[[#This Row],[LENGTHSIZE]],'ALL NEW ITEM '!$E:$F,2,0)*2)*Q39),"")</f>
        <v/>
      </c>
      <c r="AP39" s="71" t="str">
        <f>IFERROR(IF(VLOOKUP(AH39,MASTER!$B:$I,8,0)="40MM",(CONCATENATE(VLOOKUP(AH39,MASTER!$B:$H,7,0),Table510[[#This Row],[ACTUAL WIDTH]],"0X",VLOOKUP(AH39,MASTER!$B:$G,6,0),"X",VLOOKUP(AH39,MASTER!$B:$I,8,0))),(CONCATENATE(VLOOKUP(AH39,MASTER!$B:$H,7,0),Table510[[#This Row],[ACTUAL WIDTH]],"X",VLOOKUP(AH39,MASTER!$B:$G,6,0),"X",VLOOKUP(AH39,MASTER!$B:$I,8,0)))),"")</f>
        <v/>
      </c>
      <c r="AQ39" s="73" t="str">
        <f>+IFERROR(((VLOOKUP(AP39,'ALL NEW ITEM '!$E:$F,2,0)*2)*Table2[[#This Row],[QTY]]),"")</f>
        <v/>
      </c>
      <c r="AR39" s="71" t="str">
        <f>IF(OR(AH39=MASTER!$B$2,AH39=MASTER!$B$3,AH39=MASTER!$B$4,AH39=MASTER!$B$5,AH39=MASTER!$B$6,AH39=MASTER!$B$128,AH39=MASTER!$B$129,AH39=MASTER!$B$130,AH39=MASTER!$B$131,AH39=MASTER!$B$132,AH39=MASTER!$B$133,AH39=MASTER!$B$134,AH39=MASTER!$B$135,AH39=MASTER!$B$136,AH39=MASTER!$B$137),(CONCATENATE(VLOOKUP(AH39,MASTER!$B:$J,9,0),AK39,"0X",AL39,"0X",VLOOKUP(Table5[[#This Row],[VARIETY ]],MASTER!$B:$K,10,0))),"")</f>
        <v/>
      </c>
      <c r="AS39" s="73" t="str">
        <f>IFERROR(VLOOKUP(AR39,'ALL NEW ITEM '!$E:$F,2,0)*Q39,"")</f>
        <v/>
      </c>
      <c r="AT39" s="71" t="str">
        <f>IF(OR(AH39=MASTER!$B$2,AH39=MASTER!$B$3,AH39=MASTER!$B$4,AH39=MASTER!$B$5,AH39=MASTER!$B$6,AH39=MASTER!$B$2,AH39=MASTER!$B$132,AH39=MASTER!$B$135,AH39=MASTER!$B$136,AH39=MASTER!$B$137),(CONCATENATE(VLOOKUP(AH39,MASTER!$B:$J,9,0),AK39,"0X",AL39,"0X",VLOOKUP(Table5[[#This Row],[VARIETY ]],MASTER!$B:$L,11,0))),"")</f>
        <v/>
      </c>
      <c r="AU39" s="72" t="str">
        <f>IFERROR(VLOOKUP(Table611[[#This Row],[TOPFOAM/REBOUND14]],'ALL NEW ITEM '!$E:$F,2,0)*Q39,"")</f>
        <v/>
      </c>
    </row>
    <row r="40" spans="1:47">
      <c r="A40" s="60">
        <f t="shared" si="13"/>
        <v>39</v>
      </c>
      <c r="B40" s="60" t="str">
        <f>LEFT(Table1[[#This Row],[ITEM CODE]],MIN(FIND({0,1,2,3,4,5,6,7,8,9},Table1[[#This Row],[ITEM CODE]]&amp;"0123456789"))-1)</f>
        <v/>
      </c>
      <c r="C40" s="61" t="str">
        <f>SUBSTITUTE(Table1[[#This Row],[ITEM CODE]],B40,"")</f>
        <v/>
      </c>
      <c r="D40" s="61" t="str">
        <f t="shared" si="14"/>
        <v/>
      </c>
      <c r="E40" s="61" t="str">
        <f t="shared" si="16"/>
        <v/>
      </c>
      <c r="F40" s="61" t="str">
        <f t="shared" si="17"/>
        <v/>
      </c>
      <c r="G40" s="61" t="str">
        <f t="shared" si="18"/>
        <v/>
      </c>
      <c r="H40" s="61" t="str">
        <f t="shared" si="19"/>
        <v/>
      </c>
      <c r="I40" s="61" t="str">
        <f t="shared" si="20"/>
        <v/>
      </c>
      <c r="J40" s="61" t="str">
        <f>IFERROR(IF(Table2[[#This Row],[L]]&lt;Table2[[#This Row],[W]],Table2[[#This Row],[W]],Table2[[#This Row],[L]]),"")</f>
        <v/>
      </c>
      <c r="K40" s="61" t="str">
        <f>IF(Table2[[#This Row],[L]]&lt;Table2[[#This Row],[W]],Table2[[#This Row],[L]],Table2[[#This Row],[W]])</f>
        <v/>
      </c>
      <c r="L40" s="61" t="str">
        <f t="shared" si="21"/>
        <v/>
      </c>
      <c r="M40" s="61" t="str">
        <f t="shared" si="22"/>
        <v/>
      </c>
      <c r="N40" s="61" t="str">
        <f t="shared" si="23"/>
        <v>XX</v>
      </c>
      <c r="O40" s="61" t="str">
        <f t="shared" si="15"/>
        <v>XX</v>
      </c>
      <c r="P40" s="61" t="str">
        <f>+CONCATENATE(Table2[[#This Row],[1]],Table2[[#This Row],[H]])</f>
        <v/>
      </c>
      <c r="Q40" s="61">
        <f>+Table1[[#This Row],[QTY]]</f>
        <v>0</v>
      </c>
      <c r="S40" s="60" t="str">
        <f>+Table2[[#This Row],[VARIETY]]</f>
        <v/>
      </c>
      <c r="T40" s="65">
        <f>IFERROR(Table2[[#This Row],[L]]-VLOOKUP(Table5[[#This Row],[VARIETY ]],MASTER!$B:$E,4,0),0)</f>
        <v>0</v>
      </c>
      <c r="U40" s="65">
        <f>IFERROR(Table2[[#This Row],[W]]-VLOOKUP(Table5[[#This Row],[VARIETY ]],MASTER!$B:$F,5,0),0)</f>
        <v>0</v>
      </c>
      <c r="V40" s="65">
        <f>IFERROR(IF(VLOOKUP(Table5[[#This Row],[VARIETY ]],MASTER!$B:$M,12,0)=0,0,(Table2[[#This Row],[L]]-VLOOKUP(Table5[[#This Row],[VARIETY ]],MASTER!$B:$M,12,0))),0)</f>
        <v>0</v>
      </c>
      <c r="W40" s="66">
        <f>IFERROR(IF(VLOOKUP(Table5[[#This Row],[VARIETY ]],MASTER!$B:$N,13,0)=0,0,(Table2[[#This Row],[W]]-VLOOKUP(Table5[[#This Row],[VARIETY ]],MASTER!$B:$N,13,0))),0)</f>
        <v>0</v>
      </c>
      <c r="X40" s="67">
        <v>39</v>
      </c>
      <c r="Y40" s="70" t="str">
        <f>IFERROR(IF(VLOOKUP(S40,MASTER!$B:$I,8,0)="40MM",((CONCATENATE(VLOOKUP(S40,MASTER!$B:$H,7,0),T40,"X",VLOOKUP(S40,MASTER!$B:$G,6,0),"X",VLOOKUP(S40,MASTER!$B:$I,8,0)))),(CONCATENATE(VLOOKUP(S40,MASTER!$B:$H,7,0),T40,"X",VLOOKUP(S40,MASTER!$B:$G,6,0),"X",VLOOKUP(S40,MASTER!$B:$I,8,0)))),"")</f>
        <v/>
      </c>
      <c r="Z40" s="73">
        <f>Table2[[#This Row],[QTY]]*2</f>
        <v>0</v>
      </c>
      <c r="AA40" s="73" t="str">
        <f>IFERROR(IF(VLOOKUP(S40,MASTER!$B:$I,8,0)="40MM",((CONCATENATE(VLOOKUP(S40,MASTER!$B:$H,7,0),U40,"X",VLOOKUP(S40,MASTER!$B:$G,6,0),"X",VLOOKUP(S40,MASTER!$B:$I,8,0)))),((CONCATENATE(VLOOKUP(S40,MASTER!$B:$H,7,0),U40,"X",VLOOKUP(S40,MASTER!$B:$G,6,0),"X",VLOOKUP(S40,MASTER!$B:$I,8,0))))),"")</f>
        <v/>
      </c>
      <c r="AB40" s="73">
        <f>+Table2[[#This Row],[QTY]]*2</f>
        <v>0</v>
      </c>
      <c r="AC40" s="71" t="str">
        <f>IF(OR(S40=MASTER!$B$2,S40=MASTER!$B$3,S40=MASTER!$B$4,S40=MASTER!$B$5,S40=MASTER!$B$6,S40=MASTER!$B$7,S40=MASTER!$B$8,S40=MASTER!$B$9,S40=MASTER!$B$10,S40=MASTER!$B$11,S40=MASTER!$B$12,S40=MASTER!$B$13,S40=MASTER!$B$93,S40=MASTER!$B$94,S40=MASTER!$B$128,S40=MASTER!$B$129,S40=MASTER!$B$130,S40=MASTER!$B$131,S40=MASTER!$B$132,S40=MASTER!$B$136,S40=MASTER!$B$137),(CONCATENATE(VLOOKUP(S40,MASTER!$B:$J,9,0),Table5[[#This Row],[TOP FOAM/REBOUND LENGTH]],"X",Table5[[#This Row],[TOP FOAM / REBOUND WIDTH]],"X",VLOOKUP(Table5[[#This Row],[VARIETY ]],MASTER!$B:$K,10,0))),"")</f>
        <v/>
      </c>
      <c r="AD40" s="73">
        <f>+Table2[[#This Row],[QTY]]*1</f>
        <v>0</v>
      </c>
      <c r="AE40" s="71" t="str">
        <f>IF(OR(S40=MASTER!$B$2,S40=MASTER!$B$3,S40=MASTER!$B$4,S40=MASTER!$B$5,S40=MASTER!$B$6,S40=MASTER!$B$7,S40=MASTER!$B$8,S40=MASTER!$B$9,S40=MASTER!$B$136,S40=MASTER!$B$10,S40=MASTER!$B$11,S40=MASTER!$B$12,S40=MASTER!$B$13,S40=MASTER!$B$2,S40=MASTER!$B$132,S40=MASTER!$B$137),(CONCATENATE(VLOOKUP(S40,MASTER!$B:$J,9,0),Table5[[#This Row],[TOP FOAM/REBOUND LENGTH]],"X",Table5[[#This Row],[TOP FOAM / REBOUND WIDTH]],"X",VLOOKUP(Table5[[#This Row],[VARIETY ]],MASTER!$B:$L,11,0))),"")</f>
        <v/>
      </c>
      <c r="AF40" s="74">
        <f>+Table2[[#This Row],[QTY]]*1</f>
        <v>0</v>
      </c>
      <c r="AH40" s="60" t="str">
        <f>+Table2[[#This Row],[VARIETY]]</f>
        <v/>
      </c>
      <c r="AI40" s="65">
        <f>IFERROR(Table2[[#This Row],[STD-L]]-VLOOKUP(AH40,MASTER!$B:$E,4,0),0)</f>
        <v>0</v>
      </c>
      <c r="AJ40" s="65">
        <f>IFERROR(Table2[[#This Row],[STD-W]]-VLOOKUP(AH40,MASTER!$B:$F,5,0),0)</f>
        <v>0</v>
      </c>
      <c r="AK40" s="65" t="str">
        <f t="shared" si="24"/>
        <v/>
      </c>
      <c r="AL40" s="66" t="str">
        <f t="shared" si="25"/>
        <v/>
      </c>
      <c r="AN40" s="75" t="str">
        <f>IFERROR(CONCATENATE(VLOOKUP(AH40,MASTER!$B:$H,7,0),Table510[[#This Row],[ACTUAL  LENGTH]],"0X",VLOOKUP(AH40,MASTER!$B:$G,6,0),"X",VLOOKUP(AH40,MASTER!$B:$I,8,0)),"")</f>
        <v/>
      </c>
      <c r="AO40" s="71" t="str">
        <f>IFERROR(((VLOOKUP(Table611[[#This Row],[LENGTHSIZE]],'ALL NEW ITEM '!$E:$F,2,0)*2)*Q40),"")</f>
        <v/>
      </c>
      <c r="AP40" s="71" t="str">
        <f>IFERROR(IF(VLOOKUP(AH40,MASTER!$B:$I,8,0)="40MM",(CONCATENATE(VLOOKUP(AH40,MASTER!$B:$H,7,0),Table510[[#This Row],[ACTUAL WIDTH]],"0X",VLOOKUP(AH40,MASTER!$B:$G,6,0),"X",VLOOKUP(AH40,MASTER!$B:$I,8,0))),(CONCATENATE(VLOOKUP(AH40,MASTER!$B:$H,7,0),Table510[[#This Row],[ACTUAL WIDTH]],"X",VLOOKUP(AH40,MASTER!$B:$G,6,0),"X",VLOOKUP(AH40,MASTER!$B:$I,8,0)))),"")</f>
        <v/>
      </c>
      <c r="AQ40" s="73" t="str">
        <f>+IFERROR(((VLOOKUP(AP40,'ALL NEW ITEM '!$E:$F,2,0)*2)*Table2[[#This Row],[QTY]]),"")</f>
        <v/>
      </c>
      <c r="AR40" s="71" t="str">
        <f>IF(OR(AH40=MASTER!$B$2,AH40=MASTER!$B$3,AH40=MASTER!$B$4,AH40=MASTER!$B$5,AH40=MASTER!$B$6,AH40=MASTER!$B$128,AH40=MASTER!$B$129,AH40=MASTER!$B$130,AH40=MASTER!$B$131,AH40=MASTER!$B$132,AH40=MASTER!$B$133,AH40=MASTER!$B$134,AH40=MASTER!$B$135,AH40=MASTER!$B$136,AH40=MASTER!$B$137),(CONCATENATE(VLOOKUP(AH40,MASTER!$B:$J,9,0),AK40,"0X",AL40,"0X",VLOOKUP(Table5[[#This Row],[VARIETY ]],MASTER!$B:$K,10,0))),"")</f>
        <v/>
      </c>
      <c r="AS40" s="73" t="str">
        <f>IFERROR(VLOOKUP(AR40,'ALL NEW ITEM '!$E:$F,2,0)*Q40,"")</f>
        <v/>
      </c>
      <c r="AT40" s="71" t="str">
        <f>IF(OR(AH40=MASTER!$B$2,AH40=MASTER!$B$3,AH40=MASTER!$B$4,AH40=MASTER!$B$5,AH40=MASTER!$B$6,AH40=MASTER!$B$2,AH40=MASTER!$B$132,AH40=MASTER!$B$135,AH40=MASTER!$B$136,AH40=MASTER!$B$137),(CONCATENATE(VLOOKUP(AH40,MASTER!$B:$J,9,0),AK40,"0X",AL40,"0X",VLOOKUP(Table5[[#This Row],[VARIETY ]],MASTER!$B:$L,11,0))),"")</f>
        <v/>
      </c>
      <c r="AU40" s="72" t="str">
        <f>IFERROR(VLOOKUP(Table611[[#This Row],[TOPFOAM/REBOUND14]],'ALL NEW ITEM '!$E:$F,2,0)*Q40,"")</f>
        <v/>
      </c>
    </row>
    <row r="41" spans="1:47">
      <c r="A41" s="60">
        <f t="shared" si="13"/>
        <v>40</v>
      </c>
      <c r="B41" s="60" t="str">
        <f>LEFT(Table1[[#This Row],[ITEM CODE]],MIN(FIND({0,1,2,3,4,5,6,7,8,9},Table1[[#This Row],[ITEM CODE]]&amp;"0123456789"))-1)</f>
        <v/>
      </c>
      <c r="C41" s="61" t="str">
        <f>SUBSTITUTE(Table1[[#This Row],[ITEM CODE]],B41,"")</f>
        <v/>
      </c>
      <c r="D41" s="61" t="str">
        <f t="shared" si="14"/>
        <v/>
      </c>
      <c r="E41" s="61" t="str">
        <f t="shared" si="16"/>
        <v/>
      </c>
      <c r="F41" s="61" t="str">
        <f t="shared" si="17"/>
        <v/>
      </c>
      <c r="G41" s="61" t="str">
        <f t="shared" si="18"/>
        <v/>
      </c>
      <c r="H41" s="61" t="str">
        <f t="shared" si="19"/>
        <v/>
      </c>
      <c r="I41" s="61" t="str">
        <f t="shared" si="20"/>
        <v/>
      </c>
      <c r="J41" s="61" t="str">
        <f>IFERROR(IF(Table2[[#This Row],[L]]&lt;Table2[[#This Row],[W]],Table2[[#This Row],[W]],Table2[[#This Row],[L]]),"")</f>
        <v/>
      </c>
      <c r="K41" s="61" t="str">
        <f>IF(Table2[[#This Row],[L]]&lt;Table2[[#This Row],[W]],Table2[[#This Row],[L]],Table2[[#This Row],[W]])</f>
        <v/>
      </c>
      <c r="L41" s="61" t="str">
        <f t="shared" si="21"/>
        <v/>
      </c>
      <c r="M41" s="61" t="str">
        <f t="shared" si="22"/>
        <v/>
      </c>
      <c r="N41" s="61" t="str">
        <f t="shared" si="23"/>
        <v>XX</v>
      </c>
      <c r="O41" s="61" t="str">
        <f t="shared" si="15"/>
        <v>XX</v>
      </c>
      <c r="P41" s="61" t="str">
        <f>+CONCATENATE(Table2[[#This Row],[1]],Table2[[#This Row],[H]])</f>
        <v/>
      </c>
      <c r="Q41" s="61">
        <f>+Table1[[#This Row],[QTY]]</f>
        <v>0</v>
      </c>
      <c r="S41" s="60" t="str">
        <f>+Table2[[#This Row],[VARIETY]]</f>
        <v/>
      </c>
      <c r="T41" s="65">
        <f>IFERROR(Table2[[#This Row],[L]]-VLOOKUP(Table5[[#This Row],[VARIETY ]],MASTER!$B:$E,4,0),0)</f>
        <v>0</v>
      </c>
      <c r="U41" s="65">
        <f>IFERROR(Table2[[#This Row],[W]]-VLOOKUP(Table5[[#This Row],[VARIETY ]],MASTER!$B:$F,5,0),0)</f>
        <v>0</v>
      </c>
      <c r="V41" s="65">
        <f>IFERROR(IF(VLOOKUP(Table5[[#This Row],[VARIETY ]],MASTER!$B:$M,12,0)=0,0,(Table2[[#This Row],[L]]-VLOOKUP(Table5[[#This Row],[VARIETY ]],MASTER!$B:$M,12,0))),0)</f>
        <v>0</v>
      </c>
      <c r="W41" s="66">
        <f>IFERROR(IF(VLOOKUP(Table5[[#This Row],[VARIETY ]],MASTER!$B:$N,13,0)=0,0,(Table2[[#This Row],[W]]-VLOOKUP(Table5[[#This Row],[VARIETY ]],MASTER!$B:$N,13,0))),0)</f>
        <v>0</v>
      </c>
      <c r="X41" s="65">
        <v>40</v>
      </c>
      <c r="Y41" s="70" t="str">
        <f>IFERROR(IF(VLOOKUP(S41,MASTER!$B:$I,8,0)="40MM",((CONCATENATE(VLOOKUP(S41,MASTER!$B:$H,7,0),T41,"X",VLOOKUP(S41,MASTER!$B:$G,6,0),"X",VLOOKUP(S41,MASTER!$B:$I,8,0)))),(CONCATENATE(VLOOKUP(S41,MASTER!$B:$H,7,0),T41,"X",VLOOKUP(S41,MASTER!$B:$G,6,0),"X",VLOOKUP(S41,MASTER!$B:$I,8,0)))),"")</f>
        <v/>
      </c>
      <c r="Z41" s="73">
        <f>Table2[[#This Row],[QTY]]*2</f>
        <v>0</v>
      </c>
      <c r="AA41" s="73" t="str">
        <f>IFERROR(IF(VLOOKUP(S41,MASTER!$B:$I,8,0)="40MM",((CONCATENATE(VLOOKUP(S41,MASTER!$B:$H,7,0),U41,"X",VLOOKUP(S41,MASTER!$B:$G,6,0),"X",VLOOKUP(S41,MASTER!$B:$I,8,0)))),((CONCATENATE(VLOOKUP(S41,MASTER!$B:$H,7,0),U41,"X",VLOOKUP(S41,MASTER!$B:$G,6,0),"X",VLOOKUP(S41,MASTER!$B:$I,8,0))))),"")</f>
        <v/>
      </c>
      <c r="AB41" s="73">
        <f>+Table2[[#This Row],[QTY]]*2</f>
        <v>0</v>
      </c>
      <c r="AC41" s="71" t="str">
        <f>IF(OR(S41=MASTER!$B$2,S41=MASTER!$B$3,S41=MASTER!$B$4,S41=MASTER!$B$5,S41=MASTER!$B$6,S41=MASTER!$B$7,S41=MASTER!$B$8,S41=MASTER!$B$9,S41=MASTER!$B$10,S41=MASTER!$B$11,S41=MASTER!$B$12,S41=MASTER!$B$13,S41=MASTER!$B$93,S41=MASTER!$B$94,S41=MASTER!$B$128,S41=MASTER!$B$129,S41=MASTER!$B$130,S41=MASTER!$B$131,S41=MASTER!$B$132,S41=MASTER!$B$136,S41=MASTER!$B$137),(CONCATENATE(VLOOKUP(S41,MASTER!$B:$J,9,0),Table5[[#This Row],[TOP FOAM/REBOUND LENGTH]],"X",Table5[[#This Row],[TOP FOAM / REBOUND WIDTH]],"X",VLOOKUP(Table5[[#This Row],[VARIETY ]],MASTER!$B:$K,10,0))),"")</f>
        <v/>
      </c>
      <c r="AD41" s="73">
        <f>+Table2[[#This Row],[QTY]]*1</f>
        <v>0</v>
      </c>
      <c r="AE41" s="71" t="str">
        <f>IF(OR(S41=MASTER!$B$2,S41=MASTER!$B$3,S41=MASTER!$B$4,S41=MASTER!$B$5,S41=MASTER!$B$6,S41=MASTER!$B$7,S41=MASTER!$B$8,S41=MASTER!$B$9,S41=MASTER!$B$136,S41=MASTER!$B$10,S41=MASTER!$B$11,S41=MASTER!$B$12,S41=MASTER!$B$13,S41=MASTER!$B$2,S41=MASTER!$B$132,S41=MASTER!$B$137),(CONCATENATE(VLOOKUP(S41,MASTER!$B:$J,9,0),Table5[[#This Row],[TOP FOAM/REBOUND LENGTH]],"X",Table5[[#This Row],[TOP FOAM / REBOUND WIDTH]],"X",VLOOKUP(Table5[[#This Row],[VARIETY ]],MASTER!$B:$L,11,0))),"")</f>
        <v/>
      </c>
      <c r="AF41" s="74">
        <f>+Table2[[#This Row],[QTY]]*1</f>
        <v>0</v>
      </c>
      <c r="AH41" s="60" t="str">
        <f>+Table2[[#This Row],[VARIETY]]</f>
        <v/>
      </c>
      <c r="AI41" s="65">
        <f>IFERROR(Table2[[#This Row],[STD-L]]-VLOOKUP(AH41,MASTER!$B:$E,4,0),0)</f>
        <v>0</v>
      </c>
      <c r="AJ41" s="65">
        <f>IFERROR(Table2[[#This Row],[STD-W]]-VLOOKUP(AH41,MASTER!$B:$F,5,0),0)</f>
        <v>0</v>
      </c>
      <c r="AK41" s="65" t="str">
        <f t="shared" si="24"/>
        <v/>
      </c>
      <c r="AL41" s="66" t="str">
        <f t="shared" si="25"/>
        <v/>
      </c>
      <c r="AN41" s="75" t="str">
        <f>IFERROR(CONCATENATE(VLOOKUP(AH41,MASTER!$B:$H,7,0),Table510[[#This Row],[ACTUAL  LENGTH]],"0X",VLOOKUP(AH41,MASTER!$B:$G,6,0),"X",VLOOKUP(AH41,MASTER!$B:$I,8,0)),"")</f>
        <v/>
      </c>
      <c r="AO41" s="71" t="str">
        <f>IFERROR(((VLOOKUP(Table611[[#This Row],[LENGTHSIZE]],'ALL NEW ITEM '!$E:$F,2,0)*2)*Q41),"")</f>
        <v/>
      </c>
      <c r="AP41" s="71" t="str">
        <f>IFERROR(IF(VLOOKUP(AH41,MASTER!$B:$I,8,0)="40MM",(CONCATENATE(VLOOKUP(AH41,MASTER!$B:$H,7,0),Table510[[#This Row],[ACTUAL WIDTH]],"0X",VLOOKUP(AH41,MASTER!$B:$G,6,0),"X",VLOOKUP(AH41,MASTER!$B:$I,8,0))),(CONCATENATE(VLOOKUP(AH41,MASTER!$B:$H,7,0),Table510[[#This Row],[ACTUAL WIDTH]],"X",VLOOKUP(AH41,MASTER!$B:$G,6,0),"X",VLOOKUP(AH41,MASTER!$B:$I,8,0)))),"")</f>
        <v/>
      </c>
      <c r="AQ41" s="73" t="str">
        <f>+IFERROR(((VLOOKUP(AP41,'ALL NEW ITEM '!$E:$F,2,0)*2)*Table2[[#This Row],[QTY]]),"")</f>
        <v/>
      </c>
      <c r="AR41" s="71" t="str">
        <f>IF(OR(AH41=MASTER!$B$2,AH41=MASTER!$B$3,AH41=MASTER!$B$4,AH41=MASTER!$B$5,AH41=MASTER!$B$6,AH41=MASTER!$B$128,AH41=MASTER!$B$129,AH41=MASTER!$B$130,AH41=MASTER!$B$131,AH41=MASTER!$B$132,AH41=MASTER!$B$133,AH41=MASTER!$B$134,AH41=MASTER!$B$135,AH41=MASTER!$B$136,AH41=MASTER!$B$137),(CONCATENATE(VLOOKUP(AH41,MASTER!$B:$J,9,0),AK41,"0X",AL41,"0X",VLOOKUP(Table5[[#This Row],[VARIETY ]],MASTER!$B:$K,10,0))),"")</f>
        <v/>
      </c>
      <c r="AS41" s="73" t="str">
        <f>IFERROR(VLOOKUP(AR41,'ALL NEW ITEM '!$E:$F,2,0)*Q41,"")</f>
        <v/>
      </c>
      <c r="AT41" s="71" t="str">
        <f>IF(OR(AH41=MASTER!$B$2,AH41=MASTER!$B$3,AH41=MASTER!$B$4,AH41=MASTER!$B$5,AH41=MASTER!$B$6,AH41=MASTER!$B$2,AH41=MASTER!$B$132,AH41=MASTER!$B$135,AH41=MASTER!$B$136,AH41=MASTER!$B$137),(CONCATENATE(VLOOKUP(AH41,MASTER!$B:$J,9,0),AK41,"0X",AL41,"0X",VLOOKUP(Table5[[#This Row],[VARIETY ]],MASTER!$B:$L,11,0))),"")</f>
        <v/>
      </c>
      <c r="AU41" s="72" t="str">
        <f>IFERROR(VLOOKUP(Table611[[#This Row],[TOPFOAM/REBOUND14]],'ALL NEW ITEM '!$E:$F,2,0)*Q41,"")</f>
        <v/>
      </c>
    </row>
    <row r="42" spans="1:47">
      <c r="A42" s="60">
        <f t="shared" si="13"/>
        <v>41</v>
      </c>
      <c r="B42" s="60" t="str">
        <f>LEFT(Table1[[#This Row],[ITEM CODE]],MIN(FIND({0,1,2,3,4,5,6,7,8,9},Table1[[#This Row],[ITEM CODE]]&amp;"0123456789"))-1)</f>
        <v/>
      </c>
      <c r="C42" s="61" t="str">
        <f>SUBSTITUTE(Table1[[#This Row],[ITEM CODE]],B42,"")</f>
        <v/>
      </c>
      <c r="D42" s="61" t="str">
        <f t="shared" si="14"/>
        <v/>
      </c>
      <c r="E42" s="61" t="str">
        <f t="shared" si="16"/>
        <v/>
      </c>
      <c r="F42" s="61" t="str">
        <f t="shared" si="17"/>
        <v/>
      </c>
      <c r="G42" s="61" t="str">
        <f t="shared" si="18"/>
        <v/>
      </c>
      <c r="H42" s="61" t="str">
        <f t="shared" si="19"/>
        <v/>
      </c>
      <c r="I42" s="61" t="str">
        <f t="shared" si="20"/>
        <v/>
      </c>
      <c r="J42" s="61" t="str">
        <f>IFERROR(IF(Table2[[#This Row],[L]]&lt;Table2[[#This Row],[W]],Table2[[#This Row],[W]],Table2[[#This Row],[L]]),"")</f>
        <v/>
      </c>
      <c r="K42" s="61" t="str">
        <f>IF(Table2[[#This Row],[L]]&lt;Table2[[#This Row],[W]],Table2[[#This Row],[L]],Table2[[#This Row],[W]])</f>
        <v/>
      </c>
      <c r="L42" s="61" t="str">
        <f t="shared" si="21"/>
        <v/>
      </c>
      <c r="M42" s="61" t="str">
        <f t="shared" si="22"/>
        <v/>
      </c>
      <c r="N42" s="61" t="str">
        <f t="shared" si="23"/>
        <v>XX</v>
      </c>
      <c r="O42" s="61" t="str">
        <f t="shared" si="15"/>
        <v>XX</v>
      </c>
      <c r="P42" s="61" t="str">
        <f>+CONCATENATE(Table2[[#This Row],[1]],Table2[[#This Row],[H]])</f>
        <v/>
      </c>
      <c r="Q42" s="61">
        <f>+Table1[[#This Row],[QTY]]</f>
        <v>0</v>
      </c>
      <c r="S42" s="60" t="str">
        <f>+Table2[[#This Row],[VARIETY]]</f>
        <v/>
      </c>
      <c r="T42" s="65">
        <f>IFERROR(Table2[[#This Row],[L]]-VLOOKUP(Table5[[#This Row],[VARIETY ]],MASTER!$B:$E,4,0),0)</f>
        <v>0</v>
      </c>
      <c r="U42" s="65">
        <f>IFERROR(Table2[[#This Row],[W]]-VLOOKUP(Table5[[#This Row],[VARIETY ]],MASTER!$B:$F,5,0),0)</f>
        <v>0</v>
      </c>
      <c r="V42" s="65">
        <f>IFERROR(IF(VLOOKUP(Table5[[#This Row],[VARIETY ]],MASTER!$B:$M,12,0)=0,0,(Table2[[#This Row],[L]]-VLOOKUP(Table5[[#This Row],[VARIETY ]],MASTER!$B:$M,12,0))),0)</f>
        <v>0</v>
      </c>
      <c r="W42" s="66">
        <f>IFERROR(IF(VLOOKUP(Table5[[#This Row],[VARIETY ]],MASTER!$B:$N,13,0)=0,0,(Table2[[#This Row],[W]]-VLOOKUP(Table5[[#This Row],[VARIETY ]],MASTER!$B:$N,13,0))),0)</f>
        <v>0</v>
      </c>
      <c r="X42" s="67">
        <v>41</v>
      </c>
      <c r="Y42" s="70" t="str">
        <f>IFERROR(IF(VLOOKUP(S42,MASTER!$B:$I,8,0)="40MM",((CONCATENATE(VLOOKUP(S42,MASTER!$B:$H,7,0),T42,"X",VLOOKUP(S42,MASTER!$B:$G,6,0),"X",VLOOKUP(S42,MASTER!$B:$I,8,0)))),(CONCATENATE(VLOOKUP(S42,MASTER!$B:$H,7,0),T42,"X",VLOOKUP(S42,MASTER!$B:$G,6,0),"X",VLOOKUP(S42,MASTER!$B:$I,8,0)))),"")</f>
        <v/>
      </c>
      <c r="Z42" s="73">
        <f>Table2[[#This Row],[QTY]]*2</f>
        <v>0</v>
      </c>
      <c r="AA42" s="73" t="str">
        <f>IFERROR(IF(VLOOKUP(S42,MASTER!$B:$I,8,0)="40MM",((CONCATENATE(VLOOKUP(S42,MASTER!$B:$H,7,0),U42,"X",VLOOKUP(S42,MASTER!$B:$G,6,0),"X",VLOOKUP(S42,MASTER!$B:$I,8,0)))),((CONCATENATE(VLOOKUP(S42,MASTER!$B:$H,7,0),U42,"X",VLOOKUP(S42,MASTER!$B:$G,6,0),"X",VLOOKUP(S42,MASTER!$B:$I,8,0))))),"")</f>
        <v/>
      </c>
      <c r="AB42" s="73">
        <f>+Table2[[#This Row],[QTY]]*2</f>
        <v>0</v>
      </c>
      <c r="AC42" s="71" t="str">
        <f>IF(OR(S42=MASTER!$B$2,S42=MASTER!$B$3,S42=MASTER!$B$4,S42=MASTER!$B$5,S42=MASTER!$B$6,S42=MASTER!$B$7,S42=MASTER!$B$8,S42=MASTER!$B$9,S42=MASTER!$B$10,S42=MASTER!$B$11,S42=MASTER!$B$12,S42=MASTER!$B$13,S42=MASTER!$B$93,S42=MASTER!$B$94,S42=MASTER!$B$128,S42=MASTER!$B$129,S42=MASTER!$B$130,S42=MASTER!$B$131,S42=MASTER!$B$132,S42=MASTER!$B$136,S42=MASTER!$B$137),(CONCATENATE(VLOOKUP(S42,MASTER!$B:$J,9,0),Table5[[#This Row],[TOP FOAM/REBOUND LENGTH]],"X",Table5[[#This Row],[TOP FOAM / REBOUND WIDTH]],"X",VLOOKUP(Table5[[#This Row],[VARIETY ]],MASTER!$B:$K,10,0))),"")</f>
        <v/>
      </c>
      <c r="AD42" s="73">
        <f>+Table2[[#This Row],[QTY]]*1</f>
        <v>0</v>
      </c>
      <c r="AE42" s="71" t="str">
        <f>IF(OR(S42=MASTER!$B$2,S42=MASTER!$B$3,S42=MASTER!$B$4,S42=MASTER!$B$5,S42=MASTER!$B$6,S42=MASTER!$B$7,S42=MASTER!$B$8,S42=MASTER!$B$9,S42=MASTER!$B$136,S42=MASTER!$B$10,S42=MASTER!$B$11,S42=MASTER!$B$12,S42=MASTER!$B$13,S42=MASTER!$B$2,S42=MASTER!$B$132,S42=MASTER!$B$137),(CONCATENATE(VLOOKUP(S42,MASTER!$B:$J,9,0),Table5[[#This Row],[TOP FOAM/REBOUND LENGTH]],"X",Table5[[#This Row],[TOP FOAM / REBOUND WIDTH]],"X",VLOOKUP(Table5[[#This Row],[VARIETY ]],MASTER!$B:$L,11,0))),"")</f>
        <v/>
      </c>
      <c r="AF42" s="74">
        <f>+Table2[[#This Row],[QTY]]*1</f>
        <v>0</v>
      </c>
      <c r="AH42" s="60" t="str">
        <f>+Table2[[#This Row],[VARIETY]]</f>
        <v/>
      </c>
      <c r="AI42" s="65">
        <f>IFERROR(Table2[[#This Row],[STD-L]]-VLOOKUP(AH42,MASTER!$B:$E,4,0),0)</f>
        <v>0</v>
      </c>
      <c r="AJ42" s="65">
        <f>IFERROR(Table2[[#This Row],[STD-W]]-VLOOKUP(AH42,MASTER!$B:$F,5,0),0)</f>
        <v>0</v>
      </c>
      <c r="AK42" s="65" t="str">
        <f t="shared" si="24"/>
        <v/>
      </c>
      <c r="AL42" s="66" t="str">
        <f t="shared" si="25"/>
        <v/>
      </c>
      <c r="AN42" s="75" t="str">
        <f>IFERROR(CONCATENATE(VLOOKUP(AH42,MASTER!$B:$H,7,0),Table510[[#This Row],[ACTUAL  LENGTH]],"0X",VLOOKUP(AH42,MASTER!$B:$G,6,0),"X",VLOOKUP(AH42,MASTER!$B:$I,8,0)),"")</f>
        <v/>
      </c>
      <c r="AO42" s="71" t="str">
        <f>IFERROR(((VLOOKUP(Table611[[#This Row],[LENGTHSIZE]],'ALL NEW ITEM '!$E:$F,2,0)*2)*Q42),"")</f>
        <v/>
      </c>
      <c r="AP42" s="71" t="str">
        <f>IFERROR(IF(VLOOKUP(AH42,MASTER!$B:$I,8,0)="40MM",(CONCATENATE(VLOOKUP(AH42,MASTER!$B:$H,7,0),Table510[[#This Row],[ACTUAL WIDTH]],"0X",VLOOKUP(AH42,MASTER!$B:$G,6,0),"X",VLOOKUP(AH42,MASTER!$B:$I,8,0))),(CONCATENATE(VLOOKUP(AH42,MASTER!$B:$H,7,0),Table510[[#This Row],[ACTUAL WIDTH]],"X",VLOOKUP(AH42,MASTER!$B:$G,6,0),"X",VLOOKUP(AH42,MASTER!$B:$I,8,0)))),"")</f>
        <v/>
      </c>
      <c r="AQ42" s="73" t="str">
        <f>+IFERROR(((VLOOKUP(AP42,'ALL NEW ITEM '!$E:$F,2,0)*2)*Table2[[#This Row],[QTY]]),"")</f>
        <v/>
      </c>
      <c r="AR42" s="71" t="str">
        <f>IF(OR(AH42=MASTER!$B$2,AH42=MASTER!$B$3,AH42=MASTER!$B$4,AH42=MASTER!$B$5,AH42=MASTER!$B$6,AH42=MASTER!$B$128,AH42=MASTER!$B$129,AH42=MASTER!$B$130,AH42=MASTER!$B$131,AH42=MASTER!$B$132,AH42=MASTER!$B$133,AH42=MASTER!$B$134,AH42=MASTER!$B$135,AH42=MASTER!$B$136,AH42=MASTER!$B$137),(CONCATENATE(VLOOKUP(AH42,MASTER!$B:$J,9,0),AK42,"0X",AL42,"0X",VLOOKUP(Table5[[#This Row],[VARIETY ]],MASTER!$B:$K,10,0))),"")</f>
        <v/>
      </c>
      <c r="AS42" s="73" t="str">
        <f>IFERROR(VLOOKUP(AR42,'ALL NEW ITEM '!$E:$F,2,0)*Q42,"")</f>
        <v/>
      </c>
      <c r="AT42" s="71" t="str">
        <f>IF(OR(AH42=MASTER!$B$2,AH42=MASTER!$B$3,AH42=MASTER!$B$4,AH42=MASTER!$B$5,AH42=MASTER!$B$6,AH42=MASTER!$B$2,AH42=MASTER!$B$132,AH42=MASTER!$B$135,AH42=MASTER!$B$136,AH42=MASTER!$B$137),(CONCATENATE(VLOOKUP(AH42,MASTER!$B:$J,9,0),AK42,"0X",AL42,"0X",VLOOKUP(Table5[[#This Row],[VARIETY ]],MASTER!$B:$L,11,0))),"")</f>
        <v/>
      </c>
      <c r="AU42" s="72" t="str">
        <f>IFERROR(VLOOKUP(Table611[[#This Row],[TOPFOAM/REBOUND14]],'ALL NEW ITEM '!$E:$F,2,0)*Q42,"")</f>
        <v/>
      </c>
    </row>
    <row r="43" spans="1:47">
      <c r="A43" s="60">
        <f t="shared" si="13"/>
        <v>42</v>
      </c>
      <c r="B43" s="60" t="str">
        <f>LEFT(Table1[[#This Row],[ITEM CODE]],MIN(FIND({0,1,2,3,4,5,6,7,8,9},Table1[[#This Row],[ITEM CODE]]&amp;"0123456789"))-1)</f>
        <v/>
      </c>
      <c r="C43" s="61" t="str">
        <f>SUBSTITUTE(Table1[[#This Row],[ITEM CODE]],B43,"")</f>
        <v/>
      </c>
      <c r="D43" s="61" t="str">
        <f t="shared" si="14"/>
        <v/>
      </c>
      <c r="E43" s="61" t="str">
        <f t="shared" si="16"/>
        <v/>
      </c>
      <c r="F43" s="61" t="str">
        <f t="shared" si="17"/>
        <v/>
      </c>
      <c r="G43" s="61" t="str">
        <f t="shared" si="18"/>
        <v/>
      </c>
      <c r="H43" s="61" t="str">
        <f t="shared" si="19"/>
        <v/>
      </c>
      <c r="I43" s="61" t="str">
        <f t="shared" si="20"/>
        <v/>
      </c>
      <c r="J43" s="61" t="str">
        <f>IFERROR(IF(Table2[[#This Row],[L]]&lt;Table2[[#This Row],[W]],Table2[[#This Row],[W]],Table2[[#This Row],[L]]),"")</f>
        <v/>
      </c>
      <c r="K43" s="61" t="str">
        <f>IF(Table2[[#This Row],[L]]&lt;Table2[[#This Row],[W]],Table2[[#This Row],[L]],Table2[[#This Row],[W]])</f>
        <v/>
      </c>
      <c r="L43" s="61" t="str">
        <f t="shared" si="21"/>
        <v/>
      </c>
      <c r="M43" s="61" t="str">
        <f t="shared" si="22"/>
        <v/>
      </c>
      <c r="N43" s="61" t="str">
        <f t="shared" si="23"/>
        <v>XX</v>
      </c>
      <c r="O43" s="61" t="str">
        <f t="shared" si="15"/>
        <v>XX</v>
      </c>
      <c r="P43" s="61" t="str">
        <f>+CONCATENATE(Table2[[#This Row],[1]],Table2[[#This Row],[H]])</f>
        <v/>
      </c>
      <c r="Q43" s="61">
        <f>+Table1[[#This Row],[QTY]]</f>
        <v>0</v>
      </c>
      <c r="S43" s="60" t="str">
        <f>+Table2[[#This Row],[VARIETY]]</f>
        <v/>
      </c>
      <c r="T43" s="65">
        <f>IFERROR(Table2[[#This Row],[L]]-VLOOKUP(Table5[[#This Row],[VARIETY ]],MASTER!$B:$E,4,0),0)</f>
        <v>0</v>
      </c>
      <c r="U43" s="65">
        <f>IFERROR(Table2[[#This Row],[W]]-VLOOKUP(Table5[[#This Row],[VARIETY ]],MASTER!$B:$F,5,0),0)</f>
        <v>0</v>
      </c>
      <c r="V43" s="65">
        <f>IFERROR(IF(VLOOKUP(Table5[[#This Row],[VARIETY ]],MASTER!$B:$M,12,0)=0,0,(Table2[[#This Row],[L]]-VLOOKUP(Table5[[#This Row],[VARIETY ]],MASTER!$B:$M,12,0))),0)</f>
        <v>0</v>
      </c>
      <c r="W43" s="66">
        <f>IFERROR(IF(VLOOKUP(Table5[[#This Row],[VARIETY ]],MASTER!$B:$N,13,0)=0,0,(Table2[[#This Row],[W]]-VLOOKUP(Table5[[#This Row],[VARIETY ]],MASTER!$B:$N,13,0))),0)</f>
        <v>0</v>
      </c>
      <c r="X43" s="65">
        <v>42</v>
      </c>
      <c r="Y43" s="70" t="str">
        <f>IFERROR(IF(VLOOKUP(S43,MASTER!$B:$I,8,0)="40MM",((CONCATENATE(VLOOKUP(S43,MASTER!$B:$H,7,0),T43,"X",VLOOKUP(S43,MASTER!$B:$G,6,0),"X",VLOOKUP(S43,MASTER!$B:$I,8,0)))),(CONCATENATE(VLOOKUP(S43,MASTER!$B:$H,7,0),T43,"X",VLOOKUP(S43,MASTER!$B:$G,6,0),"X",VLOOKUP(S43,MASTER!$B:$I,8,0)))),"")</f>
        <v/>
      </c>
      <c r="Z43" s="73">
        <f>Table2[[#This Row],[QTY]]*2</f>
        <v>0</v>
      </c>
      <c r="AA43" s="73" t="str">
        <f>IFERROR(IF(VLOOKUP(S43,MASTER!$B:$I,8,0)="40MM",((CONCATENATE(VLOOKUP(S43,MASTER!$B:$H,7,0),U43,"X",VLOOKUP(S43,MASTER!$B:$G,6,0),"X",VLOOKUP(S43,MASTER!$B:$I,8,0)))),((CONCATENATE(VLOOKUP(S43,MASTER!$B:$H,7,0),U43,"X",VLOOKUP(S43,MASTER!$B:$G,6,0),"X",VLOOKUP(S43,MASTER!$B:$I,8,0))))),"")</f>
        <v/>
      </c>
      <c r="AB43" s="73">
        <f>+Table2[[#This Row],[QTY]]*2</f>
        <v>0</v>
      </c>
      <c r="AC43" s="71" t="str">
        <f>IF(OR(S43=MASTER!$B$2,S43=MASTER!$B$3,S43=MASTER!$B$4,S43=MASTER!$B$5,S43=MASTER!$B$6,S43=MASTER!$B$7,S43=MASTER!$B$8,S43=MASTER!$B$9,S43=MASTER!$B$10,S43=MASTER!$B$11,S43=MASTER!$B$12,S43=MASTER!$B$13,S43=MASTER!$B$93,S43=MASTER!$B$94,S43=MASTER!$B$128,S43=MASTER!$B$129,S43=MASTER!$B$130,S43=MASTER!$B$131,S43=MASTER!$B$132,S43=MASTER!$B$136,S43=MASTER!$B$137),(CONCATENATE(VLOOKUP(S43,MASTER!$B:$J,9,0),Table5[[#This Row],[TOP FOAM/REBOUND LENGTH]],"X",Table5[[#This Row],[TOP FOAM / REBOUND WIDTH]],"X",VLOOKUP(Table5[[#This Row],[VARIETY ]],MASTER!$B:$K,10,0))),"")</f>
        <v/>
      </c>
      <c r="AD43" s="73">
        <f>+Table2[[#This Row],[QTY]]*1</f>
        <v>0</v>
      </c>
      <c r="AE43" s="71" t="str">
        <f>IF(OR(S43=MASTER!$B$2,S43=MASTER!$B$3,S43=MASTER!$B$4,S43=MASTER!$B$5,S43=MASTER!$B$6,S43=MASTER!$B$7,S43=MASTER!$B$8,S43=MASTER!$B$9,S43=MASTER!$B$136,S43=MASTER!$B$10,S43=MASTER!$B$11,S43=MASTER!$B$12,S43=MASTER!$B$13,S43=MASTER!$B$2,S43=MASTER!$B$132,S43=MASTER!$B$137),(CONCATENATE(VLOOKUP(S43,MASTER!$B:$J,9,0),Table5[[#This Row],[TOP FOAM/REBOUND LENGTH]],"X",Table5[[#This Row],[TOP FOAM / REBOUND WIDTH]],"X",VLOOKUP(Table5[[#This Row],[VARIETY ]],MASTER!$B:$L,11,0))),"")</f>
        <v/>
      </c>
      <c r="AF43" s="74">
        <f>+Table2[[#This Row],[QTY]]*1</f>
        <v>0</v>
      </c>
      <c r="AH43" s="60" t="str">
        <f>+Table2[[#This Row],[VARIETY]]</f>
        <v/>
      </c>
      <c r="AI43" s="65">
        <f>IFERROR(Table2[[#This Row],[STD-L]]-VLOOKUP(AH43,MASTER!$B:$E,4,0),0)</f>
        <v>0</v>
      </c>
      <c r="AJ43" s="65">
        <f>IFERROR(Table2[[#This Row],[STD-W]]-VLOOKUP(AH43,MASTER!$B:$F,5,0),0)</f>
        <v>0</v>
      </c>
      <c r="AK43" s="65" t="str">
        <f t="shared" si="24"/>
        <v/>
      </c>
      <c r="AL43" s="66" t="str">
        <f t="shared" si="25"/>
        <v/>
      </c>
      <c r="AN43" s="75" t="str">
        <f>IFERROR(CONCATENATE(VLOOKUP(AH43,MASTER!$B:$H,7,0),Table510[[#This Row],[ACTUAL  LENGTH]],"0X",VLOOKUP(AH43,MASTER!$B:$G,6,0),"X",VLOOKUP(AH43,MASTER!$B:$I,8,0)),"")</f>
        <v/>
      </c>
      <c r="AO43" s="71" t="str">
        <f>IFERROR(((VLOOKUP(Table611[[#This Row],[LENGTHSIZE]],'ALL NEW ITEM '!$E:$F,2,0)*2)*Q43),"")</f>
        <v/>
      </c>
      <c r="AP43" s="71" t="str">
        <f>IFERROR(IF(VLOOKUP(AH43,MASTER!$B:$I,8,0)="40MM",(CONCATENATE(VLOOKUP(AH43,MASTER!$B:$H,7,0),Table510[[#This Row],[ACTUAL WIDTH]],"0X",VLOOKUP(AH43,MASTER!$B:$G,6,0),"X",VLOOKUP(AH43,MASTER!$B:$I,8,0))),(CONCATENATE(VLOOKUP(AH43,MASTER!$B:$H,7,0),Table510[[#This Row],[ACTUAL WIDTH]],"X",VLOOKUP(AH43,MASTER!$B:$G,6,0),"X",VLOOKUP(AH43,MASTER!$B:$I,8,0)))),"")</f>
        <v/>
      </c>
      <c r="AQ43" s="73" t="str">
        <f>+IFERROR(((VLOOKUP(AP43,'ALL NEW ITEM '!$E:$F,2,0)*2)*Table2[[#This Row],[QTY]]),"")</f>
        <v/>
      </c>
      <c r="AR43" s="71" t="str">
        <f>IF(OR(AH43=MASTER!$B$2,AH43=MASTER!$B$3,AH43=MASTER!$B$4,AH43=MASTER!$B$5,AH43=MASTER!$B$6,AH43=MASTER!$B$128,AH43=MASTER!$B$129,AH43=MASTER!$B$130,AH43=MASTER!$B$131,AH43=MASTER!$B$132,AH43=MASTER!$B$133,AH43=MASTER!$B$134,AH43=MASTER!$B$135,AH43=MASTER!$B$136,AH43=MASTER!$B$137),(CONCATENATE(VLOOKUP(AH43,MASTER!$B:$J,9,0),AK43,"0X",AL43,"0X",VLOOKUP(Table5[[#This Row],[VARIETY ]],MASTER!$B:$K,10,0))),"")</f>
        <v/>
      </c>
      <c r="AS43" s="73" t="str">
        <f>IFERROR(VLOOKUP(AR43,'ALL NEW ITEM '!$E:$F,2,0)*Q43,"")</f>
        <v/>
      </c>
      <c r="AT43" s="71" t="str">
        <f>IF(OR(AH43=MASTER!$B$2,AH43=MASTER!$B$3,AH43=MASTER!$B$4,AH43=MASTER!$B$5,AH43=MASTER!$B$6,AH43=MASTER!$B$2,AH43=MASTER!$B$132,AH43=MASTER!$B$135,AH43=MASTER!$B$136,AH43=MASTER!$B$137),(CONCATENATE(VLOOKUP(AH43,MASTER!$B:$J,9,0),AK43,"0X",AL43,"0X",VLOOKUP(Table5[[#This Row],[VARIETY ]],MASTER!$B:$L,11,0))),"")</f>
        <v/>
      </c>
      <c r="AU43" s="72" t="str">
        <f>IFERROR(VLOOKUP(Table611[[#This Row],[TOPFOAM/REBOUND14]],'ALL NEW ITEM '!$E:$F,2,0)*Q43,"")</f>
        <v/>
      </c>
    </row>
    <row r="44" spans="1:47">
      <c r="A44" s="60">
        <f t="shared" si="13"/>
        <v>43</v>
      </c>
      <c r="B44" s="60" t="str">
        <f>LEFT(Table1[[#This Row],[ITEM CODE]],MIN(FIND({0,1,2,3,4,5,6,7,8,9},Table1[[#This Row],[ITEM CODE]]&amp;"0123456789"))-1)</f>
        <v/>
      </c>
      <c r="C44" s="61" t="str">
        <f>SUBSTITUTE(Table1[[#This Row],[ITEM CODE]],B44,"")</f>
        <v/>
      </c>
      <c r="D44" s="61" t="str">
        <f t="shared" si="14"/>
        <v/>
      </c>
      <c r="E44" s="61" t="str">
        <f t="shared" si="16"/>
        <v/>
      </c>
      <c r="F44" s="61" t="str">
        <f t="shared" si="17"/>
        <v/>
      </c>
      <c r="G44" s="61" t="str">
        <f t="shared" si="18"/>
        <v/>
      </c>
      <c r="H44" s="61" t="str">
        <f t="shared" si="19"/>
        <v/>
      </c>
      <c r="I44" s="61" t="str">
        <f t="shared" si="20"/>
        <v/>
      </c>
      <c r="J44" s="61" t="str">
        <f>IFERROR(IF(Table2[[#This Row],[L]]&lt;Table2[[#This Row],[W]],Table2[[#This Row],[W]],Table2[[#This Row],[L]]),"")</f>
        <v/>
      </c>
      <c r="K44" s="61" t="str">
        <f>IF(Table2[[#This Row],[L]]&lt;Table2[[#This Row],[W]],Table2[[#This Row],[L]],Table2[[#This Row],[W]])</f>
        <v/>
      </c>
      <c r="L44" s="61" t="str">
        <f t="shared" si="21"/>
        <v/>
      </c>
      <c r="M44" s="61" t="str">
        <f t="shared" si="22"/>
        <v/>
      </c>
      <c r="N44" s="61" t="str">
        <f t="shared" si="23"/>
        <v>XX</v>
      </c>
      <c r="O44" s="61" t="str">
        <f t="shared" si="15"/>
        <v>XX</v>
      </c>
      <c r="P44" s="61" t="str">
        <f>+CONCATENATE(Table2[[#This Row],[1]],Table2[[#This Row],[H]])</f>
        <v/>
      </c>
      <c r="Q44" s="61">
        <f>+Table1[[#This Row],[QTY]]</f>
        <v>0</v>
      </c>
      <c r="S44" s="60" t="str">
        <f>+Table2[[#This Row],[VARIETY]]</f>
        <v/>
      </c>
      <c r="T44" s="65">
        <f>IFERROR(Table2[[#This Row],[L]]-VLOOKUP(Table5[[#This Row],[VARIETY ]],MASTER!$B:$E,4,0),0)</f>
        <v>0</v>
      </c>
      <c r="U44" s="65">
        <f>IFERROR(Table2[[#This Row],[W]]-VLOOKUP(Table5[[#This Row],[VARIETY ]],MASTER!$B:$F,5,0),0)</f>
        <v>0</v>
      </c>
      <c r="V44" s="65">
        <f>IFERROR(IF(VLOOKUP(Table5[[#This Row],[VARIETY ]],MASTER!$B:$M,12,0)=0,0,(Table2[[#This Row],[L]]-VLOOKUP(Table5[[#This Row],[VARIETY ]],MASTER!$B:$M,12,0))),0)</f>
        <v>0</v>
      </c>
      <c r="W44" s="66">
        <f>IFERROR(IF(VLOOKUP(Table5[[#This Row],[VARIETY ]],MASTER!$B:$N,13,0)=0,0,(Table2[[#This Row],[W]]-VLOOKUP(Table5[[#This Row],[VARIETY ]],MASTER!$B:$N,13,0))),0)</f>
        <v>0</v>
      </c>
      <c r="X44" s="67">
        <v>43</v>
      </c>
      <c r="Y44" s="70" t="str">
        <f>IFERROR(IF(VLOOKUP(S44,MASTER!$B:$I,8,0)="40MM",((CONCATENATE(VLOOKUP(S44,MASTER!$B:$H,7,0),T44,"X",VLOOKUP(S44,MASTER!$B:$G,6,0),"X",VLOOKUP(S44,MASTER!$B:$I,8,0)))),(CONCATENATE(VLOOKUP(S44,MASTER!$B:$H,7,0),T44,"X",VLOOKUP(S44,MASTER!$B:$G,6,0),"X",VLOOKUP(S44,MASTER!$B:$I,8,0)))),"")</f>
        <v/>
      </c>
      <c r="Z44" s="73">
        <f>Table2[[#This Row],[QTY]]*2</f>
        <v>0</v>
      </c>
      <c r="AA44" s="73" t="str">
        <f>IFERROR(IF(VLOOKUP(S44,MASTER!$B:$I,8,0)="40MM",((CONCATENATE(VLOOKUP(S44,MASTER!$B:$H,7,0),U44,"X",VLOOKUP(S44,MASTER!$B:$G,6,0),"X",VLOOKUP(S44,MASTER!$B:$I,8,0)))),((CONCATENATE(VLOOKUP(S44,MASTER!$B:$H,7,0),U44,"X",VLOOKUP(S44,MASTER!$B:$G,6,0),"X",VLOOKUP(S44,MASTER!$B:$I,8,0))))),"")</f>
        <v/>
      </c>
      <c r="AB44" s="73">
        <f>+Table2[[#This Row],[QTY]]*2</f>
        <v>0</v>
      </c>
      <c r="AC44" s="71" t="str">
        <f>IF(OR(S44=MASTER!$B$2,S44=MASTER!$B$3,S44=MASTER!$B$4,S44=MASTER!$B$5,S44=MASTER!$B$6,S44=MASTER!$B$7,S44=MASTER!$B$8,S44=MASTER!$B$9,S44=MASTER!$B$10,S44=MASTER!$B$11,S44=MASTER!$B$12,S44=MASTER!$B$13,S44=MASTER!$B$93,S44=MASTER!$B$94,S44=MASTER!$B$128,S44=MASTER!$B$129,S44=MASTER!$B$130,S44=MASTER!$B$131,S44=MASTER!$B$132,S44=MASTER!$B$136,S44=MASTER!$B$137),(CONCATENATE(VLOOKUP(S44,MASTER!$B:$J,9,0),Table5[[#This Row],[TOP FOAM/REBOUND LENGTH]],"X",Table5[[#This Row],[TOP FOAM / REBOUND WIDTH]],"X",VLOOKUP(Table5[[#This Row],[VARIETY ]],MASTER!$B:$K,10,0))),"")</f>
        <v/>
      </c>
      <c r="AD44" s="73">
        <f>+Table2[[#This Row],[QTY]]*1</f>
        <v>0</v>
      </c>
      <c r="AE44" s="71" t="str">
        <f>IF(OR(S44=MASTER!$B$2,S44=MASTER!$B$3,S44=MASTER!$B$4,S44=MASTER!$B$5,S44=MASTER!$B$6,S44=MASTER!$B$7,S44=MASTER!$B$8,S44=MASTER!$B$9,S44=MASTER!$B$136,S44=MASTER!$B$10,S44=MASTER!$B$11,S44=MASTER!$B$12,S44=MASTER!$B$13,S44=MASTER!$B$2,S44=MASTER!$B$132,S44=MASTER!$B$137),(CONCATENATE(VLOOKUP(S44,MASTER!$B:$J,9,0),Table5[[#This Row],[TOP FOAM/REBOUND LENGTH]],"X",Table5[[#This Row],[TOP FOAM / REBOUND WIDTH]],"X",VLOOKUP(Table5[[#This Row],[VARIETY ]],MASTER!$B:$L,11,0))),"")</f>
        <v/>
      </c>
      <c r="AF44" s="74">
        <f>+Table2[[#This Row],[QTY]]*1</f>
        <v>0</v>
      </c>
      <c r="AH44" s="60" t="str">
        <f>+Table2[[#This Row],[VARIETY]]</f>
        <v/>
      </c>
      <c r="AI44" s="65">
        <f>IFERROR(Table2[[#This Row],[STD-L]]-VLOOKUP(AH44,MASTER!$B:$E,4,0),0)</f>
        <v>0</v>
      </c>
      <c r="AJ44" s="65">
        <f>IFERROR(Table2[[#This Row],[STD-W]]-VLOOKUP(AH44,MASTER!$B:$F,5,0),0)</f>
        <v>0</v>
      </c>
      <c r="AK44" s="65" t="str">
        <f t="shared" si="24"/>
        <v/>
      </c>
      <c r="AL44" s="66" t="str">
        <f t="shared" si="25"/>
        <v/>
      </c>
      <c r="AN44" s="75" t="str">
        <f>IFERROR(CONCATENATE(VLOOKUP(AH44,MASTER!$B:$H,7,0),Table510[[#This Row],[ACTUAL  LENGTH]],"0X",VLOOKUP(AH44,MASTER!$B:$G,6,0),"X",VLOOKUP(AH44,MASTER!$B:$I,8,0)),"")</f>
        <v/>
      </c>
      <c r="AO44" s="71" t="str">
        <f>IFERROR(((VLOOKUP(Table611[[#This Row],[LENGTHSIZE]],'ALL NEW ITEM '!$E:$F,2,0)*2)*Q44),"")</f>
        <v/>
      </c>
      <c r="AP44" s="71" t="str">
        <f>IFERROR(IF(VLOOKUP(AH44,MASTER!$B:$I,8,0)="40MM",(CONCATENATE(VLOOKUP(AH44,MASTER!$B:$H,7,0),Table510[[#This Row],[ACTUAL WIDTH]],"0X",VLOOKUP(AH44,MASTER!$B:$G,6,0),"X",VLOOKUP(AH44,MASTER!$B:$I,8,0))),(CONCATENATE(VLOOKUP(AH44,MASTER!$B:$H,7,0),Table510[[#This Row],[ACTUAL WIDTH]],"X",VLOOKUP(AH44,MASTER!$B:$G,6,0),"X",VLOOKUP(AH44,MASTER!$B:$I,8,0)))),"")</f>
        <v/>
      </c>
      <c r="AQ44" s="73" t="str">
        <f>+IFERROR(((VLOOKUP(AP44,'ALL NEW ITEM '!$E:$F,2,0)*2)*Table2[[#This Row],[QTY]]),"")</f>
        <v/>
      </c>
      <c r="AR44" s="71" t="str">
        <f>IF(OR(AH44=MASTER!$B$2,AH44=MASTER!$B$3,AH44=MASTER!$B$4,AH44=MASTER!$B$5,AH44=MASTER!$B$6,AH44=MASTER!$B$128,AH44=MASTER!$B$129,AH44=MASTER!$B$130,AH44=MASTER!$B$131,AH44=MASTER!$B$132,AH44=MASTER!$B$133,AH44=MASTER!$B$134,AH44=MASTER!$B$135,AH44=MASTER!$B$136,AH44=MASTER!$B$137),(CONCATENATE(VLOOKUP(AH44,MASTER!$B:$J,9,0),AK44,"0X",AL44,"0X",VLOOKUP(Table5[[#This Row],[VARIETY ]],MASTER!$B:$K,10,0))),"")</f>
        <v/>
      </c>
      <c r="AS44" s="73" t="str">
        <f>IFERROR(VLOOKUP(AR44,'ALL NEW ITEM '!$E:$F,2,0)*Q44,"")</f>
        <v/>
      </c>
      <c r="AT44" s="71" t="str">
        <f>IF(OR(AH44=MASTER!$B$2,AH44=MASTER!$B$3,AH44=MASTER!$B$4,AH44=MASTER!$B$5,AH44=MASTER!$B$6,AH44=MASTER!$B$2,AH44=MASTER!$B$132,AH44=MASTER!$B$135,AH44=MASTER!$B$136,AH44=MASTER!$B$137),(CONCATENATE(VLOOKUP(AH44,MASTER!$B:$J,9,0),AK44,"0X",AL44,"0X",VLOOKUP(Table5[[#This Row],[VARIETY ]],MASTER!$B:$L,11,0))),"")</f>
        <v/>
      </c>
      <c r="AU44" s="72" t="str">
        <f>IFERROR(VLOOKUP(Table611[[#This Row],[TOPFOAM/REBOUND14]],'ALL NEW ITEM '!$E:$F,2,0)*Q44,"")</f>
        <v/>
      </c>
    </row>
    <row r="45" spans="1:47">
      <c r="A45" s="60">
        <f t="shared" si="13"/>
        <v>44</v>
      </c>
      <c r="B45" s="60" t="str">
        <f>LEFT(Table1[[#This Row],[ITEM CODE]],MIN(FIND({0,1,2,3,4,5,6,7,8,9},Table1[[#This Row],[ITEM CODE]]&amp;"0123456789"))-1)</f>
        <v/>
      </c>
      <c r="C45" s="61" t="str">
        <f>SUBSTITUTE(Table1[[#This Row],[ITEM CODE]],B45,"")</f>
        <v/>
      </c>
      <c r="D45" s="61" t="str">
        <f t="shared" si="14"/>
        <v/>
      </c>
      <c r="E45" s="61" t="str">
        <f t="shared" si="16"/>
        <v/>
      </c>
      <c r="F45" s="61" t="str">
        <f t="shared" si="17"/>
        <v/>
      </c>
      <c r="G45" s="61" t="str">
        <f t="shared" si="18"/>
        <v/>
      </c>
      <c r="H45" s="61" t="str">
        <f t="shared" si="19"/>
        <v/>
      </c>
      <c r="I45" s="61" t="str">
        <f t="shared" si="20"/>
        <v/>
      </c>
      <c r="J45" s="61" t="str">
        <f>IFERROR(IF(Table2[[#This Row],[L]]&lt;Table2[[#This Row],[W]],Table2[[#This Row],[W]],Table2[[#This Row],[L]]),"")</f>
        <v/>
      </c>
      <c r="K45" s="61" t="str">
        <f>IF(Table2[[#This Row],[L]]&lt;Table2[[#This Row],[W]],Table2[[#This Row],[L]],Table2[[#This Row],[W]])</f>
        <v/>
      </c>
      <c r="L45" s="61" t="str">
        <f t="shared" si="21"/>
        <v/>
      </c>
      <c r="M45" s="61" t="str">
        <f t="shared" si="22"/>
        <v/>
      </c>
      <c r="N45" s="61" t="str">
        <f t="shared" si="23"/>
        <v>XX</v>
      </c>
      <c r="O45" s="61" t="str">
        <f t="shared" si="15"/>
        <v>XX</v>
      </c>
      <c r="P45" s="61" t="str">
        <f>+CONCATENATE(Table2[[#This Row],[1]],Table2[[#This Row],[H]])</f>
        <v/>
      </c>
      <c r="Q45" s="61">
        <f>+Table1[[#This Row],[QTY]]</f>
        <v>0</v>
      </c>
      <c r="S45" s="60" t="str">
        <f>+Table2[[#This Row],[VARIETY]]</f>
        <v/>
      </c>
      <c r="T45" s="65">
        <f>IFERROR(Table2[[#This Row],[L]]-VLOOKUP(Table5[[#This Row],[VARIETY ]],MASTER!$B:$E,4,0),0)</f>
        <v>0</v>
      </c>
      <c r="U45" s="65">
        <f>IFERROR(Table2[[#This Row],[W]]-VLOOKUP(Table5[[#This Row],[VARIETY ]],MASTER!$B:$F,5,0),0)</f>
        <v>0</v>
      </c>
      <c r="V45" s="65">
        <f>IFERROR(IF(VLOOKUP(Table5[[#This Row],[VARIETY ]],MASTER!$B:$M,12,0)=0,0,(Table2[[#This Row],[L]]-VLOOKUP(Table5[[#This Row],[VARIETY ]],MASTER!$B:$M,12,0))),0)</f>
        <v>0</v>
      </c>
      <c r="W45" s="66">
        <f>IFERROR(IF(VLOOKUP(Table5[[#This Row],[VARIETY ]],MASTER!$B:$N,13,0)=0,0,(Table2[[#This Row],[W]]-VLOOKUP(Table5[[#This Row],[VARIETY ]],MASTER!$B:$N,13,0))),0)</f>
        <v>0</v>
      </c>
      <c r="X45" s="65">
        <v>44</v>
      </c>
      <c r="Y45" s="70" t="str">
        <f>IFERROR(IF(VLOOKUP(S45,MASTER!$B:$I,8,0)="40MM",((CONCATENATE(VLOOKUP(S45,MASTER!$B:$H,7,0),T45,"X",VLOOKUP(S45,MASTER!$B:$G,6,0),"X",VLOOKUP(S45,MASTER!$B:$I,8,0)))),(CONCATENATE(VLOOKUP(S45,MASTER!$B:$H,7,0),T45,"X",VLOOKUP(S45,MASTER!$B:$G,6,0),"X",VLOOKUP(S45,MASTER!$B:$I,8,0)))),"")</f>
        <v/>
      </c>
      <c r="Z45" s="73">
        <f>Table2[[#This Row],[QTY]]*2</f>
        <v>0</v>
      </c>
      <c r="AA45" s="73" t="str">
        <f>IFERROR(IF(VLOOKUP(S45,MASTER!$B:$I,8,0)="40MM",((CONCATENATE(VLOOKUP(S45,MASTER!$B:$H,7,0),U45,"X",VLOOKUP(S45,MASTER!$B:$G,6,0),"X",VLOOKUP(S45,MASTER!$B:$I,8,0)))),((CONCATENATE(VLOOKUP(S45,MASTER!$B:$H,7,0),U45,"X",VLOOKUP(S45,MASTER!$B:$G,6,0),"X",VLOOKUP(S45,MASTER!$B:$I,8,0))))),"")</f>
        <v/>
      </c>
      <c r="AB45" s="73">
        <f>+Table2[[#This Row],[QTY]]*2</f>
        <v>0</v>
      </c>
      <c r="AC45" s="71" t="str">
        <f>IF(OR(S45=MASTER!$B$2,S45=MASTER!$B$3,S45=MASTER!$B$4,S45=MASTER!$B$5,S45=MASTER!$B$6,S45=MASTER!$B$7,S45=MASTER!$B$8,S45=MASTER!$B$9,S45=MASTER!$B$10,S45=MASTER!$B$11,S45=MASTER!$B$12,S45=MASTER!$B$13,S45=MASTER!$B$93,S45=MASTER!$B$94,S45=MASTER!$B$128,S45=MASTER!$B$129,S45=MASTER!$B$130,S45=MASTER!$B$131,S45=MASTER!$B$132,S45=MASTER!$B$136,S45=MASTER!$B$137),(CONCATENATE(VLOOKUP(S45,MASTER!$B:$J,9,0),Table5[[#This Row],[TOP FOAM/REBOUND LENGTH]],"X",Table5[[#This Row],[TOP FOAM / REBOUND WIDTH]],"X",VLOOKUP(Table5[[#This Row],[VARIETY ]],MASTER!$B:$K,10,0))),"")</f>
        <v/>
      </c>
      <c r="AD45" s="73">
        <f>+Table2[[#This Row],[QTY]]*1</f>
        <v>0</v>
      </c>
      <c r="AE45" s="71" t="str">
        <f>IF(OR(S45=MASTER!$B$2,S45=MASTER!$B$3,S45=MASTER!$B$4,S45=MASTER!$B$5,S45=MASTER!$B$6,S45=MASTER!$B$7,S45=MASTER!$B$8,S45=MASTER!$B$9,S45=MASTER!$B$136,S45=MASTER!$B$10,S45=MASTER!$B$11,S45=MASTER!$B$12,S45=MASTER!$B$13,S45=MASTER!$B$2,S45=MASTER!$B$132,S45=MASTER!$B$137),(CONCATENATE(VLOOKUP(S45,MASTER!$B:$J,9,0),Table5[[#This Row],[TOP FOAM/REBOUND LENGTH]],"X",Table5[[#This Row],[TOP FOAM / REBOUND WIDTH]],"X",VLOOKUP(Table5[[#This Row],[VARIETY ]],MASTER!$B:$L,11,0))),"")</f>
        <v/>
      </c>
      <c r="AF45" s="74">
        <f>+Table2[[#This Row],[QTY]]*1</f>
        <v>0</v>
      </c>
      <c r="AH45" s="60" t="str">
        <f>+Table2[[#This Row],[VARIETY]]</f>
        <v/>
      </c>
      <c r="AI45" s="65">
        <f>IFERROR(Table2[[#This Row],[STD-L]]-VLOOKUP(AH45,MASTER!$B:$E,4,0),0)</f>
        <v>0</v>
      </c>
      <c r="AJ45" s="65">
        <f>IFERROR(Table2[[#This Row],[STD-W]]-VLOOKUP(AH45,MASTER!$B:$F,5,0),0)</f>
        <v>0</v>
      </c>
      <c r="AK45" s="65" t="str">
        <f t="shared" si="24"/>
        <v/>
      </c>
      <c r="AL45" s="66" t="str">
        <f t="shared" si="25"/>
        <v/>
      </c>
      <c r="AN45" s="75" t="str">
        <f>IFERROR(CONCATENATE(VLOOKUP(AH45,MASTER!$B:$H,7,0),Table510[[#This Row],[ACTUAL  LENGTH]],"0X",VLOOKUP(AH45,MASTER!$B:$G,6,0),"X",VLOOKUP(AH45,MASTER!$B:$I,8,0)),"")</f>
        <v/>
      </c>
      <c r="AO45" s="71" t="str">
        <f>IFERROR(((VLOOKUP(Table611[[#This Row],[LENGTHSIZE]],'ALL NEW ITEM '!$E:$F,2,0)*2)*Q45),"")</f>
        <v/>
      </c>
      <c r="AP45" s="71" t="str">
        <f>IFERROR(IF(VLOOKUP(AH45,MASTER!$B:$I,8,0)="40MM",(CONCATENATE(VLOOKUP(AH45,MASTER!$B:$H,7,0),Table510[[#This Row],[ACTUAL WIDTH]],"0X",VLOOKUP(AH45,MASTER!$B:$G,6,0),"X",VLOOKUP(AH45,MASTER!$B:$I,8,0))),(CONCATENATE(VLOOKUP(AH45,MASTER!$B:$H,7,0),Table510[[#This Row],[ACTUAL WIDTH]],"X",VLOOKUP(AH45,MASTER!$B:$G,6,0),"X",VLOOKUP(AH45,MASTER!$B:$I,8,0)))),"")</f>
        <v/>
      </c>
      <c r="AQ45" s="73" t="str">
        <f>+IFERROR(((VLOOKUP(AP45,'ALL NEW ITEM '!$E:$F,2,0)*2)*Table2[[#This Row],[QTY]]),"")</f>
        <v/>
      </c>
      <c r="AR45" s="71" t="str">
        <f>IF(OR(AH45=MASTER!$B$2,AH45=MASTER!$B$3,AH45=MASTER!$B$4,AH45=MASTER!$B$5,AH45=MASTER!$B$6,AH45=MASTER!$B$128,AH45=MASTER!$B$129,AH45=MASTER!$B$130,AH45=MASTER!$B$131,AH45=MASTER!$B$132,AH45=MASTER!$B$133,AH45=MASTER!$B$134,AH45=MASTER!$B$135,AH45=MASTER!$B$136,AH45=MASTER!$B$137),(CONCATENATE(VLOOKUP(AH45,MASTER!$B:$J,9,0),AK45,"0X",AL45,"0X",VLOOKUP(Table5[[#This Row],[VARIETY ]],MASTER!$B:$K,10,0))),"")</f>
        <v/>
      </c>
      <c r="AS45" s="73" t="str">
        <f>IFERROR(VLOOKUP(AR45,'ALL NEW ITEM '!$E:$F,2,0)*Q45,"")</f>
        <v/>
      </c>
      <c r="AT45" s="71" t="str">
        <f>IF(OR(AH45=MASTER!$B$2,AH45=MASTER!$B$3,AH45=MASTER!$B$4,AH45=MASTER!$B$5,AH45=MASTER!$B$6,AH45=MASTER!$B$2,AH45=MASTER!$B$132,AH45=MASTER!$B$135,AH45=MASTER!$B$136,AH45=MASTER!$B$137),(CONCATENATE(VLOOKUP(AH45,MASTER!$B:$J,9,0),AK45,"0X",AL45,"0X",VLOOKUP(Table5[[#This Row],[VARIETY ]],MASTER!$B:$L,11,0))),"")</f>
        <v/>
      </c>
      <c r="AU45" s="72" t="str">
        <f>IFERROR(VLOOKUP(Table611[[#This Row],[TOPFOAM/REBOUND14]],'ALL NEW ITEM '!$E:$F,2,0)*Q45,"")</f>
        <v/>
      </c>
    </row>
    <row r="46" spans="1:47">
      <c r="A46" s="60">
        <f t="shared" si="13"/>
        <v>45</v>
      </c>
      <c r="B46" s="60" t="str">
        <f>LEFT(Table1[[#This Row],[ITEM CODE]],MIN(FIND({0,1,2,3,4,5,6,7,8,9},Table1[[#This Row],[ITEM CODE]]&amp;"0123456789"))-1)</f>
        <v/>
      </c>
      <c r="C46" s="61" t="str">
        <f>SUBSTITUTE(Table1[[#This Row],[ITEM CODE]],B46,"")</f>
        <v/>
      </c>
      <c r="D46" s="61" t="str">
        <f t="shared" si="14"/>
        <v/>
      </c>
      <c r="E46" s="61" t="str">
        <f t="shared" si="16"/>
        <v/>
      </c>
      <c r="F46" s="61" t="str">
        <f t="shared" si="17"/>
        <v/>
      </c>
      <c r="G46" s="61" t="str">
        <f t="shared" si="18"/>
        <v/>
      </c>
      <c r="H46" s="61" t="str">
        <f t="shared" si="19"/>
        <v/>
      </c>
      <c r="I46" s="61" t="str">
        <f t="shared" si="20"/>
        <v/>
      </c>
      <c r="J46" s="61" t="str">
        <f>IFERROR(IF(Table2[[#This Row],[L]]&lt;Table2[[#This Row],[W]],Table2[[#This Row],[W]],Table2[[#This Row],[L]]),"")</f>
        <v/>
      </c>
      <c r="K46" s="61" t="str">
        <f>IF(Table2[[#This Row],[L]]&lt;Table2[[#This Row],[W]],Table2[[#This Row],[L]],Table2[[#This Row],[W]])</f>
        <v/>
      </c>
      <c r="L46" s="61" t="str">
        <f t="shared" si="21"/>
        <v/>
      </c>
      <c r="M46" s="61" t="str">
        <f t="shared" si="22"/>
        <v/>
      </c>
      <c r="N46" s="61" t="str">
        <f t="shared" si="23"/>
        <v>XX</v>
      </c>
      <c r="O46" s="61" t="str">
        <f t="shared" si="15"/>
        <v>XX</v>
      </c>
      <c r="P46" s="61" t="str">
        <f>+CONCATENATE(Table2[[#This Row],[1]],Table2[[#This Row],[H]])</f>
        <v/>
      </c>
      <c r="Q46" s="61">
        <f>+Table1[[#This Row],[QTY]]</f>
        <v>0</v>
      </c>
      <c r="S46" s="60" t="str">
        <f>+Table2[[#This Row],[VARIETY]]</f>
        <v/>
      </c>
      <c r="T46" s="65">
        <f>IFERROR(Table2[[#This Row],[L]]-VLOOKUP(Table5[[#This Row],[VARIETY ]],MASTER!$B:$E,4,0),0)</f>
        <v>0</v>
      </c>
      <c r="U46" s="65">
        <f>IFERROR(Table2[[#This Row],[W]]-VLOOKUP(Table5[[#This Row],[VARIETY ]],MASTER!$B:$F,5,0),0)</f>
        <v>0</v>
      </c>
      <c r="V46" s="65">
        <f>IFERROR(IF(VLOOKUP(Table5[[#This Row],[VARIETY ]],MASTER!$B:$M,12,0)=0,0,(Table2[[#This Row],[L]]-VLOOKUP(Table5[[#This Row],[VARIETY ]],MASTER!$B:$M,12,0))),0)</f>
        <v>0</v>
      </c>
      <c r="W46" s="66">
        <f>IFERROR(IF(VLOOKUP(Table5[[#This Row],[VARIETY ]],MASTER!$B:$N,13,0)=0,0,(Table2[[#This Row],[W]]-VLOOKUP(Table5[[#This Row],[VARIETY ]],MASTER!$B:$N,13,0))),0)</f>
        <v>0</v>
      </c>
      <c r="X46" s="67">
        <v>45</v>
      </c>
      <c r="Y46" s="70" t="str">
        <f>IFERROR(IF(VLOOKUP(S46,MASTER!$B:$I,8,0)="40MM",((CONCATENATE(VLOOKUP(S46,MASTER!$B:$H,7,0),T46,"X",VLOOKUP(S46,MASTER!$B:$G,6,0),"X",VLOOKUP(S46,MASTER!$B:$I,8,0)))),(CONCATENATE(VLOOKUP(S46,MASTER!$B:$H,7,0),T46,"X",VLOOKUP(S46,MASTER!$B:$G,6,0),"X",VLOOKUP(S46,MASTER!$B:$I,8,0)))),"")</f>
        <v/>
      </c>
      <c r="Z46" s="73">
        <f>Table2[[#This Row],[QTY]]*2</f>
        <v>0</v>
      </c>
      <c r="AA46" s="73" t="str">
        <f>IFERROR(IF(VLOOKUP(S46,MASTER!$B:$I,8,0)="40MM",((CONCATENATE(VLOOKUP(S46,MASTER!$B:$H,7,0),U46,"X",VLOOKUP(S46,MASTER!$B:$G,6,0),"X",VLOOKUP(S46,MASTER!$B:$I,8,0)))),((CONCATENATE(VLOOKUP(S46,MASTER!$B:$H,7,0),U46,"X",VLOOKUP(S46,MASTER!$B:$G,6,0),"X",VLOOKUP(S46,MASTER!$B:$I,8,0))))),"")</f>
        <v/>
      </c>
      <c r="AB46" s="73">
        <f>+Table2[[#This Row],[QTY]]*2</f>
        <v>0</v>
      </c>
      <c r="AC46" s="71" t="str">
        <f>IF(OR(S46=MASTER!$B$2,S46=MASTER!$B$3,S46=MASTER!$B$4,S46=MASTER!$B$5,S46=MASTER!$B$6,S46=MASTER!$B$7,S46=MASTER!$B$8,S46=MASTER!$B$9,S46=MASTER!$B$10,S46=MASTER!$B$11,S46=MASTER!$B$12,S46=MASTER!$B$13,S46=MASTER!$B$93,S46=MASTER!$B$94,S46=MASTER!$B$128,S46=MASTER!$B$129,S46=MASTER!$B$130,S46=MASTER!$B$131,S46=MASTER!$B$132,S46=MASTER!$B$136,S46=MASTER!$B$137),(CONCATENATE(VLOOKUP(S46,MASTER!$B:$J,9,0),Table5[[#This Row],[TOP FOAM/REBOUND LENGTH]],"X",Table5[[#This Row],[TOP FOAM / REBOUND WIDTH]],"X",VLOOKUP(Table5[[#This Row],[VARIETY ]],MASTER!$B:$K,10,0))),"")</f>
        <v/>
      </c>
      <c r="AD46" s="73">
        <f>+Table2[[#This Row],[QTY]]*1</f>
        <v>0</v>
      </c>
      <c r="AE46" s="71" t="str">
        <f>IF(OR(S46=MASTER!$B$2,S46=MASTER!$B$3,S46=MASTER!$B$4,S46=MASTER!$B$5,S46=MASTER!$B$6,S46=MASTER!$B$7,S46=MASTER!$B$8,S46=MASTER!$B$9,S46=MASTER!$B$136,S46=MASTER!$B$10,S46=MASTER!$B$11,S46=MASTER!$B$12,S46=MASTER!$B$13,S46=MASTER!$B$2,S46=MASTER!$B$132,S46=MASTER!$B$137),(CONCATENATE(VLOOKUP(S46,MASTER!$B:$J,9,0),Table5[[#This Row],[TOP FOAM/REBOUND LENGTH]],"X",Table5[[#This Row],[TOP FOAM / REBOUND WIDTH]],"X",VLOOKUP(Table5[[#This Row],[VARIETY ]],MASTER!$B:$L,11,0))),"")</f>
        <v/>
      </c>
      <c r="AF46" s="74">
        <f>+Table2[[#This Row],[QTY]]*1</f>
        <v>0</v>
      </c>
      <c r="AH46" s="60" t="str">
        <f>+Table2[[#This Row],[VARIETY]]</f>
        <v/>
      </c>
      <c r="AI46" s="65">
        <f>IFERROR(Table2[[#This Row],[STD-L]]-VLOOKUP(AH46,MASTER!$B:$E,4,0),0)</f>
        <v>0</v>
      </c>
      <c r="AJ46" s="65">
        <f>IFERROR(Table2[[#This Row],[STD-W]]-VLOOKUP(AH46,MASTER!$B:$F,5,0),0)</f>
        <v>0</v>
      </c>
      <c r="AK46" s="65" t="str">
        <f t="shared" si="24"/>
        <v/>
      </c>
      <c r="AL46" s="66" t="str">
        <f t="shared" si="25"/>
        <v/>
      </c>
      <c r="AN46" s="75" t="str">
        <f>IFERROR(CONCATENATE(VLOOKUP(AH46,MASTER!$B:$H,7,0),Table510[[#This Row],[ACTUAL  LENGTH]],"0X",VLOOKUP(AH46,MASTER!$B:$G,6,0),"X",VLOOKUP(AH46,MASTER!$B:$I,8,0)),"")</f>
        <v/>
      </c>
      <c r="AO46" s="71" t="str">
        <f>IFERROR(((VLOOKUP(Table611[[#This Row],[LENGTHSIZE]],'ALL NEW ITEM '!$E:$F,2,0)*2)*Q46),"")</f>
        <v/>
      </c>
      <c r="AP46" s="71" t="str">
        <f>IFERROR(IF(VLOOKUP(AH46,MASTER!$B:$I,8,0)="40MM",(CONCATENATE(VLOOKUP(AH46,MASTER!$B:$H,7,0),Table510[[#This Row],[ACTUAL WIDTH]],"0X",VLOOKUP(AH46,MASTER!$B:$G,6,0),"X",VLOOKUP(AH46,MASTER!$B:$I,8,0))),(CONCATENATE(VLOOKUP(AH46,MASTER!$B:$H,7,0),Table510[[#This Row],[ACTUAL WIDTH]],"X",VLOOKUP(AH46,MASTER!$B:$G,6,0),"X",VLOOKUP(AH46,MASTER!$B:$I,8,0)))),"")</f>
        <v/>
      </c>
      <c r="AQ46" s="73" t="str">
        <f>+IFERROR(((VLOOKUP(AP46,'ALL NEW ITEM '!$E:$F,2,0)*2)*Table2[[#This Row],[QTY]]),"")</f>
        <v/>
      </c>
      <c r="AR46" s="71" t="str">
        <f>IF(OR(AH46=MASTER!$B$2,AH46=MASTER!$B$3,AH46=MASTER!$B$4,AH46=MASTER!$B$5,AH46=MASTER!$B$6,AH46=MASTER!$B$128,AH46=MASTER!$B$129,AH46=MASTER!$B$130,AH46=MASTER!$B$131,AH46=MASTER!$B$132,AH46=MASTER!$B$133,AH46=MASTER!$B$134,AH46=MASTER!$B$135,AH46=MASTER!$B$136,AH46=MASTER!$B$137),(CONCATENATE(VLOOKUP(AH46,MASTER!$B:$J,9,0),AK46,"0X",AL46,"0X",VLOOKUP(Table5[[#This Row],[VARIETY ]],MASTER!$B:$K,10,0))),"")</f>
        <v/>
      </c>
      <c r="AS46" s="73" t="str">
        <f>IFERROR(VLOOKUP(AR46,'ALL NEW ITEM '!$E:$F,2,0)*Q46,"")</f>
        <v/>
      </c>
      <c r="AT46" s="71" t="str">
        <f>IF(OR(AH46=MASTER!$B$2,AH46=MASTER!$B$3,AH46=MASTER!$B$4,AH46=MASTER!$B$5,AH46=MASTER!$B$6,AH46=MASTER!$B$2,AH46=MASTER!$B$132,AH46=MASTER!$B$135,AH46=MASTER!$B$136,AH46=MASTER!$B$137),(CONCATENATE(VLOOKUP(AH46,MASTER!$B:$J,9,0),AK46,"0X",AL46,"0X",VLOOKUP(Table5[[#This Row],[VARIETY ]],MASTER!$B:$L,11,0))),"")</f>
        <v/>
      </c>
      <c r="AU46" s="72" t="str">
        <f>IFERROR(VLOOKUP(Table611[[#This Row],[TOPFOAM/REBOUND14]],'ALL NEW ITEM '!$E:$F,2,0)*Q46,"")</f>
        <v/>
      </c>
    </row>
    <row r="47" spans="1:47">
      <c r="A47" s="60">
        <f t="shared" si="13"/>
        <v>46</v>
      </c>
      <c r="B47" s="60" t="str">
        <f>LEFT(Table1[[#This Row],[ITEM CODE]],MIN(FIND({0,1,2,3,4,5,6,7,8,9},Table1[[#This Row],[ITEM CODE]]&amp;"0123456789"))-1)</f>
        <v/>
      </c>
      <c r="C47" s="61" t="str">
        <f>SUBSTITUTE(Table1[[#This Row],[ITEM CODE]],B47,"")</f>
        <v/>
      </c>
      <c r="D47" s="61" t="str">
        <f t="shared" si="14"/>
        <v/>
      </c>
      <c r="E47" s="61" t="str">
        <f t="shared" si="16"/>
        <v/>
      </c>
      <c r="F47" s="61" t="str">
        <f t="shared" si="17"/>
        <v/>
      </c>
      <c r="G47" s="61" t="str">
        <f t="shared" si="18"/>
        <v/>
      </c>
      <c r="H47" s="61" t="str">
        <f t="shared" si="19"/>
        <v/>
      </c>
      <c r="I47" s="61" t="str">
        <f t="shared" si="20"/>
        <v/>
      </c>
      <c r="J47" s="61" t="str">
        <f>IFERROR(IF(Table2[[#This Row],[L]]&lt;Table2[[#This Row],[W]],Table2[[#This Row],[W]],Table2[[#This Row],[L]]),"")</f>
        <v/>
      </c>
      <c r="K47" s="61" t="str">
        <f>IF(Table2[[#This Row],[L]]&lt;Table2[[#This Row],[W]],Table2[[#This Row],[L]],Table2[[#This Row],[W]])</f>
        <v/>
      </c>
      <c r="L47" s="61" t="str">
        <f t="shared" si="21"/>
        <v/>
      </c>
      <c r="M47" s="61" t="str">
        <f t="shared" si="22"/>
        <v/>
      </c>
      <c r="N47" s="61" t="str">
        <f t="shared" si="23"/>
        <v>XX</v>
      </c>
      <c r="O47" s="61" t="str">
        <f t="shared" si="15"/>
        <v>XX</v>
      </c>
      <c r="P47" s="61" t="str">
        <f>+CONCATENATE(Table2[[#This Row],[1]],Table2[[#This Row],[H]])</f>
        <v/>
      </c>
      <c r="Q47" s="61">
        <f>+Table1[[#This Row],[QTY]]</f>
        <v>0</v>
      </c>
      <c r="S47" s="60" t="str">
        <f>+Table2[[#This Row],[VARIETY]]</f>
        <v/>
      </c>
      <c r="T47" s="65">
        <f>IFERROR(Table2[[#This Row],[L]]-VLOOKUP(Table5[[#This Row],[VARIETY ]],MASTER!$B:$E,4,0),0)</f>
        <v>0</v>
      </c>
      <c r="U47" s="65">
        <f>IFERROR(Table2[[#This Row],[W]]-VLOOKUP(Table5[[#This Row],[VARIETY ]],MASTER!$B:$F,5,0),0)</f>
        <v>0</v>
      </c>
      <c r="V47" s="65">
        <f>IFERROR(IF(VLOOKUP(Table5[[#This Row],[VARIETY ]],MASTER!$B:$M,12,0)=0,0,(Table2[[#This Row],[L]]-VLOOKUP(Table5[[#This Row],[VARIETY ]],MASTER!$B:$M,12,0))),0)</f>
        <v>0</v>
      </c>
      <c r="W47" s="66">
        <f>IFERROR(IF(VLOOKUP(Table5[[#This Row],[VARIETY ]],MASTER!$B:$N,13,0)=0,0,(Table2[[#This Row],[W]]-VLOOKUP(Table5[[#This Row],[VARIETY ]],MASTER!$B:$N,13,0))),0)</f>
        <v>0</v>
      </c>
      <c r="X47" s="65">
        <v>46</v>
      </c>
      <c r="Y47" s="70" t="str">
        <f>IFERROR(IF(VLOOKUP(S47,MASTER!$B:$I,8,0)="40MM",((CONCATENATE(VLOOKUP(S47,MASTER!$B:$H,7,0),T47,"X",VLOOKUP(S47,MASTER!$B:$G,6,0),"X",VLOOKUP(S47,MASTER!$B:$I,8,0)))),(CONCATENATE(VLOOKUP(S47,MASTER!$B:$H,7,0),T47,"X",VLOOKUP(S47,MASTER!$B:$G,6,0),"X",VLOOKUP(S47,MASTER!$B:$I,8,0)))),"")</f>
        <v/>
      </c>
      <c r="Z47" s="73">
        <f>Table2[[#This Row],[QTY]]*2</f>
        <v>0</v>
      </c>
      <c r="AA47" s="73" t="str">
        <f>IFERROR(IF(VLOOKUP(S47,MASTER!$B:$I,8,0)="40MM",((CONCATENATE(VLOOKUP(S47,MASTER!$B:$H,7,0),U47,"X",VLOOKUP(S47,MASTER!$B:$G,6,0),"X",VLOOKUP(S47,MASTER!$B:$I,8,0)))),((CONCATENATE(VLOOKUP(S47,MASTER!$B:$H,7,0),U47,"X",VLOOKUP(S47,MASTER!$B:$G,6,0),"X",VLOOKUP(S47,MASTER!$B:$I,8,0))))),"")</f>
        <v/>
      </c>
      <c r="AB47" s="73">
        <f>+Table2[[#This Row],[QTY]]*2</f>
        <v>0</v>
      </c>
      <c r="AC47" s="71" t="str">
        <f>IF(OR(S47=MASTER!$B$2,S47=MASTER!$B$3,S47=MASTER!$B$4,S47=MASTER!$B$5,S47=MASTER!$B$6,S47=MASTER!$B$7,S47=MASTER!$B$8,S47=MASTER!$B$9,S47=MASTER!$B$10,S47=MASTER!$B$11,S47=MASTER!$B$12,S47=MASTER!$B$13,S47=MASTER!$B$93,S47=MASTER!$B$94,S47=MASTER!$B$128,S47=MASTER!$B$129,S47=MASTER!$B$130,S47=MASTER!$B$131,S47=MASTER!$B$132,S47=MASTER!$B$136,S47=MASTER!$B$137),(CONCATENATE(VLOOKUP(S47,MASTER!$B:$J,9,0),Table5[[#This Row],[TOP FOAM/REBOUND LENGTH]],"X",Table5[[#This Row],[TOP FOAM / REBOUND WIDTH]],"X",VLOOKUP(Table5[[#This Row],[VARIETY ]],MASTER!$B:$K,10,0))),"")</f>
        <v/>
      </c>
      <c r="AD47" s="73">
        <f>+Table2[[#This Row],[QTY]]*1</f>
        <v>0</v>
      </c>
      <c r="AE47" s="71" t="str">
        <f>IF(OR(S47=MASTER!$B$2,S47=MASTER!$B$3,S47=MASTER!$B$4,S47=MASTER!$B$5,S47=MASTER!$B$6,S47=MASTER!$B$7,S47=MASTER!$B$8,S47=MASTER!$B$9,S47=MASTER!$B$136,S47=MASTER!$B$10,S47=MASTER!$B$11,S47=MASTER!$B$12,S47=MASTER!$B$13,S47=MASTER!$B$2,S47=MASTER!$B$132,S47=MASTER!$B$137),(CONCATENATE(VLOOKUP(S47,MASTER!$B:$J,9,0),Table5[[#This Row],[TOP FOAM/REBOUND LENGTH]],"X",Table5[[#This Row],[TOP FOAM / REBOUND WIDTH]],"X",VLOOKUP(Table5[[#This Row],[VARIETY ]],MASTER!$B:$L,11,0))),"")</f>
        <v/>
      </c>
      <c r="AF47" s="74">
        <f>+Table2[[#This Row],[QTY]]*1</f>
        <v>0</v>
      </c>
      <c r="AH47" s="60" t="str">
        <f>+Table2[[#This Row],[VARIETY]]</f>
        <v/>
      </c>
      <c r="AI47" s="65">
        <f>IFERROR(Table2[[#This Row],[STD-L]]-VLOOKUP(AH47,MASTER!$B:$E,4,0),0)</f>
        <v>0</v>
      </c>
      <c r="AJ47" s="65">
        <f>IFERROR(Table2[[#This Row],[STD-W]]-VLOOKUP(AH47,MASTER!$B:$F,5,0),0)</f>
        <v>0</v>
      </c>
      <c r="AK47" s="65" t="str">
        <f t="shared" si="24"/>
        <v/>
      </c>
      <c r="AL47" s="66" t="str">
        <f t="shared" si="25"/>
        <v/>
      </c>
      <c r="AN47" s="75" t="str">
        <f>IFERROR(CONCATENATE(VLOOKUP(AH47,MASTER!$B:$H,7,0),Table510[[#This Row],[ACTUAL  LENGTH]],"0X",VLOOKUP(AH47,MASTER!$B:$G,6,0),"X",VLOOKUP(AH47,MASTER!$B:$I,8,0)),"")</f>
        <v/>
      </c>
      <c r="AO47" s="71" t="str">
        <f>IFERROR(((VLOOKUP(Table611[[#This Row],[LENGTHSIZE]],'ALL NEW ITEM '!$E:$F,2,0)*2)*Q47),"")</f>
        <v/>
      </c>
      <c r="AP47" s="71" t="str">
        <f>IFERROR(IF(VLOOKUP(AH47,MASTER!$B:$I,8,0)="40MM",(CONCATENATE(VLOOKUP(AH47,MASTER!$B:$H,7,0),Table510[[#This Row],[ACTUAL WIDTH]],"0X",VLOOKUP(AH47,MASTER!$B:$G,6,0),"X",VLOOKUP(AH47,MASTER!$B:$I,8,0))),(CONCATENATE(VLOOKUP(AH47,MASTER!$B:$H,7,0),Table510[[#This Row],[ACTUAL WIDTH]],"X",VLOOKUP(AH47,MASTER!$B:$G,6,0),"X",VLOOKUP(AH47,MASTER!$B:$I,8,0)))),"")</f>
        <v/>
      </c>
      <c r="AQ47" s="73" t="str">
        <f>+IFERROR(((VLOOKUP(AP47,'ALL NEW ITEM '!$E:$F,2,0)*2)*Table2[[#This Row],[QTY]]),"")</f>
        <v/>
      </c>
      <c r="AR47" s="71" t="str">
        <f>IF(OR(AH47=MASTER!$B$2,AH47=MASTER!$B$3,AH47=MASTER!$B$4,AH47=MASTER!$B$5,AH47=MASTER!$B$6,AH47=MASTER!$B$128,AH47=MASTER!$B$129,AH47=MASTER!$B$130,AH47=MASTER!$B$131,AH47=MASTER!$B$132,AH47=MASTER!$B$133,AH47=MASTER!$B$134,AH47=MASTER!$B$135,AH47=MASTER!$B$136,AH47=MASTER!$B$137),(CONCATENATE(VLOOKUP(AH47,MASTER!$B:$J,9,0),AK47,"0X",AL47,"0X",VLOOKUP(Table5[[#This Row],[VARIETY ]],MASTER!$B:$K,10,0))),"")</f>
        <v/>
      </c>
      <c r="AS47" s="73" t="str">
        <f>IFERROR(VLOOKUP(AR47,'ALL NEW ITEM '!$E:$F,2,0)*Q47,"")</f>
        <v/>
      </c>
      <c r="AT47" s="71" t="str">
        <f>IF(OR(AH47=MASTER!$B$2,AH47=MASTER!$B$3,AH47=MASTER!$B$4,AH47=MASTER!$B$5,AH47=MASTER!$B$6,AH47=MASTER!$B$2,AH47=MASTER!$B$132,AH47=MASTER!$B$135,AH47=MASTER!$B$136,AH47=MASTER!$B$137),(CONCATENATE(VLOOKUP(AH47,MASTER!$B:$J,9,0),AK47,"0X",AL47,"0X",VLOOKUP(Table5[[#This Row],[VARIETY ]],MASTER!$B:$L,11,0))),"")</f>
        <v/>
      </c>
      <c r="AU47" s="72" t="str">
        <f>IFERROR(VLOOKUP(Table611[[#This Row],[TOPFOAM/REBOUND14]],'ALL NEW ITEM '!$E:$F,2,0)*Q47,"")</f>
        <v/>
      </c>
    </row>
    <row r="48" spans="1:47">
      <c r="A48" s="60">
        <f t="shared" si="13"/>
        <v>47</v>
      </c>
      <c r="B48" s="60" t="str">
        <f>LEFT(Table1[[#This Row],[ITEM CODE]],MIN(FIND({0,1,2,3,4,5,6,7,8,9},Table1[[#This Row],[ITEM CODE]]&amp;"0123456789"))-1)</f>
        <v/>
      </c>
      <c r="C48" s="61" t="str">
        <f>SUBSTITUTE(Table1[[#This Row],[ITEM CODE]],B48,"")</f>
        <v/>
      </c>
      <c r="D48" s="61" t="str">
        <f t="shared" si="14"/>
        <v/>
      </c>
      <c r="E48" s="61" t="str">
        <f t="shared" si="16"/>
        <v/>
      </c>
      <c r="F48" s="61" t="str">
        <f t="shared" si="17"/>
        <v/>
      </c>
      <c r="G48" s="61" t="str">
        <f t="shared" si="18"/>
        <v/>
      </c>
      <c r="H48" s="61" t="str">
        <f t="shared" si="19"/>
        <v/>
      </c>
      <c r="I48" s="61" t="str">
        <f t="shared" si="20"/>
        <v/>
      </c>
      <c r="J48" s="61" t="str">
        <f>IFERROR(IF(Table2[[#This Row],[L]]&lt;Table2[[#This Row],[W]],Table2[[#This Row],[W]],Table2[[#This Row],[L]]),"")</f>
        <v/>
      </c>
      <c r="K48" s="61" t="str">
        <f>IF(Table2[[#This Row],[L]]&lt;Table2[[#This Row],[W]],Table2[[#This Row],[L]],Table2[[#This Row],[W]])</f>
        <v/>
      </c>
      <c r="L48" s="61" t="str">
        <f t="shared" si="21"/>
        <v/>
      </c>
      <c r="M48" s="61" t="str">
        <f t="shared" si="22"/>
        <v/>
      </c>
      <c r="N48" s="61" t="str">
        <f t="shared" si="23"/>
        <v>XX</v>
      </c>
      <c r="O48" s="61" t="str">
        <f t="shared" si="15"/>
        <v>XX</v>
      </c>
      <c r="P48" s="61" t="str">
        <f>+CONCATENATE(Table2[[#This Row],[1]],Table2[[#This Row],[H]])</f>
        <v/>
      </c>
      <c r="Q48" s="61">
        <f>+Table1[[#This Row],[QTY]]</f>
        <v>0</v>
      </c>
      <c r="S48" s="60" t="str">
        <f>+Table2[[#This Row],[VARIETY]]</f>
        <v/>
      </c>
      <c r="T48" s="65">
        <f>IFERROR(Table2[[#This Row],[L]]-VLOOKUP(Table5[[#This Row],[VARIETY ]],MASTER!$B:$E,4,0),0)</f>
        <v>0</v>
      </c>
      <c r="U48" s="65">
        <f>IFERROR(Table2[[#This Row],[W]]-VLOOKUP(Table5[[#This Row],[VARIETY ]],MASTER!$B:$F,5,0),0)</f>
        <v>0</v>
      </c>
      <c r="V48" s="65">
        <f>IFERROR(IF(VLOOKUP(Table5[[#This Row],[VARIETY ]],MASTER!$B:$M,12,0)=0,0,(Table2[[#This Row],[L]]-VLOOKUP(Table5[[#This Row],[VARIETY ]],MASTER!$B:$M,12,0))),0)</f>
        <v>0</v>
      </c>
      <c r="W48" s="66">
        <f>IFERROR(IF(VLOOKUP(Table5[[#This Row],[VARIETY ]],MASTER!$B:$N,13,0)=0,0,(Table2[[#This Row],[W]]-VLOOKUP(Table5[[#This Row],[VARIETY ]],MASTER!$B:$N,13,0))),0)</f>
        <v>0</v>
      </c>
      <c r="X48" s="67">
        <v>47</v>
      </c>
      <c r="Y48" s="70" t="str">
        <f>IFERROR(IF(VLOOKUP(S48,MASTER!$B:$I,8,0)="40MM",((CONCATENATE(VLOOKUP(S48,MASTER!$B:$H,7,0),T48,"X",VLOOKUP(S48,MASTER!$B:$G,6,0),"X",VLOOKUP(S48,MASTER!$B:$I,8,0)))),(CONCATENATE(VLOOKUP(S48,MASTER!$B:$H,7,0),T48,"X",VLOOKUP(S48,MASTER!$B:$G,6,0),"X",VLOOKUP(S48,MASTER!$B:$I,8,0)))),"")</f>
        <v/>
      </c>
      <c r="Z48" s="73">
        <f>Table2[[#This Row],[QTY]]*2</f>
        <v>0</v>
      </c>
      <c r="AA48" s="73" t="str">
        <f>IFERROR(IF(VLOOKUP(S48,MASTER!$B:$I,8,0)="40MM",((CONCATENATE(VLOOKUP(S48,MASTER!$B:$H,7,0),U48,"X",VLOOKUP(S48,MASTER!$B:$G,6,0),"X",VLOOKUP(S48,MASTER!$B:$I,8,0)))),((CONCATENATE(VLOOKUP(S48,MASTER!$B:$H,7,0),U48,"X",VLOOKUP(S48,MASTER!$B:$G,6,0),"X",VLOOKUP(S48,MASTER!$B:$I,8,0))))),"")</f>
        <v/>
      </c>
      <c r="AB48" s="73">
        <f>+Table2[[#This Row],[QTY]]*2</f>
        <v>0</v>
      </c>
      <c r="AC48" s="71" t="str">
        <f>IF(OR(S48=MASTER!$B$2,S48=MASTER!$B$3,S48=MASTER!$B$4,S48=MASTER!$B$5,S48=MASTER!$B$6,S48=MASTER!$B$7,S48=MASTER!$B$8,S48=MASTER!$B$9,S48=MASTER!$B$10,S48=MASTER!$B$11,S48=MASTER!$B$12,S48=MASTER!$B$13,S48=MASTER!$B$93,S48=MASTER!$B$94,S48=MASTER!$B$128,S48=MASTER!$B$129,S48=MASTER!$B$130,S48=MASTER!$B$131,S48=MASTER!$B$132,S48=MASTER!$B$136,S48=MASTER!$B$137),(CONCATENATE(VLOOKUP(S48,MASTER!$B:$J,9,0),Table5[[#This Row],[TOP FOAM/REBOUND LENGTH]],"X",Table5[[#This Row],[TOP FOAM / REBOUND WIDTH]],"X",VLOOKUP(Table5[[#This Row],[VARIETY ]],MASTER!$B:$K,10,0))),"")</f>
        <v/>
      </c>
      <c r="AD48" s="73">
        <f>+Table2[[#This Row],[QTY]]*1</f>
        <v>0</v>
      </c>
      <c r="AE48" s="71" t="str">
        <f>IF(OR(S48=MASTER!$B$2,S48=MASTER!$B$3,S48=MASTER!$B$4,S48=MASTER!$B$5,S48=MASTER!$B$6,S48=MASTER!$B$7,S48=MASTER!$B$8,S48=MASTER!$B$9,S48=MASTER!$B$136,S48=MASTER!$B$10,S48=MASTER!$B$11,S48=MASTER!$B$12,S48=MASTER!$B$13,S48=MASTER!$B$2,S48=MASTER!$B$132,S48=MASTER!$B$137),(CONCATENATE(VLOOKUP(S48,MASTER!$B:$J,9,0),Table5[[#This Row],[TOP FOAM/REBOUND LENGTH]],"X",Table5[[#This Row],[TOP FOAM / REBOUND WIDTH]],"X",VLOOKUP(Table5[[#This Row],[VARIETY ]],MASTER!$B:$L,11,0))),"")</f>
        <v/>
      </c>
      <c r="AF48" s="74">
        <f>+Table2[[#This Row],[QTY]]*1</f>
        <v>0</v>
      </c>
      <c r="AH48" s="60" t="str">
        <f>+Table2[[#This Row],[VARIETY]]</f>
        <v/>
      </c>
      <c r="AI48" s="65">
        <f>IFERROR(Table2[[#This Row],[STD-L]]-VLOOKUP(AH48,MASTER!$B:$E,4,0),0)</f>
        <v>0</v>
      </c>
      <c r="AJ48" s="65">
        <f>IFERROR(Table2[[#This Row],[STD-W]]-VLOOKUP(AH48,MASTER!$B:$F,5,0),0)</f>
        <v>0</v>
      </c>
      <c r="AK48" s="65" t="str">
        <f t="shared" si="24"/>
        <v/>
      </c>
      <c r="AL48" s="66" t="str">
        <f t="shared" si="25"/>
        <v/>
      </c>
      <c r="AN48" s="75" t="str">
        <f>IFERROR(CONCATENATE(VLOOKUP(AH48,MASTER!$B:$H,7,0),Table510[[#This Row],[ACTUAL  LENGTH]],"0X",VLOOKUP(AH48,MASTER!$B:$G,6,0),"X",VLOOKUP(AH48,MASTER!$B:$I,8,0)),"")</f>
        <v/>
      </c>
      <c r="AO48" s="71" t="str">
        <f>IFERROR(((VLOOKUP(Table611[[#This Row],[LENGTHSIZE]],'ALL NEW ITEM '!$E:$F,2,0)*2)*Q48),"")</f>
        <v/>
      </c>
      <c r="AP48" s="71" t="str">
        <f>IFERROR(IF(VLOOKUP(AH48,MASTER!$B:$I,8,0)="40MM",(CONCATENATE(VLOOKUP(AH48,MASTER!$B:$H,7,0),Table510[[#This Row],[ACTUAL WIDTH]],"0X",VLOOKUP(AH48,MASTER!$B:$G,6,0),"X",VLOOKUP(AH48,MASTER!$B:$I,8,0))),(CONCATENATE(VLOOKUP(AH48,MASTER!$B:$H,7,0),Table510[[#This Row],[ACTUAL WIDTH]],"X",VLOOKUP(AH48,MASTER!$B:$G,6,0),"X",VLOOKUP(AH48,MASTER!$B:$I,8,0)))),"")</f>
        <v/>
      </c>
      <c r="AQ48" s="73" t="str">
        <f>+IFERROR(((VLOOKUP(AP48,'ALL NEW ITEM '!$E:$F,2,0)*2)*Table2[[#This Row],[QTY]]),"")</f>
        <v/>
      </c>
      <c r="AR48" s="71" t="str">
        <f>IF(OR(AH48=MASTER!$B$2,AH48=MASTER!$B$3,AH48=MASTER!$B$4,AH48=MASTER!$B$5,AH48=MASTER!$B$6,AH48=MASTER!$B$128,AH48=MASTER!$B$129,AH48=MASTER!$B$130,AH48=MASTER!$B$131,AH48=MASTER!$B$132,AH48=MASTER!$B$133,AH48=MASTER!$B$134,AH48=MASTER!$B$135,AH48=MASTER!$B$136,AH48=MASTER!$B$137),(CONCATENATE(VLOOKUP(AH48,MASTER!$B:$J,9,0),AK48,"0X",AL48,"0X",VLOOKUP(Table5[[#This Row],[VARIETY ]],MASTER!$B:$K,10,0))),"")</f>
        <v/>
      </c>
      <c r="AS48" s="73" t="str">
        <f>IFERROR(VLOOKUP(AR48,'ALL NEW ITEM '!$E:$F,2,0)*Q48,"")</f>
        <v/>
      </c>
      <c r="AT48" s="71" t="str">
        <f>IF(OR(AH48=MASTER!$B$2,AH48=MASTER!$B$3,AH48=MASTER!$B$4,AH48=MASTER!$B$5,AH48=MASTER!$B$6,AH48=MASTER!$B$2,AH48=MASTER!$B$132,AH48=MASTER!$B$135,AH48=MASTER!$B$136,AH48=MASTER!$B$137),(CONCATENATE(VLOOKUP(AH48,MASTER!$B:$J,9,0),AK48,"0X",AL48,"0X",VLOOKUP(Table5[[#This Row],[VARIETY ]],MASTER!$B:$L,11,0))),"")</f>
        <v/>
      </c>
      <c r="AU48" s="72" t="str">
        <f>IFERROR(VLOOKUP(Table611[[#This Row],[TOPFOAM/REBOUND14]],'ALL NEW ITEM '!$E:$F,2,0)*Q48,"")</f>
        <v/>
      </c>
    </row>
    <row r="49" spans="1:47">
      <c r="A49" s="60">
        <f t="shared" si="13"/>
        <v>48</v>
      </c>
      <c r="B49" s="60" t="str">
        <f>LEFT(Table1[[#This Row],[ITEM CODE]],MIN(FIND({0,1,2,3,4,5,6,7,8,9},Table1[[#This Row],[ITEM CODE]]&amp;"0123456789"))-1)</f>
        <v/>
      </c>
      <c r="C49" s="61" t="str">
        <f>SUBSTITUTE(Table1[[#This Row],[ITEM CODE]],B49,"")</f>
        <v/>
      </c>
      <c r="D49" s="61" t="str">
        <f t="shared" si="14"/>
        <v/>
      </c>
      <c r="E49" s="61" t="str">
        <f t="shared" si="16"/>
        <v/>
      </c>
      <c r="F49" s="61" t="str">
        <f t="shared" si="17"/>
        <v/>
      </c>
      <c r="G49" s="61" t="str">
        <f t="shared" si="18"/>
        <v/>
      </c>
      <c r="H49" s="61" t="str">
        <f t="shared" si="19"/>
        <v/>
      </c>
      <c r="I49" s="61" t="str">
        <f t="shared" si="20"/>
        <v/>
      </c>
      <c r="J49" s="61" t="str">
        <f>IFERROR(IF(Table2[[#This Row],[L]]&lt;Table2[[#This Row],[W]],Table2[[#This Row],[W]],Table2[[#This Row],[L]]),"")</f>
        <v/>
      </c>
      <c r="K49" s="61" t="str">
        <f>IF(Table2[[#This Row],[L]]&lt;Table2[[#This Row],[W]],Table2[[#This Row],[L]],Table2[[#This Row],[W]])</f>
        <v/>
      </c>
      <c r="L49" s="61" t="str">
        <f t="shared" si="21"/>
        <v/>
      </c>
      <c r="M49" s="61" t="str">
        <f t="shared" si="22"/>
        <v/>
      </c>
      <c r="N49" s="61" t="str">
        <f t="shared" si="23"/>
        <v>XX</v>
      </c>
      <c r="O49" s="61" t="str">
        <f t="shared" si="15"/>
        <v>XX</v>
      </c>
      <c r="P49" s="61" t="str">
        <f>+CONCATENATE(Table2[[#This Row],[1]],Table2[[#This Row],[H]])</f>
        <v/>
      </c>
      <c r="Q49" s="61">
        <f>+Table1[[#This Row],[QTY]]</f>
        <v>0</v>
      </c>
      <c r="S49" s="60" t="str">
        <f>+Table2[[#This Row],[VARIETY]]</f>
        <v/>
      </c>
      <c r="T49" s="65">
        <f>IFERROR(Table2[[#This Row],[L]]-VLOOKUP(Table5[[#This Row],[VARIETY ]],MASTER!$B:$E,4,0),0)</f>
        <v>0</v>
      </c>
      <c r="U49" s="65">
        <f>IFERROR(Table2[[#This Row],[W]]-VLOOKUP(Table5[[#This Row],[VARIETY ]],MASTER!$B:$F,5,0),0)</f>
        <v>0</v>
      </c>
      <c r="V49" s="65">
        <f>IFERROR(IF(VLOOKUP(Table5[[#This Row],[VARIETY ]],MASTER!$B:$M,12,0)=0,0,(Table2[[#This Row],[L]]-VLOOKUP(Table5[[#This Row],[VARIETY ]],MASTER!$B:$M,12,0))),0)</f>
        <v>0</v>
      </c>
      <c r="W49" s="66">
        <f>IFERROR(IF(VLOOKUP(Table5[[#This Row],[VARIETY ]],MASTER!$B:$N,13,0)=0,0,(Table2[[#This Row],[W]]-VLOOKUP(Table5[[#This Row],[VARIETY ]],MASTER!$B:$N,13,0))),0)</f>
        <v>0</v>
      </c>
      <c r="X49" s="65">
        <v>48</v>
      </c>
      <c r="Y49" s="70" t="str">
        <f>IFERROR(IF(VLOOKUP(S49,MASTER!$B:$I,8,0)="40MM",((CONCATENATE(VLOOKUP(S49,MASTER!$B:$H,7,0),T49,"X",VLOOKUP(S49,MASTER!$B:$G,6,0),"X",VLOOKUP(S49,MASTER!$B:$I,8,0)))),(CONCATENATE(VLOOKUP(S49,MASTER!$B:$H,7,0),T49,"X",VLOOKUP(S49,MASTER!$B:$G,6,0),"X",VLOOKUP(S49,MASTER!$B:$I,8,0)))),"")</f>
        <v/>
      </c>
      <c r="Z49" s="73">
        <f>Table2[[#This Row],[QTY]]*2</f>
        <v>0</v>
      </c>
      <c r="AA49" s="73" t="str">
        <f>IFERROR(IF(VLOOKUP(S49,MASTER!$B:$I,8,0)="40MM",((CONCATENATE(VLOOKUP(S49,MASTER!$B:$H,7,0),U49,"X",VLOOKUP(S49,MASTER!$B:$G,6,0),"X",VLOOKUP(S49,MASTER!$B:$I,8,0)))),((CONCATENATE(VLOOKUP(S49,MASTER!$B:$H,7,0),U49,"X",VLOOKUP(S49,MASTER!$B:$G,6,0),"X",VLOOKUP(S49,MASTER!$B:$I,8,0))))),"")</f>
        <v/>
      </c>
      <c r="AB49" s="73">
        <f>+Table2[[#This Row],[QTY]]*2</f>
        <v>0</v>
      </c>
      <c r="AC49" s="71" t="str">
        <f>IF(OR(S49=MASTER!$B$2,S49=MASTER!$B$3,S49=MASTER!$B$4,S49=MASTER!$B$5,S49=MASTER!$B$6,S49=MASTER!$B$7,S49=MASTER!$B$8,S49=MASTER!$B$9,S49=MASTER!$B$10,S49=MASTER!$B$11,S49=MASTER!$B$12,S49=MASTER!$B$13,S49=MASTER!$B$93,S49=MASTER!$B$94,S49=MASTER!$B$128,S49=MASTER!$B$129,S49=MASTER!$B$130,S49=MASTER!$B$131,S49=MASTER!$B$132,S49=MASTER!$B$136,S49=MASTER!$B$137),(CONCATENATE(VLOOKUP(S49,MASTER!$B:$J,9,0),Table5[[#This Row],[TOP FOAM/REBOUND LENGTH]],"X",Table5[[#This Row],[TOP FOAM / REBOUND WIDTH]],"X",VLOOKUP(Table5[[#This Row],[VARIETY ]],MASTER!$B:$K,10,0))),"")</f>
        <v/>
      </c>
      <c r="AD49" s="73">
        <f>+Table2[[#This Row],[QTY]]*1</f>
        <v>0</v>
      </c>
      <c r="AE49" s="71" t="str">
        <f>IF(OR(S49=MASTER!$B$2,S49=MASTER!$B$3,S49=MASTER!$B$4,S49=MASTER!$B$5,S49=MASTER!$B$6,S49=MASTER!$B$7,S49=MASTER!$B$8,S49=MASTER!$B$9,S49=MASTER!$B$136,S49=MASTER!$B$10,S49=MASTER!$B$11,S49=MASTER!$B$12,S49=MASTER!$B$13,S49=MASTER!$B$2,S49=MASTER!$B$132,S49=MASTER!$B$137),(CONCATENATE(VLOOKUP(S49,MASTER!$B:$J,9,0),Table5[[#This Row],[TOP FOAM/REBOUND LENGTH]],"X",Table5[[#This Row],[TOP FOAM / REBOUND WIDTH]],"X",VLOOKUP(Table5[[#This Row],[VARIETY ]],MASTER!$B:$L,11,0))),"")</f>
        <v/>
      </c>
      <c r="AF49" s="74">
        <f>+Table2[[#This Row],[QTY]]*1</f>
        <v>0</v>
      </c>
      <c r="AH49" s="60" t="str">
        <f>+Table2[[#This Row],[VARIETY]]</f>
        <v/>
      </c>
      <c r="AI49" s="65">
        <f>IFERROR(Table2[[#This Row],[STD-L]]-VLOOKUP(AH49,MASTER!$B:$E,4,0),0)</f>
        <v>0</v>
      </c>
      <c r="AJ49" s="65">
        <f>IFERROR(Table2[[#This Row],[STD-W]]-VLOOKUP(AH49,MASTER!$B:$F,5,0),0)</f>
        <v>0</v>
      </c>
      <c r="AK49" s="65" t="str">
        <f t="shared" si="24"/>
        <v/>
      </c>
      <c r="AL49" s="66" t="str">
        <f t="shared" si="25"/>
        <v/>
      </c>
      <c r="AN49" s="75" t="str">
        <f>IFERROR(CONCATENATE(VLOOKUP(AH49,MASTER!$B:$H,7,0),Table510[[#This Row],[ACTUAL  LENGTH]],"0X",VLOOKUP(AH49,MASTER!$B:$G,6,0),"X",VLOOKUP(AH49,MASTER!$B:$I,8,0)),"")</f>
        <v/>
      </c>
      <c r="AO49" s="71" t="str">
        <f>IFERROR(((VLOOKUP(Table611[[#This Row],[LENGTHSIZE]],'ALL NEW ITEM '!$E:$F,2,0)*2)*Q49),"")</f>
        <v/>
      </c>
      <c r="AP49" s="71" t="str">
        <f>IFERROR(IF(VLOOKUP(AH49,MASTER!$B:$I,8,0)="40MM",(CONCATENATE(VLOOKUP(AH49,MASTER!$B:$H,7,0),Table510[[#This Row],[ACTUAL WIDTH]],"0X",VLOOKUP(AH49,MASTER!$B:$G,6,0),"X",VLOOKUP(AH49,MASTER!$B:$I,8,0))),(CONCATENATE(VLOOKUP(AH49,MASTER!$B:$H,7,0),Table510[[#This Row],[ACTUAL WIDTH]],"X",VLOOKUP(AH49,MASTER!$B:$G,6,0),"X",VLOOKUP(AH49,MASTER!$B:$I,8,0)))),"")</f>
        <v/>
      </c>
      <c r="AQ49" s="73" t="str">
        <f>+IFERROR(((VLOOKUP(AP49,'ALL NEW ITEM '!$E:$F,2,0)*2)*Table2[[#This Row],[QTY]]),"")</f>
        <v/>
      </c>
      <c r="AR49" s="71" t="str">
        <f>IF(OR(AH49=MASTER!$B$2,AH49=MASTER!$B$3,AH49=MASTER!$B$4,AH49=MASTER!$B$5,AH49=MASTER!$B$6,AH49=MASTER!$B$128,AH49=MASTER!$B$129,AH49=MASTER!$B$130,AH49=MASTER!$B$131,AH49=MASTER!$B$132,AH49=MASTER!$B$133,AH49=MASTER!$B$134,AH49=MASTER!$B$135,AH49=MASTER!$B$136,AH49=MASTER!$B$137),(CONCATENATE(VLOOKUP(AH49,MASTER!$B:$J,9,0),AK49,"0X",AL49,"0X",VLOOKUP(Table5[[#This Row],[VARIETY ]],MASTER!$B:$K,10,0))),"")</f>
        <v/>
      </c>
      <c r="AS49" s="73" t="str">
        <f>IFERROR(VLOOKUP(AR49,'ALL NEW ITEM '!$E:$F,2,0)*Q49,"")</f>
        <v/>
      </c>
      <c r="AT49" s="71" t="str">
        <f>IF(OR(AH49=MASTER!$B$2,AH49=MASTER!$B$3,AH49=MASTER!$B$4,AH49=MASTER!$B$5,AH49=MASTER!$B$6,AH49=MASTER!$B$2,AH49=MASTER!$B$132,AH49=MASTER!$B$135,AH49=MASTER!$B$136,AH49=MASTER!$B$137),(CONCATENATE(VLOOKUP(AH49,MASTER!$B:$J,9,0),AK49,"0X",AL49,"0X",VLOOKUP(Table5[[#This Row],[VARIETY ]],MASTER!$B:$L,11,0))),"")</f>
        <v/>
      </c>
      <c r="AU49" s="72" t="str">
        <f>IFERROR(VLOOKUP(Table611[[#This Row],[TOPFOAM/REBOUND14]],'ALL NEW ITEM '!$E:$F,2,0)*Q49,"")</f>
        <v/>
      </c>
    </row>
    <row r="50" spans="1:47">
      <c r="A50" s="60">
        <f t="shared" si="13"/>
        <v>49</v>
      </c>
      <c r="B50" s="60" t="str">
        <f>LEFT(Table1[[#This Row],[ITEM CODE]],MIN(FIND({0,1,2,3,4,5,6,7,8,9},Table1[[#This Row],[ITEM CODE]]&amp;"0123456789"))-1)</f>
        <v/>
      </c>
      <c r="C50" s="61" t="str">
        <f>SUBSTITUTE(Table1[[#This Row],[ITEM CODE]],B50,"")</f>
        <v/>
      </c>
      <c r="D50" s="61" t="str">
        <f t="shared" si="14"/>
        <v/>
      </c>
      <c r="E50" s="61" t="str">
        <f t="shared" si="16"/>
        <v/>
      </c>
      <c r="F50" s="61" t="str">
        <f t="shared" si="17"/>
        <v/>
      </c>
      <c r="G50" s="61" t="str">
        <f t="shared" si="18"/>
        <v/>
      </c>
      <c r="H50" s="61" t="str">
        <f t="shared" si="19"/>
        <v/>
      </c>
      <c r="I50" s="61" t="str">
        <f t="shared" si="20"/>
        <v/>
      </c>
      <c r="J50" s="61" t="str">
        <f>IFERROR(IF(Table2[[#This Row],[L]]&lt;Table2[[#This Row],[W]],Table2[[#This Row],[W]],Table2[[#This Row],[L]]),"")</f>
        <v/>
      </c>
      <c r="K50" s="61" t="str">
        <f>IF(Table2[[#This Row],[L]]&lt;Table2[[#This Row],[W]],Table2[[#This Row],[L]],Table2[[#This Row],[W]])</f>
        <v/>
      </c>
      <c r="L50" s="61" t="str">
        <f t="shared" si="21"/>
        <v/>
      </c>
      <c r="M50" s="61" t="str">
        <f t="shared" si="22"/>
        <v/>
      </c>
      <c r="N50" s="61" t="str">
        <f t="shared" si="23"/>
        <v>XX</v>
      </c>
      <c r="O50" s="61" t="str">
        <f t="shared" si="15"/>
        <v>XX</v>
      </c>
      <c r="P50" s="61" t="str">
        <f>+CONCATENATE(Table2[[#This Row],[1]],Table2[[#This Row],[H]])</f>
        <v/>
      </c>
      <c r="Q50" s="61">
        <f>+Table1[[#This Row],[QTY]]</f>
        <v>0</v>
      </c>
      <c r="S50" s="60" t="str">
        <f>+Table2[[#This Row],[VARIETY]]</f>
        <v/>
      </c>
      <c r="T50" s="65">
        <f>IFERROR(Table2[[#This Row],[L]]-VLOOKUP(Table5[[#This Row],[VARIETY ]],MASTER!$B:$E,4,0),0)</f>
        <v>0</v>
      </c>
      <c r="U50" s="65">
        <f>IFERROR(Table2[[#This Row],[W]]-VLOOKUP(Table5[[#This Row],[VARIETY ]],MASTER!$B:$F,5,0),0)</f>
        <v>0</v>
      </c>
      <c r="V50" s="65">
        <f>IFERROR(IF(VLOOKUP(Table5[[#This Row],[VARIETY ]],MASTER!$B:$M,12,0)=0,0,(Table2[[#This Row],[L]]-VLOOKUP(Table5[[#This Row],[VARIETY ]],MASTER!$B:$M,12,0))),0)</f>
        <v>0</v>
      </c>
      <c r="W50" s="66">
        <f>IFERROR(IF(VLOOKUP(Table5[[#This Row],[VARIETY ]],MASTER!$B:$N,13,0)=0,0,(Table2[[#This Row],[W]]-VLOOKUP(Table5[[#This Row],[VARIETY ]],MASTER!$B:$N,13,0))),0)</f>
        <v>0</v>
      </c>
      <c r="X50" s="67">
        <v>49</v>
      </c>
      <c r="Y50" s="70" t="str">
        <f>IFERROR(IF(VLOOKUP(S50,MASTER!$B:$I,8,0)="40MM",((CONCATENATE(VLOOKUP(S50,MASTER!$B:$H,7,0),T50,"X",VLOOKUP(S50,MASTER!$B:$G,6,0),"X",VLOOKUP(S50,MASTER!$B:$I,8,0)))),(CONCATENATE(VLOOKUP(S50,MASTER!$B:$H,7,0),T50,"X",VLOOKUP(S50,MASTER!$B:$G,6,0),"X",VLOOKUP(S50,MASTER!$B:$I,8,0)))),"")</f>
        <v/>
      </c>
      <c r="Z50" s="73">
        <f>Table2[[#This Row],[QTY]]*2</f>
        <v>0</v>
      </c>
      <c r="AA50" s="73" t="str">
        <f>IFERROR(IF(VLOOKUP(S50,MASTER!$B:$I,8,0)="40MM",((CONCATENATE(VLOOKUP(S50,MASTER!$B:$H,7,0),U50,"X",VLOOKUP(S50,MASTER!$B:$G,6,0),"X",VLOOKUP(S50,MASTER!$B:$I,8,0)))),((CONCATENATE(VLOOKUP(S50,MASTER!$B:$H,7,0),U50,"X",VLOOKUP(S50,MASTER!$B:$G,6,0),"X",VLOOKUP(S50,MASTER!$B:$I,8,0))))),"")</f>
        <v/>
      </c>
      <c r="AB50" s="73">
        <f>+Table2[[#This Row],[QTY]]*2</f>
        <v>0</v>
      </c>
      <c r="AC50" s="71" t="str">
        <f>IF(OR(S50=MASTER!$B$2,S50=MASTER!$B$3,S50=MASTER!$B$4,S50=MASTER!$B$5,S50=MASTER!$B$6,S50=MASTER!$B$7,S50=MASTER!$B$8,S50=MASTER!$B$9,S50=MASTER!$B$10,S50=MASTER!$B$11,S50=MASTER!$B$12,S50=MASTER!$B$13,S50=MASTER!$B$93,S50=MASTER!$B$94,S50=MASTER!$B$128,S50=MASTER!$B$129,S50=MASTER!$B$130,S50=MASTER!$B$131,S50=MASTER!$B$132,S50=MASTER!$B$136,S50=MASTER!$B$137),(CONCATENATE(VLOOKUP(S50,MASTER!$B:$J,9,0),Table5[[#This Row],[TOP FOAM/REBOUND LENGTH]],"X",Table5[[#This Row],[TOP FOAM / REBOUND WIDTH]],"X",VLOOKUP(Table5[[#This Row],[VARIETY ]],MASTER!$B:$K,10,0))),"")</f>
        <v/>
      </c>
      <c r="AD50" s="73">
        <f>+Table2[[#This Row],[QTY]]*1</f>
        <v>0</v>
      </c>
      <c r="AE50" s="71" t="str">
        <f>IF(OR(S50=MASTER!$B$2,S50=MASTER!$B$3,S50=MASTER!$B$4,S50=MASTER!$B$5,S50=MASTER!$B$6,S50=MASTER!$B$7,S50=MASTER!$B$8,S50=MASTER!$B$9,S50=MASTER!$B$136,S50=MASTER!$B$10,S50=MASTER!$B$11,S50=MASTER!$B$12,S50=MASTER!$B$13,S50=MASTER!$B$2,S50=MASTER!$B$132,S50=MASTER!$B$137),(CONCATENATE(VLOOKUP(S50,MASTER!$B:$J,9,0),Table5[[#This Row],[TOP FOAM/REBOUND LENGTH]],"X",Table5[[#This Row],[TOP FOAM / REBOUND WIDTH]],"X",VLOOKUP(Table5[[#This Row],[VARIETY ]],MASTER!$B:$L,11,0))),"")</f>
        <v/>
      </c>
      <c r="AF50" s="74">
        <f>+Table2[[#This Row],[QTY]]*1</f>
        <v>0</v>
      </c>
      <c r="AH50" s="60" t="str">
        <f>+Table2[[#This Row],[VARIETY]]</f>
        <v/>
      </c>
      <c r="AI50" s="65">
        <f>IFERROR(Table2[[#This Row],[STD-L]]-VLOOKUP(AH50,MASTER!$B:$E,4,0),0)</f>
        <v>0</v>
      </c>
      <c r="AJ50" s="65">
        <f>IFERROR(Table2[[#This Row],[STD-W]]-VLOOKUP(AH50,MASTER!$B:$F,5,0),0)</f>
        <v>0</v>
      </c>
      <c r="AK50" s="65" t="str">
        <f t="shared" si="24"/>
        <v/>
      </c>
      <c r="AL50" s="66" t="str">
        <f t="shared" si="25"/>
        <v/>
      </c>
      <c r="AN50" s="75" t="str">
        <f>IFERROR(CONCATENATE(VLOOKUP(AH50,MASTER!$B:$H,7,0),Table510[[#This Row],[ACTUAL  LENGTH]],"0X",VLOOKUP(AH50,MASTER!$B:$G,6,0),"X",VLOOKUP(AH50,MASTER!$B:$I,8,0)),"")</f>
        <v/>
      </c>
      <c r="AO50" s="71" t="str">
        <f>IFERROR(((VLOOKUP(Table611[[#This Row],[LENGTHSIZE]],'ALL NEW ITEM '!$E:$F,2,0)*2)*Q50),"")</f>
        <v/>
      </c>
      <c r="AP50" s="71" t="str">
        <f>IFERROR(IF(VLOOKUP(AH50,MASTER!$B:$I,8,0)="40MM",(CONCATENATE(VLOOKUP(AH50,MASTER!$B:$H,7,0),Table510[[#This Row],[ACTUAL WIDTH]],"0X",VLOOKUP(AH50,MASTER!$B:$G,6,0),"X",VLOOKUP(AH50,MASTER!$B:$I,8,0))),(CONCATENATE(VLOOKUP(AH50,MASTER!$B:$H,7,0),Table510[[#This Row],[ACTUAL WIDTH]],"X",VLOOKUP(AH50,MASTER!$B:$G,6,0),"X",VLOOKUP(AH50,MASTER!$B:$I,8,0)))),"")</f>
        <v/>
      </c>
      <c r="AQ50" s="73" t="str">
        <f>+IFERROR(((VLOOKUP(AP50,'ALL NEW ITEM '!$E:$F,2,0)*2)*Table2[[#This Row],[QTY]]),"")</f>
        <v/>
      </c>
      <c r="AR50" s="71" t="str">
        <f>IF(OR(AH50=MASTER!$B$2,AH50=MASTER!$B$3,AH50=MASTER!$B$4,AH50=MASTER!$B$5,AH50=MASTER!$B$6,AH50=MASTER!$B$128,AH50=MASTER!$B$129,AH50=MASTER!$B$130,AH50=MASTER!$B$131,AH50=MASTER!$B$132,AH50=MASTER!$B$133,AH50=MASTER!$B$134,AH50=MASTER!$B$135,AH50=MASTER!$B$136,AH50=MASTER!$B$137),(CONCATENATE(VLOOKUP(AH50,MASTER!$B:$J,9,0),AK50,"0X",AL50,"0X",VLOOKUP(Table5[[#This Row],[VARIETY ]],MASTER!$B:$K,10,0))),"")</f>
        <v/>
      </c>
      <c r="AS50" s="73" t="str">
        <f>IFERROR(VLOOKUP(AR50,'ALL NEW ITEM '!$E:$F,2,0)*Q50,"")</f>
        <v/>
      </c>
      <c r="AT50" s="71" t="str">
        <f>IF(OR(AH50=MASTER!$B$2,AH50=MASTER!$B$3,AH50=MASTER!$B$4,AH50=MASTER!$B$5,AH50=MASTER!$B$6,AH50=MASTER!$B$2,AH50=MASTER!$B$132,AH50=MASTER!$B$135,AH50=MASTER!$B$136,AH50=MASTER!$B$137),(CONCATENATE(VLOOKUP(AH50,MASTER!$B:$J,9,0),AK50,"0X",AL50,"0X",VLOOKUP(Table5[[#This Row],[VARIETY ]],MASTER!$B:$L,11,0))),"")</f>
        <v/>
      </c>
      <c r="AU50" s="72" t="str">
        <f>IFERROR(VLOOKUP(Table611[[#This Row],[TOPFOAM/REBOUND14]],'ALL NEW ITEM '!$E:$F,2,0)*Q50,"")</f>
        <v/>
      </c>
    </row>
    <row r="51" spans="1:47">
      <c r="A51" s="60">
        <f t="shared" si="13"/>
        <v>50</v>
      </c>
      <c r="B51" s="60" t="str">
        <f>LEFT(Table1[[#This Row],[ITEM CODE]],MIN(FIND({0,1,2,3,4,5,6,7,8,9},Table1[[#This Row],[ITEM CODE]]&amp;"0123456789"))-1)</f>
        <v/>
      </c>
      <c r="C51" s="61" t="str">
        <f>SUBSTITUTE(Table1[[#This Row],[ITEM CODE]],B51,"")</f>
        <v/>
      </c>
      <c r="D51" s="61" t="str">
        <f t="shared" si="14"/>
        <v/>
      </c>
      <c r="E51" s="61" t="str">
        <f t="shared" si="16"/>
        <v/>
      </c>
      <c r="F51" s="61" t="str">
        <f t="shared" si="17"/>
        <v/>
      </c>
      <c r="G51" s="61" t="str">
        <f t="shared" si="18"/>
        <v/>
      </c>
      <c r="H51" s="61" t="str">
        <f t="shared" si="19"/>
        <v/>
      </c>
      <c r="I51" s="61" t="str">
        <f t="shared" si="20"/>
        <v/>
      </c>
      <c r="J51" s="61" t="str">
        <f>IFERROR(IF(Table2[[#This Row],[L]]&lt;Table2[[#This Row],[W]],Table2[[#This Row],[W]],Table2[[#This Row],[L]]),"")</f>
        <v/>
      </c>
      <c r="K51" s="61" t="str">
        <f>IF(Table2[[#This Row],[L]]&lt;Table2[[#This Row],[W]],Table2[[#This Row],[L]],Table2[[#This Row],[W]])</f>
        <v/>
      </c>
      <c r="L51" s="61" t="str">
        <f t="shared" si="21"/>
        <v/>
      </c>
      <c r="M51" s="61" t="str">
        <f t="shared" si="22"/>
        <v/>
      </c>
      <c r="N51" s="61" t="str">
        <f t="shared" si="23"/>
        <v>XX</v>
      </c>
      <c r="O51" s="61" t="str">
        <f t="shared" si="15"/>
        <v>XX</v>
      </c>
      <c r="P51" s="61" t="str">
        <f>+CONCATENATE(Table2[[#This Row],[1]],Table2[[#This Row],[H]])</f>
        <v/>
      </c>
      <c r="Q51" s="61">
        <f>+Table1[[#This Row],[QTY]]</f>
        <v>0</v>
      </c>
      <c r="S51" s="60" t="str">
        <f>+Table2[[#This Row],[VARIETY]]</f>
        <v/>
      </c>
      <c r="T51" s="65">
        <f>IFERROR(Table2[[#This Row],[L]]-VLOOKUP(Table5[[#This Row],[VARIETY ]],MASTER!$B:$E,4,0),0)</f>
        <v>0</v>
      </c>
      <c r="U51" s="65">
        <f>IFERROR(Table2[[#This Row],[W]]-VLOOKUP(Table5[[#This Row],[VARIETY ]],MASTER!$B:$F,5,0),0)</f>
        <v>0</v>
      </c>
      <c r="V51" s="65">
        <f>IFERROR(IF(VLOOKUP(Table5[[#This Row],[VARIETY ]],MASTER!$B:$M,12,0)=0,0,(Table2[[#This Row],[L]]-VLOOKUP(Table5[[#This Row],[VARIETY ]],MASTER!$B:$M,12,0))),0)</f>
        <v>0</v>
      </c>
      <c r="W51" s="66">
        <f>IFERROR(IF(VLOOKUP(Table5[[#This Row],[VARIETY ]],MASTER!$B:$N,13,0)=0,0,(Table2[[#This Row],[W]]-VLOOKUP(Table5[[#This Row],[VARIETY ]],MASTER!$B:$N,13,0))),0)</f>
        <v>0</v>
      </c>
      <c r="X51" s="65">
        <v>50</v>
      </c>
      <c r="Y51" s="70" t="str">
        <f>IFERROR(IF(VLOOKUP(S51,MASTER!$B:$I,8,0)="40MM",((CONCATENATE(VLOOKUP(S51,MASTER!$B:$H,7,0),T51,"X",VLOOKUP(S51,MASTER!$B:$G,6,0),"X",VLOOKUP(S51,MASTER!$B:$I,8,0)))),(CONCATENATE(VLOOKUP(S51,MASTER!$B:$H,7,0),T51,"X",VLOOKUP(S51,MASTER!$B:$G,6,0),"X",VLOOKUP(S51,MASTER!$B:$I,8,0)))),"")</f>
        <v/>
      </c>
      <c r="Z51" s="73">
        <f>Table2[[#This Row],[QTY]]*2</f>
        <v>0</v>
      </c>
      <c r="AA51" s="73" t="str">
        <f>IFERROR(IF(VLOOKUP(S51,MASTER!$B:$I,8,0)="40MM",((CONCATENATE(VLOOKUP(S51,MASTER!$B:$H,7,0),U51,"X",VLOOKUP(S51,MASTER!$B:$G,6,0),"X",VLOOKUP(S51,MASTER!$B:$I,8,0)))),((CONCATENATE(VLOOKUP(S51,MASTER!$B:$H,7,0),U51,"X",VLOOKUP(S51,MASTER!$B:$G,6,0),"X",VLOOKUP(S51,MASTER!$B:$I,8,0))))),"")</f>
        <v/>
      </c>
      <c r="AB51" s="73">
        <f>+Table2[[#This Row],[QTY]]*2</f>
        <v>0</v>
      </c>
      <c r="AC51" s="71" t="str">
        <f>IF(OR(S51=MASTER!$B$2,S51=MASTER!$B$3,S51=MASTER!$B$4,S51=MASTER!$B$5,S51=MASTER!$B$6,S51=MASTER!$B$7,S51=MASTER!$B$8,S51=MASTER!$B$9,S51=MASTER!$B$10,S51=MASTER!$B$11,S51=MASTER!$B$12,S51=MASTER!$B$13,S51=MASTER!$B$93,S51=MASTER!$B$94,S51=MASTER!$B$128,S51=MASTER!$B$129,S51=MASTER!$B$130,S51=MASTER!$B$131,S51=MASTER!$B$132,S51=MASTER!$B$136,S51=MASTER!$B$137),(CONCATENATE(VLOOKUP(S51,MASTER!$B:$J,9,0),Table5[[#This Row],[TOP FOAM/REBOUND LENGTH]],"X",Table5[[#This Row],[TOP FOAM / REBOUND WIDTH]],"X",VLOOKUP(Table5[[#This Row],[VARIETY ]],MASTER!$B:$K,10,0))),"")</f>
        <v/>
      </c>
      <c r="AD51" s="73">
        <f>+Table2[[#This Row],[QTY]]*1</f>
        <v>0</v>
      </c>
      <c r="AE51" s="71" t="str">
        <f>IF(OR(S51=MASTER!$B$2,S51=MASTER!$B$3,S51=MASTER!$B$4,S51=MASTER!$B$5,S51=MASTER!$B$6,S51=MASTER!$B$7,S51=MASTER!$B$8,S51=MASTER!$B$9,S51=MASTER!$B$136,S51=MASTER!$B$10,S51=MASTER!$B$11,S51=MASTER!$B$12,S51=MASTER!$B$13,S51=MASTER!$B$2,S51=MASTER!$B$132,S51=MASTER!$B$137),(CONCATENATE(VLOOKUP(S51,MASTER!$B:$J,9,0),Table5[[#This Row],[TOP FOAM/REBOUND LENGTH]],"X",Table5[[#This Row],[TOP FOAM / REBOUND WIDTH]],"X",VLOOKUP(Table5[[#This Row],[VARIETY ]],MASTER!$B:$L,11,0))),"")</f>
        <v/>
      </c>
      <c r="AF51" s="74">
        <f>+Table2[[#This Row],[QTY]]*1</f>
        <v>0</v>
      </c>
      <c r="AH51" s="60" t="str">
        <f>+Table2[[#This Row],[VARIETY]]</f>
        <v/>
      </c>
      <c r="AI51" s="65">
        <f>IFERROR(Table2[[#This Row],[STD-L]]-VLOOKUP(AH51,MASTER!$B:$E,4,0),0)</f>
        <v>0</v>
      </c>
      <c r="AJ51" s="65">
        <f>IFERROR(Table2[[#This Row],[STD-W]]-VLOOKUP(AH51,MASTER!$B:$F,5,0),0)</f>
        <v>0</v>
      </c>
      <c r="AK51" s="65" t="str">
        <f t="shared" si="24"/>
        <v/>
      </c>
      <c r="AL51" s="66" t="str">
        <f t="shared" si="25"/>
        <v/>
      </c>
      <c r="AN51" s="75" t="str">
        <f>IFERROR(CONCATENATE(VLOOKUP(AH51,MASTER!$B:$H,7,0),Table510[[#This Row],[ACTUAL  LENGTH]],"0X",VLOOKUP(AH51,MASTER!$B:$G,6,0),"X",VLOOKUP(AH51,MASTER!$B:$I,8,0)),"")</f>
        <v/>
      </c>
      <c r="AO51" s="71" t="str">
        <f>IFERROR(((VLOOKUP(Table611[[#This Row],[LENGTHSIZE]],'ALL NEW ITEM '!$E:$F,2,0)*2)*Q51),"")</f>
        <v/>
      </c>
      <c r="AP51" s="71" t="str">
        <f>IFERROR(IF(VLOOKUP(AH51,MASTER!$B:$I,8,0)="40MM",(CONCATENATE(VLOOKUP(AH51,MASTER!$B:$H,7,0),Table510[[#This Row],[ACTUAL WIDTH]],"0X",VLOOKUP(AH51,MASTER!$B:$G,6,0),"X",VLOOKUP(AH51,MASTER!$B:$I,8,0))),(CONCATENATE(VLOOKUP(AH51,MASTER!$B:$H,7,0),Table510[[#This Row],[ACTUAL WIDTH]],"X",VLOOKUP(AH51,MASTER!$B:$G,6,0),"X",VLOOKUP(AH51,MASTER!$B:$I,8,0)))),"")</f>
        <v/>
      </c>
      <c r="AQ51" s="73" t="str">
        <f>+IFERROR(((VLOOKUP(AP51,'ALL NEW ITEM '!$E:$F,2,0)*2)*Table2[[#This Row],[QTY]]),"")</f>
        <v/>
      </c>
      <c r="AR51" s="71" t="str">
        <f>IF(OR(AH51=MASTER!$B$2,AH51=MASTER!$B$3,AH51=MASTER!$B$4,AH51=MASTER!$B$5,AH51=MASTER!$B$6,AH51=MASTER!$B$128,AH51=MASTER!$B$129,AH51=MASTER!$B$130,AH51=MASTER!$B$131,AH51=MASTER!$B$132,AH51=MASTER!$B$133,AH51=MASTER!$B$134,AH51=MASTER!$B$135,AH51=MASTER!$B$136,AH51=MASTER!$B$137),(CONCATENATE(VLOOKUP(AH51,MASTER!$B:$J,9,0),AK51,"0X",AL51,"0X",VLOOKUP(Table5[[#This Row],[VARIETY ]],MASTER!$B:$K,10,0))),"")</f>
        <v/>
      </c>
      <c r="AS51" s="73" t="str">
        <f>IFERROR(VLOOKUP(AR51,'ALL NEW ITEM '!$E:$F,2,0)*Q51,"")</f>
        <v/>
      </c>
      <c r="AT51" s="71" t="str">
        <f>IF(OR(AH51=MASTER!$B$2,AH51=MASTER!$B$3,AH51=MASTER!$B$4,AH51=MASTER!$B$5,AH51=MASTER!$B$6,AH51=MASTER!$B$2,AH51=MASTER!$B$132,AH51=MASTER!$B$135,AH51=MASTER!$B$136,AH51=MASTER!$B$137),(CONCATENATE(VLOOKUP(AH51,MASTER!$B:$J,9,0),AK51,"0X",AL51,"0X",VLOOKUP(Table5[[#This Row],[VARIETY ]],MASTER!$B:$L,11,0))),"")</f>
        <v/>
      </c>
      <c r="AU51" s="72" t="str">
        <f>IFERROR(VLOOKUP(Table611[[#This Row],[TOPFOAM/REBOUND14]],'ALL NEW ITEM '!$E:$F,2,0)*Q51,"")</f>
        <v/>
      </c>
    </row>
    <row r="53" spans="1:47" ht="18">
      <c r="AN53" s="76"/>
    </row>
    <row r="75" spans="2:2">
      <c r="B75" s="56" t="str">
        <f>+'STEP-1'!AA15</f>
        <v/>
      </c>
    </row>
  </sheetData>
  <pageMargins left="0.7" right="0.7" top="0.75" bottom="0.75" header="0.3" footer="0.3"/>
  <pageSetup paperSize="9" orientation="portrait" verticalDpi="203" r:id="rId1"/>
  <tableParts count="5">
    <tablePart r:id="rId2"/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9"/>
  <sheetViews>
    <sheetView workbookViewId="0">
      <selection activeCell="B7" sqref="B7:C8"/>
    </sheetView>
  </sheetViews>
  <sheetFormatPr defaultColWidth="9" defaultRowHeight="15"/>
  <cols>
    <col min="1" max="1" width="39.28515625" customWidth="1"/>
    <col min="2" max="2" width="35.42578125" customWidth="1"/>
    <col min="3" max="4" width="5.42578125" customWidth="1"/>
    <col min="7" max="7" width="35.42578125" bestFit="1" customWidth="1"/>
  </cols>
  <sheetData>
    <row r="1" spans="1:8">
      <c r="G1" s="390"/>
      <c r="H1" s="390"/>
    </row>
    <row r="3" spans="1:8">
      <c r="A3" s="356" t="s">
        <v>3078</v>
      </c>
    </row>
    <row r="4" spans="1:8">
      <c r="A4" s="356" t="s">
        <v>3083</v>
      </c>
      <c r="B4" s="356" t="s">
        <v>3081</v>
      </c>
      <c r="C4" t="s">
        <v>3086</v>
      </c>
    </row>
    <row r="5" spans="1:8">
      <c r="A5" t="s">
        <v>3085</v>
      </c>
      <c r="C5" s="2">
        <v>20</v>
      </c>
    </row>
    <row r="6" spans="1:8">
      <c r="A6" t="s">
        <v>3079</v>
      </c>
      <c r="B6" t="s">
        <v>3079</v>
      </c>
      <c r="C6" s="2">
        <v>60</v>
      </c>
    </row>
    <row r="7" spans="1:8">
      <c r="A7" t="s">
        <v>2537</v>
      </c>
      <c r="B7" t="s">
        <v>3534</v>
      </c>
      <c r="C7" s="2">
        <v>20</v>
      </c>
    </row>
    <row r="8" spans="1:8">
      <c r="B8" t="s">
        <v>3382</v>
      </c>
      <c r="C8" s="2">
        <v>20</v>
      </c>
    </row>
    <row r="9" spans="1:8">
      <c r="A9" t="s">
        <v>3080</v>
      </c>
      <c r="C9" s="2">
        <v>120</v>
      </c>
    </row>
  </sheetData>
  <pageMargins left="0.7" right="0.7" top="0.75" bottom="0.75" header="0.3" footer="0.3"/>
  <pageSetup paperSize="9" orientation="portrait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202"/>
  <sheetViews>
    <sheetView workbookViewId="0">
      <selection activeCell="B2" sqref="B2:C11"/>
    </sheetView>
  </sheetViews>
  <sheetFormatPr defaultColWidth="9" defaultRowHeight="15"/>
  <cols>
    <col min="1" max="1" width="8.140625" customWidth="1"/>
    <col min="2" max="2" width="66" customWidth="1"/>
    <col min="3" max="3" width="18.140625" customWidth="1"/>
    <col min="4" max="4" width="14.140625" hidden="1" customWidth="1"/>
    <col min="5" max="5" width="14.42578125" customWidth="1"/>
    <col min="6" max="6" width="11.42578125" customWidth="1"/>
  </cols>
  <sheetData>
    <row r="1" spans="1:6" ht="39.75" customHeight="1" thickBot="1">
      <c r="A1" s="20" t="s">
        <v>1387</v>
      </c>
      <c r="B1" s="21" t="s">
        <v>3081</v>
      </c>
      <c r="C1" s="22" t="s">
        <v>1398</v>
      </c>
      <c r="D1" s="23" t="s">
        <v>3082</v>
      </c>
      <c r="E1" s="24" t="s">
        <v>3083</v>
      </c>
      <c r="F1" s="25" t="s">
        <v>1730</v>
      </c>
    </row>
    <row r="2" spans="1:6" ht="18">
      <c r="A2" s="6">
        <v>1</v>
      </c>
      <c r="B2" s="26" t="str">
        <f>+Table6[[#This Row],[LENGTHSIZE]]</f>
        <v>32D-HARD-FOAM-74.5X135MMX70MM</v>
      </c>
      <c r="C2" s="27">
        <f>+Table6[[#This Row],[QTY]]</f>
        <v>100</v>
      </c>
      <c r="D2" s="28" t="str">
        <f>RIGHT(B2,10)</f>
        <v>135MMX70MM</v>
      </c>
      <c r="E2" s="26" t="str">
        <f t="shared" ref="E2:E33" si="0">LEFT(D2,5)</f>
        <v>135MM</v>
      </c>
      <c r="F2" s="29" t="str">
        <f t="shared" ref="F2:F33" si="1">RIGHT(D2,4)</f>
        <v>70MM</v>
      </c>
    </row>
    <row r="3" spans="1:6" ht="18">
      <c r="A3" s="9">
        <v>1</v>
      </c>
      <c r="B3" s="10" t="str">
        <f>+'STEP-1'!AA2</f>
        <v>32D-HARD-FOAM-54X135MMX70MM</v>
      </c>
      <c r="C3" s="30">
        <f>+'STEP-1'!AB2</f>
        <v>100</v>
      </c>
      <c r="D3" s="31" t="str">
        <f t="shared" ref="D3:D66" si="2">RIGHT(B3,10)</f>
        <v>135MMX70MM</v>
      </c>
      <c r="E3" s="10" t="str">
        <f t="shared" si="0"/>
        <v>135MM</v>
      </c>
      <c r="F3" s="32" t="str">
        <f t="shared" si="1"/>
        <v>70MM</v>
      </c>
    </row>
    <row r="4" spans="1:6" ht="18">
      <c r="A4" s="9">
        <v>1</v>
      </c>
      <c r="B4" s="10" t="str">
        <f>+'STEP-1'!AC2</f>
        <v/>
      </c>
      <c r="C4" s="30">
        <f>+'STEP-1'!AD2</f>
        <v>50</v>
      </c>
      <c r="D4" s="31" t="str">
        <f t="shared" si="2"/>
        <v/>
      </c>
      <c r="E4" s="10" t="str">
        <f t="shared" si="0"/>
        <v/>
      </c>
      <c r="F4" s="32" t="str">
        <f t="shared" si="1"/>
        <v/>
      </c>
    </row>
    <row r="5" spans="1:6" ht="18" customHeight="1">
      <c r="A5" s="12">
        <v>1</v>
      </c>
      <c r="B5" s="33" t="str">
        <f>+'STEP-1'!AE2</f>
        <v/>
      </c>
      <c r="C5" s="34">
        <f>+'STEP-1'!AF2</f>
        <v>50</v>
      </c>
      <c r="D5" s="35" t="str">
        <f t="shared" si="2"/>
        <v/>
      </c>
      <c r="E5" s="13" t="str">
        <f t="shared" si="0"/>
        <v/>
      </c>
      <c r="F5" s="36" t="str">
        <f t="shared" si="1"/>
        <v/>
      </c>
    </row>
    <row r="6" spans="1:6" ht="18">
      <c r="A6" s="6">
        <v>2</v>
      </c>
      <c r="B6" s="26" t="str">
        <f>+'STEP-1'!Y3</f>
        <v>32D-HARD-FOAM-77.5X135MMX70MM</v>
      </c>
      <c r="C6" s="27">
        <f>+'STEP-1'!Z3</f>
        <v>100</v>
      </c>
      <c r="D6" s="28" t="str">
        <f t="shared" si="2"/>
        <v>135MMX70MM</v>
      </c>
      <c r="E6" s="26" t="str">
        <f t="shared" si="0"/>
        <v>135MM</v>
      </c>
      <c r="F6" s="29" t="str">
        <f t="shared" si="1"/>
        <v>70MM</v>
      </c>
    </row>
    <row r="7" spans="1:6" ht="18">
      <c r="A7" s="9">
        <v>2</v>
      </c>
      <c r="B7" s="10" t="str">
        <f>+'STEP-1'!AA3</f>
        <v>32D-HARD-FOAM-54X135MMX70MM</v>
      </c>
      <c r="C7" s="30">
        <f>+'STEP-1'!AB3</f>
        <v>100</v>
      </c>
      <c r="D7" s="31" t="str">
        <f t="shared" si="2"/>
        <v>135MMX70MM</v>
      </c>
      <c r="E7" s="10" t="str">
        <f t="shared" si="0"/>
        <v>135MM</v>
      </c>
      <c r="F7" s="32" t="str">
        <f t="shared" si="1"/>
        <v>70MM</v>
      </c>
    </row>
    <row r="8" spans="1:6" ht="18">
      <c r="A8" s="9">
        <v>2</v>
      </c>
      <c r="B8" s="10" t="str">
        <f>+'STEP-1'!AC3</f>
        <v/>
      </c>
      <c r="C8" s="30">
        <f>+'STEP-1'!AD3</f>
        <v>50</v>
      </c>
      <c r="D8" s="31" t="str">
        <f t="shared" si="2"/>
        <v/>
      </c>
      <c r="E8" s="10" t="str">
        <f t="shared" si="0"/>
        <v/>
      </c>
      <c r="F8" s="32" t="str">
        <f t="shared" si="1"/>
        <v/>
      </c>
    </row>
    <row r="9" spans="1:6" ht="18">
      <c r="A9" s="12">
        <v>2</v>
      </c>
      <c r="B9" s="33" t="str">
        <f>+'STEP-1'!AE3</f>
        <v/>
      </c>
      <c r="C9" s="34">
        <f>+'STEP-1'!AF3</f>
        <v>50</v>
      </c>
      <c r="D9" s="35" t="str">
        <f t="shared" si="2"/>
        <v/>
      </c>
      <c r="E9" s="13" t="str">
        <f t="shared" si="0"/>
        <v/>
      </c>
      <c r="F9" s="36" t="str">
        <f t="shared" si="1"/>
        <v/>
      </c>
    </row>
    <row r="10" spans="1:6" ht="18">
      <c r="A10" s="6">
        <v>3</v>
      </c>
      <c r="B10" s="26" t="str">
        <f>+'STEP-1'!Y4</f>
        <v/>
      </c>
      <c r="C10" s="27">
        <f>+'STEP-1'!Z4</f>
        <v>0</v>
      </c>
      <c r="D10" s="28" t="str">
        <f t="shared" si="2"/>
        <v/>
      </c>
      <c r="E10" s="26" t="str">
        <f t="shared" si="0"/>
        <v/>
      </c>
      <c r="F10" s="29" t="str">
        <f t="shared" si="1"/>
        <v/>
      </c>
    </row>
    <row r="11" spans="1:6" ht="18">
      <c r="A11" s="9">
        <v>3</v>
      </c>
      <c r="B11" s="10" t="str">
        <f>+'STEP-1'!AA4</f>
        <v/>
      </c>
      <c r="C11" s="30">
        <f>+'STEP-1'!AB4</f>
        <v>0</v>
      </c>
      <c r="D11" s="31" t="str">
        <f t="shared" si="2"/>
        <v/>
      </c>
      <c r="E11" s="10" t="str">
        <f t="shared" si="0"/>
        <v/>
      </c>
      <c r="F11" s="32" t="str">
        <f t="shared" si="1"/>
        <v/>
      </c>
    </row>
    <row r="12" spans="1:6" ht="18">
      <c r="A12" s="9">
        <v>3</v>
      </c>
      <c r="B12" s="10" t="str">
        <f>+'STEP-1'!AC4</f>
        <v/>
      </c>
      <c r="C12" s="30">
        <f>+'STEP-1'!AD4</f>
        <v>0</v>
      </c>
      <c r="D12" s="31" t="str">
        <f t="shared" si="2"/>
        <v/>
      </c>
      <c r="E12" s="10" t="str">
        <f t="shared" si="0"/>
        <v/>
      </c>
      <c r="F12" s="32" t="str">
        <f t="shared" si="1"/>
        <v/>
      </c>
    </row>
    <row r="13" spans="1:6" ht="18">
      <c r="A13" s="12">
        <v>3</v>
      </c>
      <c r="B13" s="33" t="str">
        <f>+'STEP-1'!AE4</f>
        <v/>
      </c>
      <c r="C13" s="34">
        <f>+'STEP-1'!AF4</f>
        <v>0</v>
      </c>
      <c r="D13" s="35" t="str">
        <f t="shared" si="2"/>
        <v/>
      </c>
      <c r="E13" s="13" t="str">
        <f t="shared" si="0"/>
        <v/>
      </c>
      <c r="F13" s="36" t="str">
        <f t="shared" si="1"/>
        <v/>
      </c>
    </row>
    <row r="14" spans="1:6" ht="18">
      <c r="A14" s="6">
        <v>4</v>
      </c>
      <c r="B14" s="26" t="str">
        <f>+'STEP-1'!Y5</f>
        <v/>
      </c>
      <c r="C14" s="27">
        <f>+'STEP-1'!Z5</f>
        <v>0</v>
      </c>
      <c r="D14" s="28" t="str">
        <f t="shared" si="2"/>
        <v/>
      </c>
      <c r="E14" s="26" t="str">
        <f t="shared" si="0"/>
        <v/>
      </c>
      <c r="F14" s="29" t="str">
        <f t="shared" si="1"/>
        <v/>
      </c>
    </row>
    <row r="15" spans="1:6" ht="18">
      <c r="A15" s="9">
        <v>4</v>
      </c>
      <c r="B15" s="10" t="str">
        <f>+'STEP-1'!AA5</f>
        <v/>
      </c>
      <c r="C15" s="30">
        <f>+'STEP-1'!AB5</f>
        <v>0</v>
      </c>
      <c r="D15" s="31" t="str">
        <f t="shared" si="2"/>
        <v/>
      </c>
      <c r="E15" s="10" t="str">
        <f t="shared" si="0"/>
        <v/>
      </c>
      <c r="F15" s="32" t="str">
        <f t="shared" si="1"/>
        <v/>
      </c>
    </row>
    <row r="16" spans="1:6" ht="18">
      <c r="A16" s="9">
        <v>4</v>
      </c>
      <c r="B16" s="10" t="str">
        <f>+'STEP-1'!AC5</f>
        <v/>
      </c>
      <c r="C16" s="30">
        <f>+'STEP-1'!AD5</f>
        <v>0</v>
      </c>
      <c r="D16" s="31" t="str">
        <f t="shared" si="2"/>
        <v/>
      </c>
      <c r="E16" s="10" t="str">
        <f t="shared" si="0"/>
        <v/>
      </c>
      <c r="F16" s="32" t="str">
        <f t="shared" si="1"/>
        <v/>
      </c>
    </row>
    <row r="17" spans="1:6" ht="18">
      <c r="A17" s="12">
        <v>4</v>
      </c>
      <c r="B17" s="33" t="str">
        <f>+'STEP-1'!AE5</f>
        <v/>
      </c>
      <c r="C17" s="34">
        <f>+'STEP-1'!AF5</f>
        <v>0</v>
      </c>
      <c r="D17" s="35" t="str">
        <f t="shared" si="2"/>
        <v/>
      </c>
      <c r="E17" s="13" t="str">
        <f t="shared" si="0"/>
        <v/>
      </c>
      <c r="F17" s="36" t="str">
        <f t="shared" si="1"/>
        <v/>
      </c>
    </row>
    <row r="18" spans="1:6" ht="18">
      <c r="A18" s="6">
        <v>5</v>
      </c>
      <c r="B18" s="26" t="str">
        <f>+'STEP-1'!Y6</f>
        <v/>
      </c>
      <c r="C18" s="27">
        <f>+'STEP-1'!Z6</f>
        <v>0</v>
      </c>
      <c r="D18" s="28" t="str">
        <f t="shared" si="2"/>
        <v/>
      </c>
      <c r="E18" s="26" t="str">
        <f t="shared" si="0"/>
        <v/>
      </c>
      <c r="F18" s="29" t="str">
        <f t="shared" si="1"/>
        <v/>
      </c>
    </row>
    <row r="19" spans="1:6" ht="18">
      <c r="A19" s="9">
        <v>5</v>
      </c>
      <c r="B19" s="10" t="str">
        <f>+'STEP-1'!AA6</f>
        <v/>
      </c>
      <c r="C19" s="30">
        <f>+'STEP-1'!AB6</f>
        <v>0</v>
      </c>
      <c r="D19" s="31" t="str">
        <f t="shared" si="2"/>
        <v/>
      </c>
      <c r="E19" s="10" t="str">
        <f t="shared" si="0"/>
        <v/>
      </c>
      <c r="F19" s="32" t="str">
        <f t="shared" si="1"/>
        <v/>
      </c>
    </row>
    <row r="20" spans="1:6" ht="18">
      <c r="A20" s="9">
        <v>5</v>
      </c>
      <c r="B20" s="10" t="str">
        <f>+'STEP-1'!AC6</f>
        <v/>
      </c>
      <c r="C20" s="30">
        <f>+'STEP-1'!AD6</f>
        <v>0</v>
      </c>
      <c r="D20" s="31" t="str">
        <f t="shared" si="2"/>
        <v/>
      </c>
      <c r="E20" s="10" t="str">
        <f t="shared" si="0"/>
        <v/>
      </c>
      <c r="F20" s="32" t="str">
        <f t="shared" si="1"/>
        <v/>
      </c>
    </row>
    <row r="21" spans="1:6" ht="18">
      <c r="A21" s="12">
        <v>5</v>
      </c>
      <c r="B21" s="33" t="str">
        <f>+'STEP-1'!AE6</f>
        <v/>
      </c>
      <c r="C21" s="34">
        <f>+'STEP-1'!AF6</f>
        <v>0</v>
      </c>
      <c r="D21" s="35" t="str">
        <f t="shared" si="2"/>
        <v/>
      </c>
      <c r="E21" s="13" t="str">
        <f t="shared" si="0"/>
        <v/>
      </c>
      <c r="F21" s="36" t="str">
        <f t="shared" si="1"/>
        <v/>
      </c>
    </row>
    <row r="22" spans="1:6" ht="18">
      <c r="A22" s="6">
        <v>6</v>
      </c>
      <c r="B22" s="26" t="str">
        <f>+'STEP-1'!Y7</f>
        <v/>
      </c>
      <c r="C22" s="27">
        <f>+'STEP-1'!Z7</f>
        <v>0</v>
      </c>
      <c r="D22" s="28" t="str">
        <f t="shared" si="2"/>
        <v/>
      </c>
      <c r="E22" s="26" t="str">
        <f t="shared" si="0"/>
        <v/>
      </c>
      <c r="F22" s="29" t="str">
        <f t="shared" si="1"/>
        <v/>
      </c>
    </row>
    <row r="23" spans="1:6" ht="18">
      <c r="A23" s="9">
        <v>6</v>
      </c>
      <c r="B23" s="10" t="str">
        <f>+'STEP-1'!AA7</f>
        <v/>
      </c>
      <c r="C23" s="30">
        <f>+'STEP-1'!AB7</f>
        <v>0</v>
      </c>
      <c r="D23" s="31" t="str">
        <f t="shared" si="2"/>
        <v/>
      </c>
      <c r="E23" s="10" t="str">
        <f t="shared" si="0"/>
        <v/>
      </c>
      <c r="F23" s="32" t="str">
        <f t="shared" si="1"/>
        <v/>
      </c>
    </row>
    <row r="24" spans="1:6" ht="18">
      <c r="A24" s="9">
        <v>6</v>
      </c>
      <c r="B24" s="10" t="str">
        <f>+'STEP-1'!AC7</f>
        <v/>
      </c>
      <c r="C24" s="30">
        <f>+'STEP-1'!AD7</f>
        <v>0</v>
      </c>
      <c r="D24" s="31" t="str">
        <f t="shared" si="2"/>
        <v/>
      </c>
      <c r="E24" s="10" t="str">
        <f t="shared" si="0"/>
        <v/>
      </c>
      <c r="F24" s="32" t="str">
        <f t="shared" si="1"/>
        <v/>
      </c>
    </row>
    <row r="25" spans="1:6" ht="18">
      <c r="A25" s="12">
        <v>6</v>
      </c>
      <c r="B25" s="33" t="str">
        <f>+'STEP-1'!AE7</f>
        <v/>
      </c>
      <c r="C25" s="34">
        <f>+'STEP-1'!AF7</f>
        <v>0</v>
      </c>
      <c r="D25" s="35" t="str">
        <f t="shared" si="2"/>
        <v/>
      </c>
      <c r="E25" s="13" t="str">
        <f t="shared" si="0"/>
        <v/>
      </c>
      <c r="F25" s="36" t="str">
        <f t="shared" si="1"/>
        <v/>
      </c>
    </row>
    <row r="26" spans="1:6" ht="18">
      <c r="A26" s="6">
        <v>7</v>
      </c>
      <c r="B26" s="26" t="str">
        <f>+'STEP-1'!Y8</f>
        <v/>
      </c>
      <c r="C26" s="37">
        <f>+'STEP-1'!Z8</f>
        <v>0</v>
      </c>
      <c r="D26" s="28" t="str">
        <f t="shared" si="2"/>
        <v/>
      </c>
      <c r="E26" s="26" t="str">
        <f t="shared" si="0"/>
        <v/>
      </c>
      <c r="F26" s="29" t="str">
        <f t="shared" si="1"/>
        <v/>
      </c>
    </row>
    <row r="27" spans="1:6" ht="18">
      <c r="A27" s="9">
        <v>7</v>
      </c>
      <c r="B27" s="10" t="str">
        <f>+'STEP-1'!AA8</f>
        <v/>
      </c>
      <c r="C27" s="38">
        <f>+'STEP-1'!AB8</f>
        <v>0</v>
      </c>
      <c r="D27" s="31" t="str">
        <f t="shared" si="2"/>
        <v/>
      </c>
      <c r="E27" s="10" t="str">
        <f t="shared" si="0"/>
        <v/>
      </c>
      <c r="F27" s="32" t="str">
        <f t="shared" si="1"/>
        <v/>
      </c>
    </row>
    <row r="28" spans="1:6" ht="18">
      <c r="A28" s="9">
        <v>7</v>
      </c>
      <c r="B28" s="10" t="str">
        <f>+'STEP-1'!AC8</f>
        <v/>
      </c>
      <c r="C28" s="38">
        <f>+'STEP-1'!AD8</f>
        <v>0</v>
      </c>
      <c r="D28" s="31" t="str">
        <f t="shared" si="2"/>
        <v/>
      </c>
      <c r="E28" s="10" t="str">
        <f t="shared" si="0"/>
        <v/>
      </c>
      <c r="F28" s="32" t="str">
        <f t="shared" si="1"/>
        <v/>
      </c>
    </row>
    <row r="29" spans="1:6" ht="18">
      <c r="A29" s="12">
        <v>7</v>
      </c>
      <c r="B29" s="33" t="str">
        <f>+'STEP-1'!AE8</f>
        <v/>
      </c>
      <c r="C29" s="12">
        <f>+'STEP-1'!AF8</f>
        <v>0</v>
      </c>
      <c r="D29" s="35" t="str">
        <f t="shared" si="2"/>
        <v/>
      </c>
      <c r="E29" s="13" t="str">
        <f t="shared" si="0"/>
        <v/>
      </c>
      <c r="F29" s="36" t="str">
        <f t="shared" si="1"/>
        <v/>
      </c>
    </row>
    <row r="30" spans="1:6" ht="18">
      <c r="A30" s="6">
        <v>8</v>
      </c>
      <c r="B30" s="26" t="str">
        <f>+'STEP-1'!Y9</f>
        <v/>
      </c>
      <c r="C30" s="37">
        <f>+'STEP-1'!Z9</f>
        <v>0</v>
      </c>
      <c r="D30" s="28" t="str">
        <f t="shared" si="2"/>
        <v/>
      </c>
      <c r="E30" s="26" t="str">
        <f t="shared" si="0"/>
        <v/>
      </c>
      <c r="F30" s="29" t="str">
        <f t="shared" si="1"/>
        <v/>
      </c>
    </row>
    <row r="31" spans="1:6" ht="18">
      <c r="A31" s="9">
        <v>8</v>
      </c>
      <c r="B31" s="10" t="str">
        <f>+'STEP-1'!AA9</f>
        <v/>
      </c>
      <c r="C31" s="38">
        <f>+'STEP-1'!AB9</f>
        <v>0</v>
      </c>
      <c r="D31" s="31" t="str">
        <f t="shared" si="2"/>
        <v/>
      </c>
      <c r="E31" s="10" t="str">
        <f t="shared" si="0"/>
        <v/>
      </c>
      <c r="F31" s="32" t="str">
        <f t="shared" si="1"/>
        <v/>
      </c>
    </row>
    <row r="32" spans="1:6" ht="18">
      <c r="A32" s="9">
        <v>8</v>
      </c>
      <c r="B32" s="10" t="str">
        <f>+'STEP-1'!AC9</f>
        <v/>
      </c>
      <c r="C32" s="38">
        <f>+'STEP-1'!AD9</f>
        <v>0</v>
      </c>
      <c r="D32" s="31" t="str">
        <f t="shared" si="2"/>
        <v/>
      </c>
      <c r="E32" s="10" t="str">
        <f t="shared" si="0"/>
        <v/>
      </c>
      <c r="F32" s="32" t="str">
        <f t="shared" si="1"/>
        <v/>
      </c>
    </row>
    <row r="33" spans="1:6" ht="18">
      <c r="A33" s="12">
        <v>8</v>
      </c>
      <c r="B33" s="33" t="str">
        <f>+'STEP-1'!AE9</f>
        <v/>
      </c>
      <c r="C33" s="12">
        <f>+'STEP-1'!AF9</f>
        <v>0</v>
      </c>
      <c r="D33" s="35" t="str">
        <f t="shared" si="2"/>
        <v/>
      </c>
      <c r="E33" s="13" t="str">
        <f t="shared" si="0"/>
        <v/>
      </c>
      <c r="F33" s="36" t="str">
        <f t="shared" si="1"/>
        <v/>
      </c>
    </row>
    <row r="34" spans="1:6" ht="18">
      <c r="A34" s="6">
        <v>9</v>
      </c>
      <c r="B34" s="26" t="str">
        <f>+'STEP-1'!Y10</f>
        <v/>
      </c>
      <c r="C34" s="37">
        <f>+'STEP-1'!Z10</f>
        <v>0</v>
      </c>
      <c r="D34" s="28" t="str">
        <f t="shared" si="2"/>
        <v/>
      </c>
      <c r="E34" s="26" t="str">
        <f t="shared" ref="E34:E65" si="3">LEFT(D34,5)</f>
        <v/>
      </c>
      <c r="F34" s="29" t="str">
        <f t="shared" ref="F34:F65" si="4">RIGHT(D34,4)</f>
        <v/>
      </c>
    </row>
    <row r="35" spans="1:6" ht="18">
      <c r="A35" s="9">
        <v>9</v>
      </c>
      <c r="B35" s="10" t="str">
        <f>+'STEP-1'!AA10</f>
        <v/>
      </c>
      <c r="C35" s="38">
        <f>+'STEP-1'!AB10</f>
        <v>0</v>
      </c>
      <c r="D35" s="31" t="str">
        <f t="shared" si="2"/>
        <v/>
      </c>
      <c r="E35" s="10" t="str">
        <f t="shared" si="3"/>
        <v/>
      </c>
      <c r="F35" s="32" t="str">
        <f t="shared" si="4"/>
        <v/>
      </c>
    </row>
    <row r="36" spans="1:6" ht="18">
      <c r="A36" s="9">
        <v>9</v>
      </c>
      <c r="B36" s="10" t="str">
        <f>+'STEP-1'!AC10</f>
        <v/>
      </c>
      <c r="C36" s="38">
        <f>+'STEP-1'!AD10</f>
        <v>0</v>
      </c>
      <c r="D36" s="31" t="str">
        <f t="shared" si="2"/>
        <v/>
      </c>
      <c r="E36" s="10" t="str">
        <f t="shared" si="3"/>
        <v/>
      </c>
      <c r="F36" s="32" t="str">
        <f t="shared" si="4"/>
        <v/>
      </c>
    </row>
    <row r="37" spans="1:6" ht="18">
      <c r="A37" s="12">
        <v>9</v>
      </c>
      <c r="B37" s="33" t="str">
        <f>+'STEP-1'!AE10</f>
        <v/>
      </c>
      <c r="C37" s="12">
        <f>+'STEP-1'!AF10</f>
        <v>0</v>
      </c>
      <c r="D37" s="35" t="str">
        <f t="shared" si="2"/>
        <v/>
      </c>
      <c r="E37" s="13" t="str">
        <f t="shared" si="3"/>
        <v/>
      </c>
      <c r="F37" s="36" t="str">
        <f t="shared" si="4"/>
        <v/>
      </c>
    </row>
    <row r="38" spans="1:6" ht="18">
      <c r="A38" s="6">
        <v>10</v>
      </c>
      <c r="B38" s="26" t="str">
        <f>+'STEP-1'!Y11</f>
        <v/>
      </c>
      <c r="C38" s="37">
        <f>+'STEP-1'!Z11</f>
        <v>0</v>
      </c>
      <c r="D38" s="28" t="str">
        <f t="shared" si="2"/>
        <v/>
      </c>
      <c r="E38" s="26" t="str">
        <f t="shared" si="3"/>
        <v/>
      </c>
      <c r="F38" s="29" t="str">
        <f t="shared" si="4"/>
        <v/>
      </c>
    </row>
    <row r="39" spans="1:6" ht="18">
      <c r="A39" s="9">
        <v>10</v>
      </c>
      <c r="B39" s="10" t="str">
        <f>+'STEP-1'!AA11</f>
        <v/>
      </c>
      <c r="C39" s="38">
        <f>+'STEP-1'!AB11</f>
        <v>0</v>
      </c>
      <c r="D39" s="31" t="str">
        <f t="shared" si="2"/>
        <v/>
      </c>
      <c r="E39" s="10" t="str">
        <f t="shared" si="3"/>
        <v/>
      </c>
      <c r="F39" s="32" t="str">
        <f t="shared" si="4"/>
        <v/>
      </c>
    </row>
    <row r="40" spans="1:6" ht="18">
      <c r="A40" s="9">
        <v>10</v>
      </c>
      <c r="B40" s="10" t="str">
        <f>+'STEP-1'!AC11</f>
        <v/>
      </c>
      <c r="C40" s="30">
        <f>+'STEP-1'!AD11</f>
        <v>0</v>
      </c>
      <c r="D40" s="31" t="str">
        <f t="shared" si="2"/>
        <v/>
      </c>
      <c r="E40" s="10" t="str">
        <f t="shared" si="3"/>
        <v/>
      </c>
      <c r="F40" s="32" t="str">
        <f t="shared" si="4"/>
        <v/>
      </c>
    </row>
    <row r="41" spans="1:6" ht="18">
      <c r="A41" s="12">
        <v>10</v>
      </c>
      <c r="B41" s="33" t="str">
        <f>+'STEP-1'!AE11</f>
        <v/>
      </c>
      <c r="C41" s="34">
        <f>+'STEP-1'!AF11</f>
        <v>0</v>
      </c>
      <c r="D41" s="35" t="str">
        <f t="shared" si="2"/>
        <v/>
      </c>
      <c r="E41" s="13" t="str">
        <f t="shared" si="3"/>
        <v/>
      </c>
      <c r="F41" s="36" t="str">
        <f t="shared" si="4"/>
        <v/>
      </c>
    </row>
    <row r="42" spans="1:6" ht="18">
      <c r="A42" s="6">
        <v>11</v>
      </c>
      <c r="B42" s="26" t="str">
        <f>+'STEP-1'!Y12</f>
        <v/>
      </c>
      <c r="C42" s="37">
        <f>+'STEP-1'!Z12</f>
        <v>0</v>
      </c>
      <c r="D42" s="28" t="str">
        <f t="shared" si="2"/>
        <v/>
      </c>
      <c r="E42" s="26" t="str">
        <f t="shared" si="3"/>
        <v/>
      </c>
      <c r="F42" s="29" t="str">
        <f t="shared" si="4"/>
        <v/>
      </c>
    </row>
    <row r="43" spans="1:6" ht="18">
      <c r="A43" s="9">
        <v>11</v>
      </c>
      <c r="B43" s="10" t="str">
        <f>+'STEP-1'!AA12</f>
        <v/>
      </c>
      <c r="C43" s="30">
        <f>+'STEP-1'!AB12</f>
        <v>0</v>
      </c>
      <c r="D43" s="31" t="str">
        <f t="shared" si="2"/>
        <v/>
      </c>
      <c r="E43" s="10" t="str">
        <f t="shared" si="3"/>
        <v/>
      </c>
      <c r="F43" s="32" t="str">
        <f t="shared" si="4"/>
        <v/>
      </c>
    </row>
    <row r="44" spans="1:6" ht="18">
      <c r="A44" s="9">
        <v>11</v>
      </c>
      <c r="B44" s="10" t="str">
        <f>+'STEP-1'!AC12</f>
        <v/>
      </c>
      <c r="C44" s="30">
        <f>+'STEP-1'!AD12</f>
        <v>0</v>
      </c>
      <c r="D44" s="31" t="str">
        <f t="shared" si="2"/>
        <v/>
      </c>
      <c r="E44" s="10" t="str">
        <f t="shared" si="3"/>
        <v/>
      </c>
      <c r="F44" s="32" t="str">
        <f t="shared" si="4"/>
        <v/>
      </c>
    </row>
    <row r="45" spans="1:6" ht="18">
      <c r="A45" s="12">
        <v>11</v>
      </c>
      <c r="B45" s="33" t="str">
        <f>+'STEP-1'!AE12</f>
        <v/>
      </c>
      <c r="C45" s="34">
        <f>+'STEP-1'!AF12</f>
        <v>0</v>
      </c>
      <c r="D45" s="35" t="str">
        <f t="shared" si="2"/>
        <v/>
      </c>
      <c r="E45" s="13" t="str">
        <f t="shared" si="3"/>
        <v/>
      </c>
      <c r="F45" s="36" t="str">
        <f t="shared" si="4"/>
        <v/>
      </c>
    </row>
    <row r="46" spans="1:6" ht="18">
      <c r="A46" s="39">
        <v>12</v>
      </c>
      <c r="B46" s="40" t="str">
        <f>+'STEP-1'!Y13</f>
        <v/>
      </c>
      <c r="C46" s="41">
        <f>+'STEP-1'!Z13</f>
        <v>0</v>
      </c>
      <c r="D46" s="42" t="str">
        <f t="shared" si="2"/>
        <v/>
      </c>
      <c r="E46" s="40" t="str">
        <f t="shared" si="3"/>
        <v/>
      </c>
      <c r="F46" s="43" t="str">
        <f t="shared" si="4"/>
        <v/>
      </c>
    </row>
    <row r="47" spans="1:6" ht="18">
      <c r="A47" s="9">
        <v>12</v>
      </c>
      <c r="B47" s="10" t="str">
        <f>+'STEP-1'!AA13</f>
        <v/>
      </c>
      <c r="C47" s="30">
        <f>+'STEP-1'!AB13</f>
        <v>0</v>
      </c>
      <c r="D47" s="31" t="str">
        <f t="shared" si="2"/>
        <v/>
      </c>
      <c r="E47" s="10" t="str">
        <f t="shared" si="3"/>
        <v/>
      </c>
      <c r="F47" s="32" t="str">
        <f t="shared" si="4"/>
        <v/>
      </c>
    </row>
    <row r="48" spans="1:6" ht="18">
      <c r="A48" s="9">
        <v>12</v>
      </c>
      <c r="B48" s="10" t="str">
        <f>+'STEP-1'!AC13</f>
        <v/>
      </c>
      <c r="C48" s="30">
        <f>+'STEP-1'!AD13</f>
        <v>0</v>
      </c>
      <c r="D48" s="31" t="str">
        <f t="shared" si="2"/>
        <v/>
      </c>
      <c r="E48" s="10" t="str">
        <f t="shared" si="3"/>
        <v/>
      </c>
      <c r="F48" s="32" t="str">
        <f t="shared" si="4"/>
        <v/>
      </c>
    </row>
    <row r="49" spans="1:6" ht="18">
      <c r="A49" s="44">
        <v>12</v>
      </c>
      <c r="B49" s="45" t="str">
        <f>+'STEP-1'!AE13</f>
        <v/>
      </c>
      <c r="C49" s="46">
        <f>+'STEP-1'!AF13</f>
        <v>0</v>
      </c>
      <c r="D49" s="47" t="str">
        <f t="shared" si="2"/>
        <v/>
      </c>
      <c r="E49" s="48" t="str">
        <f t="shared" si="3"/>
        <v/>
      </c>
      <c r="F49" s="49" t="str">
        <f t="shared" si="4"/>
        <v/>
      </c>
    </row>
    <row r="50" spans="1:6" ht="18">
      <c r="A50" s="6">
        <v>13</v>
      </c>
      <c r="B50" s="26" t="str">
        <f>+'STEP-1'!Y14</f>
        <v/>
      </c>
      <c r="C50" s="37">
        <f>+'STEP-1'!Z14</f>
        <v>0</v>
      </c>
      <c r="D50" s="28" t="str">
        <f t="shared" si="2"/>
        <v/>
      </c>
      <c r="E50" s="26" t="str">
        <f t="shared" si="3"/>
        <v/>
      </c>
      <c r="F50" s="29" t="str">
        <f t="shared" si="4"/>
        <v/>
      </c>
    </row>
    <row r="51" spans="1:6" ht="18">
      <c r="A51" s="9">
        <v>13</v>
      </c>
      <c r="B51" s="10" t="str">
        <f>+'STEP-1'!AA14</f>
        <v/>
      </c>
      <c r="C51" s="38">
        <f>+'STEP-1'!AB14</f>
        <v>0</v>
      </c>
      <c r="D51" s="31" t="str">
        <f t="shared" si="2"/>
        <v/>
      </c>
      <c r="E51" s="10" t="str">
        <f t="shared" si="3"/>
        <v/>
      </c>
      <c r="F51" s="32" t="str">
        <f t="shared" si="4"/>
        <v/>
      </c>
    </row>
    <row r="52" spans="1:6" ht="18">
      <c r="A52" s="9">
        <v>13</v>
      </c>
      <c r="B52" s="10" t="str">
        <f>+'STEP-1'!AC14</f>
        <v/>
      </c>
      <c r="C52" s="38">
        <f>+'STEP-1'!AD14</f>
        <v>0</v>
      </c>
      <c r="D52" s="31" t="str">
        <f t="shared" si="2"/>
        <v/>
      </c>
      <c r="E52" s="10" t="str">
        <f t="shared" si="3"/>
        <v/>
      </c>
      <c r="F52" s="32" t="str">
        <f t="shared" si="4"/>
        <v/>
      </c>
    </row>
    <row r="53" spans="1:6" ht="18">
      <c r="A53" s="12">
        <v>13</v>
      </c>
      <c r="B53" s="33" t="str">
        <f>+'STEP-1'!AE14</f>
        <v/>
      </c>
      <c r="C53" s="12">
        <f>+'STEP-1'!AF14</f>
        <v>0</v>
      </c>
      <c r="D53" s="35" t="str">
        <f t="shared" si="2"/>
        <v/>
      </c>
      <c r="E53" s="13" t="str">
        <f t="shared" si="3"/>
        <v/>
      </c>
      <c r="F53" s="36" t="str">
        <f t="shared" si="4"/>
        <v/>
      </c>
    </row>
    <row r="54" spans="1:6" ht="18">
      <c r="A54" s="39">
        <v>14</v>
      </c>
      <c r="B54" s="40" t="str">
        <f>+'STEP-1'!Y15</f>
        <v/>
      </c>
      <c r="C54" s="41">
        <f>+'STEP-1'!Z15</f>
        <v>0</v>
      </c>
      <c r="D54" s="42" t="str">
        <f t="shared" si="2"/>
        <v/>
      </c>
      <c r="E54" s="40" t="str">
        <f t="shared" si="3"/>
        <v/>
      </c>
      <c r="F54" s="43" t="str">
        <f t="shared" si="4"/>
        <v/>
      </c>
    </row>
    <row r="55" spans="1:6" ht="18">
      <c r="A55" s="9">
        <v>14</v>
      </c>
      <c r="B55" s="10" t="str">
        <f>+'STEP-1'!AA15</f>
        <v/>
      </c>
      <c r="C55" s="38">
        <f>+'STEP-1'!AB15</f>
        <v>0</v>
      </c>
      <c r="D55" s="31" t="str">
        <f t="shared" si="2"/>
        <v/>
      </c>
      <c r="E55" s="10" t="str">
        <f t="shared" si="3"/>
        <v/>
      </c>
      <c r="F55" s="32" t="str">
        <f t="shared" si="4"/>
        <v/>
      </c>
    </row>
    <row r="56" spans="1:6" ht="18">
      <c r="A56" s="9">
        <v>14</v>
      </c>
      <c r="B56" s="10" t="str">
        <f>+'STEP-1'!AC15</f>
        <v/>
      </c>
      <c r="C56" s="30">
        <f>+'STEP-1'!AD15</f>
        <v>0</v>
      </c>
      <c r="D56" s="31" t="str">
        <f t="shared" si="2"/>
        <v/>
      </c>
      <c r="E56" s="10" t="str">
        <f t="shared" si="3"/>
        <v/>
      </c>
      <c r="F56" s="32" t="str">
        <f t="shared" si="4"/>
        <v/>
      </c>
    </row>
    <row r="57" spans="1:6" ht="18">
      <c r="A57" s="44">
        <v>14</v>
      </c>
      <c r="B57" s="45" t="str">
        <f>+'STEP-1'!AE15</f>
        <v/>
      </c>
      <c r="C57" s="46">
        <f>+'STEP-1'!AF15</f>
        <v>0</v>
      </c>
      <c r="D57" s="47" t="str">
        <f t="shared" si="2"/>
        <v/>
      </c>
      <c r="E57" s="48" t="str">
        <f t="shared" si="3"/>
        <v/>
      </c>
      <c r="F57" s="49" t="str">
        <f t="shared" si="4"/>
        <v/>
      </c>
    </row>
    <row r="58" spans="1:6" ht="18">
      <c r="A58" s="6">
        <v>15</v>
      </c>
      <c r="B58" s="26" t="str">
        <f>+'STEP-1'!Y16</f>
        <v/>
      </c>
      <c r="C58" s="37">
        <f>+'STEP-1'!Z16</f>
        <v>0</v>
      </c>
      <c r="D58" s="28" t="str">
        <f t="shared" si="2"/>
        <v/>
      </c>
      <c r="E58" s="26" t="str">
        <f t="shared" si="3"/>
        <v/>
      </c>
      <c r="F58" s="29" t="str">
        <f t="shared" si="4"/>
        <v/>
      </c>
    </row>
    <row r="59" spans="1:6" ht="18">
      <c r="A59" s="9">
        <v>15</v>
      </c>
      <c r="B59" s="10" t="str">
        <f>+'STEP-1'!AA16</f>
        <v/>
      </c>
      <c r="C59" s="30">
        <f>+'STEP-1'!AB16</f>
        <v>0</v>
      </c>
      <c r="D59" s="31" t="str">
        <f t="shared" si="2"/>
        <v/>
      </c>
      <c r="E59" s="10" t="str">
        <f t="shared" si="3"/>
        <v/>
      </c>
      <c r="F59" s="32" t="str">
        <f t="shared" si="4"/>
        <v/>
      </c>
    </row>
    <row r="60" spans="1:6" ht="18">
      <c r="A60" s="9">
        <v>15</v>
      </c>
      <c r="B60" s="10" t="str">
        <f>+'STEP-1'!AC16</f>
        <v/>
      </c>
      <c r="C60" s="30">
        <f>+'STEP-1'!AD16</f>
        <v>0</v>
      </c>
      <c r="D60" s="31" t="str">
        <f t="shared" si="2"/>
        <v/>
      </c>
      <c r="E60" s="10" t="str">
        <f t="shared" si="3"/>
        <v/>
      </c>
      <c r="F60" s="32" t="str">
        <f t="shared" si="4"/>
        <v/>
      </c>
    </row>
    <row r="61" spans="1:6" ht="18">
      <c r="A61" s="12">
        <v>15</v>
      </c>
      <c r="B61" s="13" t="str">
        <f>+'STEP-1'!AE16</f>
        <v/>
      </c>
      <c r="C61" s="34">
        <f>+'STEP-1'!AF16</f>
        <v>0</v>
      </c>
      <c r="D61" s="35" t="str">
        <f t="shared" si="2"/>
        <v/>
      </c>
      <c r="E61" s="13" t="str">
        <f t="shared" si="3"/>
        <v/>
      </c>
      <c r="F61" s="36" t="str">
        <f t="shared" si="4"/>
        <v/>
      </c>
    </row>
    <row r="62" spans="1:6" ht="18">
      <c r="A62" s="39">
        <v>16</v>
      </c>
      <c r="B62" s="40" t="str">
        <f>+'STEP-1'!Y17</f>
        <v/>
      </c>
      <c r="C62" s="41">
        <f>+'STEP-1'!Z17</f>
        <v>0</v>
      </c>
      <c r="D62" s="42" t="str">
        <f t="shared" si="2"/>
        <v/>
      </c>
      <c r="E62" s="40" t="str">
        <f t="shared" si="3"/>
        <v/>
      </c>
      <c r="F62" s="43" t="str">
        <f t="shared" si="4"/>
        <v/>
      </c>
    </row>
    <row r="63" spans="1:6" ht="18">
      <c r="A63" s="9">
        <v>16</v>
      </c>
      <c r="B63" s="10" t="str">
        <f>+'STEP-1'!AA17</f>
        <v/>
      </c>
      <c r="C63" s="38">
        <f>+'STEP-1'!AB17</f>
        <v>0</v>
      </c>
      <c r="D63" s="31" t="str">
        <f t="shared" si="2"/>
        <v/>
      </c>
      <c r="E63" s="10" t="str">
        <f t="shared" si="3"/>
        <v/>
      </c>
      <c r="F63" s="32" t="str">
        <f t="shared" si="4"/>
        <v/>
      </c>
    </row>
    <row r="64" spans="1:6" ht="18">
      <c r="A64" s="9">
        <v>16</v>
      </c>
      <c r="B64" s="10" t="str">
        <f>+'STEP-1'!AC17</f>
        <v/>
      </c>
      <c r="C64" s="30">
        <f>+'STEP-1'!AD17</f>
        <v>0</v>
      </c>
      <c r="D64" s="31" t="str">
        <f t="shared" si="2"/>
        <v/>
      </c>
      <c r="E64" s="10" t="str">
        <f t="shared" si="3"/>
        <v/>
      </c>
      <c r="F64" s="32" t="str">
        <f t="shared" si="4"/>
        <v/>
      </c>
    </row>
    <row r="65" spans="1:6" ht="18">
      <c r="A65" s="44">
        <v>16</v>
      </c>
      <c r="B65" s="48" t="str">
        <f>+'STEP-1'!AE17</f>
        <v/>
      </c>
      <c r="C65" s="46">
        <f>+'STEP-1'!AF17</f>
        <v>0</v>
      </c>
      <c r="D65" s="47" t="str">
        <f t="shared" si="2"/>
        <v/>
      </c>
      <c r="E65" s="48" t="str">
        <f t="shared" si="3"/>
        <v/>
      </c>
      <c r="F65" s="49" t="str">
        <f t="shared" si="4"/>
        <v/>
      </c>
    </row>
    <row r="66" spans="1:6" ht="18">
      <c r="A66" s="6">
        <v>17</v>
      </c>
      <c r="B66" s="26" t="str">
        <f>+'STEP-1'!Y18</f>
        <v/>
      </c>
      <c r="C66" s="37">
        <f>+'STEP-1'!Z18</f>
        <v>0</v>
      </c>
      <c r="D66" s="28" t="str">
        <f t="shared" si="2"/>
        <v/>
      </c>
      <c r="E66" s="26" t="str">
        <f t="shared" ref="E66:E97" si="5">LEFT(D66,5)</f>
        <v/>
      </c>
      <c r="F66" s="29" t="str">
        <f t="shared" ref="F66:F97" si="6">RIGHT(D66,4)</f>
        <v/>
      </c>
    </row>
    <row r="67" spans="1:6" ht="18">
      <c r="A67" s="9">
        <v>17</v>
      </c>
      <c r="B67" s="10" t="str">
        <f>+'STEP-1'!AA18</f>
        <v/>
      </c>
      <c r="C67" s="30">
        <f>+'STEP-1'!AB18</f>
        <v>0</v>
      </c>
      <c r="D67" s="31" t="str">
        <f t="shared" ref="D67:D130" si="7">RIGHT(B67,10)</f>
        <v/>
      </c>
      <c r="E67" s="10" t="str">
        <f t="shared" si="5"/>
        <v/>
      </c>
      <c r="F67" s="32" t="str">
        <f t="shared" si="6"/>
        <v/>
      </c>
    </row>
    <row r="68" spans="1:6" ht="18">
      <c r="A68" s="9">
        <v>17</v>
      </c>
      <c r="B68" s="10" t="str">
        <f>+'STEP-1'!AC18</f>
        <v/>
      </c>
      <c r="C68" s="30">
        <f>+'STEP-1'!AD18</f>
        <v>0</v>
      </c>
      <c r="D68" s="31" t="str">
        <f t="shared" si="7"/>
        <v/>
      </c>
      <c r="E68" s="10" t="str">
        <f t="shared" si="5"/>
        <v/>
      </c>
      <c r="F68" s="32" t="str">
        <f t="shared" si="6"/>
        <v/>
      </c>
    </row>
    <row r="69" spans="1:6" ht="18">
      <c r="A69" s="12">
        <v>17</v>
      </c>
      <c r="B69" s="33" t="str">
        <f>+'STEP-1'!AE18</f>
        <v/>
      </c>
      <c r="C69" s="34">
        <f>+'STEP-1'!AF18</f>
        <v>0</v>
      </c>
      <c r="D69" s="35" t="str">
        <f t="shared" si="7"/>
        <v/>
      </c>
      <c r="E69" s="13" t="str">
        <f t="shared" si="5"/>
        <v/>
      </c>
      <c r="F69" s="36" t="str">
        <f t="shared" si="6"/>
        <v/>
      </c>
    </row>
    <row r="70" spans="1:6" ht="18">
      <c r="A70" s="6">
        <v>18</v>
      </c>
      <c r="B70" s="26" t="str">
        <f>+'STEP-1'!Y19</f>
        <v/>
      </c>
      <c r="C70" s="37">
        <f>+'STEP-1'!Z19</f>
        <v>0</v>
      </c>
      <c r="D70" s="28" t="str">
        <f t="shared" si="7"/>
        <v/>
      </c>
      <c r="E70" s="26" t="str">
        <f t="shared" si="5"/>
        <v/>
      </c>
      <c r="F70" s="29" t="str">
        <f t="shared" si="6"/>
        <v/>
      </c>
    </row>
    <row r="71" spans="1:6" ht="18">
      <c r="A71" s="39">
        <v>18</v>
      </c>
      <c r="B71" s="40" t="str">
        <f>+'STEP-1'!AA19</f>
        <v/>
      </c>
      <c r="C71" s="41">
        <f>+'STEP-1'!AB19</f>
        <v>0</v>
      </c>
      <c r="D71" s="31" t="str">
        <f t="shared" si="7"/>
        <v/>
      </c>
      <c r="E71" s="10" t="str">
        <f t="shared" si="5"/>
        <v/>
      </c>
      <c r="F71" s="32" t="str">
        <f t="shared" si="6"/>
        <v/>
      </c>
    </row>
    <row r="72" spans="1:6" ht="18">
      <c r="A72" s="9">
        <v>18</v>
      </c>
      <c r="B72" s="10" t="str">
        <f>+'STEP-1'!AC19</f>
        <v/>
      </c>
      <c r="C72" s="38">
        <f>+'STEP-1'!AD19</f>
        <v>0</v>
      </c>
      <c r="D72" s="31" t="str">
        <f t="shared" si="7"/>
        <v/>
      </c>
      <c r="E72" s="10" t="str">
        <f t="shared" si="5"/>
        <v/>
      </c>
      <c r="F72" s="32" t="str">
        <f t="shared" si="6"/>
        <v/>
      </c>
    </row>
    <row r="73" spans="1:6" ht="18">
      <c r="A73" s="12">
        <v>18</v>
      </c>
      <c r="B73" s="33" t="str">
        <f>+'STEP-1'!AE19</f>
        <v/>
      </c>
      <c r="C73" s="12">
        <f>+'STEP-1'!AF19</f>
        <v>0</v>
      </c>
      <c r="D73" s="35" t="str">
        <f t="shared" si="7"/>
        <v/>
      </c>
      <c r="E73" s="13" t="str">
        <f t="shared" si="5"/>
        <v/>
      </c>
      <c r="F73" s="36" t="str">
        <f t="shared" si="6"/>
        <v/>
      </c>
    </row>
    <row r="74" spans="1:6" ht="18">
      <c r="A74" s="6">
        <v>19</v>
      </c>
      <c r="B74" s="26" t="str">
        <f>+'STEP-1'!Y20</f>
        <v/>
      </c>
      <c r="C74" s="37">
        <f>+'STEP-1'!Z20</f>
        <v>0</v>
      </c>
      <c r="D74" s="28" t="str">
        <f t="shared" si="7"/>
        <v/>
      </c>
      <c r="E74" s="26" t="str">
        <f t="shared" si="5"/>
        <v/>
      </c>
      <c r="F74" s="29" t="str">
        <f t="shared" si="6"/>
        <v/>
      </c>
    </row>
    <row r="75" spans="1:6" ht="18">
      <c r="A75" s="9">
        <v>19</v>
      </c>
      <c r="B75" s="10" t="str">
        <f>+'STEP-1'!AA20</f>
        <v/>
      </c>
      <c r="C75" s="30">
        <f>+'STEP-1'!AB20</f>
        <v>0</v>
      </c>
      <c r="D75" s="31" t="str">
        <f t="shared" si="7"/>
        <v/>
      </c>
      <c r="E75" s="10" t="str">
        <f t="shared" si="5"/>
        <v/>
      </c>
      <c r="F75" s="32" t="str">
        <f t="shared" si="6"/>
        <v/>
      </c>
    </row>
    <row r="76" spans="1:6" ht="18">
      <c r="A76" s="9">
        <v>19</v>
      </c>
      <c r="B76" s="10" t="str">
        <f>+'STEP-1'!AC20</f>
        <v/>
      </c>
      <c r="C76" s="30">
        <f>+'STEP-1'!AD20</f>
        <v>0</v>
      </c>
      <c r="D76" s="31" t="str">
        <f t="shared" si="7"/>
        <v/>
      </c>
      <c r="E76" s="10" t="str">
        <f t="shared" si="5"/>
        <v/>
      </c>
      <c r="F76" s="32" t="str">
        <f t="shared" si="6"/>
        <v/>
      </c>
    </row>
    <row r="77" spans="1:6" ht="18">
      <c r="A77" s="12">
        <v>19</v>
      </c>
      <c r="B77" s="33" t="str">
        <f>+'STEP-1'!AE20</f>
        <v/>
      </c>
      <c r="C77" s="34">
        <f>+'STEP-1'!AF20</f>
        <v>0</v>
      </c>
      <c r="D77" s="35" t="str">
        <f t="shared" si="7"/>
        <v/>
      </c>
      <c r="E77" s="13" t="str">
        <f t="shared" si="5"/>
        <v/>
      </c>
      <c r="F77" s="36" t="str">
        <f t="shared" si="6"/>
        <v/>
      </c>
    </row>
    <row r="78" spans="1:6" ht="18">
      <c r="A78" s="6">
        <v>20</v>
      </c>
      <c r="B78" s="26" t="str">
        <f>+'STEP-1'!Y21</f>
        <v/>
      </c>
      <c r="C78" s="37">
        <f>+'STEP-1'!Z21</f>
        <v>0</v>
      </c>
      <c r="D78" s="28" t="str">
        <f t="shared" si="7"/>
        <v/>
      </c>
      <c r="E78" s="26" t="str">
        <f t="shared" si="5"/>
        <v/>
      </c>
      <c r="F78" s="29" t="str">
        <f t="shared" si="6"/>
        <v/>
      </c>
    </row>
    <row r="79" spans="1:6" ht="18">
      <c r="A79" s="9">
        <v>20</v>
      </c>
      <c r="B79" s="10" t="str">
        <f>+'STEP-1'!AA21</f>
        <v/>
      </c>
      <c r="C79" s="30">
        <f>+'STEP-1'!AB21</f>
        <v>0</v>
      </c>
      <c r="D79" s="31" t="str">
        <f t="shared" si="7"/>
        <v/>
      </c>
      <c r="E79" s="10" t="str">
        <f t="shared" si="5"/>
        <v/>
      </c>
      <c r="F79" s="32" t="str">
        <f t="shared" si="6"/>
        <v/>
      </c>
    </row>
    <row r="80" spans="1:6" ht="18">
      <c r="A80" s="9">
        <v>20</v>
      </c>
      <c r="B80" s="10" t="str">
        <f>+'STEP-1'!AC21</f>
        <v/>
      </c>
      <c r="C80" s="30">
        <f>+'STEP-1'!AD21</f>
        <v>0</v>
      </c>
      <c r="D80" s="31" t="str">
        <f t="shared" si="7"/>
        <v/>
      </c>
      <c r="E80" s="10" t="str">
        <f t="shared" si="5"/>
        <v/>
      </c>
      <c r="F80" s="32" t="str">
        <f t="shared" si="6"/>
        <v/>
      </c>
    </row>
    <row r="81" spans="1:6" ht="18">
      <c r="A81" s="12">
        <v>20</v>
      </c>
      <c r="B81" s="33" t="str">
        <f>+'STEP-1'!AE21</f>
        <v/>
      </c>
      <c r="C81" s="34">
        <f>+'STEP-1'!AF21</f>
        <v>0</v>
      </c>
      <c r="D81" s="35" t="str">
        <f t="shared" si="7"/>
        <v/>
      </c>
      <c r="E81" s="13" t="str">
        <f t="shared" si="5"/>
        <v/>
      </c>
      <c r="F81" s="36" t="str">
        <f t="shared" si="6"/>
        <v/>
      </c>
    </row>
    <row r="82" spans="1:6" ht="18">
      <c r="A82" s="6">
        <v>21</v>
      </c>
      <c r="B82" s="26" t="str">
        <f>+'STEP-1'!Y22</f>
        <v/>
      </c>
      <c r="C82" s="37">
        <f>+'STEP-1'!Z22</f>
        <v>0</v>
      </c>
      <c r="D82" s="28" t="str">
        <f t="shared" si="7"/>
        <v/>
      </c>
      <c r="E82" s="26" t="str">
        <f t="shared" si="5"/>
        <v/>
      </c>
      <c r="F82" s="29" t="str">
        <f t="shared" si="6"/>
        <v/>
      </c>
    </row>
    <row r="83" spans="1:6" ht="18">
      <c r="A83" s="9">
        <v>21</v>
      </c>
      <c r="B83" s="10" t="str">
        <f>+'STEP-1'!AA22</f>
        <v/>
      </c>
      <c r="C83" s="30">
        <f>+'STEP-1'!AB22</f>
        <v>0</v>
      </c>
      <c r="D83" s="31" t="str">
        <f t="shared" si="7"/>
        <v/>
      </c>
      <c r="E83" s="10" t="str">
        <f t="shared" si="5"/>
        <v/>
      </c>
      <c r="F83" s="32" t="str">
        <f t="shared" si="6"/>
        <v/>
      </c>
    </row>
    <row r="84" spans="1:6" ht="18">
      <c r="A84" s="9">
        <v>21</v>
      </c>
      <c r="B84" s="10" t="str">
        <f>+'STEP-1'!AC22</f>
        <v/>
      </c>
      <c r="C84" s="30">
        <f>+'STEP-1'!AD22</f>
        <v>0</v>
      </c>
      <c r="D84" s="31" t="str">
        <f t="shared" si="7"/>
        <v/>
      </c>
      <c r="E84" s="10" t="str">
        <f t="shared" si="5"/>
        <v/>
      </c>
      <c r="F84" s="32" t="str">
        <f t="shared" si="6"/>
        <v/>
      </c>
    </row>
    <row r="85" spans="1:6" ht="18">
      <c r="A85" s="12">
        <v>21</v>
      </c>
      <c r="B85" s="33" t="str">
        <f>+'STEP-1'!AE22</f>
        <v/>
      </c>
      <c r="C85" s="34">
        <f>+'STEP-1'!AF22</f>
        <v>0</v>
      </c>
      <c r="D85" s="35" t="str">
        <f t="shared" si="7"/>
        <v/>
      </c>
      <c r="E85" s="13" t="str">
        <f t="shared" si="5"/>
        <v/>
      </c>
      <c r="F85" s="36" t="str">
        <f t="shared" si="6"/>
        <v/>
      </c>
    </row>
    <row r="86" spans="1:6" ht="18">
      <c r="A86" s="6">
        <v>22</v>
      </c>
      <c r="B86" s="26" t="str">
        <f>+'STEP-1'!Y23</f>
        <v/>
      </c>
      <c r="C86" s="37">
        <f>+'STEP-1'!Z23</f>
        <v>0</v>
      </c>
      <c r="D86" s="28" t="str">
        <f t="shared" si="7"/>
        <v/>
      </c>
      <c r="E86" s="26" t="str">
        <f t="shared" si="5"/>
        <v/>
      </c>
      <c r="F86" s="29" t="str">
        <f t="shared" si="6"/>
        <v/>
      </c>
    </row>
    <row r="87" spans="1:6" ht="18">
      <c r="A87" s="9">
        <v>22</v>
      </c>
      <c r="B87" s="10" t="str">
        <f>+'STEP-1'!AA23</f>
        <v/>
      </c>
      <c r="C87" s="30">
        <f>+'STEP-1'!AB23</f>
        <v>0</v>
      </c>
      <c r="D87" s="31" t="str">
        <f t="shared" si="7"/>
        <v/>
      </c>
      <c r="E87" s="10" t="str">
        <f t="shared" si="5"/>
        <v/>
      </c>
      <c r="F87" s="32" t="str">
        <f t="shared" si="6"/>
        <v/>
      </c>
    </row>
    <row r="88" spans="1:6" ht="18">
      <c r="A88" s="9">
        <v>22</v>
      </c>
      <c r="B88" s="10" t="str">
        <f>+'STEP-1'!AC23</f>
        <v/>
      </c>
      <c r="C88" s="30">
        <f>+'STEP-1'!AD23</f>
        <v>0</v>
      </c>
      <c r="D88" s="31" t="str">
        <f t="shared" si="7"/>
        <v/>
      </c>
      <c r="E88" s="10" t="str">
        <f t="shared" si="5"/>
        <v/>
      </c>
      <c r="F88" s="32" t="str">
        <f t="shared" si="6"/>
        <v/>
      </c>
    </row>
    <row r="89" spans="1:6" ht="18">
      <c r="A89" s="12">
        <v>22</v>
      </c>
      <c r="B89" s="33" t="str">
        <f>+'STEP-1'!AE23</f>
        <v/>
      </c>
      <c r="C89" s="34">
        <f>+'STEP-1'!AF23</f>
        <v>0</v>
      </c>
      <c r="D89" s="35" t="str">
        <f t="shared" si="7"/>
        <v/>
      </c>
      <c r="E89" s="13" t="str">
        <f t="shared" si="5"/>
        <v/>
      </c>
      <c r="F89" s="36" t="str">
        <f t="shared" si="6"/>
        <v/>
      </c>
    </row>
    <row r="90" spans="1:6" ht="18">
      <c r="A90" s="6">
        <v>23</v>
      </c>
      <c r="B90" s="26" t="str">
        <f>+'STEP-1'!Y24</f>
        <v/>
      </c>
      <c r="C90" s="37">
        <f>+'STEP-1'!Z24</f>
        <v>0</v>
      </c>
      <c r="D90" s="28" t="str">
        <f t="shared" si="7"/>
        <v/>
      </c>
      <c r="E90" s="26" t="str">
        <f t="shared" si="5"/>
        <v/>
      </c>
      <c r="F90" s="29" t="str">
        <f t="shared" si="6"/>
        <v/>
      </c>
    </row>
    <row r="91" spans="1:6" ht="18">
      <c r="A91" s="9">
        <v>23</v>
      </c>
      <c r="B91" s="10" t="str">
        <f>+'STEP-1'!AA24</f>
        <v/>
      </c>
      <c r="C91" s="30">
        <f>+'STEP-1'!AB24</f>
        <v>0</v>
      </c>
      <c r="D91" s="31" t="str">
        <f t="shared" si="7"/>
        <v/>
      </c>
      <c r="E91" s="10" t="str">
        <f t="shared" si="5"/>
        <v/>
      </c>
      <c r="F91" s="32" t="str">
        <f t="shared" si="6"/>
        <v/>
      </c>
    </row>
    <row r="92" spans="1:6" ht="18">
      <c r="A92" s="9">
        <v>23</v>
      </c>
      <c r="B92" s="10" t="str">
        <f>+'STEP-1'!AC24</f>
        <v/>
      </c>
      <c r="C92" s="30">
        <f>+'STEP-1'!AD24</f>
        <v>0</v>
      </c>
      <c r="D92" s="31" t="str">
        <f t="shared" si="7"/>
        <v/>
      </c>
      <c r="E92" s="10" t="str">
        <f t="shared" si="5"/>
        <v/>
      </c>
      <c r="F92" s="32" t="str">
        <f t="shared" si="6"/>
        <v/>
      </c>
    </row>
    <row r="93" spans="1:6" ht="18">
      <c r="A93" s="12">
        <v>23</v>
      </c>
      <c r="B93" s="33" t="str">
        <f>+'STEP-1'!AE24</f>
        <v/>
      </c>
      <c r="C93" s="34">
        <f>+'STEP-1'!AF24</f>
        <v>0</v>
      </c>
      <c r="D93" s="35" t="str">
        <f t="shared" si="7"/>
        <v/>
      </c>
      <c r="E93" s="13" t="str">
        <f t="shared" si="5"/>
        <v/>
      </c>
      <c r="F93" s="36" t="str">
        <f t="shared" si="6"/>
        <v/>
      </c>
    </row>
    <row r="94" spans="1:6" ht="18">
      <c r="A94" s="39">
        <v>24</v>
      </c>
      <c r="B94" s="40" t="str">
        <f>+'STEP-1'!Y25</f>
        <v/>
      </c>
      <c r="C94" s="41">
        <f>+'STEP-1'!Z25</f>
        <v>0</v>
      </c>
      <c r="D94" s="42" t="str">
        <f t="shared" si="7"/>
        <v/>
      </c>
      <c r="E94" s="40" t="str">
        <f t="shared" si="5"/>
        <v/>
      </c>
      <c r="F94" s="43" t="str">
        <f t="shared" si="6"/>
        <v/>
      </c>
    </row>
    <row r="95" spans="1:6" ht="18">
      <c r="A95" s="9">
        <v>24</v>
      </c>
      <c r="B95" s="10" t="str">
        <f>+'STEP-1'!AA25</f>
        <v/>
      </c>
      <c r="C95" s="30">
        <f>+'STEP-1'!AB25</f>
        <v>0</v>
      </c>
      <c r="D95" s="31" t="str">
        <f t="shared" si="7"/>
        <v/>
      </c>
      <c r="E95" s="10" t="str">
        <f t="shared" si="5"/>
        <v/>
      </c>
      <c r="F95" s="32" t="str">
        <f t="shared" si="6"/>
        <v/>
      </c>
    </row>
    <row r="96" spans="1:6" ht="18">
      <c r="A96" s="9">
        <v>24</v>
      </c>
      <c r="B96" s="10" t="str">
        <f>+'STEP-1'!AC25</f>
        <v/>
      </c>
      <c r="C96" s="30">
        <f>+'STEP-1'!AD25</f>
        <v>0</v>
      </c>
      <c r="D96" s="31" t="str">
        <f t="shared" si="7"/>
        <v/>
      </c>
      <c r="E96" s="10" t="str">
        <f t="shared" si="5"/>
        <v/>
      </c>
      <c r="F96" s="32" t="str">
        <f t="shared" si="6"/>
        <v/>
      </c>
    </row>
    <row r="97" spans="1:6" ht="18">
      <c r="A97" s="44">
        <v>24</v>
      </c>
      <c r="B97" s="45" t="str">
        <f>+'STEP-1'!AE25</f>
        <v/>
      </c>
      <c r="C97" s="46">
        <f>+'STEP-1'!AF25</f>
        <v>0</v>
      </c>
      <c r="D97" s="47" t="str">
        <f t="shared" si="7"/>
        <v/>
      </c>
      <c r="E97" s="48" t="str">
        <f t="shared" si="5"/>
        <v/>
      </c>
      <c r="F97" s="49" t="str">
        <f t="shared" si="6"/>
        <v/>
      </c>
    </row>
    <row r="98" spans="1:6" ht="18">
      <c r="A98" s="6">
        <v>25</v>
      </c>
      <c r="B98" s="26" t="str">
        <f>+'STEP-1'!Y26</f>
        <v/>
      </c>
      <c r="C98" s="37">
        <f>+'STEP-1'!Z26</f>
        <v>0</v>
      </c>
      <c r="D98" s="28" t="str">
        <f t="shared" si="7"/>
        <v/>
      </c>
      <c r="E98" s="26" t="str">
        <f t="shared" ref="E98:E129" si="8">LEFT(D98,5)</f>
        <v/>
      </c>
      <c r="F98" s="29" t="str">
        <f t="shared" ref="F98:F129" si="9">RIGHT(D98,4)</f>
        <v/>
      </c>
    </row>
    <row r="99" spans="1:6" ht="18">
      <c r="A99" s="9">
        <v>25</v>
      </c>
      <c r="B99" s="10" t="str">
        <f>+'STEP-1'!AA26</f>
        <v/>
      </c>
      <c r="C99" s="30">
        <f>+'STEP-1'!AB26</f>
        <v>0</v>
      </c>
      <c r="D99" s="31" t="str">
        <f t="shared" si="7"/>
        <v/>
      </c>
      <c r="E99" s="10" t="str">
        <f t="shared" si="8"/>
        <v/>
      </c>
      <c r="F99" s="32" t="str">
        <f t="shared" si="9"/>
        <v/>
      </c>
    </row>
    <row r="100" spans="1:6" ht="18">
      <c r="A100" s="9">
        <v>25</v>
      </c>
      <c r="B100" s="10" t="str">
        <f>+'STEP-1'!AC26</f>
        <v/>
      </c>
      <c r="C100" s="30">
        <f>+'STEP-1'!AD26</f>
        <v>0</v>
      </c>
      <c r="D100" s="31" t="str">
        <f t="shared" si="7"/>
        <v/>
      </c>
      <c r="E100" s="10" t="str">
        <f t="shared" si="8"/>
        <v/>
      </c>
      <c r="F100" s="32" t="str">
        <f t="shared" si="9"/>
        <v/>
      </c>
    </row>
    <row r="101" spans="1:6" ht="18">
      <c r="A101" s="12">
        <v>25</v>
      </c>
      <c r="B101" s="33" t="str">
        <f>+'STEP-1'!AE26</f>
        <v/>
      </c>
      <c r="C101" s="34">
        <f>+'STEP-1'!AF26</f>
        <v>0</v>
      </c>
      <c r="D101" s="35" t="str">
        <f t="shared" si="7"/>
        <v/>
      </c>
      <c r="E101" s="13" t="str">
        <f t="shared" si="8"/>
        <v/>
      </c>
      <c r="F101" s="36" t="str">
        <f t="shared" si="9"/>
        <v/>
      </c>
    </row>
    <row r="102" spans="1:6" ht="18">
      <c r="A102" s="39">
        <v>26</v>
      </c>
      <c r="B102" s="40" t="str">
        <f>+'STEP-1'!Y27</f>
        <v/>
      </c>
      <c r="C102" s="41">
        <f>+'STEP-1'!Z27</f>
        <v>0</v>
      </c>
      <c r="D102" s="42" t="str">
        <f t="shared" si="7"/>
        <v/>
      </c>
      <c r="E102" s="40" t="str">
        <f t="shared" si="8"/>
        <v/>
      </c>
      <c r="F102" s="43" t="str">
        <f t="shared" si="9"/>
        <v/>
      </c>
    </row>
    <row r="103" spans="1:6" ht="18">
      <c r="A103" s="9">
        <v>26</v>
      </c>
      <c r="B103" s="10" t="str">
        <f>+'STEP-1'!AA27</f>
        <v/>
      </c>
      <c r="C103" s="30">
        <f>+'STEP-1'!AB27</f>
        <v>0</v>
      </c>
      <c r="D103" s="31" t="str">
        <f t="shared" si="7"/>
        <v/>
      </c>
      <c r="E103" s="10" t="str">
        <f t="shared" si="8"/>
        <v/>
      </c>
      <c r="F103" s="32" t="str">
        <f t="shared" si="9"/>
        <v/>
      </c>
    </row>
    <row r="104" spans="1:6" ht="18">
      <c r="A104" s="9">
        <v>26</v>
      </c>
      <c r="B104" s="10" t="str">
        <f>+'STEP-1'!AC27</f>
        <v/>
      </c>
      <c r="C104" s="30">
        <f>+'STEP-1'!AD27</f>
        <v>0</v>
      </c>
      <c r="D104" s="31" t="str">
        <f t="shared" si="7"/>
        <v/>
      </c>
      <c r="E104" s="10" t="str">
        <f t="shared" si="8"/>
        <v/>
      </c>
      <c r="F104" s="32" t="str">
        <f t="shared" si="9"/>
        <v/>
      </c>
    </row>
    <row r="105" spans="1:6" ht="18">
      <c r="A105" s="44">
        <v>26</v>
      </c>
      <c r="B105" s="45" t="str">
        <f>+'STEP-1'!AE27</f>
        <v/>
      </c>
      <c r="C105" s="46">
        <f>+'STEP-1'!AF27</f>
        <v>0</v>
      </c>
      <c r="D105" s="47" t="str">
        <f t="shared" si="7"/>
        <v/>
      </c>
      <c r="E105" s="48" t="str">
        <f t="shared" si="8"/>
        <v/>
      </c>
      <c r="F105" s="49" t="str">
        <f t="shared" si="9"/>
        <v/>
      </c>
    </row>
    <row r="106" spans="1:6" ht="18">
      <c r="A106" s="6">
        <v>27</v>
      </c>
      <c r="B106" s="26" t="str">
        <f>+'STEP-1'!Y28</f>
        <v/>
      </c>
      <c r="C106" s="37">
        <f>+'STEP-1'!Z28</f>
        <v>0</v>
      </c>
      <c r="D106" s="28" t="str">
        <f t="shared" si="7"/>
        <v/>
      </c>
      <c r="E106" s="26" t="str">
        <f t="shared" si="8"/>
        <v/>
      </c>
      <c r="F106" s="29" t="str">
        <f t="shared" si="9"/>
        <v/>
      </c>
    </row>
    <row r="107" spans="1:6" ht="18">
      <c r="A107" s="9">
        <v>27</v>
      </c>
      <c r="B107" s="10" t="str">
        <f>+'STEP-1'!AA28</f>
        <v/>
      </c>
      <c r="C107" s="38">
        <f>+'STEP-1'!AB28</f>
        <v>0</v>
      </c>
      <c r="D107" s="31" t="str">
        <f t="shared" si="7"/>
        <v/>
      </c>
      <c r="E107" s="10" t="str">
        <f t="shared" si="8"/>
        <v/>
      </c>
      <c r="F107" s="32" t="str">
        <f t="shared" si="9"/>
        <v/>
      </c>
    </row>
    <row r="108" spans="1:6" ht="18">
      <c r="A108" s="9">
        <v>27</v>
      </c>
      <c r="B108" s="10" t="str">
        <f>+'STEP-1'!AC28</f>
        <v/>
      </c>
      <c r="C108" s="30">
        <f>+'STEP-1'!AD28</f>
        <v>0</v>
      </c>
      <c r="D108" s="31" t="str">
        <f t="shared" si="7"/>
        <v/>
      </c>
      <c r="E108" s="10" t="str">
        <f t="shared" si="8"/>
        <v/>
      </c>
      <c r="F108" s="32" t="str">
        <f t="shared" si="9"/>
        <v/>
      </c>
    </row>
    <row r="109" spans="1:6" ht="18">
      <c r="A109" s="12">
        <v>27</v>
      </c>
      <c r="B109" s="33" t="str">
        <f>+'STEP-1'!AE28</f>
        <v/>
      </c>
      <c r="C109" s="34">
        <f>+'STEP-1'!AF28</f>
        <v>0</v>
      </c>
      <c r="D109" s="35" t="str">
        <f t="shared" si="7"/>
        <v/>
      </c>
      <c r="E109" s="13" t="str">
        <f t="shared" si="8"/>
        <v/>
      </c>
      <c r="F109" s="36" t="str">
        <f t="shared" si="9"/>
        <v/>
      </c>
    </row>
    <row r="110" spans="1:6" ht="18">
      <c r="A110" s="39">
        <v>28</v>
      </c>
      <c r="B110" s="40" t="str">
        <f>+'STEP-1'!Y29</f>
        <v/>
      </c>
      <c r="C110" s="41">
        <f>+'STEP-1'!Z29</f>
        <v>0</v>
      </c>
      <c r="D110" s="42" t="str">
        <f t="shared" si="7"/>
        <v/>
      </c>
      <c r="E110" s="40" t="str">
        <f t="shared" si="8"/>
        <v/>
      </c>
      <c r="F110" s="43" t="str">
        <f t="shared" si="9"/>
        <v/>
      </c>
    </row>
    <row r="111" spans="1:6" ht="18">
      <c r="A111" s="9">
        <v>28</v>
      </c>
      <c r="B111" s="10" t="str">
        <f>+'STEP-1'!AA29</f>
        <v/>
      </c>
      <c r="C111" s="30">
        <f>+'STEP-1'!AB29</f>
        <v>0</v>
      </c>
      <c r="D111" s="31" t="str">
        <f t="shared" si="7"/>
        <v/>
      </c>
      <c r="E111" s="10" t="str">
        <f t="shared" si="8"/>
        <v/>
      </c>
      <c r="F111" s="32" t="str">
        <f t="shared" si="9"/>
        <v/>
      </c>
    </row>
    <row r="112" spans="1:6" ht="18">
      <c r="A112" s="9">
        <v>28</v>
      </c>
      <c r="B112" s="10" t="str">
        <f>+'STEP-1'!AC29</f>
        <v/>
      </c>
      <c r="C112" s="30">
        <f>+'STEP-1'!AD29</f>
        <v>0</v>
      </c>
      <c r="D112" s="31" t="str">
        <f t="shared" si="7"/>
        <v/>
      </c>
      <c r="E112" s="10" t="str">
        <f t="shared" si="8"/>
        <v/>
      </c>
      <c r="F112" s="32" t="str">
        <f t="shared" si="9"/>
        <v/>
      </c>
    </row>
    <row r="113" spans="1:6" ht="18">
      <c r="A113" s="44">
        <v>28</v>
      </c>
      <c r="B113" s="45" t="str">
        <f>+'STEP-1'!AE29</f>
        <v/>
      </c>
      <c r="C113" s="46">
        <f>+'STEP-1'!AF29</f>
        <v>0</v>
      </c>
      <c r="D113" s="47" t="str">
        <f t="shared" si="7"/>
        <v/>
      </c>
      <c r="E113" s="48" t="str">
        <f t="shared" si="8"/>
        <v/>
      </c>
      <c r="F113" s="49" t="str">
        <f t="shared" si="9"/>
        <v/>
      </c>
    </row>
    <row r="114" spans="1:6" ht="18">
      <c r="A114" s="6">
        <v>29</v>
      </c>
      <c r="B114" s="26" t="str">
        <f>+'STEP-1'!Y30</f>
        <v/>
      </c>
      <c r="C114" s="37">
        <f>+'STEP-1'!Z30</f>
        <v>0</v>
      </c>
      <c r="D114" s="28" t="str">
        <f t="shared" si="7"/>
        <v/>
      </c>
      <c r="E114" s="26" t="str">
        <f t="shared" si="8"/>
        <v/>
      </c>
      <c r="F114" s="29" t="str">
        <f t="shared" si="9"/>
        <v/>
      </c>
    </row>
    <row r="115" spans="1:6" ht="18">
      <c r="A115" s="9">
        <v>29</v>
      </c>
      <c r="B115" s="10" t="str">
        <f>+'STEP-1'!AA30</f>
        <v/>
      </c>
      <c r="C115" s="30">
        <f>+'STEP-1'!AB30</f>
        <v>0</v>
      </c>
      <c r="D115" s="31" t="str">
        <f t="shared" si="7"/>
        <v/>
      </c>
      <c r="E115" s="10" t="str">
        <f t="shared" si="8"/>
        <v/>
      </c>
      <c r="F115" s="32" t="str">
        <f t="shared" si="9"/>
        <v/>
      </c>
    </row>
    <row r="116" spans="1:6" ht="18">
      <c r="A116" s="9">
        <v>29</v>
      </c>
      <c r="B116" s="10" t="str">
        <f>+'STEP-1'!AC30</f>
        <v/>
      </c>
      <c r="C116" s="30">
        <f>+'STEP-1'!AD30</f>
        <v>0</v>
      </c>
      <c r="D116" s="31" t="str">
        <f t="shared" si="7"/>
        <v/>
      </c>
      <c r="E116" s="10" t="str">
        <f t="shared" si="8"/>
        <v/>
      </c>
      <c r="F116" s="32" t="str">
        <f t="shared" si="9"/>
        <v/>
      </c>
    </row>
    <row r="117" spans="1:6" ht="18">
      <c r="A117" s="12">
        <v>29</v>
      </c>
      <c r="B117" s="33" t="str">
        <f>+'STEP-1'!AE30</f>
        <v/>
      </c>
      <c r="C117" s="34">
        <f>+'STEP-1'!AF30</f>
        <v>0</v>
      </c>
      <c r="D117" s="35" t="str">
        <f t="shared" si="7"/>
        <v/>
      </c>
      <c r="E117" s="13" t="str">
        <f t="shared" si="8"/>
        <v/>
      </c>
      <c r="F117" s="36" t="str">
        <f t="shared" si="9"/>
        <v/>
      </c>
    </row>
    <row r="118" spans="1:6" ht="18">
      <c r="A118" s="39">
        <v>30</v>
      </c>
      <c r="B118" s="40" t="str">
        <f>+'STEP-1'!Y31</f>
        <v/>
      </c>
      <c r="C118" s="41">
        <f>+'STEP-1'!Z31</f>
        <v>0</v>
      </c>
      <c r="D118" s="42" t="str">
        <f t="shared" si="7"/>
        <v/>
      </c>
      <c r="E118" s="40" t="str">
        <f t="shared" si="8"/>
        <v/>
      </c>
      <c r="F118" s="43" t="str">
        <f t="shared" si="9"/>
        <v/>
      </c>
    </row>
    <row r="119" spans="1:6" ht="18">
      <c r="A119" s="9">
        <v>30</v>
      </c>
      <c r="B119" s="10" t="str">
        <f>+'STEP-1'!AA31</f>
        <v/>
      </c>
      <c r="C119" s="30">
        <f>+'STEP-1'!AB31</f>
        <v>0</v>
      </c>
      <c r="D119" s="31" t="str">
        <f t="shared" si="7"/>
        <v/>
      </c>
      <c r="E119" s="10" t="str">
        <f t="shared" si="8"/>
        <v/>
      </c>
      <c r="F119" s="32" t="str">
        <f t="shared" si="9"/>
        <v/>
      </c>
    </row>
    <row r="120" spans="1:6" ht="18">
      <c r="A120" s="9">
        <v>30</v>
      </c>
      <c r="B120" s="10" t="str">
        <f>+'STEP-1'!AC31</f>
        <v/>
      </c>
      <c r="C120" s="30">
        <f>+'STEP-1'!AD31</f>
        <v>0</v>
      </c>
      <c r="D120" s="31" t="str">
        <f t="shared" si="7"/>
        <v/>
      </c>
      <c r="E120" s="10" t="str">
        <f t="shared" si="8"/>
        <v/>
      </c>
      <c r="F120" s="32" t="str">
        <f t="shared" si="9"/>
        <v/>
      </c>
    </row>
    <row r="121" spans="1:6" ht="18">
      <c r="A121" s="44">
        <v>30</v>
      </c>
      <c r="B121" s="45" t="str">
        <f>+'STEP-1'!AE31</f>
        <v/>
      </c>
      <c r="C121" s="46">
        <f>+'STEP-1'!AF31</f>
        <v>0</v>
      </c>
      <c r="D121" s="47" t="str">
        <f t="shared" si="7"/>
        <v/>
      </c>
      <c r="E121" s="48" t="str">
        <f t="shared" si="8"/>
        <v/>
      </c>
      <c r="F121" s="49" t="str">
        <f t="shared" si="9"/>
        <v/>
      </c>
    </row>
    <row r="122" spans="1:6" ht="18">
      <c r="A122" s="6">
        <v>31</v>
      </c>
      <c r="B122" s="26" t="str">
        <f>+'STEP-1'!Y32</f>
        <v/>
      </c>
      <c r="C122" s="37">
        <f>+'STEP-1'!Z32</f>
        <v>0</v>
      </c>
      <c r="D122" s="28" t="str">
        <f t="shared" si="7"/>
        <v/>
      </c>
      <c r="E122" s="26" t="str">
        <f t="shared" si="8"/>
        <v/>
      </c>
      <c r="F122" s="29" t="str">
        <f t="shared" si="9"/>
        <v/>
      </c>
    </row>
    <row r="123" spans="1:6" ht="18">
      <c r="A123" s="9">
        <v>31</v>
      </c>
      <c r="B123" s="10" t="str">
        <f>+'STEP-1'!AA32</f>
        <v/>
      </c>
      <c r="C123" s="30">
        <f>+'STEP-1'!AB32</f>
        <v>0</v>
      </c>
      <c r="D123" s="31" t="str">
        <f t="shared" si="7"/>
        <v/>
      </c>
      <c r="E123" s="10" t="str">
        <f t="shared" si="8"/>
        <v/>
      </c>
      <c r="F123" s="32" t="str">
        <f t="shared" si="9"/>
        <v/>
      </c>
    </row>
    <row r="124" spans="1:6" ht="18">
      <c r="A124" s="9">
        <v>31</v>
      </c>
      <c r="B124" s="10" t="str">
        <f>+'STEP-1'!AC32</f>
        <v/>
      </c>
      <c r="C124" s="30">
        <f>+'STEP-1'!AD32</f>
        <v>0</v>
      </c>
      <c r="D124" s="31" t="str">
        <f t="shared" si="7"/>
        <v/>
      </c>
      <c r="E124" s="10" t="str">
        <f t="shared" si="8"/>
        <v/>
      </c>
      <c r="F124" s="32" t="str">
        <f t="shared" si="9"/>
        <v/>
      </c>
    </row>
    <row r="125" spans="1:6" ht="18">
      <c r="A125" s="12">
        <v>31</v>
      </c>
      <c r="B125" s="33" t="str">
        <f>+'STEP-1'!AE32</f>
        <v/>
      </c>
      <c r="C125" s="34">
        <f>+'STEP-1'!AF32</f>
        <v>0</v>
      </c>
      <c r="D125" s="35" t="str">
        <f t="shared" si="7"/>
        <v/>
      </c>
      <c r="E125" s="13" t="str">
        <f t="shared" si="8"/>
        <v/>
      </c>
      <c r="F125" s="36" t="str">
        <f t="shared" si="9"/>
        <v/>
      </c>
    </row>
    <row r="126" spans="1:6" ht="18">
      <c r="A126" s="39">
        <v>32</v>
      </c>
      <c r="B126" s="40" t="str">
        <f>+'STEP-1'!Y33</f>
        <v/>
      </c>
      <c r="C126" s="41">
        <f>+'STEP-1'!Z33</f>
        <v>0</v>
      </c>
      <c r="D126" s="42" t="str">
        <f t="shared" si="7"/>
        <v/>
      </c>
      <c r="E126" s="40" t="str">
        <f t="shared" si="8"/>
        <v/>
      </c>
      <c r="F126" s="43" t="str">
        <f t="shared" si="9"/>
        <v/>
      </c>
    </row>
    <row r="127" spans="1:6" ht="18">
      <c r="A127" s="9">
        <v>32</v>
      </c>
      <c r="B127" s="10" t="str">
        <f>+'STEP-1'!AA33</f>
        <v/>
      </c>
      <c r="C127" s="30">
        <f>+'STEP-1'!AB33</f>
        <v>0</v>
      </c>
      <c r="D127" s="31" t="str">
        <f t="shared" si="7"/>
        <v/>
      </c>
      <c r="E127" s="10" t="str">
        <f t="shared" si="8"/>
        <v/>
      </c>
      <c r="F127" s="32" t="str">
        <f t="shared" si="9"/>
        <v/>
      </c>
    </row>
    <row r="128" spans="1:6" ht="18">
      <c r="A128" s="9">
        <v>32</v>
      </c>
      <c r="B128" s="10" t="str">
        <f>+'STEP-1'!AC33</f>
        <v/>
      </c>
      <c r="C128" s="30">
        <f>+'STEP-1'!AD33</f>
        <v>0</v>
      </c>
      <c r="D128" s="31" t="str">
        <f t="shared" si="7"/>
        <v/>
      </c>
      <c r="E128" s="10" t="str">
        <f t="shared" si="8"/>
        <v/>
      </c>
      <c r="F128" s="32" t="str">
        <f t="shared" si="9"/>
        <v/>
      </c>
    </row>
    <row r="129" spans="1:6" ht="18">
      <c r="A129" s="44">
        <v>32</v>
      </c>
      <c r="B129" s="45" t="str">
        <f>+'STEP-1'!AE33</f>
        <v/>
      </c>
      <c r="C129" s="46">
        <f>+'STEP-1'!AF33</f>
        <v>0</v>
      </c>
      <c r="D129" s="47" t="str">
        <f t="shared" si="7"/>
        <v/>
      </c>
      <c r="E129" s="48" t="str">
        <f t="shared" si="8"/>
        <v/>
      </c>
      <c r="F129" s="49" t="str">
        <f t="shared" si="9"/>
        <v/>
      </c>
    </row>
    <row r="130" spans="1:6" ht="18">
      <c r="A130" s="6">
        <v>33</v>
      </c>
      <c r="B130" s="26" t="str">
        <f>+'STEP-1'!Y34</f>
        <v/>
      </c>
      <c r="C130" s="37">
        <f>+'STEP-1'!Z34</f>
        <v>0</v>
      </c>
      <c r="D130" s="28" t="str">
        <f t="shared" si="7"/>
        <v/>
      </c>
      <c r="E130" s="26" t="str">
        <f t="shared" ref="E130:E161" si="10">LEFT(D130,5)</f>
        <v/>
      </c>
      <c r="F130" s="29" t="str">
        <f t="shared" ref="F130:F161" si="11">RIGHT(D130,4)</f>
        <v/>
      </c>
    </row>
    <row r="131" spans="1:6" ht="18">
      <c r="A131" s="9">
        <v>33</v>
      </c>
      <c r="B131" s="10" t="str">
        <f>+'STEP-1'!AA34</f>
        <v/>
      </c>
      <c r="C131" s="30">
        <f>+'STEP-1'!AB34</f>
        <v>0</v>
      </c>
      <c r="D131" s="31" t="str">
        <f t="shared" ref="D131:D194" si="12">RIGHT(B131,10)</f>
        <v/>
      </c>
      <c r="E131" s="10" t="str">
        <f t="shared" si="10"/>
        <v/>
      </c>
      <c r="F131" s="32" t="str">
        <f t="shared" si="11"/>
        <v/>
      </c>
    </row>
    <row r="132" spans="1:6" ht="18">
      <c r="A132" s="9">
        <v>33</v>
      </c>
      <c r="B132" s="10" t="str">
        <f>+'STEP-1'!AC34</f>
        <v/>
      </c>
      <c r="C132" s="30">
        <f>+'STEP-1'!AD34</f>
        <v>0</v>
      </c>
      <c r="D132" s="31" t="str">
        <f t="shared" si="12"/>
        <v/>
      </c>
      <c r="E132" s="10" t="str">
        <f t="shared" si="10"/>
        <v/>
      </c>
      <c r="F132" s="32" t="str">
        <f t="shared" si="11"/>
        <v/>
      </c>
    </row>
    <row r="133" spans="1:6" ht="18">
      <c r="A133" s="12">
        <v>33</v>
      </c>
      <c r="B133" s="33" t="str">
        <f>+'STEP-1'!AE34</f>
        <v/>
      </c>
      <c r="C133" s="34">
        <f>+'STEP-1'!AF34</f>
        <v>0</v>
      </c>
      <c r="D133" s="35" t="str">
        <f t="shared" si="12"/>
        <v/>
      </c>
      <c r="E133" s="13" t="str">
        <f t="shared" si="10"/>
        <v/>
      </c>
      <c r="F133" s="36" t="str">
        <f t="shared" si="11"/>
        <v/>
      </c>
    </row>
    <row r="134" spans="1:6" ht="18">
      <c r="A134" s="39">
        <v>34</v>
      </c>
      <c r="B134" s="40" t="str">
        <f>+'STEP-1'!Y35</f>
        <v/>
      </c>
      <c r="C134" s="41">
        <f>+'STEP-1'!Z35</f>
        <v>0</v>
      </c>
      <c r="D134" s="42" t="str">
        <f t="shared" si="12"/>
        <v/>
      </c>
      <c r="E134" s="40" t="str">
        <f t="shared" si="10"/>
        <v/>
      </c>
      <c r="F134" s="43" t="str">
        <f t="shared" si="11"/>
        <v/>
      </c>
    </row>
    <row r="135" spans="1:6" ht="18">
      <c r="A135" s="9">
        <v>34</v>
      </c>
      <c r="B135" s="10" t="str">
        <f>+'STEP-1'!AA35</f>
        <v/>
      </c>
      <c r="C135" s="30">
        <f>+'STEP-1'!AB35</f>
        <v>0</v>
      </c>
      <c r="D135" s="31" t="str">
        <f t="shared" si="12"/>
        <v/>
      </c>
      <c r="E135" s="10" t="str">
        <f t="shared" si="10"/>
        <v/>
      </c>
      <c r="F135" s="32" t="str">
        <f t="shared" si="11"/>
        <v/>
      </c>
    </row>
    <row r="136" spans="1:6" ht="18">
      <c r="A136" s="9">
        <v>34</v>
      </c>
      <c r="B136" s="10" t="str">
        <f>+'STEP-1'!AC35</f>
        <v/>
      </c>
      <c r="C136" s="30">
        <f>+'STEP-1'!AD35</f>
        <v>0</v>
      </c>
      <c r="D136" s="31" t="str">
        <f t="shared" si="12"/>
        <v/>
      </c>
      <c r="E136" s="10" t="str">
        <f t="shared" si="10"/>
        <v/>
      </c>
      <c r="F136" s="32" t="str">
        <f t="shared" si="11"/>
        <v/>
      </c>
    </row>
    <row r="137" spans="1:6" ht="18">
      <c r="A137" s="44">
        <v>34</v>
      </c>
      <c r="B137" s="45" t="str">
        <f>+'STEP-1'!AE35</f>
        <v/>
      </c>
      <c r="C137" s="46">
        <f>+'STEP-1'!AF35</f>
        <v>0</v>
      </c>
      <c r="D137" s="47" t="str">
        <f t="shared" si="12"/>
        <v/>
      </c>
      <c r="E137" s="48" t="str">
        <f t="shared" si="10"/>
        <v/>
      </c>
      <c r="F137" s="49" t="str">
        <f t="shared" si="11"/>
        <v/>
      </c>
    </row>
    <row r="138" spans="1:6" ht="18">
      <c r="A138" s="6">
        <v>35</v>
      </c>
      <c r="B138" s="26" t="str">
        <f>+'STEP-1'!Y36</f>
        <v/>
      </c>
      <c r="C138" s="37">
        <f>+'STEP-1'!Z36</f>
        <v>0</v>
      </c>
      <c r="D138" s="28" t="str">
        <f t="shared" si="12"/>
        <v/>
      </c>
      <c r="E138" s="26" t="str">
        <f t="shared" si="10"/>
        <v/>
      </c>
      <c r="F138" s="29" t="str">
        <f t="shared" si="11"/>
        <v/>
      </c>
    </row>
    <row r="139" spans="1:6" ht="18">
      <c r="A139" s="9">
        <v>35</v>
      </c>
      <c r="B139" s="10" t="str">
        <f>+'STEP-1'!AA36</f>
        <v/>
      </c>
      <c r="C139" s="30">
        <f>+'STEP-1'!AB36</f>
        <v>0</v>
      </c>
      <c r="D139" s="31" t="str">
        <f t="shared" si="12"/>
        <v/>
      </c>
      <c r="E139" s="10" t="str">
        <f t="shared" si="10"/>
        <v/>
      </c>
      <c r="F139" s="32" t="str">
        <f t="shared" si="11"/>
        <v/>
      </c>
    </row>
    <row r="140" spans="1:6" ht="18">
      <c r="A140" s="9">
        <v>35</v>
      </c>
      <c r="B140" s="10" t="str">
        <f>+'STEP-1'!AC36</f>
        <v/>
      </c>
      <c r="C140" s="30">
        <f>+'STEP-1'!AD36</f>
        <v>0</v>
      </c>
      <c r="D140" s="31" t="str">
        <f t="shared" si="12"/>
        <v/>
      </c>
      <c r="E140" s="10" t="str">
        <f t="shared" si="10"/>
        <v/>
      </c>
      <c r="F140" s="32" t="str">
        <f t="shared" si="11"/>
        <v/>
      </c>
    </row>
    <row r="141" spans="1:6" ht="18">
      <c r="A141" s="12">
        <v>35</v>
      </c>
      <c r="B141" s="33" t="str">
        <f>+'STEP-1'!AE36</f>
        <v/>
      </c>
      <c r="C141" s="34">
        <f>+'STEP-1'!AF36</f>
        <v>0</v>
      </c>
      <c r="D141" s="35" t="str">
        <f t="shared" si="12"/>
        <v/>
      </c>
      <c r="E141" s="13" t="str">
        <f t="shared" si="10"/>
        <v/>
      </c>
      <c r="F141" s="36" t="str">
        <f t="shared" si="11"/>
        <v/>
      </c>
    </row>
    <row r="142" spans="1:6" ht="18">
      <c r="A142" s="39">
        <v>36</v>
      </c>
      <c r="B142" s="40" t="str">
        <f>+'STEP-1'!Y37</f>
        <v/>
      </c>
      <c r="C142" s="41">
        <f>+'STEP-1'!Z37</f>
        <v>0</v>
      </c>
      <c r="D142" s="42" t="str">
        <f t="shared" si="12"/>
        <v/>
      </c>
      <c r="E142" s="40" t="str">
        <f t="shared" si="10"/>
        <v/>
      </c>
      <c r="F142" s="43" t="str">
        <f t="shared" si="11"/>
        <v/>
      </c>
    </row>
    <row r="143" spans="1:6" ht="18">
      <c r="A143" s="9">
        <v>36</v>
      </c>
      <c r="B143" s="10" t="str">
        <f>+'STEP-1'!AA37</f>
        <v/>
      </c>
      <c r="C143" s="30">
        <f>+'STEP-1'!AB37</f>
        <v>0</v>
      </c>
      <c r="D143" s="31" t="str">
        <f t="shared" si="12"/>
        <v/>
      </c>
      <c r="E143" s="10" t="str">
        <f t="shared" si="10"/>
        <v/>
      </c>
      <c r="F143" s="32" t="str">
        <f t="shared" si="11"/>
        <v/>
      </c>
    </row>
    <row r="144" spans="1:6" ht="18">
      <c r="A144" s="9">
        <v>36</v>
      </c>
      <c r="B144" s="10" t="str">
        <f>+'STEP-1'!AC37</f>
        <v/>
      </c>
      <c r="C144" s="30">
        <f>+'STEP-1'!AD37</f>
        <v>0</v>
      </c>
      <c r="D144" s="31" t="str">
        <f t="shared" si="12"/>
        <v/>
      </c>
      <c r="E144" s="10" t="str">
        <f t="shared" si="10"/>
        <v/>
      </c>
      <c r="F144" s="32" t="str">
        <f t="shared" si="11"/>
        <v/>
      </c>
    </row>
    <row r="145" spans="1:6" ht="18">
      <c r="A145" s="44">
        <v>36</v>
      </c>
      <c r="B145" s="45" t="str">
        <f>+'STEP-1'!AE37</f>
        <v/>
      </c>
      <c r="C145" s="46">
        <f>+'STEP-1'!AF37</f>
        <v>0</v>
      </c>
      <c r="D145" s="47" t="str">
        <f t="shared" si="12"/>
        <v/>
      </c>
      <c r="E145" s="48" t="str">
        <f t="shared" si="10"/>
        <v/>
      </c>
      <c r="F145" s="49" t="str">
        <f t="shared" si="11"/>
        <v/>
      </c>
    </row>
    <row r="146" spans="1:6" ht="18">
      <c r="A146" s="6">
        <v>37</v>
      </c>
      <c r="B146" s="26" t="str">
        <f>+'STEP-1'!Y38</f>
        <v/>
      </c>
      <c r="C146" s="37">
        <f>+'STEP-1'!Z38</f>
        <v>0</v>
      </c>
      <c r="D146" s="28" t="str">
        <f t="shared" si="12"/>
        <v/>
      </c>
      <c r="E146" s="26" t="str">
        <f t="shared" si="10"/>
        <v/>
      </c>
      <c r="F146" s="29" t="str">
        <f t="shared" si="11"/>
        <v/>
      </c>
    </row>
    <row r="147" spans="1:6" ht="18">
      <c r="A147" s="9">
        <v>37</v>
      </c>
      <c r="B147" s="10" t="str">
        <f>+'STEP-1'!AA38</f>
        <v/>
      </c>
      <c r="C147" s="30">
        <f>+'STEP-1'!AB38</f>
        <v>0</v>
      </c>
      <c r="D147" s="31" t="str">
        <f t="shared" si="12"/>
        <v/>
      </c>
      <c r="E147" s="10" t="str">
        <f t="shared" si="10"/>
        <v/>
      </c>
      <c r="F147" s="32" t="str">
        <f t="shared" si="11"/>
        <v/>
      </c>
    </row>
    <row r="148" spans="1:6" ht="18">
      <c r="A148" s="9">
        <v>37</v>
      </c>
      <c r="B148" s="10" t="str">
        <f>+'STEP-1'!AC38</f>
        <v/>
      </c>
      <c r="C148" s="30">
        <f>+'STEP-1'!AD38</f>
        <v>0</v>
      </c>
      <c r="D148" s="31" t="str">
        <f t="shared" si="12"/>
        <v/>
      </c>
      <c r="E148" s="10" t="str">
        <f t="shared" si="10"/>
        <v/>
      </c>
      <c r="F148" s="32" t="str">
        <f t="shared" si="11"/>
        <v/>
      </c>
    </row>
    <row r="149" spans="1:6" ht="18">
      <c r="A149" s="12">
        <v>37</v>
      </c>
      <c r="B149" s="33" t="str">
        <f>+'STEP-1'!AE38</f>
        <v/>
      </c>
      <c r="C149" s="34">
        <f>+'STEP-1'!AF38</f>
        <v>0</v>
      </c>
      <c r="D149" s="35" t="str">
        <f t="shared" si="12"/>
        <v/>
      </c>
      <c r="E149" s="13" t="str">
        <f t="shared" si="10"/>
        <v/>
      </c>
      <c r="F149" s="36" t="str">
        <f t="shared" si="11"/>
        <v/>
      </c>
    </row>
    <row r="150" spans="1:6" ht="18">
      <c r="A150" s="39">
        <v>38</v>
      </c>
      <c r="B150" s="40" t="str">
        <f>+'STEP-1'!Y39</f>
        <v/>
      </c>
      <c r="C150" s="41">
        <f>+'STEP-1'!Z39</f>
        <v>0</v>
      </c>
      <c r="D150" s="42" t="str">
        <f t="shared" si="12"/>
        <v/>
      </c>
      <c r="E150" s="40" t="str">
        <f t="shared" si="10"/>
        <v/>
      </c>
      <c r="F150" s="43" t="str">
        <f t="shared" si="11"/>
        <v/>
      </c>
    </row>
    <row r="151" spans="1:6" ht="18">
      <c r="A151" s="9">
        <v>38</v>
      </c>
      <c r="B151" s="10" t="str">
        <f>+'STEP-1'!AA39</f>
        <v/>
      </c>
      <c r="C151" s="30">
        <f>+'STEP-1'!AB39</f>
        <v>0</v>
      </c>
      <c r="D151" s="31" t="str">
        <f t="shared" si="12"/>
        <v/>
      </c>
      <c r="E151" s="10" t="str">
        <f t="shared" si="10"/>
        <v/>
      </c>
      <c r="F151" s="32" t="str">
        <f t="shared" si="11"/>
        <v/>
      </c>
    </row>
    <row r="152" spans="1:6" ht="18">
      <c r="A152" s="9">
        <v>38</v>
      </c>
      <c r="B152" s="10" t="str">
        <f>+'STEP-1'!AC39</f>
        <v/>
      </c>
      <c r="C152" s="30">
        <f>+'STEP-1'!AD39</f>
        <v>0</v>
      </c>
      <c r="D152" s="31" t="str">
        <f t="shared" si="12"/>
        <v/>
      </c>
      <c r="E152" s="10" t="str">
        <f t="shared" si="10"/>
        <v/>
      </c>
      <c r="F152" s="32" t="str">
        <f t="shared" si="11"/>
        <v/>
      </c>
    </row>
    <row r="153" spans="1:6" ht="18">
      <c r="A153" s="44">
        <v>38</v>
      </c>
      <c r="B153" s="45" t="str">
        <f>+'STEP-1'!AE39</f>
        <v/>
      </c>
      <c r="C153" s="46">
        <f>+'STEP-1'!AF39</f>
        <v>0</v>
      </c>
      <c r="D153" s="47" t="str">
        <f t="shared" si="12"/>
        <v/>
      </c>
      <c r="E153" s="48" t="str">
        <f t="shared" si="10"/>
        <v/>
      </c>
      <c r="F153" s="49" t="str">
        <f t="shared" si="11"/>
        <v/>
      </c>
    </row>
    <row r="154" spans="1:6" ht="18">
      <c r="A154" s="6">
        <v>39</v>
      </c>
      <c r="B154" s="26" t="str">
        <f>+'STEP-1'!Y40</f>
        <v/>
      </c>
      <c r="C154" s="37">
        <f>+'STEP-1'!Z40</f>
        <v>0</v>
      </c>
      <c r="D154" s="28" t="str">
        <f t="shared" si="12"/>
        <v/>
      </c>
      <c r="E154" s="26" t="str">
        <f t="shared" si="10"/>
        <v/>
      </c>
      <c r="F154" s="29" t="str">
        <f t="shared" si="11"/>
        <v/>
      </c>
    </row>
    <row r="155" spans="1:6" ht="18">
      <c r="A155" s="9">
        <v>39</v>
      </c>
      <c r="B155" s="10" t="str">
        <f>+'STEP-1'!AA40</f>
        <v/>
      </c>
      <c r="C155" s="30">
        <f>+'STEP-1'!AB40</f>
        <v>0</v>
      </c>
      <c r="D155" s="31" t="str">
        <f t="shared" si="12"/>
        <v/>
      </c>
      <c r="E155" s="10" t="str">
        <f t="shared" si="10"/>
        <v/>
      </c>
      <c r="F155" s="32" t="str">
        <f t="shared" si="11"/>
        <v/>
      </c>
    </row>
    <row r="156" spans="1:6" ht="18">
      <c r="A156" s="9">
        <v>39</v>
      </c>
      <c r="B156" s="10" t="str">
        <f>+'STEP-1'!AC40</f>
        <v/>
      </c>
      <c r="C156" s="30">
        <f>+'STEP-1'!AD40</f>
        <v>0</v>
      </c>
      <c r="D156" s="31" t="str">
        <f t="shared" si="12"/>
        <v/>
      </c>
      <c r="E156" s="10" t="str">
        <f t="shared" si="10"/>
        <v/>
      </c>
      <c r="F156" s="32" t="str">
        <f t="shared" si="11"/>
        <v/>
      </c>
    </row>
    <row r="157" spans="1:6" ht="18">
      <c r="A157" s="12">
        <v>39</v>
      </c>
      <c r="B157" s="33" t="str">
        <f>+'STEP-1'!AE40</f>
        <v/>
      </c>
      <c r="C157" s="34">
        <f>+'STEP-1'!AF40</f>
        <v>0</v>
      </c>
      <c r="D157" s="35" t="str">
        <f t="shared" si="12"/>
        <v/>
      </c>
      <c r="E157" s="13" t="str">
        <f t="shared" si="10"/>
        <v/>
      </c>
      <c r="F157" s="36" t="str">
        <f t="shared" si="11"/>
        <v/>
      </c>
    </row>
    <row r="158" spans="1:6" ht="18">
      <c r="A158" s="39">
        <v>40</v>
      </c>
      <c r="B158" s="40" t="str">
        <f>+'STEP-1'!Y41</f>
        <v/>
      </c>
      <c r="C158" s="41">
        <f>+'STEP-1'!Z41</f>
        <v>0</v>
      </c>
      <c r="D158" s="42" t="str">
        <f t="shared" si="12"/>
        <v/>
      </c>
      <c r="E158" s="40" t="str">
        <f t="shared" si="10"/>
        <v/>
      </c>
      <c r="F158" s="43" t="str">
        <f t="shared" si="11"/>
        <v/>
      </c>
    </row>
    <row r="159" spans="1:6" ht="18">
      <c r="A159" s="9">
        <v>40</v>
      </c>
      <c r="B159" s="10" t="str">
        <f>+'STEP-1'!AA41</f>
        <v/>
      </c>
      <c r="C159" s="30">
        <f>+'STEP-1'!AB41</f>
        <v>0</v>
      </c>
      <c r="D159" s="31" t="str">
        <f t="shared" si="12"/>
        <v/>
      </c>
      <c r="E159" s="10" t="str">
        <f t="shared" si="10"/>
        <v/>
      </c>
      <c r="F159" s="32" t="str">
        <f t="shared" si="11"/>
        <v/>
      </c>
    </row>
    <row r="160" spans="1:6" ht="18">
      <c r="A160" s="9">
        <v>40</v>
      </c>
      <c r="B160" s="10" t="str">
        <f>+'STEP-1'!AC41</f>
        <v/>
      </c>
      <c r="C160" s="30">
        <f>+'STEP-1'!AD41</f>
        <v>0</v>
      </c>
      <c r="D160" s="31" t="str">
        <f t="shared" si="12"/>
        <v/>
      </c>
      <c r="E160" s="10" t="str">
        <f t="shared" si="10"/>
        <v/>
      </c>
      <c r="F160" s="32" t="str">
        <f t="shared" si="11"/>
        <v/>
      </c>
    </row>
    <row r="161" spans="1:6" ht="18">
      <c r="A161" s="44">
        <v>40</v>
      </c>
      <c r="B161" s="45" t="str">
        <f>+'STEP-1'!AE41</f>
        <v/>
      </c>
      <c r="C161" s="46">
        <f>+'STEP-1'!AF41</f>
        <v>0</v>
      </c>
      <c r="D161" s="47" t="str">
        <f t="shared" si="12"/>
        <v/>
      </c>
      <c r="E161" s="48" t="str">
        <f t="shared" si="10"/>
        <v/>
      </c>
      <c r="F161" s="49" t="str">
        <f t="shared" si="11"/>
        <v/>
      </c>
    </row>
    <row r="162" spans="1:6" ht="18">
      <c r="A162" s="6">
        <v>41</v>
      </c>
      <c r="B162" s="26" t="str">
        <f>+'STEP-1'!Y42</f>
        <v/>
      </c>
      <c r="C162" s="37">
        <f>+'STEP-1'!Z42</f>
        <v>0</v>
      </c>
      <c r="D162" s="28" t="str">
        <f t="shared" si="12"/>
        <v/>
      </c>
      <c r="E162" s="26" t="str">
        <f t="shared" ref="E162:E193" si="13">LEFT(D162,5)</f>
        <v/>
      </c>
      <c r="F162" s="29" t="str">
        <f t="shared" ref="F162:F193" si="14">RIGHT(D162,4)</f>
        <v/>
      </c>
    </row>
    <row r="163" spans="1:6" ht="18">
      <c r="A163" s="9">
        <v>41</v>
      </c>
      <c r="B163" s="10" t="str">
        <f>+'STEP-1'!AA42</f>
        <v/>
      </c>
      <c r="C163" s="30">
        <f>+'STEP-1'!AB42</f>
        <v>0</v>
      </c>
      <c r="D163" s="31" t="str">
        <f t="shared" si="12"/>
        <v/>
      </c>
      <c r="E163" s="10" t="str">
        <f t="shared" si="13"/>
        <v/>
      </c>
      <c r="F163" s="32" t="str">
        <f t="shared" si="14"/>
        <v/>
      </c>
    </row>
    <row r="164" spans="1:6" ht="18">
      <c r="A164" s="9">
        <v>41</v>
      </c>
      <c r="B164" s="10" t="str">
        <f>+'STEP-1'!AC42</f>
        <v/>
      </c>
      <c r="C164" s="30">
        <f>+'STEP-1'!AD42</f>
        <v>0</v>
      </c>
      <c r="D164" s="31" t="str">
        <f t="shared" si="12"/>
        <v/>
      </c>
      <c r="E164" s="10" t="str">
        <f t="shared" si="13"/>
        <v/>
      </c>
      <c r="F164" s="32" t="str">
        <f t="shared" si="14"/>
        <v/>
      </c>
    </row>
    <row r="165" spans="1:6" ht="18">
      <c r="A165" s="12">
        <v>41</v>
      </c>
      <c r="B165" s="33" t="str">
        <f>+'STEP-1'!AE42</f>
        <v/>
      </c>
      <c r="C165" s="34">
        <f>+'STEP-1'!AF42</f>
        <v>0</v>
      </c>
      <c r="D165" s="35" t="str">
        <f t="shared" si="12"/>
        <v/>
      </c>
      <c r="E165" s="13" t="str">
        <f t="shared" si="13"/>
        <v/>
      </c>
      <c r="F165" s="36" t="str">
        <f t="shared" si="14"/>
        <v/>
      </c>
    </row>
    <row r="166" spans="1:6" ht="18">
      <c r="A166" s="39">
        <v>42</v>
      </c>
      <c r="B166" s="40" t="str">
        <f>+'STEP-1'!Y43</f>
        <v/>
      </c>
      <c r="C166" s="41">
        <f>+'STEP-1'!Z43</f>
        <v>0</v>
      </c>
      <c r="D166" s="42" t="str">
        <f t="shared" si="12"/>
        <v/>
      </c>
      <c r="E166" s="40" t="str">
        <f t="shared" si="13"/>
        <v/>
      </c>
      <c r="F166" s="43" t="str">
        <f t="shared" si="14"/>
        <v/>
      </c>
    </row>
    <row r="167" spans="1:6" ht="18">
      <c r="A167" s="9">
        <v>42</v>
      </c>
      <c r="B167" s="10" t="str">
        <f>+'STEP-1'!AA43</f>
        <v/>
      </c>
      <c r="C167" s="30">
        <f>+'STEP-1'!AB43</f>
        <v>0</v>
      </c>
      <c r="D167" s="31" t="str">
        <f t="shared" si="12"/>
        <v/>
      </c>
      <c r="E167" s="10" t="str">
        <f t="shared" si="13"/>
        <v/>
      </c>
      <c r="F167" s="32" t="str">
        <f t="shared" si="14"/>
        <v/>
      </c>
    </row>
    <row r="168" spans="1:6" ht="18">
      <c r="A168" s="9">
        <v>42</v>
      </c>
      <c r="B168" s="10" t="str">
        <f>+'STEP-1'!AC43</f>
        <v/>
      </c>
      <c r="C168" s="30">
        <f>+'STEP-1'!AD43</f>
        <v>0</v>
      </c>
      <c r="D168" s="31" t="str">
        <f t="shared" si="12"/>
        <v/>
      </c>
      <c r="E168" s="10" t="str">
        <f t="shared" si="13"/>
        <v/>
      </c>
      <c r="F168" s="32" t="str">
        <f t="shared" si="14"/>
        <v/>
      </c>
    </row>
    <row r="169" spans="1:6" ht="18">
      <c r="A169" s="44">
        <v>42</v>
      </c>
      <c r="B169" s="45" t="str">
        <f>+'STEP-1'!AE43</f>
        <v/>
      </c>
      <c r="C169" s="46">
        <f>+'STEP-1'!AF43</f>
        <v>0</v>
      </c>
      <c r="D169" s="47" t="str">
        <f t="shared" si="12"/>
        <v/>
      </c>
      <c r="E169" s="48" t="str">
        <f t="shared" si="13"/>
        <v/>
      </c>
      <c r="F169" s="49" t="str">
        <f t="shared" si="14"/>
        <v/>
      </c>
    </row>
    <row r="170" spans="1:6" ht="18">
      <c r="A170" s="6">
        <v>43</v>
      </c>
      <c r="B170" s="26" t="str">
        <f>+'STEP-1'!Y44</f>
        <v/>
      </c>
      <c r="C170" s="37">
        <f>+'STEP-1'!Z44</f>
        <v>0</v>
      </c>
      <c r="D170" s="28" t="str">
        <f t="shared" si="12"/>
        <v/>
      </c>
      <c r="E170" s="26" t="str">
        <f t="shared" si="13"/>
        <v/>
      </c>
      <c r="F170" s="29" t="str">
        <f t="shared" si="14"/>
        <v/>
      </c>
    </row>
    <row r="171" spans="1:6" ht="18">
      <c r="A171" s="9">
        <v>43</v>
      </c>
      <c r="B171" s="10" t="str">
        <f>+'STEP-1'!AA44</f>
        <v/>
      </c>
      <c r="C171" s="30">
        <f>+'STEP-1'!AB44</f>
        <v>0</v>
      </c>
      <c r="D171" s="31" t="str">
        <f t="shared" si="12"/>
        <v/>
      </c>
      <c r="E171" s="10" t="str">
        <f t="shared" si="13"/>
        <v/>
      </c>
      <c r="F171" s="32" t="str">
        <f t="shared" si="14"/>
        <v/>
      </c>
    </row>
    <row r="172" spans="1:6" ht="18">
      <c r="A172" s="9">
        <v>43</v>
      </c>
      <c r="B172" s="10" t="str">
        <f>+'STEP-1'!AC44</f>
        <v/>
      </c>
      <c r="C172" s="30">
        <f>+'STEP-1'!AD44</f>
        <v>0</v>
      </c>
      <c r="D172" s="31" t="str">
        <f t="shared" si="12"/>
        <v/>
      </c>
      <c r="E172" s="10" t="str">
        <f t="shared" si="13"/>
        <v/>
      </c>
      <c r="F172" s="32" t="str">
        <f t="shared" si="14"/>
        <v/>
      </c>
    </row>
    <row r="173" spans="1:6" ht="18">
      <c r="A173" s="12">
        <v>43</v>
      </c>
      <c r="B173" s="33" t="str">
        <f>+'STEP-1'!AE44</f>
        <v/>
      </c>
      <c r="C173" s="34">
        <f>+'STEP-1'!AF44</f>
        <v>0</v>
      </c>
      <c r="D173" s="35" t="str">
        <f t="shared" si="12"/>
        <v/>
      </c>
      <c r="E173" s="13" t="str">
        <f t="shared" si="13"/>
        <v/>
      </c>
      <c r="F173" s="36" t="str">
        <f t="shared" si="14"/>
        <v/>
      </c>
    </row>
    <row r="174" spans="1:6" ht="18">
      <c r="A174" s="39">
        <v>44</v>
      </c>
      <c r="B174" s="40" t="str">
        <f>+'STEP-1'!Y45</f>
        <v/>
      </c>
      <c r="C174" s="41">
        <f>+'STEP-1'!Z45</f>
        <v>0</v>
      </c>
      <c r="D174" s="42" t="str">
        <f t="shared" si="12"/>
        <v/>
      </c>
      <c r="E174" s="40" t="str">
        <f t="shared" si="13"/>
        <v/>
      </c>
      <c r="F174" s="43" t="str">
        <f t="shared" si="14"/>
        <v/>
      </c>
    </row>
    <row r="175" spans="1:6" ht="18">
      <c r="A175" s="9">
        <v>44</v>
      </c>
      <c r="B175" s="10" t="str">
        <f>+'STEP-1'!AA45</f>
        <v/>
      </c>
      <c r="C175" s="30">
        <f>+'STEP-1'!AB45</f>
        <v>0</v>
      </c>
      <c r="D175" s="31" t="str">
        <f t="shared" si="12"/>
        <v/>
      </c>
      <c r="E175" s="10" t="str">
        <f t="shared" si="13"/>
        <v/>
      </c>
      <c r="F175" s="32" t="str">
        <f t="shared" si="14"/>
        <v/>
      </c>
    </row>
    <row r="176" spans="1:6" ht="18">
      <c r="A176" s="9">
        <v>44</v>
      </c>
      <c r="B176" s="10" t="str">
        <f>+'STEP-1'!AC45</f>
        <v/>
      </c>
      <c r="C176" s="30">
        <f>+'STEP-1'!AD45</f>
        <v>0</v>
      </c>
      <c r="D176" s="31" t="str">
        <f t="shared" si="12"/>
        <v/>
      </c>
      <c r="E176" s="10" t="str">
        <f t="shared" si="13"/>
        <v/>
      </c>
      <c r="F176" s="32" t="str">
        <f t="shared" si="14"/>
        <v/>
      </c>
    </row>
    <row r="177" spans="1:6" ht="18">
      <c r="A177" s="44">
        <v>44</v>
      </c>
      <c r="B177" s="45" t="str">
        <f>+'STEP-1'!AE45</f>
        <v/>
      </c>
      <c r="C177" s="46">
        <f>+'STEP-1'!AF45</f>
        <v>0</v>
      </c>
      <c r="D177" s="47" t="str">
        <f t="shared" si="12"/>
        <v/>
      </c>
      <c r="E177" s="48" t="str">
        <f t="shared" si="13"/>
        <v/>
      </c>
      <c r="F177" s="49" t="str">
        <f t="shared" si="14"/>
        <v/>
      </c>
    </row>
    <row r="178" spans="1:6" ht="18">
      <c r="A178" s="6">
        <v>45</v>
      </c>
      <c r="B178" s="26" t="str">
        <f>+'STEP-1'!Y46</f>
        <v/>
      </c>
      <c r="C178" s="37">
        <f>+'STEP-1'!Z46</f>
        <v>0</v>
      </c>
      <c r="D178" s="28" t="str">
        <f t="shared" si="12"/>
        <v/>
      </c>
      <c r="E178" s="26" t="str">
        <f t="shared" si="13"/>
        <v/>
      </c>
      <c r="F178" s="29" t="str">
        <f t="shared" si="14"/>
        <v/>
      </c>
    </row>
    <row r="179" spans="1:6" ht="18">
      <c r="A179" s="9">
        <v>45</v>
      </c>
      <c r="B179" s="10" t="str">
        <f>+'STEP-1'!AA46</f>
        <v/>
      </c>
      <c r="C179" s="30">
        <f>+'STEP-1'!AB46</f>
        <v>0</v>
      </c>
      <c r="D179" s="31" t="str">
        <f t="shared" si="12"/>
        <v/>
      </c>
      <c r="E179" s="10" t="str">
        <f t="shared" si="13"/>
        <v/>
      </c>
      <c r="F179" s="32" t="str">
        <f t="shared" si="14"/>
        <v/>
      </c>
    </row>
    <row r="180" spans="1:6" ht="18">
      <c r="A180" s="9">
        <v>45</v>
      </c>
      <c r="B180" s="10" t="str">
        <f>+'STEP-1'!AC46</f>
        <v/>
      </c>
      <c r="C180" s="30">
        <f>+'STEP-1'!AD46</f>
        <v>0</v>
      </c>
      <c r="D180" s="31" t="str">
        <f t="shared" si="12"/>
        <v/>
      </c>
      <c r="E180" s="10" t="str">
        <f t="shared" si="13"/>
        <v/>
      </c>
      <c r="F180" s="32" t="str">
        <f t="shared" si="14"/>
        <v/>
      </c>
    </row>
    <row r="181" spans="1:6" ht="18">
      <c r="A181" s="12">
        <v>45</v>
      </c>
      <c r="B181" s="33" t="str">
        <f>+'STEP-1'!AE46</f>
        <v/>
      </c>
      <c r="C181" s="34">
        <f>+'STEP-1'!AF46</f>
        <v>0</v>
      </c>
      <c r="D181" s="35" t="str">
        <f t="shared" si="12"/>
        <v/>
      </c>
      <c r="E181" s="13" t="str">
        <f t="shared" si="13"/>
        <v/>
      </c>
      <c r="F181" s="36" t="str">
        <f t="shared" si="14"/>
        <v/>
      </c>
    </row>
    <row r="182" spans="1:6" ht="18">
      <c r="A182" s="39">
        <v>46</v>
      </c>
      <c r="B182" s="40" t="str">
        <f>+'STEP-1'!Y47</f>
        <v/>
      </c>
      <c r="C182" s="41">
        <f>+'STEP-1'!Z47</f>
        <v>0</v>
      </c>
      <c r="D182" s="42" t="str">
        <f t="shared" si="12"/>
        <v/>
      </c>
      <c r="E182" s="40" t="str">
        <f t="shared" si="13"/>
        <v/>
      </c>
      <c r="F182" s="43" t="str">
        <f t="shared" si="14"/>
        <v/>
      </c>
    </row>
    <row r="183" spans="1:6" ht="18">
      <c r="A183" s="9">
        <v>46</v>
      </c>
      <c r="B183" s="10" t="str">
        <f>+'STEP-1'!AA47</f>
        <v/>
      </c>
      <c r="C183" s="30">
        <f>+'STEP-1'!AB47</f>
        <v>0</v>
      </c>
      <c r="D183" s="31" t="str">
        <f t="shared" si="12"/>
        <v/>
      </c>
      <c r="E183" s="10" t="str">
        <f t="shared" si="13"/>
        <v/>
      </c>
      <c r="F183" s="32" t="str">
        <f t="shared" si="14"/>
        <v/>
      </c>
    </row>
    <row r="184" spans="1:6" ht="18">
      <c r="A184" s="9">
        <v>46</v>
      </c>
      <c r="B184" s="10" t="str">
        <f>+'STEP-1'!AC47</f>
        <v/>
      </c>
      <c r="C184" s="30">
        <f>+'STEP-1'!AD47</f>
        <v>0</v>
      </c>
      <c r="D184" s="31" t="str">
        <f t="shared" si="12"/>
        <v/>
      </c>
      <c r="E184" s="10" t="str">
        <f t="shared" si="13"/>
        <v/>
      </c>
      <c r="F184" s="32" t="str">
        <f t="shared" si="14"/>
        <v/>
      </c>
    </row>
    <row r="185" spans="1:6" ht="18">
      <c r="A185" s="44">
        <v>46</v>
      </c>
      <c r="B185" s="45" t="str">
        <f>+'STEP-1'!AE47</f>
        <v/>
      </c>
      <c r="C185" s="46">
        <f>+'STEP-1'!AF47</f>
        <v>0</v>
      </c>
      <c r="D185" s="47" t="str">
        <f t="shared" si="12"/>
        <v/>
      </c>
      <c r="E185" s="48" t="str">
        <f t="shared" si="13"/>
        <v/>
      </c>
      <c r="F185" s="49" t="str">
        <f t="shared" si="14"/>
        <v/>
      </c>
    </row>
    <row r="186" spans="1:6" ht="18">
      <c r="A186" s="6">
        <v>47</v>
      </c>
      <c r="B186" s="26" t="str">
        <f>+'STEP-1'!Y48</f>
        <v/>
      </c>
      <c r="C186" s="37">
        <f>+'STEP-1'!Z48</f>
        <v>0</v>
      </c>
      <c r="D186" s="28" t="str">
        <f t="shared" si="12"/>
        <v/>
      </c>
      <c r="E186" s="26" t="str">
        <f t="shared" si="13"/>
        <v/>
      </c>
      <c r="F186" s="29" t="str">
        <f t="shared" si="14"/>
        <v/>
      </c>
    </row>
    <row r="187" spans="1:6" ht="18">
      <c r="A187" s="9">
        <v>47</v>
      </c>
      <c r="B187" s="10" t="str">
        <f>+'STEP-1'!AA48</f>
        <v/>
      </c>
      <c r="C187" s="30">
        <f>+'STEP-1'!AB48</f>
        <v>0</v>
      </c>
      <c r="D187" s="31" t="str">
        <f t="shared" si="12"/>
        <v/>
      </c>
      <c r="E187" s="10" t="str">
        <f t="shared" si="13"/>
        <v/>
      </c>
      <c r="F187" s="32" t="str">
        <f t="shared" si="14"/>
        <v/>
      </c>
    </row>
    <row r="188" spans="1:6" ht="18">
      <c r="A188" s="9">
        <v>47</v>
      </c>
      <c r="B188" s="10" t="str">
        <f>+'STEP-1'!AC48</f>
        <v/>
      </c>
      <c r="C188" s="30">
        <f>+'STEP-1'!AD48</f>
        <v>0</v>
      </c>
      <c r="D188" s="31" t="str">
        <f t="shared" si="12"/>
        <v/>
      </c>
      <c r="E188" s="10" t="str">
        <f t="shared" si="13"/>
        <v/>
      </c>
      <c r="F188" s="32" t="str">
        <f t="shared" si="14"/>
        <v/>
      </c>
    </row>
    <row r="189" spans="1:6" ht="18">
      <c r="A189" s="12">
        <v>47</v>
      </c>
      <c r="B189" s="33" t="str">
        <f>+'STEP-1'!AE48</f>
        <v/>
      </c>
      <c r="C189" s="34">
        <f>+'STEP-1'!AF48</f>
        <v>0</v>
      </c>
      <c r="D189" s="35" t="str">
        <f t="shared" si="12"/>
        <v/>
      </c>
      <c r="E189" s="13" t="str">
        <f t="shared" si="13"/>
        <v/>
      </c>
      <c r="F189" s="36" t="str">
        <f t="shared" si="14"/>
        <v/>
      </c>
    </row>
    <row r="190" spans="1:6" ht="18">
      <c r="A190" s="39">
        <v>48</v>
      </c>
      <c r="B190" s="40" t="str">
        <f>+'STEP-1'!Y49</f>
        <v/>
      </c>
      <c r="C190" s="41">
        <f>+'STEP-1'!Z49</f>
        <v>0</v>
      </c>
      <c r="D190" s="42" t="str">
        <f t="shared" si="12"/>
        <v/>
      </c>
      <c r="E190" s="40" t="str">
        <f t="shared" si="13"/>
        <v/>
      </c>
      <c r="F190" s="43" t="str">
        <f t="shared" si="14"/>
        <v/>
      </c>
    </row>
    <row r="191" spans="1:6" ht="18">
      <c r="A191" s="9">
        <v>48</v>
      </c>
      <c r="B191" s="10" t="str">
        <f>+'STEP-1'!AA49</f>
        <v/>
      </c>
      <c r="C191" s="38">
        <f>+'STEP-1'!AB49</f>
        <v>0</v>
      </c>
      <c r="D191" s="31" t="str">
        <f t="shared" si="12"/>
        <v/>
      </c>
      <c r="E191" s="10" t="str">
        <f t="shared" si="13"/>
        <v/>
      </c>
      <c r="F191" s="32" t="str">
        <f t="shared" si="14"/>
        <v/>
      </c>
    </row>
    <row r="192" spans="1:6" ht="18">
      <c r="A192" s="9">
        <v>48</v>
      </c>
      <c r="B192" s="10" t="str">
        <f>+'STEP-1'!AC49</f>
        <v/>
      </c>
      <c r="C192" s="30">
        <f>+'STEP-1'!AD49</f>
        <v>0</v>
      </c>
      <c r="D192" s="31" t="str">
        <f t="shared" si="12"/>
        <v/>
      </c>
      <c r="E192" s="10" t="str">
        <f t="shared" si="13"/>
        <v/>
      </c>
      <c r="F192" s="32" t="str">
        <f t="shared" si="14"/>
        <v/>
      </c>
    </row>
    <row r="193" spans="1:6" ht="18">
      <c r="A193" s="44">
        <v>48</v>
      </c>
      <c r="B193" s="45" t="str">
        <f>+'STEP-1'!AE49</f>
        <v/>
      </c>
      <c r="C193" s="46">
        <f>+'STEP-1'!AF49</f>
        <v>0</v>
      </c>
      <c r="D193" s="47" t="str">
        <f t="shared" si="12"/>
        <v/>
      </c>
      <c r="E193" s="48" t="str">
        <f t="shared" si="13"/>
        <v/>
      </c>
      <c r="F193" s="49" t="str">
        <f t="shared" si="14"/>
        <v/>
      </c>
    </row>
    <row r="194" spans="1:6" ht="18">
      <c r="A194" s="6">
        <v>49</v>
      </c>
      <c r="B194" s="26" t="str">
        <f>+'STEP-1'!Y50</f>
        <v/>
      </c>
      <c r="C194" s="37">
        <f>+'STEP-1'!Z50</f>
        <v>0</v>
      </c>
      <c r="D194" s="28" t="str">
        <f t="shared" si="12"/>
        <v/>
      </c>
      <c r="E194" s="26" t="str">
        <f t="shared" ref="E194:E201" si="15">LEFT(D194,5)</f>
        <v/>
      </c>
      <c r="F194" s="29" t="str">
        <f t="shared" ref="F194:F201" si="16">RIGHT(D194,4)</f>
        <v/>
      </c>
    </row>
    <row r="195" spans="1:6" ht="18">
      <c r="A195" s="9">
        <v>49</v>
      </c>
      <c r="B195" s="10" t="str">
        <f>+'STEP-1'!AA50</f>
        <v/>
      </c>
      <c r="C195" s="30">
        <f>+'STEP-1'!AB50</f>
        <v>0</v>
      </c>
      <c r="D195" s="31" t="str">
        <f t="shared" ref="D195:D201" si="17">RIGHT(B195,10)</f>
        <v/>
      </c>
      <c r="E195" s="10" t="str">
        <f t="shared" si="15"/>
        <v/>
      </c>
      <c r="F195" s="32" t="str">
        <f t="shared" si="16"/>
        <v/>
      </c>
    </row>
    <row r="196" spans="1:6" ht="18">
      <c r="A196" s="9">
        <v>49</v>
      </c>
      <c r="B196" s="10" t="str">
        <f>+'STEP-1'!AC50</f>
        <v/>
      </c>
      <c r="C196" s="30">
        <f>+'STEP-1'!AD50</f>
        <v>0</v>
      </c>
      <c r="D196" s="31" t="str">
        <f t="shared" si="17"/>
        <v/>
      </c>
      <c r="E196" s="10" t="str">
        <f t="shared" si="15"/>
        <v/>
      </c>
      <c r="F196" s="32" t="str">
        <f t="shared" si="16"/>
        <v/>
      </c>
    </row>
    <row r="197" spans="1:6" ht="18">
      <c r="A197" s="12">
        <v>49</v>
      </c>
      <c r="B197" s="33" t="str">
        <f>+'STEP-1'!AE50</f>
        <v/>
      </c>
      <c r="C197" s="34">
        <f>+'STEP-1'!AF50</f>
        <v>0</v>
      </c>
      <c r="D197" s="35" t="str">
        <f t="shared" si="17"/>
        <v/>
      </c>
      <c r="E197" s="13" t="str">
        <f t="shared" si="15"/>
        <v/>
      </c>
      <c r="F197" s="36" t="str">
        <f t="shared" si="16"/>
        <v/>
      </c>
    </row>
    <row r="198" spans="1:6" ht="18">
      <c r="A198" s="6">
        <v>50</v>
      </c>
      <c r="B198" s="26" t="str">
        <f>+'STEP-1'!Y51</f>
        <v/>
      </c>
      <c r="C198" s="37">
        <f>+'STEP-1'!Z51</f>
        <v>0</v>
      </c>
      <c r="D198" s="28" t="str">
        <f t="shared" si="17"/>
        <v/>
      </c>
      <c r="E198" s="26" t="str">
        <f t="shared" si="15"/>
        <v/>
      </c>
      <c r="F198" s="29" t="str">
        <f t="shared" si="16"/>
        <v/>
      </c>
    </row>
    <row r="199" spans="1:6" ht="18">
      <c r="A199" s="9">
        <v>50</v>
      </c>
      <c r="B199" s="10" t="str">
        <f>+'STEP-1'!AA51</f>
        <v/>
      </c>
      <c r="C199" s="30">
        <f>+'STEP-1'!AB51</f>
        <v>0</v>
      </c>
      <c r="D199" s="31" t="str">
        <f t="shared" si="17"/>
        <v/>
      </c>
      <c r="E199" s="10" t="str">
        <f t="shared" si="15"/>
        <v/>
      </c>
      <c r="F199" s="32" t="str">
        <f t="shared" si="16"/>
        <v/>
      </c>
    </row>
    <row r="200" spans="1:6" ht="18">
      <c r="A200" s="9">
        <v>50</v>
      </c>
      <c r="B200" s="10" t="str">
        <f>+'STEP-1'!AC51</f>
        <v/>
      </c>
      <c r="C200" s="30">
        <f>+'STEP-1'!AD51</f>
        <v>0</v>
      </c>
      <c r="D200" s="31" t="str">
        <f t="shared" si="17"/>
        <v/>
      </c>
      <c r="E200" s="10" t="str">
        <f t="shared" si="15"/>
        <v/>
      </c>
      <c r="F200" s="32" t="str">
        <f t="shared" si="16"/>
        <v/>
      </c>
    </row>
    <row r="201" spans="1:6" ht="18">
      <c r="A201" s="12">
        <v>50</v>
      </c>
      <c r="B201" s="33" t="str">
        <f>+'STEP-1'!AE51</f>
        <v/>
      </c>
      <c r="C201" s="34">
        <f>+'STEP-1'!AF51</f>
        <v>0</v>
      </c>
      <c r="D201" s="35" t="str">
        <f t="shared" si="17"/>
        <v/>
      </c>
      <c r="E201" s="13" t="str">
        <f t="shared" si="15"/>
        <v/>
      </c>
      <c r="F201" s="36" t="str">
        <f t="shared" si="16"/>
        <v/>
      </c>
    </row>
    <row r="202" spans="1:6" ht="18">
      <c r="A202" s="50"/>
      <c r="B202" s="51"/>
      <c r="C202" s="52">
        <f>SUM(C2:C201)</f>
        <v>600</v>
      </c>
      <c r="D202" s="53"/>
      <c r="E202" s="54"/>
      <c r="F202" s="55"/>
    </row>
  </sheetData>
  <autoFilter ref="A1:C202"/>
  <sortState ref="A2:C201">
    <sortCondition ref="A2"/>
  </sortState>
  <pageMargins left="0.7" right="0.7" top="1.0900000000000001" bottom="0.75" header="0.3" footer="0.3"/>
  <pageSetup paperSize="9" scale="7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topLeftCell="A14" workbookViewId="0">
      <selection activeCell="B4" sqref="B4:B34"/>
    </sheetView>
  </sheetViews>
  <sheetFormatPr defaultRowHeight="15"/>
  <cols>
    <col min="1" max="1" width="36.42578125" bestFit="1" customWidth="1"/>
    <col min="2" max="2" width="9.85546875" bestFit="1" customWidth="1"/>
  </cols>
  <sheetData>
    <row r="3" spans="1:2">
      <c r="A3" s="356" t="s">
        <v>3077</v>
      </c>
      <c r="B3" t="s">
        <v>4107</v>
      </c>
    </row>
    <row r="4" spans="1:2">
      <c r="A4" s="19" t="s">
        <v>2108</v>
      </c>
      <c r="B4" s="2">
        <v>0.53500000000000003</v>
      </c>
    </row>
    <row r="5" spans="1:2">
      <c r="A5" s="19" t="s">
        <v>3154</v>
      </c>
      <c r="B5" s="2">
        <v>0.28599999999999998</v>
      </c>
    </row>
    <row r="6" spans="1:2">
      <c r="A6" s="19" t="s">
        <v>3186</v>
      </c>
      <c r="B6" s="2">
        <v>0.37</v>
      </c>
    </row>
    <row r="7" spans="1:2">
      <c r="A7" s="19" t="s">
        <v>3384</v>
      </c>
      <c r="B7" s="2">
        <v>1.9380000000000002</v>
      </c>
    </row>
    <row r="8" spans="1:2">
      <c r="A8" s="19" t="s">
        <v>3391</v>
      </c>
      <c r="B8" s="2">
        <v>2.1179999999999999</v>
      </c>
    </row>
    <row r="9" spans="1:2">
      <c r="A9" s="19" t="s">
        <v>3382</v>
      </c>
      <c r="B9" s="2">
        <v>12.45</v>
      </c>
    </row>
    <row r="10" spans="1:2">
      <c r="A10" s="19" t="s">
        <v>3379</v>
      </c>
      <c r="B10" s="2">
        <v>2.8559999999999999</v>
      </c>
    </row>
    <row r="11" spans="1:2">
      <c r="A11" s="19" t="s">
        <v>3146</v>
      </c>
      <c r="B11" s="2">
        <v>0.42199999999999999</v>
      </c>
    </row>
    <row r="12" spans="1:2">
      <c r="A12" s="19" t="s">
        <v>3162</v>
      </c>
      <c r="B12" s="2">
        <v>0.99199999999999999</v>
      </c>
    </row>
    <row r="13" spans="1:2">
      <c r="A13" s="19" t="s">
        <v>3392</v>
      </c>
      <c r="B13" s="2">
        <v>2.5920000000000001</v>
      </c>
    </row>
    <row r="14" spans="1:2">
      <c r="A14" s="19" t="s">
        <v>3383</v>
      </c>
      <c r="B14" s="2">
        <v>8.1120000000000001</v>
      </c>
    </row>
    <row r="15" spans="1:2">
      <c r="A15" s="19" t="s">
        <v>3378</v>
      </c>
      <c r="B15" s="2">
        <v>4.6559999999999997</v>
      </c>
    </row>
    <row r="16" spans="1:2">
      <c r="A16" s="19" t="s">
        <v>3150</v>
      </c>
      <c r="B16" s="2">
        <v>0.51200000000000001</v>
      </c>
    </row>
    <row r="17" spans="1:2">
      <c r="A17" s="19" t="s">
        <v>3166</v>
      </c>
      <c r="B17" s="2">
        <v>1.204</v>
      </c>
    </row>
    <row r="18" spans="1:2">
      <c r="A18" s="19" t="s">
        <v>3182</v>
      </c>
      <c r="B18" s="2">
        <v>0.69</v>
      </c>
    </row>
    <row r="19" spans="1:2">
      <c r="A19" s="19" t="s">
        <v>3403</v>
      </c>
      <c r="B19" s="2">
        <v>3.2940000000000005</v>
      </c>
    </row>
    <row r="20" spans="1:2">
      <c r="A20" s="19" t="s">
        <v>3410</v>
      </c>
      <c r="B20" s="2">
        <v>1.262</v>
      </c>
    </row>
    <row r="21" spans="1:2">
      <c r="A21" s="19" t="s">
        <v>3095</v>
      </c>
      <c r="B21" s="2">
        <v>1.1160000000000001</v>
      </c>
    </row>
    <row r="22" spans="1:2">
      <c r="A22" s="19" t="s">
        <v>3397</v>
      </c>
      <c r="B22" s="2">
        <v>2.9219999999999997</v>
      </c>
    </row>
    <row r="23" spans="1:2">
      <c r="A23" s="19" t="s">
        <v>3102</v>
      </c>
      <c r="B23" s="2">
        <v>2.6160000000000001</v>
      </c>
    </row>
    <row r="24" spans="1:2">
      <c r="A24" s="19" t="s">
        <v>3404</v>
      </c>
      <c r="B24" s="2">
        <v>12.584</v>
      </c>
    </row>
    <row r="25" spans="1:2">
      <c r="A25" s="19" t="s">
        <v>3411</v>
      </c>
      <c r="B25" s="2">
        <v>2.6280000000000001</v>
      </c>
    </row>
    <row r="26" spans="1:2">
      <c r="A26" s="19" t="s">
        <v>3116</v>
      </c>
      <c r="B26" s="2">
        <v>0.84799999999999998</v>
      </c>
    </row>
    <row r="27" spans="1:2">
      <c r="A27" s="19" t="s">
        <v>3398</v>
      </c>
      <c r="B27" s="2">
        <v>2.028</v>
      </c>
    </row>
    <row r="28" spans="1:2">
      <c r="A28" s="19" t="s">
        <v>3103</v>
      </c>
      <c r="B28" s="2">
        <v>0.68</v>
      </c>
    </row>
    <row r="29" spans="1:2">
      <c r="A29" s="19" t="s">
        <v>3405</v>
      </c>
      <c r="B29" s="2">
        <v>11.899999999999999</v>
      </c>
    </row>
    <row r="30" spans="1:2">
      <c r="A30" s="19" t="s">
        <v>3110</v>
      </c>
      <c r="B30" s="2">
        <v>0.78200000000000003</v>
      </c>
    </row>
    <row r="31" spans="1:2">
      <c r="A31" s="19" t="s">
        <v>3412</v>
      </c>
      <c r="B31" s="2">
        <v>1.3660000000000001</v>
      </c>
    </row>
    <row r="32" spans="1:2">
      <c r="A32" s="19" t="s">
        <v>3399</v>
      </c>
      <c r="B32" s="2">
        <v>1.04</v>
      </c>
    </row>
    <row r="33" spans="1:2">
      <c r="A33" s="19" t="s">
        <v>3407</v>
      </c>
      <c r="B33" s="2">
        <v>2.5640000000000001</v>
      </c>
    </row>
    <row r="34" spans="1:2">
      <c r="A34" s="19" t="s">
        <v>3414</v>
      </c>
      <c r="B34" s="2">
        <v>4.4160000000000004</v>
      </c>
    </row>
    <row r="35" spans="1:2">
      <c r="A35" s="19" t="s">
        <v>3080</v>
      </c>
      <c r="B35" s="2">
        <v>91.779000000000025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3:B9"/>
  <sheetViews>
    <sheetView workbookViewId="0">
      <selection activeCell="B8" sqref="B8"/>
    </sheetView>
  </sheetViews>
  <sheetFormatPr defaultColWidth="9" defaultRowHeight="15"/>
  <cols>
    <col min="1" max="1" width="36.42578125" customWidth="1"/>
    <col min="2" max="2" width="11.140625" bestFit="1" customWidth="1"/>
  </cols>
  <sheetData>
    <row r="3" spans="1:2">
      <c r="A3" s="356" t="s">
        <v>3077</v>
      </c>
      <c r="B3" t="s">
        <v>3078</v>
      </c>
    </row>
    <row r="4" spans="1:2">
      <c r="A4" s="19"/>
      <c r="B4" s="2">
        <v>0</v>
      </c>
    </row>
    <row r="5" spans="1:2">
      <c r="A5" s="19" t="s">
        <v>3079</v>
      </c>
      <c r="B5" s="2">
        <v>199.7</v>
      </c>
    </row>
    <row r="6" spans="1:2">
      <c r="A6" s="19" t="s">
        <v>3405</v>
      </c>
      <c r="B6" s="2">
        <v>59.5</v>
      </c>
    </row>
    <row r="7" spans="1:2">
      <c r="A7" s="19" t="s">
        <v>3382</v>
      </c>
      <c r="B7" s="2">
        <v>83</v>
      </c>
    </row>
    <row r="8" spans="1:2">
      <c r="A8" s="19" t="s">
        <v>3404</v>
      </c>
      <c r="B8" s="2">
        <v>57.199999999999996</v>
      </c>
    </row>
    <row r="9" spans="1:2">
      <c r="A9" s="19" t="s">
        <v>3080</v>
      </c>
      <c r="B9" s="2">
        <v>399.4</v>
      </c>
    </row>
  </sheetData>
  <pageMargins left="0.7" right="0.7" top="0.75" bottom="0.75" header="0.3" footer="0.3"/>
  <pageSetup paperSize="9" orientation="portrait" verticalDpi="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202"/>
  <sheetViews>
    <sheetView workbookViewId="0">
      <selection activeCell="B2" sqref="B2:C3"/>
    </sheetView>
  </sheetViews>
  <sheetFormatPr defaultColWidth="9" defaultRowHeight="15"/>
  <cols>
    <col min="1" max="1" width="8.140625" customWidth="1"/>
    <col min="2" max="2" width="58.140625" customWidth="1"/>
    <col min="3" max="3" width="13.7109375" customWidth="1"/>
  </cols>
  <sheetData>
    <row r="1" spans="1:6" ht="29.25" customHeight="1">
      <c r="A1" s="3" t="s">
        <v>1387</v>
      </c>
      <c r="B1" s="4" t="s">
        <v>3084</v>
      </c>
      <c r="C1" s="5" t="s">
        <v>1398</v>
      </c>
    </row>
    <row r="2" spans="1:6" ht="18">
      <c r="A2" s="6">
        <v>1</v>
      </c>
      <c r="B2" s="7" t="str">
        <f>+'STEP-1'!AN2</f>
        <v>32D-HARD-FOAM-74.50X135MMX70MM</v>
      </c>
      <c r="C2" s="8">
        <f>+'STEP-1'!AO2</f>
        <v>57.199999999999996</v>
      </c>
      <c r="D2" s="79"/>
    </row>
    <row r="3" spans="1:6" ht="18">
      <c r="A3" s="9">
        <v>1</v>
      </c>
      <c r="B3" s="10" t="str">
        <f>+'STEP-1'!AP2</f>
        <v>32D-HARD-FOAM-54X135MMX70MM</v>
      </c>
      <c r="C3" s="11">
        <f>+'STEP-1'!AQ2</f>
        <v>41.5</v>
      </c>
    </row>
    <row r="4" spans="1:6" ht="18">
      <c r="A4" s="9">
        <v>1</v>
      </c>
      <c r="B4" s="10" t="str">
        <f>+'STEP-1'!AR2</f>
        <v/>
      </c>
      <c r="C4" s="11" t="str">
        <f>+'STEP-1'!AS2</f>
        <v/>
      </c>
    </row>
    <row r="5" spans="1:6" ht="18" customHeight="1">
      <c r="A5" s="12">
        <v>1</v>
      </c>
      <c r="B5" s="13" t="str">
        <f>+'STEP-1'!AT2</f>
        <v/>
      </c>
      <c r="C5" s="14" t="str">
        <f>+'STEP-1'!AU2</f>
        <v/>
      </c>
    </row>
    <row r="6" spans="1:6" ht="18">
      <c r="A6" s="6">
        <v>2</v>
      </c>
      <c r="B6" s="7" t="str">
        <f>+'STEP-1'!AN3</f>
        <v>32D-HARD-FOAM-77.50X135MMX70MM</v>
      </c>
      <c r="C6" s="8">
        <f>+'STEP-1'!AO3</f>
        <v>59.5</v>
      </c>
      <c r="F6" s="15"/>
    </row>
    <row r="7" spans="1:6" ht="18">
      <c r="A7" s="9">
        <v>2</v>
      </c>
      <c r="B7" s="10" t="str">
        <f>+'STEP-1'!AP3</f>
        <v>32D-HARD-FOAM-54X135MMX70MM</v>
      </c>
      <c r="C7" s="11">
        <f>+'STEP-1'!AQ3</f>
        <v>41.5</v>
      </c>
      <c r="D7" s="79"/>
    </row>
    <row r="8" spans="1:6" ht="18">
      <c r="A8" s="9">
        <v>2</v>
      </c>
      <c r="B8" s="10" t="str">
        <f>+'STEP-1'!AR3</f>
        <v/>
      </c>
      <c r="C8" s="10" t="str">
        <f>+'STEP-1'!AS3</f>
        <v/>
      </c>
      <c r="F8" s="15"/>
    </row>
    <row r="9" spans="1:6" ht="18">
      <c r="A9" s="12">
        <v>2</v>
      </c>
      <c r="B9" s="13" t="str">
        <f>+'STEP-1'!AT3</f>
        <v/>
      </c>
      <c r="C9" s="14" t="str">
        <f>+'STEP-1'!AU3</f>
        <v/>
      </c>
      <c r="F9" s="15"/>
    </row>
    <row r="10" spans="1:6" ht="18">
      <c r="A10" s="6">
        <v>3</v>
      </c>
      <c r="B10" s="7" t="str">
        <f>+'STEP-1'!AN4</f>
        <v/>
      </c>
      <c r="C10" s="8" t="str">
        <f>+'STEP-1'!AO4</f>
        <v/>
      </c>
      <c r="F10" s="15"/>
    </row>
    <row r="11" spans="1:6" ht="18">
      <c r="A11" s="9">
        <v>3</v>
      </c>
      <c r="B11" s="10" t="str">
        <f>+'STEP-1'!AP4</f>
        <v/>
      </c>
      <c r="C11" s="11" t="str">
        <f>+'STEP-1'!AQ4</f>
        <v/>
      </c>
      <c r="D11" s="79"/>
      <c r="F11" s="15"/>
    </row>
    <row r="12" spans="1:6" ht="18">
      <c r="A12" s="9">
        <v>3</v>
      </c>
      <c r="B12" s="10" t="str">
        <f>+'STEP-1'!AR4</f>
        <v/>
      </c>
      <c r="C12" s="10" t="str">
        <f>+'STEP-1'!AS4</f>
        <v/>
      </c>
    </row>
    <row r="13" spans="1:6" ht="18">
      <c r="A13" s="12">
        <v>3</v>
      </c>
      <c r="B13" s="13" t="str">
        <f>+'STEP-1'!AT4</f>
        <v/>
      </c>
      <c r="C13" s="14" t="str">
        <f>+'STEP-1'!AU4</f>
        <v/>
      </c>
    </row>
    <row r="14" spans="1:6" ht="18">
      <c r="A14" s="6">
        <v>4</v>
      </c>
      <c r="B14" s="7" t="str">
        <f>+'STEP-1'!AN5</f>
        <v/>
      </c>
      <c r="C14" s="8" t="str">
        <f>+'STEP-1'!AO5</f>
        <v/>
      </c>
    </row>
    <row r="15" spans="1:6" ht="18">
      <c r="A15" s="9">
        <v>4</v>
      </c>
      <c r="B15" s="10" t="str">
        <f>+'STEP-1'!AP5</f>
        <v/>
      </c>
      <c r="C15" s="11" t="str">
        <f>+'STEP-1'!AQ5</f>
        <v/>
      </c>
      <c r="D15" s="79"/>
    </row>
    <row r="16" spans="1:6" ht="18">
      <c r="A16" s="9">
        <v>4</v>
      </c>
      <c r="B16" s="10" t="str">
        <f>+'STEP-1'!AR5</f>
        <v/>
      </c>
      <c r="C16" s="10" t="str">
        <f>+'STEP-1'!AS5</f>
        <v/>
      </c>
    </row>
    <row r="17" spans="1:3" ht="18">
      <c r="A17" s="12">
        <v>4</v>
      </c>
      <c r="B17" s="13" t="str">
        <f>+'STEP-1'!AT5</f>
        <v/>
      </c>
      <c r="C17" s="14" t="str">
        <f>+'STEP-1'!AU5</f>
        <v/>
      </c>
    </row>
    <row r="18" spans="1:3" ht="18">
      <c r="A18" s="6">
        <v>5</v>
      </c>
      <c r="B18" s="7" t="str">
        <f>+'STEP-1'!AN6</f>
        <v/>
      </c>
      <c r="C18" s="8" t="str">
        <f>+'STEP-1'!AO6</f>
        <v/>
      </c>
    </row>
    <row r="19" spans="1:3" ht="18">
      <c r="A19" s="9">
        <v>5</v>
      </c>
      <c r="B19" s="10" t="str">
        <f>+'STEP-1'!AP6</f>
        <v/>
      </c>
      <c r="C19" s="11" t="str">
        <f>+'STEP-1'!AQ6</f>
        <v/>
      </c>
    </row>
    <row r="20" spans="1:3" ht="18">
      <c r="A20" s="9">
        <v>5</v>
      </c>
      <c r="B20" s="10" t="str">
        <f>+'STEP-1'!AR6</f>
        <v/>
      </c>
      <c r="C20" s="10" t="str">
        <f>+'STEP-1'!AS6</f>
        <v/>
      </c>
    </row>
    <row r="21" spans="1:3" ht="18">
      <c r="A21" s="12">
        <v>5</v>
      </c>
      <c r="B21" s="13" t="str">
        <f>+'STEP-1'!AT6</f>
        <v/>
      </c>
      <c r="C21" s="14" t="str">
        <f>+'STEP-1'!AU6</f>
        <v/>
      </c>
    </row>
    <row r="22" spans="1:3" ht="18">
      <c r="A22" s="6">
        <v>6</v>
      </c>
      <c r="B22" s="7" t="str">
        <f>+'STEP-1'!AN7</f>
        <v/>
      </c>
      <c r="C22" s="8" t="str">
        <f>+'STEP-1'!AO7</f>
        <v/>
      </c>
    </row>
    <row r="23" spans="1:3" ht="18">
      <c r="A23" s="9">
        <v>6</v>
      </c>
      <c r="B23" s="10" t="str">
        <f>+'STEP-1'!AP7</f>
        <v/>
      </c>
      <c r="C23" s="11" t="str">
        <f>+'STEP-1'!AQ7</f>
        <v/>
      </c>
    </row>
    <row r="24" spans="1:3" ht="18">
      <c r="A24" s="9">
        <v>6</v>
      </c>
      <c r="B24" s="10" t="str">
        <f>+'STEP-1'!AR7</f>
        <v/>
      </c>
      <c r="C24" s="10" t="str">
        <f>+'STEP-1'!AS7</f>
        <v/>
      </c>
    </row>
    <row r="25" spans="1:3" ht="18">
      <c r="A25" s="12">
        <v>6</v>
      </c>
      <c r="B25" s="13" t="str">
        <f>+'STEP-1'!AT7</f>
        <v/>
      </c>
      <c r="C25" s="14" t="str">
        <f>+'STEP-1'!AU7</f>
        <v/>
      </c>
    </row>
    <row r="26" spans="1:3" ht="18">
      <c r="A26" s="6">
        <v>7</v>
      </c>
      <c r="B26" s="7" t="str">
        <f>+'STEP-1'!AN8</f>
        <v/>
      </c>
      <c r="C26" s="8" t="str">
        <f>+'STEP-1'!AO8</f>
        <v/>
      </c>
    </row>
    <row r="27" spans="1:3" ht="18">
      <c r="A27" s="9">
        <v>7</v>
      </c>
      <c r="B27" s="10" t="str">
        <f>+'STEP-1'!AP8</f>
        <v/>
      </c>
      <c r="C27" s="11" t="str">
        <f>+'STEP-1'!AQ8</f>
        <v/>
      </c>
    </row>
    <row r="28" spans="1:3" ht="18">
      <c r="A28" s="9">
        <v>7</v>
      </c>
      <c r="B28" s="10" t="str">
        <f>+'STEP-1'!AR8</f>
        <v/>
      </c>
      <c r="C28" s="10" t="str">
        <f>+'STEP-1'!AS8</f>
        <v/>
      </c>
    </row>
    <row r="29" spans="1:3" ht="18">
      <c r="A29" s="12">
        <v>7</v>
      </c>
      <c r="B29" s="13" t="str">
        <f>+'STEP-1'!AT8</f>
        <v/>
      </c>
      <c r="C29" s="14" t="str">
        <f>+'STEP-1'!AU8</f>
        <v/>
      </c>
    </row>
    <row r="30" spans="1:3" ht="18">
      <c r="A30" s="6">
        <v>8</v>
      </c>
      <c r="B30" s="7" t="str">
        <f>+'STEP-1'!AN9</f>
        <v/>
      </c>
      <c r="C30" s="8" t="str">
        <f>+'STEP-1'!AO9</f>
        <v/>
      </c>
    </row>
    <row r="31" spans="1:3" ht="18">
      <c r="A31" s="9">
        <v>8</v>
      </c>
      <c r="B31" s="10" t="str">
        <f>+'STEP-1'!AP9</f>
        <v/>
      </c>
      <c r="C31" s="11" t="str">
        <f>+'STEP-1'!AQ9</f>
        <v/>
      </c>
    </row>
    <row r="32" spans="1:3" ht="18">
      <c r="A32" s="9">
        <v>8</v>
      </c>
      <c r="B32" s="10" t="str">
        <f>+'STEP-1'!AR9</f>
        <v/>
      </c>
      <c r="C32" s="10" t="str">
        <f>+'STEP-1'!AS9</f>
        <v/>
      </c>
    </row>
    <row r="33" spans="1:3" ht="18">
      <c r="A33" s="12">
        <v>8</v>
      </c>
      <c r="B33" s="13" t="str">
        <f>+'STEP-1'!AT9</f>
        <v/>
      </c>
      <c r="C33" s="14" t="str">
        <f>+'STEP-1'!AU9</f>
        <v/>
      </c>
    </row>
    <row r="34" spans="1:3" ht="18">
      <c r="A34" s="6">
        <v>9</v>
      </c>
      <c r="B34" s="7" t="str">
        <f>+'STEP-1'!AN10</f>
        <v/>
      </c>
      <c r="C34" s="8" t="str">
        <f>+'STEP-1'!AO10</f>
        <v/>
      </c>
    </row>
    <row r="35" spans="1:3" ht="18">
      <c r="A35" s="9">
        <v>9</v>
      </c>
      <c r="B35" s="10" t="str">
        <f>+'STEP-1'!AP10</f>
        <v/>
      </c>
      <c r="C35" s="11" t="str">
        <f>+'STEP-1'!AQ10</f>
        <v/>
      </c>
    </row>
    <row r="36" spans="1:3" ht="18">
      <c r="A36" s="9">
        <v>9</v>
      </c>
      <c r="B36" s="10" t="str">
        <f>+'STEP-1'!AR10</f>
        <v/>
      </c>
      <c r="C36" s="10" t="str">
        <f>+'STEP-1'!AS10</f>
        <v/>
      </c>
    </row>
    <row r="37" spans="1:3" ht="18">
      <c r="A37" s="12">
        <v>9</v>
      </c>
      <c r="B37" s="13" t="str">
        <f>+'STEP-1'!AT10</f>
        <v/>
      </c>
      <c r="C37" s="14" t="str">
        <f>+'STEP-1'!AU10</f>
        <v/>
      </c>
    </row>
    <row r="38" spans="1:3" ht="18">
      <c r="A38" s="6">
        <v>10</v>
      </c>
      <c r="B38" s="7" t="str">
        <f>+'STEP-1'!AN11</f>
        <v/>
      </c>
      <c r="C38" s="8" t="str">
        <f>+'STEP-1'!AO11</f>
        <v/>
      </c>
    </row>
    <row r="39" spans="1:3" ht="18">
      <c r="A39" s="9">
        <v>10</v>
      </c>
      <c r="B39" s="10" t="str">
        <f>+'STEP-1'!AP11</f>
        <v/>
      </c>
      <c r="C39" s="11" t="str">
        <f>+'STEP-1'!AQ11</f>
        <v/>
      </c>
    </row>
    <row r="40" spans="1:3" ht="18">
      <c r="A40" s="9">
        <v>10</v>
      </c>
      <c r="B40" s="10" t="str">
        <f>+'STEP-1'!AR11</f>
        <v/>
      </c>
      <c r="C40" s="10" t="str">
        <f>+'STEP-1'!AS11</f>
        <v/>
      </c>
    </row>
    <row r="41" spans="1:3" ht="18">
      <c r="A41" s="12">
        <v>10</v>
      </c>
      <c r="B41" s="13" t="str">
        <f>+'STEP-1'!AT11</f>
        <v/>
      </c>
      <c r="C41" s="14" t="str">
        <f>+'STEP-1'!AU11</f>
        <v/>
      </c>
    </row>
    <row r="42" spans="1:3" ht="18">
      <c r="A42" s="6">
        <v>11</v>
      </c>
      <c r="B42" s="7" t="str">
        <f>+'STEP-1'!AN12</f>
        <v/>
      </c>
      <c r="C42" s="8" t="str">
        <f>+'STEP-1'!AO12</f>
        <v/>
      </c>
    </row>
    <row r="43" spans="1:3" ht="18">
      <c r="A43" s="9">
        <v>11</v>
      </c>
      <c r="B43" s="10" t="str">
        <f>+'STEP-1'!AP12</f>
        <v/>
      </c>
      <c r="C43" s="11" t="str">
        <f>+'STEP-1'!AQ12</f>
        <v/>
      </c>
    </row>
    <row r="44" spans="1:3" ht="18">
      <c r="A44" s="9">
        <v>11</v>
      </c>
      <c r="B44" s="10" t="str">
        <f>+'STEP-1'!AR12</f>
        <v/>
      </c>
      <c r="C44" s="10" t="str">
        <f>+'STEP-1'!AS12</f>
        <v/>
      </c>
    </row>
    <row r="45" spans="1:3" ht="18">
      <c r="A45" s="12">
        <v>11</v>
      </c>
      <c r="B45" s="13" t="str">
        <f>+'STEP-1'!AT12</f>
        <v/>
      </c>
      <c r="C45" s="14" t="str">
        <f>+'STEP-1'!AU12</f>
        <v/>
      </c>
    </row>
    <row r="46" spans="1:3" ht="18">
      <c r="A46" s="6">
        <v>12</v>
      </c>
      <c r="B46" s="7" t="str">
        <f>+'STEP-1'!AN13</f>
        <v/>
      </c>
      <c r="C46" s="8" t="str">
        <f>+'STEP-1'!AO13</f>
        <v/>
      </c>
    </row>
    <row r="47" spans="1:3" ht="18">
      <c r="A47" s="9">
        <v>12</v>
      </c>
      <c r="B47" s="10" t="str">
        <f>+'STEP-1'!AP13</f>
        <v/>
      </c>
      <c r="C47" s="11" t="str">
        <f>+'STEP-1'!AQ13</f>
        <v/>
      </c>
    </row>
    <row r="48" spans="1:3" ht="18">
      <c r="A48" s="9">
        <v>12</v>
      </c>
      <c r="B48" s="10" t="str">
        <f>+'STEP-1'!AR13</f>
        <v/>
      </c>
      <c r="C48" s="10" t="str">
        <f>+'STEP-1'!AS13</f>
        <v/>
      </c>
    </row>
    <row r="49" spans="1:3" ht="18">
      <c r="A49" s="12">
        <v>12</v>
      </c>
      <c r="B49" s="13" t="str">
        <f>+'STEP-1'!AT13</f>
        <v/>
      </c>
      <c r="C49" s="14" t="str">
        <f>+'STEP-1'!AU13</f>
        <v/>
      </c>
    </row>
    <row r="50" spans="1:3" ht="18">
      <c r="A50" s="6">
        <v>13</v>
      </c>
      <c r="B50" s="7" t="str">
        <f>+'STEP-1'!AN14</f>
        <v/>
      </c>
      <c r="C50" s="8" t="str">
        <f>+'STEP-1'!AO14</f>
        <v/>
      </c>
    </row>
    <row r="51" spans="1:3" ht="18">
      <c r="A51" s="9">
        <v>13</v>
      </c>
      <c r="B51" s="10" t="str">
        <f>+'STEP-1'!AP14</f>
        <v/>
      </c>
      <c r="C51" s="11" t="str">
        <f>+'STEP-1'!AQ14</f>
        <v/>
      </c>
    </row>
    <row r="52" spans="1:3" ht="18">
      <c r="A52" s="9">
        <v>13</v>
      </c>
      <c r="B52" s="10" t="str">
        <f>+'STEP-1'!AR14</f>
        <v/>
      </c>
      <c r="C52" s="10" t="str">
        <f>+'STEP-1'!AS14</f>
        <v/>
      </c>
    </row>
    <row r="53" spans="1:3" ht="18">
      <c r="A53" s="12">
        <v>13</v>
      </c>
      <c r="B53" s="13" t="str">
        <f>+'STEP-1'!AT14</f>
        <v/>
      </c>
      <c r="C53" s="14" t="str">
        <f>+'STEP-1'!AU14</f>
        <v/>
      </c>
    </row>
    <row r="54" spans="1:3" ht="18">
      <c r="A54" s="6">
        <v>14</v>
      </c>
      <c r="B54" s="7" t="str">
        <f>+'STEP-1'!AN15</f>
        <v/>
      </c>
      <c r="C54" s="8" t="str">
        <f>+'STEP-1'!AO15</f>
        <v/>
      </c>
    </row>
    <row r="55" spans="1:3" ht="18">
      <c r="A55" s="9">
        <v>14</v>
      </c>
      <c r="B55" s="10" t="str">
        <f>+'STEP-1'!AP15</f>
        <v/>
      </c>
      <c r="C55" s="11" t="str">
        <f>+'STEP-1'!AQ15</f>
        <v/>
      </c>
    </row>
    <row r="56" spans="1:3" ht="18">
      <c r="A56" s="9">
        <v>14</v>
      </c>
      <c r="B56" s="10" t="str">
        <f>+'STEP-1'!AR15</f>
        <v/>
      </c>
      <c r="C56" s="11" t="str">
        <f>+'STEP-1'!AS15</f>
        <v/>
      </c>
    </row>
    <row r="57" spans="1:3" ht="18">
      <c r="A57" s="12">
        <v>14</v>
      </c>
      <c r="B57" s="13" t="str">
        <f>+'STEP-1'!AT15</f>
        <v/>
      </c>
      <c r="C57" s="14" t="str">
        <f>+'STEP-1'!AU15</f>
        <v/>
      </c>
    </row>
    <row r="58" spans="1:3" ht="18">
      <c r="A58" s="6">
        <v>15</v>
      </c>
      <c r="B58" s="7" t="str">
        <f>+'STEP-1'!AN16</f>
        <v/>
      </c>
      <c r="C58" s="8" t="str">
        <f>+'STEP-1'!AO16</f>
        <v/>
      </c>
    </row>
    <row r="59" spans="1:3" ht="18">
      <c r="A59" s="9">
        <v>15</v>
      </c>
      <c r="B59" s="10" t="str">
        <f>+'STEP-1'!AP16</f>
        <v/>
      </c>
      <c r="C59" s="11" t="str">
        <f>+'STEP-1'!AQ16</f>
        <v/>
      </c>
    </row>
    <row r="60" spans="1:3" ht="18">
      <c r="A60" s="9">
        <v>15</v>
      </c>
      <c r="B60" s="10" t="str">
        <f>+'STEP-1'!AR16</f>
        <v/>
      </c>
      <c r="C60" s="11" t="str">
        <f>+'STEP-1'!AS16</f>
        <v/>
      </c>
    </row>
    <row r="61" spans="1:3" ht="18">
      <c r="A61" s="12">
        <v>15</v>
      </c>
      <c r="B61" s="13" t="str">
        <f>+'STEP-1'!AT16</f>
        <v/>
      </c>
      <c r="C61" s="14" t="str">
        <f>+'STEP-1'!AU16</f>
        <v/>
      </c>
    </row>
    <row r="62" spans="1:3" ht="18">
      <c r="A62" s="6">
        <v>16</v>
      </c>
      <c r="B62" s="7" t="str">
        <f>+'STEP-1'!AN17</f>
        <v/>
      </c>
      <c r="C62" s="8" t="str">
        <f>+'STEP-1'!AO17</f>
        <v/>
      </c>
    </row>
    <row r="63" spans="1:3" ht="18">
      <c r="A63" s="9">
        <v>16</v>
      </c>
      <c r="B63" s="10" t="str">
        <f>+'STEP-1'!AP17</f>
        <v/>
      </c>
      <c r="C63" s="11" t="str">
        <f>+'STEP-1'!AQ17</f>
        <v/>
      </c>
    </row>
    <row r="64" spans="1:3" ht="18">
      <c r="A64" s="9">
        <v>16</v>
      </c>
      <c r="B64" s="10" t="str">
        <f>+'STEP-1'!AR17</f>
        <v/>
      </c>
      <c r="C64" s="11" t="str">
        <f>+'STEP-1'!AS17</f>
        <v/>
      </c>
    </row>
    <row r="65" spans="1:3" ht="18">
      <c r="A65" s="12">
        <v>16</v>
      </c>
      <c r="B65" s="13" t="str">
        <f>+'STEP-1'!AT17</f>
        <v/>
      </c>
      <c r="C65" s="14" t="str">
        <f>+'STEP-1'!AU17</f>
        <v/>
      </c>
    </row>
    <row r="66" spans="1:3" ht="18">
      <c r="A66" s="6">
        <v>17</v>
      </c>
      <c r="B66" s="7" t="str">
        <f>+'STEP-1'!AN18</f>
        <v/>
      </c>
      <c r="C66" s="8" t="str">
        <f>+'STEP-1'!AO18</f>
        <v/>
      </c>
    </row>
    <row r="67" spans="1:3" ht="18">
      <c r="A67" s="9">
        <v>17</v>
      </c>
      <c r="B67" s="10" t="str">
        <f>+'STEP-1'!AP18</f>
        <v/>
      </c>
      <c r="C67" s="11" t="str">
        <f>+'STEP-1'!AQ18</f>
        <v/>
      </c>
    </row>
    <row r="68" spans="1:3" ht="18">
      <c r="A68" s="9">
        <v>17</v>
      </c>
      <c r="B68" s="10" t="str">
        <f>+'STEP-1'!AR18</f>
        <v/>
      </c>
      <c r="C68" s="11" t="str">
        <f>+'STEP-1'!AS18</f>
        <v/>
      </c>
    </row>
    <row r="69" spans="1:3" ht="18">
      <c r="A69" s="12">
        <v>17</v>
      </c>
      <c r="B69" s="13" t="str">
        <f>+'STEP-1'!AT18</f>
        <v/>
      </c>
      <c r="C69" s="14" t="str">
        <f>+'STEP-1'!AU18</f>
        <v/>
      </c>
    </row>
    <row r="70" spans="1:3" ht="18">
      <c r="A70" s="6">
        <v>18</v>
      </c>
      <c r="B70" s="7" t="str">
        <f>+'STEP-1'!AN19</f>
        <v/>
      </c>
      <c r="C70" s="8" t="str">
        <f>+'STEP-1'!AO19</f>
        <v/>
      </c>
    </row>
    <row r="71" spans="1:3" ht="18">
      <c r="A71" s="9">
        <v>18</v>
      </c>
      <c r="B71" s="10" t="str">
        <f>+'STEP-1'!AP19</f>
        <v/>
      </c>
      <c r="C71" s="11" t="str">
        <f>+'STEP-1'!AQ19</f>
        <v/>
      </c>
    </row>
    <row r="72" spans="1:3" ht="18">
      <c r="A72" s="9">
        <v>18</v>
      </c>
      <c r="B72" s="10" t="str">
        <f>+'STEP-1'!AR19</f>
        <v/>
      </c>
      <c r="C72" s="11" t="str">
        <f>+'STEP-1'!AS19</f>
        <v/>
      </c>
    </row>
    <row r="73" spans="1:3" ht="18">
      <c r="A73" s="12">
        <v>18</v>
      </c>
      <c r="B73" s="13" t="str">
        <f>+'STEP-1'!AT19</f>
        <v/>
      </c>
      <c r="C73" s="14" t="str">
        <f>+'STEP-1'!AU19</f>
        <v/>
      </c>
    </row>
    <row r="74" spans="1:3" ht="18">
      <c r="A74" s="6">
        <v>19</v>
      </c>
      <c r="B74" s="7" t="str">
        <f>+'STEP-1'!AN20</f>
        <v/>
      </c>
      <c r="C74" s="8" t="str">
        <f>+'STEP-1'!AO20</f>
        <v/>
      </c>
    </row>
    <row r="75" spans="1:3" ht="18">
      <c r="A75" s="9">
        <v>19</v>
      </c>
      <c r="B75" s="10" t="str">
        <f>+'STEP-1'!AP20</f>
        <v/>
      </c>
      <c r="C75" s="11" t="str">
        <f>+'STEP-1'!AQ20</f>
        <v/>
      </c>
    </row>
    <row r="76" spans="1:3" ht="18">
      <c r="A76" s="9">
        <v>19</v>
      </c>
      <c r="B76" s="10" t="str">
        <f>+'STEP-1'!AR20</f>
        <v/>
      </c>
      <c r="C76" s="11" t="str">
        <f>+'STEP-1'!AS20</f>
        <v/>
      </c>
    </row>
    <row r="77" spans="1:3" ht="18">
      <c r="A77" s="12">
        <v>19</v>
      </c>
      <c r="B77" s="13" t="str">
        <f>+'STEP-1'!AT20</f>
        <v/>
      </c>
      <c r="C77" s="14" t="str">
        <f>+'STEP-1'!AU20</f>
        <v/>
      </c>
    </row>
    <row r="78" spans="1:3" ht="18">
      <c r="A78" s="6">
        <v>20</v>
      </c>
      <c r="B78" s="7" t="str">
        <f>+'STEP-1'!AN21</f>
        <v/>
      </c>
      <c r="C78" s="8" t="str">
        <f>+'STEP-1'!AO21</f>
        <v/>
      </c>
    </row>
    <row r="79" spans="1:3" ht="18">
      <c r="A79" s="9">
        <v>20</v>
      </c>
      <c r="B79" s="10" t="str">
        <f>+'STEP-1'!AP21</f>
        <v/>
      </c>
      <c r="C79" s="11" t="str">
        <f>+'STEP-1'!AQ21</f>
        <v/>
      </c>
    </row>
    <row r="80" spans="1:3" ht="18">
      <c r="A80" s="9">
        <v>20</v>
      </c>
      <c r="B80" s="10" t="str">
        <f>+'STEP-1'!AR21</f>
        <v/>
      </c>
      <c r="C80" s="11" t="str">
        <f>+'STEP-1'!AS21</f>
        <v/>
      </c>
    </row>
    <row r="81" spans="1:3" ht="18">
      <c r="A81" s="12">
        <v>20</v>
      </c>
      <c r="B81" s="13" t="str">
        <f>+'STEP-1'!AT21</f>
        <v/>
      </c>
      <c r="C81" s="14" t="str">
        <f>+'STEP-1'!AU21</f>
        <v/>
      </c>
    </row>
    <row r="82" spans="1:3" ht="18">
      <c r="A82" s="6">
        <v>21</v>
      </c>
      <c r="B82" s="7" t="str">
        <f>+'STEP-1'!AN22</f>
        <v/>
      </c>
      <c r="C82" s="8" t="str">
        <f>+'STEP-1'!AO22</f>
        <v/>
      </c>
    </row>
    <row r="83" spans="1:3" ht="18">
      <c r="A83" s="9">
        <v>21</v>
      </c>
      <c r="B83" s="10" t="str">
        <f>+'STEP-1'!AP22</f>
        <v/>
      </c>
      <c r="C83" s="11" t="str">
        <f>+'STEP-1'!AQ22</f>
        <v/>
      </c>
    </row>
    <row r="84" spans="1:3" ht="18">
      <c r="A84" s="9">
        <v>21</v>
      </c>
      <c r="B84" s="10" t="str">
        <f>+'STEP-1'!AR22</f>
        <v/>
      </c>
      <c r="C84" s="11" t="str">
        <f>+'STEP-1'!AS22</f>
        <v/>
      </c>
    </row>
    <row r="85" spans="1:3" ht="18">
      <c r="A85" s="12">
        <v>21</v>
      </c>
      <c r="B85" s="13" t="str">
        <f>+'STEP-1'!AT22</f>
        <v/>
      </c>
      <c r="C85" s="14" t="str">
        <f>+'STEP-1'!AU22</f>
        <v/>
      </c>
    </row>
    <row r="86" spans="1:3" ht="18">
      <c r="A86" s="6">
        <v>22</v>
      </c>
      <c r="B86" s="7" t="str">
        <f>+'STEP-1'!AN23</f>
        <v/>
      </c>
      <c r="C86" s="8" t="str">
        <f>+'STEP-1'!AO23</f>
        <v/>
      </c>
    </row>
    <row r="87" spans="1:3" ht="18">
      <c r="A87" s="9">
        <v>22</v>
      </c>
      <c r="B87" s="10" t="str">
        <f>+'STEP-1'!AP23</f>
        <v/>
      </c>
      <c r="C87" s="11" t="str">
        <f>+'STEP-1'!AQ23</f>
        <v/>
      </c>
    </row>
    <row r="88" spans="1:3" ht="18">
      <c r="A88" s="9">
        <v>22</v>
      </c>
      <c r="B88" s="10" t="str">
        <f>+'STEP-1'!AR23</f>
        <v/>
      </c>
      <c r="C88" s="11" t="str">
        <f>+'STEP-1'!AS23</f>
        <v/>
      </c>
    </row>
    <row r="89" spans="1:3" ht="18">
      <c r="A89" s="12">
        <v>22</v>
      </c>
      <c r="B89" s="13" t="str">
        <f>+'STEP-1'!AT23</f>
        <v/>
      </c>
      <c r="C89" s="14" t="str">
        <f>+'STEP-1'!AU23</f>
        <v/>
      </c>
    </row>
    <row r="90" spans="1:3" ht="18">
      <c r="A90" s="6">
        <v>23</v>
      </c>
      <c r="B90" s="7" t="str">
        <f>+'STEP-1'!AN24</f>
        <v/>
      </c>
      <c r="C90" s="8" t="str">
        <f>+'STEP-1'!AO24</f>
        <v/>
      </c>
    </row>
    <row r="91" spans="1:3" ht="18">
      <c r="A91" s="9">
        <v>23</v>
      </c>
      <c r="B91" s="10" t="str">
        <f>+'STEP-1'!AP24</f>
        <v/>
      </c>
      <c r="C91" s="11" t="str">
        <f>+'STEP-1'!AQ24</f>
        <v/>
      </c>
    </row>
    <row r="92" spans="1:3" ht="18">
      <c r="A92" s="9">
        <v>23</v>
      </c>
      <c r="B92" s="10" t="str">
        <f>+'STEP-1'!AR24</f>
        <v/>
      </c>
      <c r="C92" s="11" t="str">
        <f>+'STEP-1'!AS24</f>
        <v/>
      </c>
    </row>
    <row r="93" spans="1:3" ht="18">
      <c r="A93" s="12">
        <v>23</v>
      </c>
      <c r="B93" s="13" t="str">
        <f>+'STEP-1'!AT23</f>
        <v/>
      </c>
      <c r="C93" s="14" t="str">
        <f>+'STEP-1'!AU23</f>
        <v/>
      </c>
    </row>
    <row r="94" spans="1:3" ht="18">
      <c r="A94" s="6">
        <v>24</v>
      </c>
      <c r="B94" s="7" t="str">
        <f>+'STEP-1'!AN25</f>
        <v/>
      </c>
      <c r="C94" s="8" t="str">
        <f>+'STEP-1'!AO25</f>
        <v/>
      </c>
    </row>
    <row r="95" spans="1:3" ht="18">
      <c r="A95" s="9">
        <v>24</v>
      </c>
      <c r="B95" s="10" t="str">
        <f>+'STEP-1'!AP25</f>
        <v/>
      </c>
      <c r="C95" s="11" t="str">
        <f>+'STEP-1'!AQ25</f>
        <v/>
      </c>
    </row>
    <row r="96" spans="1:3" ht="18">
      <c r="A96" s="9">
        <v>24</v>
      </c>
      <c r="B96" s="10" t="str">
        <f>+'STEP-1'!AR25</f>
        <v/>
      </c>
      <c r="C96" s="11" t="str">
        <f>+'STEP-1'!AS25</f>
        <v/>
      </c>
    </row>
    <row r="97" spans="1:3" ht="18">
      <c r="A97" s="12">
        <v>24</v>
      </c>
      <c r="B97" s="13" t="str">
        <f>+'STEP-1'!AT25</f>
        <v/>
      </c>
      <c r="C97" s="14" t="str">
        <f>+'STEP-1'!AU25</f>
        <v/>
      </c>
    </row>
    <row r="98" spans="1:3" ht="18">
      <c r="A98" s="6">
        <v>25</v>
      </c>
      <c r="B98" s="7" t="str">
        <f>+'STEP-1'!AN26</f>
        <v/>
      </c>
      <c r="C98" s="8" t="str">
        <f>+'STEP-1'!AO26</f>
        <v/>
      </c>
    </row>
    <row r="99" spans="1:3" ht="18">
      <c r="A99" s="9">
        <v>25</v>
      </c>
      <c r="B99" s="10" t="str">
        <f>+'STEP-1'!AP26</f>
        <v/>
      </c>
      <c r="C99" s="11" t="str">
        <f>+'STEP-1'!AQ26</f>
        <v/>
      </c>
    </row>
    <row r="100" spans="1:3" ht="18">
      <c r="A100" s="9">
        <v>25</v>
      </c>
      <c r="B100" s="10" t="str">
        <f>+'STEP-1'!AR26</f>
        <v/>
      </c>
      <c r="C100" s="11" t="str">
        <f>+'STEP-1'!AS26</f>
        <v/>
      </c>
    </row>
    <row r="101" spans="1:3" ht="18">
      <c r="A101" s="12">
        <v>25</v>
      </c>
      <c r="B101" s="13" t="str">
        <f>+'STEP-1'!AT26</f>
        <v/>
      </c>
      <c r="C101" s="14" t="str">
        <f>+'STEP-1'!AU26</f>
        <v/>
      </c>
    </row>
    <row r="102" spans="1:3" ht="18">
      <c r="A102" s="6">
        <v>26</v>
      </c>
      <c r="B102" s="7" t="str">
        <f>+'STEP-1'!AN27</f>
        <v/>
      </c>
      <c r="C102" s="8" t="str">
        <f>+'STEP-1'!AO27</f>
        <v/>
      </c>
    </row>
    <row r="103" spans="1:3" ht="18">
      <c r="A103" s="9">
        <v>26</v>
      </c>
      <c r="B103" s="10" t="str">
        <f>+'STEP-1'!AP27</f>
        <v/>
      </c>
      <c r="C103" s="11" t="str">
        <f>+'STEP-1'!AQ27</f>
        <v/>
      </c>
    </row>
    <row r="104" spans="1:3" ht="18">
      <c r="A104" s="9">
        <v>26</v>
      </c>
      <c r="B104" s="10" t="str">
        <f>+'STEP-1'!AR27</f>
        <v/>
      </c>
      <c r="C104" s="11" t="str">
        <f>+'STEP-1'!AS27</f>
        <v/>
      </c>
    </row>
    <row r="105" spans="1:3" ht="18">
      <c r="A105" s="12">
        <v>26</v>
      </c>
      <c r="B105" s="13" t="str">
        <f>+'STEP-1'!AT27</f>
        <v/>
      </c>
      <c r="C105" s="14" t="str">
        <f>+'STEP-1'!AU27</f>
        <v/>
      </c>
    </row>
    <row r="106" spans="1:3" ht="18">
      <c r="A106" s="6">
        <v>27</v>
      </c>
      <c r="B106" s="7" t="str">
        <f>+'STEP-1'!AN28</f>
        <v/>
      </c>
      <c r="C106" s="8" t="str">
        <f>+'STEP-1'!AO28</f>
        <v/>
      </c>
    </row>
    <row r="107" spans="1:3" ht="18">
      <c r="A107" s="9">
        <v>27</v>
      </c>
      <c r="B107" s="10" t="str">
        <f>+'STEP-1'!AP28</f>
        <v/>
      </c>
      <c r="C107" s="11" t="str">
        <f>+'STEP-1'!AQ28</f>
        <v/>
      </c>
    </row>
    <row r="108" spans="1:3" ht="18">
      <c r="A108" s="9">
        <v>27</v>
      </c>
      <c r="B108" s="10" t="str">
        <f>+'STEP-1'!AR28</f>
        <v/>
      </c>
      <c r="C108" s="11" t="str">
        <f>+'STEP-1'!AS28</f>
        <v/>
      </c>
    </row>
    <row r="109" spans="1:3" ht="18">
      <c r="A109" s="12">
        <v>27</v>
      </c>
      <c r="B109" s="13" t="str">
        <f>+'STEP-1'!AT28</f>
        <v/>
      </c>
      <c r="C109" s="14" t="str">
        <f>+'STEP-1'!AU28</f>
        <v/>
      </c>
    </row>
    <row r="110" spans="1:3" ht="18">
      <c r="A110" s="6">
        <v>28</v>
      </c>
      <c r="B110" s="7" t="str">
        <f>+'STEP-1'!AN29</f>
        <v/>
      </c>
      <c r="C110" s="8" t="str">
        <f>+'STEP-1'!AO29</f>
        <v/>
      </c>
    </row>
    <row r="111" spans="1:3" ht="18">
      <c r="A111" s="9">
        <v>28</v>
      </c>
      <c r="B111" s="10" t="str">
        <f>+'STEP-1'!AP29</f>
        <v/>
      </c>
      <c r="C111" s="11" t="str">
        <f>+'STEP-1'!AQ29</f>
        <v/>
      </c>
    </row>
    <row r="112" spans="1:3" ht="18">
      <c r="A112" s="9">
        <v>28</v>
      </c>
      <c r="B112" s="10" t="str">
        <f>+'STEP-1'!AR29</f>
        <v/>
      </c>
      <c r="C112" s="11" t="str">
        <f>+'STEP-1'!AS29</f>
        <v/>
      </c>
    </row>
    <row r="113" spans="1:3" ht="18">
      <c r="A113" s="12">
        <v>28</v>
      </c>
      <c r="B113" s="13" t="str">
        <f>+'STEP-1'!AT29</f>
        <v/>
      </c>
      <c r="C113" s="14" t="str">
        <f>+'STEP-1'!AU29</f>
        <v/>
      </c>
    </row>
    <row r="114" spans="1:3" ht="18">
      <c r="A114" s="6">
        <v>29</v>
      </c>
      <c r="B114" s="7" t="str">
        <f>+'STEP-1'!AN30</f>
        <v/>
      </c>
      <c r="C114" s="8" t="str">
        <f>+'STEP-1'!AO30</f>
        <v/>
      </c>
    </row>
    <row r="115" spans="1:3" ht="18">
      <c r="A115" s="9">
        <v>29</v>
      </c>
      <c r="B115" s="10" t="str">
        <f>+'STEP-1'!AP30</f>
        <v/>
      </c>
      <c r="C115" s="11" t="str">
        <f>+'STEP-1'!AQ30</f>
        <v/>
      </c>
    </row>
    <row r="116" spans="1:3" ht="18">
      <c r="A116" s="9">
        <v>29</v>
      </c>
      <c r="B116" s="10" t="str">
        <f>+'STEP-1'!AR30</f>
        <v/>
      </c>
      <c r="C116" s="11" t="str">
        <f>+'STEP-1'!AS30</f>
        <v/>
      </c>
    </row>
    <row r="117" spans="1:3" ht="18">
      <c r="A117" s="12">
        <v>29</v>
      </c>
      <c r="B117" s="13" t="str">
        <f>+'STEP-1'!AT30</f>
        <v/>
      </c>
      <c r="C117" s="14" t="str">
        <f>+'STEP-1'!AU30</f>
        <v/>
      </c>
    </row>
    <row r="118" spans="1:3" ht="18">
      <c r="A118" s="6">
        <v>30</v>
      </c>
      <c r="B118" s="7" t="str">
        <f>+'STEP-1'!AN31</f>
        <v/>
      </c>
      <c r="C118" s="8" t="str">
        <f>+'STEP-1'!AO31</f>
        <v/>
      </c>
    </row>
    <row r="119" spans="1:3" ht="18">
      <c r="A119" s="9">
        <v>30</v>
      </c>
      <c r="B119" s="10" t="str">
        <f>+'STEP-1'!AP31</f>
        <v/>
      </c>
      <c r="C119" s="11" t="str">
        <f>+'STEP-1'!AQ31</f>
        <v/>
      </c>
    </row>
    <row r="120" spans="1:3" ht="18">
      <c r="A120" s="9">
        <v>30</v>
      </c>
      <c r="B120" s="10" t="str">
        <f>+'STEP-1'!AR31</f>
        <v/>
      </c>
      <c r="C120" s="11" t="str">
        <f>+'STEP-1'!AS31</f>
        <v/>
      </c>
    </row>
    <row r="121" spans="1:3" ht="18">
      <c r="A121" s="12">
        <v>30</v>
      </c>
      <c r="B121" s="13" t="str">
        <f>+'STEP-1'!AT31</f>
        <v/>
      </c>
      <c r="C121" s="14" t="str">
        <f>+'STEP-1'!AU31</f>
        <v/>
      </c>
    </row>
    <row r="122" spans="1:3" ht="18">
      <c r="A122" s="6">
        <v>31</v>
      </c>
      <c r="B122" s="7" t="str">
        <f>+'STEP-1'!AN32</f>
        <v/>
      </c>
      <c r="C122" s="8" t="str">
        <f>+'STEP-1'!AO32</f>
        <v/>
      </c>
    </row>
    <row r="123" spans="1:3" ht="18">
      <c r="A123" s="9">
        <v>31</v>
      </c>
      <c r="B123" s="10" t="str">
        <f>+'STEP-1'!AP32</f>
        <v/>
      </c>
      <c r="C123" s="11" t="str">
        <f>+'STEP-1'!AQ32</f>
        <v/>
      </c>
    </row>
    <row r="124" spans="1:3" ht="18">
      <c r="A124" s="9">
        <v>31</v>
      </c>
      <c r="B124" s="10" t="str">
        <f>+'STEP-1'!AR32</f>
        <v/>
      </c>
      <c r="C124" s="11" t="str">
        <f>+'STEP-1'!AS32</f>
        <v/>
      </c>
    </row>
    <row r="125" spans="1:3" ht="18">
      <c r="A125" s="12">
        <v>31</v>
      </c>
      <c r="B125" s="13" t="str">
        <f>+'STEP-1'!AT32</f>
        <v/>
      </c>
      <c r="C125" s="14" t="str">
        <f>+'STEP-1'!AU32</f>
        <v/>
      </c>
    </row>
    <row r="126" spans="1:3" ht="18">
      <c r="A126" s="6">
        <v>32</v>
      </c>
      <c r="B126" s="7" t="str">
        <f>+'STEP-1'!AN33</f>
        <v/>
      </c>
      <c r="C126" s="8" t="str">
        <f>+'STEP-1'!AO33</f>
        <v/>
      </c>
    </row>
    <row r="127" spans="1:3" ht="18">
      <c r="A127" s="9">
        <v>32</v>
      </c>
      <c r="B127" s="10" t="str">
        <f>+'STEP-1'!AP33</f>
        <v/>
      </c>
      <c r="C127" s="11" t="str">
        <f>+'STEP-1'!AQ33</f>
        <v/>
      </c>
    </row>
    <row r="128" spans="1:3" ht="18">
      <c r="A128" s="9">
        <v>32</v>
      </c>
      <c r="B128" s="10" t="str">
        <f>+'STEP-1'!AR33</f>
        <v/>
      </c>
      <c r="C128" s="11" t="str">
        <f>+'STEP-1'!AS33</f>
        <v/>
      </c>
    </row>
    <row r="129" spans="1:3" ht="18">
      <c r="A129" s="12">
        <v>32</v>
      </c>
      <c r="B129" s="13" t="str">
        <f>+'STEP-1'!AT33</f>
        <v/>
      </c>
      <c r="C129" s="14" t="str">
        <f>+'STEP-1'!AU33</f>
        <v/>
      </c>
    </row>
    <row r="130" spans="1:3" ht="18">
      <c r="A130" s="6">
        <v>33</v>
      </c>
      <c r="B130" s="7" t="str">
        <f>+'STEP-1'!AN34</f>
        <v/>
      </c>
      <c r="C130" s="8" t="str">
        <f>+'STEP-1'!AO34</f>
        <v/>
      </c>
    </row>
    <row r="131" spans="1:3" ht="18">
      <c r="A131" s="9">
        <v>33</v>
      </c>
      <c r="B131" s="10" t="str">
        <f>+'STEP-1'!AP34</f>
        <v/>
      </c>
      <c r="C131" s="11" t="str">
        <f>+'STEP-1'!AQ34</f>
        <v/>
      </c>
    </row>
    <row r="132" spans="1:3" ht="18">
      <c r="A132" s="9">
        <v>33</v>
      </c>
      <c r="B132" s="10" t="str">
        <f>+'STEP-1'!AR34</f>
        <v/>
      </c>
      <c r="C132" s="11" t="str">
        <f>+'STEP-1'!AS34</f>
        <v/>
      </c>
    </row>
    <row r="133" spans="1:3" ht="18">
      <c r="A133" s="12">
        <v>33</v>
      </c>
      <c r="B133" s="13" t="str">
        <f>+'STEP-1'!AT34</f>
        <v/>
      </c>
      <c r="C133" s="14" t="str">
        <f>+'STEP-1'!AU34</f>
        <v/>
      </c>
    </row>
    <row r="134" spans="1:3" ht="18">
      <c r="A134" s="6">
        <v>34</v>
      </c>
      <c r="B134" s="7" t="str">
        <f>+'STEP-1'!AN35</f>
        <v/>
      </c>
      <c r="C134" s="8" t="str">
        <f>+'STEP-1'!AO35</f>
        <v/>
      </c>
    </row>
    <row r="135" spans="1:3" ht="18">
      <c r="A135" s="9">
        <v>34</v>
      </c>
      <c r="B135" s="10" t="str">
        <f>+'STEP-1'!AP35</f>
        <v/>
      </c>
      <c r="C135" s="11" t="str">
        <f>+'STEP-1'!AQ35</f>
        <v/>
      </c>
    </row>
    <row r="136" spans="1:3" ht="18">
      <c r="A136" s="9">
        <v>34</v>
      </c>
      <c r="B136" s="10" t="str">
        <f>+'STEP-1'!AR35</f>
        <v/>
      </c>
      <c r="C136" s="11" t="str">
        <f>+'STEP-1'!AS35</f>
        <v/>
      </c>
    </row>
    <row r="137" spans="1:3" ht="18">
      <c r="A137" s="12">
        <v>34</v>
      </c>
      <c r="B137" s="13" t="str">
        <f>+'STEP-1'!AT35</f>
        <v/>
      </c>
      <c r="C137" s="14" t="str">
        <f>+'STEP-1'!AU35</f>
        <v/>
      </c>
    </row>
    <row r="138" spans="1:3" ht="18">
      <c r="A138" s="6">
        <v>35</v>
      </c>
      <c r="B138" s="7" t="str">
        <f>+'STEP-1'!AN36</f>
        <v/>
      </c>
      <c r="C138" s="8" t="str">
        <f>+'STEP-1'!AO36</f>
        <v/>
      </c>
    </row>
    <row r="139" spans="1:3" ht="18">
      <c r="A139" s="9">
        <v>35</v>
      </c>
      <c r="B139" s="10" t="str">
        <f>+'STEP-1'!AP36</f>
        <v/>
      </c>
      <c r="C139" s="11" t="str">
        <f>+'STEP-1'!AQ36</f>
        <v/>
      </c>
    </row>
    <row r="140" spans="1:3" ht="18">
      <c r="A140" s="9">
        <v>35</v>
      </c>
      <c r="B140" s="10" t="str">
        <f>+'STEP-1'!AR36</f>
        <v/>
      </c>
      <c r="C140" s="11" t="str">
        <f>+'STEP-1'!AS36</f>
        <v/>
      </c>
    </row>
    <row r="141" spans="1:3" ht="18">
      <c r="A141" s="12">
        <v>35</v>
      </c>
      <c r="B141" s="13" t="str">
        <f>+'STEP-1'!AT36</f>
        <v/>
      </c>
      <c r="C141" s="14" t="str">
        <f>+'STEP-1'!AU36</f>
        <v/>
      </c>
    </row>
    <row r="142" spans="1:3" ht="18">
      <c r="A142" s="6">
        <v>36</v>
      </c>
      <c r="B142" s="7" t="str">
        <f>+'STEP-1'!AN37</f>
        <v/>
      </c>
      <c r="C142" s="8" t="str">
        <f>+'STEP-1'!AO37</f>
        <v/>
      </c>
    </row>
    <row r="143" spans="1:3" ht="18">
      <c r="A143" s="9">
        <v>36</v>
      </c>
      <c r="B143" s="10" t="str">
        <f>+'STEP-1'!AP37</f>
        <v/>
      </c>
      <c r="C143" s="11" t="str">
        <f>+'STEP-1'!AQ37</f>
        <v/>
      </c>
    </row>
    <row r="144" spans="1:3" ht="18">
      <c r="A144" s="9">
        <v>36</v>
      </c>
      <c r="B144" s="10" t="str">
        <f>+'STEP-1'!AR37</f>
        <v/>
      </c>
      <c r="C144" s="11" t="str">
        <f>+'STEP-1'!AS37</f>
        <v/>
      </c>
    </row>
    <row r="145" spans="1:3" ht="18">
      <c r="A145" s="12">
        <v>36</v>
      </c>
      <c r="B145" s="13" t="str">
        <f>+'STEP-1'!AT37</f>
        <v/>
      </c>
      <c r="C145" s="14" t="str">
        <f>+'STEP-1'!AU37</f>
        <v/>
      </c>
    </row>
    <row r="146" spans="1:3" ht="18">
      <c r="A146" s="6">
        <v>37</v>
      </c>
      <c r="B146" s="7" t="str">
        <f>+'STEP-1'!AN38</f>
        <v/>
      </c>
      <c r="C146" s="8" t="str">
        <f>+'STEP-1'!AO38</f>
        <v/>
      </c>
    </row>
    <row r="147" spans="1:3" ht="18">
      <c r="A147" s="9">
        <v>37</v>
      </c>
      <c r="B147" s="10" t="str">
        <f>+'STEP-1'!AP38</f>
        <v/>
      </c>
      <c r="C147" s="11" t="str">
        <f>+'STEP-1'!AQ38</f>
        <v/>
      </c>
    </row>
    <row r="148" spans="1:3" ht="18">
      <c r="A148" s="9">
        <v>37</v>
      </c>
      <c r="B148" s="10" t="str">
        <f>+'STEP-1'!AR38</f>
        <v/>
      </c>
      <c r="C148" s="11" t="str">
        <f>+'STEP-1'!AS38</f>
        <v/>
      </c>
    </row>
    <row r="149" spans="1:3" ht="18">
      <c r="A149" s="12">
        <v>37</v>
      </c>
      <c r="B149" s="13" t="str">
        <f>+'STEP-1'!AT38</f>
        <v/>
      </c>
      <c r="C149" s="14" t="str">
        <f>+'STEP-1'!AU38</f>
        <v/>
      </c>
    </row>
    <row r="150" spans="1:3" ht="18">
      <c r="A150" s="6">
        <v>38</v>
      </c>
      <c r="B150" s="7" t="str">
        <f>+'STEP-1'!AN39</f>
        <v/>
      </c>
      <c r="C150" s="8" t="str">
        <f>+'STEP-1'!AO39</f>
        <v/>
      </c>
    </row>
    <row r="151" spans="1:3" ht="18">
      <c r="A151" s="9">
        <v>38</v>
      </c>
      <c r="B151" s="10" t="str">
        <f>+'STEP-1'!AP39</f>
        <v/>
      </c>
      <c r="C151" s="11" t="str">
        <f>+'STEP-1'!AQ39</f>
        <v/>
      </c>
    </row>
    <row r="152" spans="1:3" ht="18">
      <c r="A152" s="9">
        <v>38</v>
      </c>
      <c r="B152" s="10" t="str">
        <f>+'STEP-1'!AR39</f>
        <v/>
      </c>
      <c r="C152" s="11" t="str">
        <f>+'STEP-1'!AS39</f>
        <v/>
      </c>
    </row>
    <row r="153" spans="1:3" ht="18">
      <c r="A153" s="12">
        <v>38</v>
      </c>
      <c r="B153" s="13" t="str">
        <f>+'STEP-1'!AT39</f>
        <v/>
      </c>
      <c r="C153" s="14" t="str">
        <f>+'STEP-1'!AU39</f>
        <v/>
      </c>
    </row>
    <row r="154" spans="1:3" ht="18">
      <c r="A154" s="6">
        <v>39</v>
      </c>
      <c r="B154" s="7" t="str">
        <f>+'STEP-1'!AN40</f>
        <v/>
      </c>
      <c r="C154" s="8" t="str">
        <f>+'STEP-1'!AO40</f>
        <v/>
      </c>
    </row>
    <row r="155" spans="1:3" ht="18">
      <c r="A155" s="9">
        <v>39</v>
      </c>
      <c r="B155" s="10" t="str">
        <f>+'STEP-1'!AP40</f>
        <v/>
      </c>
      <c r="C155" s="11" t="str">
        <f>+'STEP-1'!AQ40</f>
        <v/>
      </c>
    </row>
    <row r="156" spans="1:3" ht="18">
      <c r="A156" s="9">
        <v>39</v>
      </c>
      <c r="B156" s="10" t="str">
        <f>+'STEP-1'!AR40</f>
        <v/>
      </c>
      <c r="C156" s="11" t="str">
        <f>+'STEP-1'!AS40</f>
        <v/>
      </c>
    </row>
    <row r="157" spans="1:3" ht="18">
      <c r="A157" s="12">
        <v>39</v>
      </c>
      <c r="B157" s="13" t="str">
        <f>+'STEP-1'!AT40</f>
        <v/>
      </c>
      <c r="C157" s="14" t="str">
        <f>+'STEP-1'!AU40</f>
        <v/>
      </c>
    </row>
    <row r="158" spans="1:3" ht="18">
      <c r="A158" s="6">
        <v>40</v>
      </c>
      <c r="B158" s="7" t="str">
        <f>+'STEP-1'!AN41</f>
        <v/>
      </c>
      <c r="C158" s="8" t="str">
        <f>+'STEP-1'!AO41</f>
        <v/>
      </c>
    </row>
    <row r="159" spans="1:3" ht="18">
      <c r="A159" s="9">
        <v>40</v>
      </c>
      <c r="B159" s="10" t="str">
        <f>+'STEP-1'!AP41</f>
        <v/>
      </c>
      <c r="C159" s="11" t="str">
        <f>+'STEP-1'!AQ41</f>
        <v/>
      </c>
    </row>
    <row r="160" spans="1:3" ht="18">
      <c r="A160" s="9">
        <v>40</v>
      </c>
      <c r="B160" s="10" t="str">
        <f>+'STEP-1'!AR41</f>
        <v/>
      </c>
      <c r="C160" s="11" t="str">
        <f>+'STEP-1'!AS41</f>
        <v/>
      </c>
    </row>
    <row r="161" spans="1:3" ht="18">
      <c r="A161" s="12">
        <v>40</v>
      </c>
      <c r="B161" s="13" t="str">
        <f>+'STEP-1'!AT41</f>
        <v/>
      </c>
      <c r="C161" s="14" t="str">
        <f>+'STEP-1'!AU41</f>
        <v/>
      </c>
    </row>
    <row r="162" spans="1:3" ht="18">
      <c r="A162" s="6">
        <v>41</v>
      </c>
      <c r="B162" s="7" t="str">
        <f>+'STEP-1'!AN42</f>
        <v/>
      </c>
      <c r="C162" s="8" t="str">
        <f>+'STEP-1'!AO42</f>
        <v/>
      </c>
    </row>
    <row r="163" spans="1:3" ht="18">
      <c r="A163" s="9">
        <v>41</v>
      </c>
      <c r="B163" s="10" t="str">
        <f>+'STEP-1'!AP42</f>
        <v/>
      </c>
      <c r="C163" s="11" t="str">
        <f>+'STEP-1'!AQ42</f>
        <v/>
      </c>
    </row>
    <row r="164" spans="1:3" ht="18">
      <c r="A164" s="9">
        <v>41</v>
      </c>
      <c r="B164" s="10" t="str">
        <f>+'STEP-1'!AR42</f>
        <v/>
      </c>
      <c r="C164" s="11" t="str">
        <f>+'STEP-1'!AS42</f>
        <v/>
      </c>
    </row>
    <row r="165" spans="1:3" ht="18">
      <c r="A165" s="12">
        <v>41</v>
      </c>
      <c r="B165" s="13" t="str">
        <f>+'STEP-1'!AT42</f>
        <v/>
      </c>
      <c r="C165" s="14" t="str">
        <f>+'STEP-1'!AU42</f>
        <v/>
      </c>
    </row>
    <row r="166" spans="1:3" ht="18">
      <c r="A166" s="6">
        <v>42</v>
      </c>
      <c r="B166" s="7" t="str">
        <f>+'STEP-1'!AN43</f>
        <v/>
      </c>
      <c r="C166" s="8" t="str">
        <f>+'STEP-1'!AO43</f>
        <v/>
      </c>
    </row>
    <row r="167" spans="1:3" ht="18">
      <c r="A167" s="9">
        <v>42</v>
      </c>
      <c r="B167" s="10" t="str">
        <f>+'STEP-1'!AP43</f>
        <v/>
      </c>
      <c r="C167" s="11" t="str">
        <f>+'STEP-1'!AQ43</f>
        <v/>
      </c>
    </row>
    <row r="168" spans="1:3" ht="18">
      <c r="A168" s="9">
        <v>42</v>
      </c>
      <c r="B168" s="10" t="str">
        <f>+'STEP-1'!AR43</f>
        <v/>
      </c>
      <c r="C168" s="11" t="str">
        <f>+'STEP-1'!AS43</f>
        <v/>
      </c>
    </row>
    <row r="169" spans="1:3" ht="18">
      <c r="A169" s="12">
        <v>42</v>
      </c>
      <c r="B169" s="13" t="str">
        <f>+'STEP-1'!AT43</f>
        <v/>
      </c>
      <c r="C169" s="14" t="str">
        <f>+'STEP-1'!AU43</f>
        <v/>
      </c>
    </row>
    <row r="170" spans="1:3" ht="18">
      <c r="A170" s="6">
        <v>43</v>
      </c>
      <c r="B170" s="7" t="str">
        <f>+'STEP-1'!AN44</f>
        <v/>
      </c>
      <c r="C170" s="8" t="str">
        <f>+'STEP-1'!AO44</f>
        <v/>
      </c>
    </row>
    <row r="171" spans="1:3" ht="18">
      <c r="A171" s="9">
        <v>43</v>
      </c>
      <c r="B171" s="10" t="str">
        <f>+'STEP-1'!AP44</f>
        <v/>
      </c>
      <c r="C171" s="11" t="str">
        <f>+'STEP-1'!AQ44</f>
        <v/>
      </c>
    </row>
    <row r="172" spans="1:3" ht="18">
      <c r="A172" s="9">
        <v>43</v>
      </c>
      <c r="B172" s="10" t="str">
        <f>+'STEP-1'!AR44</f>
        <v/>
      </c>
      <c r="C172" s="11" t="str">
        <f>+'STEP-1'!AS44</f>
        <v/>
      </c>
    </row>
    <row r="173" spans="1:3" ht="18">
      <c r="A173" s="12">
        <v>43</v>
      </c>
      <c r="B173" s="13" t="str">
        <f>+'STEP-1'!AT44</f>
        <v/>
      </c>
      <c r="C173" s="14" t="str">
        <f>+'STEP-1'!AU44</f>
        <v/>
      </c>
    </row>
    <row r="174" spans="1:3" ht="18">
      <c r="A174" s="6">
        <v>44</v>
      </c>
      <c r="B174" s="7" t="str">
        <f>+'STEP-1'!AN45</f>
        <v/>
      </c>
      <c r="C174" s="8" t="str">
        <f>+'STEP-1'!AO45</f>
        <v/>
      </c>
    </row>
    <row r="175" spans="1:3" ht="18">
      <c r="A175" s="9">
        <v>44</v>
      </c>
      <c r="B175" s="10" t="str">
        <f>+'STEP-1'!AP45</f>
        <v/>
      </c>
      <c r="C175" s="11" t="str">
        <f>+'STEP-1'!AQ45</f>
        <v/>
      </c>
    </row>
    <row r="176" spans="1:3" ht="18">
      <c r="A176" s="9">
        <v>44</v>
      </c>
      <c r="B176" s="10" t="str">
        <f>+'STEP-1'!AR45</f>
        <v/>
      </c>
      <c r="C176" s="11" t="str">
        <f>+'STEP-1'!AS45</f>
        <v/>
      </c>
    </row>
    <row r="177" spans="1:3" ht="18">
      <c r="A177" s="12">
        <v>44</v>
      </c>
      <c r="B177" s="13" t="str">
        <f>+'STEP-1'!AT45</f>
        <v/>
      </c>
      <c r="C177" s="14" t="str">
        <f>+'STEP-1'!AU45</f>
        <v/>
      </c>
    </row>
    <row r="178" spans="1:3" ht="18">
      <c r="A178" s="6">
        <v>45</v>
      </c>
      <c r="B178" s="7" t="str">
        <f>+'STEP-1'!AN46</f>
        <v/>
      </c>
      <c r="C178" s="8" t="str">
        <f>+'STEP-1'!AO46</f>
        <v/>
      </c>
    </row>
    <row r="179" spans="1:3" ht="18">
      <c r="A179" s="9">
        <v>45</v>
      </c>
      <c r="B179" s="10" t="str">
        <f>+'STEP-1'!AP46</f>
        <v/>
      </c>
      <c r="C179" s="11" t="str">
        <f>+'STEP-1'!AQ46</f>
        <v/>
      </c>
    </row>
    <row r="180" spans="1:3" ht="18">
      <c r="A180" s="9">
        <v>45</v>
      </c>
      <c r="B180" s="10" t="str">
        <f>+'STEP-1'!AR46</f>
        <v/>
      </c>
      <c r="C180" s="11" t="str">
        <f>+'STEP-1'!AS46</f>
        <v/>
      </c>
    </row>
    <row r="181" spans="1:3" ht="18">
      <c r="A181" s="12">
        <v>45</v>
      </c>
      <c r="B181" s="13" t="str">
        <f>+'STEP-1'!AT46</f>
        <v/>
      </c>
      <c r="C181" s="14" t="str">
        <f>+'STEP-1'!AU46</f>
        <v/>
      </c>
    </row>
    <row r="182" spans="1:3" ht="18">
      <c r="A182" s="6">
        <v>46</v>
      </c>
      <c r="B182" s="7" t="str">
        <f>+'STEP-1'!AN47</f>
        <v/>
      </c>
      <c r="C182" s="8" t="str">
        <f>+'STEP-1'!AO47</f>
        <v/>
      </c>
    </row>
    <row r="183" spans="1:3" ht="18">
      <c r="A183" s="9">
        <v>46</v>
      </c>
      <c r="B183" s="10" t="str">
        <f>+'STEP-1'!AP47</f>
        <v/>
      </c>
      <c r="C183" s="11" t="str">
        <f>+'STEP-1'!AQ47</f>
        <v/>
      </c>
    </row>
    <row r="184" spans="1:3" ht="18">
      <c r="A184" s="9">
        <v>46</v>
      </c>
      <c r="B184" s="10" t="str">
        <f>+'STEP-1'!AR47</f>
        <v/>
      </c>
      <c r="C184" s="11" t="str">
        <f>+'STEP-1'!AS47</f>
        <v/>
      </c>
    </row>
    <row r="185" spans="1:3" ht="18">
      <c r="A185" s="12">
        <v>46</v>
      </c>
      <c r="B185" s="13" t="str">
        <f>+'STEP-1'!AT47</f>
        <v/>
      </c>
      <c r="C185" s="14" t="str">
        <f>+'STEP-1'!AU47</f>
        <v/>
      </c>
    </row>
    <row r="186" spans="1:3" ht="18">
      <c r="A186" s="6">
        <v>47</v>
      </c>
      <c r="B186" s="7" t="str">
        <f>+'STEP-1'!AN48</f>
        <v/>
      </c>
      <c r="C186" s="8" t="str">
        <f>+'STEP-1'!AO48</f>
        <v/>
      </c>
    </row>
    <row r="187" spans="1:3" ht="18">
      <c r="A187" s="9">
        <v>47</v>
      </c>
      <c r="B187" s="10" t="str">
        <f>+'STEP-1'!AP48</f>
        <v/>
      </c>
      <c r="C187" s="11" t="str">
        <f>+'STEP-1'!AQ48</f>
        <v/>
      </c>
    </row>
    <row r="188" spans="1:3" ht="18">
      <c r="A188" s="9">
        <v>47</v>
      </c>
      <c r="B188" s="10" t="str">
        <f>+'STEP-1'!AR48</f>
        <v/>
      </c>
      <c r="C188" s="11" t="str">
        <f>+'STEP-1'!AS48</f>
        <v/>
      </c>
    </row>
    <row r="189" spans="1:3" ht="18">
      <c r="A189" s="12">
        <v>47</v>
      </c>
      <c r="B189" s="13" t="str">
        <f>+'STEP-1'!AT48</f>
        <v/>
      </c>
      <c r="C189" s="14" t="str">
        <f>+'STEP-1'!AU48</f>
        <v/>
      </c>
    </row>
    <row r="190" spans="1:3" ht="18">
      <c r="A190" s="6">
        <v>48</v>
      </c>
      <c r="B190" s="7" t="str">
        <f>+'STEP-1'!AN49</f>
        <v/>
      </c>
      <c r="C190" s="8" t="str">
        <f>+'STEP-1'!AO49</f>
        <v/>
      </c>
    </row>
    <row r="191" spans="1:3" ht="18">
      <c r="A191" s="9">
        <v>48</v>
      </c>
      <c r="B191" s="10" t="str">
        <f>+'STEP-1'!AP49</f>
        <v/>
      </c>
      <c r="C191" s="11" t="str">
        <f>+'STEP-1'!AQ49</f>
        <v/>
      </c>
    </row>
    <row r="192" spans="1:3" ht="18">
      <c r="A192" s="9">
        <v>48</v>
      </c>
      <c r="B192" s="10" t="str">
        <f>+'STEP-1'!AR49</f>
        <v/>
      </c>
      <c r="C192" s="11" t="str">
        <f>+'STEP-1'!AS49</f>
        <v/>
      </c>
    </row>
    <row r="193" spans="1:3" ht="18">
      <c r="A193" s="12">
        <v>48</v>
      </c>
      <c r="B193" s="13" t="str">
        <f>+'STEP-1'!AT49</f>
        <v/>
      </c>
      <c r="C193" s="14" t="str">
        <f>+'STEP-1'!AU49</f>
        <v/>
      </c>
    </row>
    <row r="194" spans="1:3" ht="18">
      <c r="A194" s="6">
        <v>49</v>
      </c>
      <c r="B194" s="7" t="str">
        <f>+'STEP-1'!AN50</f>
        <v/>
      </c>
      <c r="C194" s="8" t="str">
        <f>+'STEP-1'!AO50</f>
        <v/>
      </c>
    </row>
    <row r="195" spans="1:3" ht="18">
      <c r="A195" s="9">
        <v>49</v>
      </c>
      <c r="B195" s="10" t="str">
        <f>+'STEP-1'!AP50</f>
        <v/>
      </c>
      <c r="C195" s="11" t="str">
        <f>+'STEP-1'!AQ50</f>
        <v/>
      </c>
    </row>
    <row r="196" spans="1:3" ht="18">
      <c r="A196" s="9">
        <v>49</v>
      </c>
      <c r="B196" s="10" t="str">
        <f>+'STEP-1'!AR50</f>
        <v/>
      </c>
      <c r="C196" s="11" t="str">
        <f>+'STEP-1'!AS50</f>
        <v/>
      </c>
    </row>
    <row r="197" spans="1:3" ht="18">
      <c r="A197" s="12">
        <v>49</v>
      </c>
      <c r="B197" s="13" t="str">
        <f>+'STEP-1'!AT50</f>
        <v/>
      </c>
      <c r="C197" s="14" t="str">
        <f>+'STEP-1'!AU50</f>
        <v/>
      </c>
    </row>
    <row r="198" spans="1:3" ht="18">
      <c r="A198" s="6">
        <v>50</v>
      </c>
      <c r="B198" s="7" t="str">
        <f>+'STEP-1'!AN51</f>
        <v/>
      </c>
      <c r="C198" s="8" t="str">
        <f>+'STEP-1'!AO51</f>
        <v/>
      </c>
    </row>
    <row r="199" spans="1:3" ht="18">
      <c r="A199" s="9">
        <v>50</v>
      </c>
      <c r="B199" s="10" t="str">
        <f>+'STEP-1'!AP51</f>
        <v/>
      </c>
      <c r="C199" s="11" t="str">
        <f>+'STEP-1'!AQ51</f>
        <v/>
      </c>
    </row>
    <row r="200" spans="1:3" ht="18">
      <c r="A200" s="9">
        <v>50</v>
      </c>
      <c r="B200" s="10" t="str">
        <f>+'STEP-1'!AR51</f>
        <v/>
      </c>
      <c r="C200" s="11" t="str">
        <f>+'STEP-1'!AS51</f>
        <v/>
      </c>
    </row>
    <row r="201" spans="1:3" ht="18">
      <c r="A201" s="12">
        <v>50</v>
      </c>
      <c r="B201" s="13" t="str">
        <f>+'STEP-1'!AT51</f>
        <v/>
      </c>
      <c r="C201" s="14" t="str">
        <f>+'STEP-1'!AU51</f>
        <v/>
      </c>
    </row>
    <row r="202" spans="1:3" ht="24" customHeight="1">
      <c r="A202" s="16"/>
      <c r="B202" s="17"/>
      <c r="C202" s="18">
        <f>SUM(C2:C201)</f>
        <v>199.7</v>
      </c>
    </row>
  </sheetData>
  <autoFilter ref="B1:C202"/>
  <sortState ref="A2:C201">
    <sortCondition ref="A2"/>
  </sortState>
  <pageMargins left="0.7" right="0.7" top="1.0900000000000001" bottom="0.75" header="0.3" footer="0.3"/>
  <pageSetup paperSize="9" fitToWidth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2:H1825"/>
  <sheetViews>
    <sheetView tabSelected="1" topLeftCell="A1815" zoomScale="70" zoomScaleNormal="70" workbookViewId="0">
      <selection activeCell="C1826" sqref="C1826"/>
    </sheetView>
  </sheetViews>
  <sheetFormatPr defaultColWidth="9.140625" defaultRowHeight="35.25"/>
  <cols>
    <col min="1" max="1" width="9.140625" style="1"/>
    <col min="2" max="2" width="9.140625" style="358"/>
    <col min="3" max="3" width="144.28515625" style="358" customWidth="1"/>
    <col min="4" max="4" width="13" style="403" bestFit="1" customWidth="1"/>
    <col min="5" max="5" width="9.140625" style="403"/>
    <col min="6" max="16384" width="9.140625" style="1"/>
  </cols>
  <sheetData>
    <row r="2" spans="3:4">
      <c r="C2" s="397" t="s">
        <v>3577</v>
      </c>
      <c r="D2" s="402" t="s">
        <v>1398</v>
      </c>
    </row>
    <row r="3" spans="3:4">
      <c r="C3" s="395" t="s">
        <v>3534</v>
      </c>
      <c r="D3" s="396">
        <v>100</v>
      </c>
    </row>
    <row r="4" spans="3:4">
      <c r="C4" s="395" t="s">
        <v>3382</v>
      </c>
      <c r="D4" s="396">
        <v>100</v>
      </c>
    </row>
    <row r="6" spans="3:4">
      <c r="C6" s="405" t="s">
        <v>3579</v>
      </c>
      <c r="D6" s="402" t="s">
        <v>1398</v>
      </c>
    </row>
    <row r="7" spans="3:4">
      <c r="C7" s="395" t="s">
        <v>3523</v>
      </c>
      <c r="D7" s="396">
        <v>4</v>
      </c>
    </row>
    <row r="8" spans="3:4">
      <c r="C8" s="395" t="s">
        <v>3392</v>
      </c>
      <c r="D8" s="396">
        <v>2</v>
      </c>
    </row>
    <row r="9" spans="3:4">
      <c r="C9" s="395" t="s">
        <v>3391</v>
      </c>
      <c r="D9" s="396">
        <v>2</v>
      </c>
    </row>
    <row r="10" spans="3:4">
      <c r="C10" s="516" t="s">
        <v>3582</v>
      </c>
      <c r="D10" s="517"/>
    </row>
    <row r="11" spans="3:4">
      <c r="C11" s="397" t="s">
        <v>3545</v>
      </c>
      <c r="D11" s="402" t="s">
        <v>1398</v>
      </c>
    </row>
    <row r="12" spans="3:4">
      <c r="C12" s="395" t="s">
        <v>3543</v>
      </c>
      <c r="D12" s="396">
        <v>2</v>
      </c>
    </row>
    <row r="13" spans="3:4">
      <c r="C13" s="395" t="s">
        <v>3379</v>
      </c>
      <c r="D13" s="396">
        <v>2</v>
      </c>
    </row>
    <row r="14" spans="3:4">
      <c r="C14" s="395" t="s">
        <v>3533</v>
      </c>
      <c r="D14" s="396">
        <v>8</v>
      </c>
    </row>
    <row r="15" spans="3:4">
      <c r="C15" s="395" t="s">
        <v>3527</v>
      </c>
      <c r="D15" s="396">
        <v>2</v>
      </c>
    </row>
    <row r="16" spans="3:4">
      <c r="C16" s="395" t="s">
        <v>3378</v>
      </c>
      <c r="D16" s="396">
        <v>6</v>
      </c>
    </row>
    <row r="17" spans="3:4">
      <c r="C17" s="395" t="s">
        <v>3389</v>
      </c>
      <c r="D17" s="396">
        <v>2</v>
      </c>
    </row>
    <row r="18" spans="3:4">
      <c r="C18" s="395" t="s">
        <v>3580</v>
      </c>
      <c r="D18" s="396">
        <v>2</v>
      </c>
    </row>
    <row r="19" spans="3:4">
      <c r="C19" s="395"/>
      <c r="D19" s="396"/>
    </row>
    <row r="20" spans="3:4">
      <c r="C20" s="395" t="s">
        <v>3529</v>
      </c>
      <c r="D20" s="396">
        <v>14</v>
      </c>
    </row>
    <row r="21" spans="3:4">
      <c r="C21" s="395" t="s">
        <v>3534</v>
      </c>
      <c r="D21" s="396">
        <v>30</v>
      </c>
    </row>
    <row r="22" spans="3:4">
      <c r="C22" s="395" t="s">
        <v>3383</v>
      </c>
      <c r="D22" s="396">
        <v>92</v>
      </c>
    </row>
    <row r="23" spans="3:4">
      <c r="C23" s="395" t="s">
        <v>3535</v>
      </c>
      <c r="D23" s="396">
        <v>122</v>
      </c>
    </row>
    <row r="24" spans="3:4">
      <c r="C24" s="395" t="s">
        <v>3382</v>
      </c>
      <c r="D24" s="396">
        <v>60</v>
      </c>
    </row>
    <row r="25" spans="3:4">
      <c r="C25" s="395" t="s">
        <v>3384</v>
      </c>
      <c r="D25" s="396">
        <v>12</v>
      </c>
    </row>
    <row r="26" spans="3:4">
      <c r="C26" s="395" t="s">
        <v>3386</v>
      </c>
      <c r="D26" s="396">
        <v>2</v>
      </c>
    </row>
    <row r="27" spans="3:4">
      <c r="C27" s="395" t="s">
        <v>3558</v>
      </c>
      <c r="D27" s="396">
        <v>6</v>
      </c>
    </row>
    <row r="28" spans="3:4">
      <c r="C28" s="395" t="s">
        <v>3581</v>
      </c>
      <c r="D28" s="396">
        <v>6</v>
      </c>
    </row>
    <row r="29" spans="3:4">
      <c r="C29" s="395"/>
      <c r="D29" s="396"/>
    </row>
    <row r="30" spans="3:4">
      <c r="C30" s="395" t="s">
        <v>3524</v>
      </c>
      <c r="D30" s="396">
        <v>2</v>
      </c>
    </row>
    <row r="31" spans="3:4">
      <c r="C31" s="395" t="s">
        <v>3394</v>
      </c>
      <c r="D31" s="396">
        <v>2</v>
      </c>
    </row>
    <row r="32" spans="3:4">
      <c r="C32" s="397" t="s">
        <v>3553</v>
      </c>
      <c r="D32" s="402" t="s">
        <v>1398</v>
      </c>
    </row>
    <row r="33" spans="3:4">
      <c r="C33" s="395" t="s">
        <v>3530</v>
      </c>
      <c r="D33" s="396">
        <v>2</v>
      </c>
    </row>
    <row r="34" spans="3:4">
      <c r="C34" s="395" t="s">
        <v>3548</v>
      </c>
      <c r="D34" s="396">
        <v>2</v>
      </c>
    </row>
    <row r="35" spans="3:4">
      <c r="C35" s="395"/>
      <c r="D35" s="396"/>
    </row>
    <row r="36" spans="3:4">
      <c r="C36" s="395" t="s">
        <v>3523</v>
      </c>
      <c r="D36" s="396">
        <v>4</v>
      </c>
    </row>
    <row r="37" spans="3:4">
      <c r="C37" s="395" t="s">
        <v>3392</v>
      </c>
      <c r="D37" s="396">
        <v>4</v>
      </c>
    </row>
    <row r="38" spans="3:4">
      <c r="C38" s="395" t="s">
        <v>3583</v>
      </c>
      <c r="D38" s="396">
        <v>2</v>
      </c>
    </row>
    <row r="39" spans="3:4">
      <c r="C39" s="395" t="s">
        <v>3584</v>
      </c>
      <c r="D39" s="396">
        <v>2</v>
      </c>
    </row>
    <row r="40" spans="3:4">
      <c r="C40" s="397" t="s">
        <v>3585</v>
      </c>
      <c r="D40" s="402" t="s">
        <v>1398</v>
      </c>
    </row>
    <row r="41" spans="3:4">
      <c r="C41" s="395" t="s">
        <v>3533</v>
      </c>
      <c r="D41" s="396">
        <v>8</v>
      </c>
    </row>
    <row r="42" spans="3:4">
      <c r="C42" s="395" t="s">
        <v>3378</v>
      </c>
      <c r="D42" s="396">
        <v>6</v>
      </c>
    </row>
    <row r="43" spans="3:4">
      <c r="C43" s="395" t="s">
        <v>3381</v>
      </c>
      <c r="D43" s="396">
        <v>2</v>
      </c>
    </row>
    <row r="44" spans="3:4">
      <c r="C44" s="395"/>
      <c r="D44" s="396"/>
    </row>
    <row r="45" spans="3:4">
      <c r="C45" s="395" t="s">
        <v>3383</v>
      </c>
      <c r="D45" s="396">
        <v>8</v>
      </c>
    </row>
    <row r="46" spans="3:4">
      <c r="C46" s="395" t="s">
        <v>3535</v>
      </c>
      <c r="D46" s="396">
        <v>10</v>
      </c>
    </row>
    <row r="47" spans="3:4">
      <c r="C47" s="395" t="s">
        <v>3385</v>
      </c>
      <c r="D47" s="396">
        <v>2</v>
      </c>
    </row>
    <row r="48" spans="3:4">
      <c r="C48" s="395" t="s">
        <v>3549</v>
      </c>
      <c r="D48" s="396">
        <v>2</v>
      </c>
    </row>
    <row r="49" spans="3:4">
      <c r="C49" s="395" t="s">
        <v>3564</v>
      </c>
      <c r="D49" s="396">
        <v>2</v>
      </c>
    </row>
    <row r="50" spans="3:4">
      <c r="C50" s="395"/>
      <c r="D50" s="396"/>
    </row>
    <row r="51" spans="3:4">
      <c r="C51" s="395" t="s">
        <v>3523</v>
      </c>
      <c r="D51" s="396">
        <v>4</v>
      </c>
    </row>
    <row r="52" spans="3:4">
      <c r="C52" s="395" t="s">
        <v>3391</v>
      </c>
      <c r="D52" s="396">
        <v>2</v>
      </c>
    </row>
    <row r="53" spans="3:4">
      <c r="C53" s="395" t="s">
        <v>3438</v>
      </c>
      <c r="D53" s="396">
        <v>2</v>
      </c>
    </row>
    <row r="54" spans="3:4">
      <c r="C54" s="397" t="s">
        <v>3588</v>
      </c>
      <c r="D54" s="402" t="s">
        <v>1398</v>
      </c>
    </row>
    <row r="55" spans="3:4">
      <c r="C55" s="395" t="s">
        <v>3533</v>
      </c>
      <c r="D55" s="396">
        <v>2</v>
      </c>
    </row>
    <row r="56" spans="3:4">
      <c r="C56" s="395" t="s">
        <v>3527</v>
      </c>
      <c r="D56" s="396">
        <v>2</v>
      </c>
    </row>
    <row r="57" spans="3:4">
      <c r="C57" s="395" t="s">
        <v>3378</v>
      </c>
      <c r="D57" s="396">
        <v>4</v>
      </c>
    </row>
    <row r="58" spans="3:4">
      <c r="C58" s="395" t="s">
        <v>3586</v>
      </c>
      <c r="D58" s="396">
        <v>2</v>
      </c>
    </row>
    <row r="59" spans="3:4">
      <c r="C59" s="395" t="s">
        <v>3587</v>
      </c>
      <c r="D59" s="396">
        <v>2</v>
      </c>
    </row>
    <row r="60" spans="3:4">
      <c r="C60" s="395"/>
      <c r="D60" s="396"/>
    </row>
    <row r="61" spans="3:4">
      <c r="C61" s="395" t="s">
        <v>3534</v>
      </c>
      <c r="D61" s="396">
        <v>4</v>
      </c>
    </row>
    <row r="62" spans="3:4">
      <c r="C62" s="395" t="s">
        <v>3383</v>
      </c>
      <c r="D62" s="396">
        <v>4</v>
      </c>
    </row>
    <row r="63" spans="3:4">
      <c r="C63" s="397" t="s">
        <v>3590</v>
      </c>
      <c r="D63" s="402" t="s">
        <v>1398</v>
      </c>
    </row>
    <row r="64" spans="3:4">
      <c r="C64" s="395" t="s">
        <v>3560</v>
      </c>
      <c r="D64" s="396">
        <v>2</v>
      </c>
    </row>
    <row r="65" spans="3:4">
      <c r="C65" s="395" t="s">
        <v>3589</v>
      </c>
      <c r="D65" s="396">
        <v>2</v>
      </c>
    </row>
    <row r="66" spans="3:4">
      <c r="C66" s="395"/>
      <c r="D66" s="396"/>
    </row>
    <row r="67" spans="3:4">
      <c r="C67" s="395" t="s">
        <v>3391</v>
      </c>
      <c r="D67" s="396">
        <v>2</v>
      </c>
    </row>
    <row r="68" spans="3:4">
      <c r="C68" s="395" t="s">
        <v>3551</v>
      </c>
      <c r="D68" s="396">
        <v>2</v>
      </c>
    </row>
    <row r="69" spans="3:4">
      <c r="C69" s="506" t="s">
        <v>3593</v>
      </c>
      <c r="D69" s="507"/>
    </row>
    <row r="70" spans="3:4">
      <c r="C70" s="397" t="s">
        <v>3592</v>
      </c>
      <c r="D70" s="402" t="s">
        <v>1398</v>
      </c>
    </row>
    <row r="71" spans="3:4">
      <c r="C71" s="395" t="s">
        <v>3379</v>
      </c>
      <c r="D71" s="396">
        <v>4</v>
      </c>
    </row>
    <row r="72" spans="3:4">
      <c r="C72" s="395" t="s">
        <v>3533</v>
      </c>
      <c r="D72" s="396">
        <v>8</v>
      </c>
    </row>
    <row r="73" spans="3:4">
      <c r="C73" s="395" t="s">
        <v>3378</v>
      </c>
      <c r="D73" s="396">
        <v>4</v>
      </c>
    </row>
    <row r="74" spans="3:4">
      <c r="C74" s="395"/>
      <c r="D74" s="396"/>
    </row>
    <row r="75" spans="3:4">
      <c r="C75" s="395" t="s">
        <v>3529</v>
      </c>
      <c r="D75" s="396">
        <v>44</v>
      </c>
    </row>
    <row r="76" spans="3:4">
      <c r="C76" s="395" t="s">
        <v>3390</v>
      </c>
      <c r="D76" s="396">
        <v>8</v>
      </c>
    </row>
    <row r="77" spans="3:4">
      <c r="C77" s="395" t="s">
        <v>3534</v>
      </c>
      <c r="D77" s="396">
        <v>90</v>
      </c>
    </row>
    <row r="78" spans="3:4">
      <c r="C78" s="395" t="s">
        <v>3383</v>
      </c>
      <c r="D78" s="396">
        <v>4</v>
      </c>
    </row>
    <row r="79" spans="3:4">
      <c r="C79" s="395" t="s">
        <v>3535</v>
      </c>
      <c r="D79" s="396">
        <v>28</v>
      </c>
    </row>
    <row r="80" spans="3:4">
      <c r="C80" s="395" t="s">
        <v>3382</v>
      </c>
      <c r="D80" s="396">
        <v>86</v>
      </c>
    </row>
    <row r="81" spans="3:4">
      <c r="C81" s="395" t="s">
        <v>3384</v>
      </c>
      <c r="D81" s="396">
        <v>66</v>
      </c>
    </row>
    <row r="82" spans="3:4">
      <c r="C82" s="395" t="s">
        <v>3559</v>
      </c>
      <c r="D82" s="396">
        <v>2</v>
      </c>
    </row>
    <row r="84" spans="3:4">
      <c r="C84" s="506" t="s">
        <v>3593</v>
      </c>
      <c r="D84" s="507"/>
    </row>
    <row r="85" spans="3:4">
      <c r="C85" s="397" t="s">
        <v>3594</v>
      </c>
      <c r="D85" s="402" t="s">
        <v>1398</v>
      </c>
    </row>
    <row r="86" spans="3:4">
      <c r="C86" s="395" t="s">
        <v>3536</v>
      </c>
      <c r="D86" s="396">
        <v>2</v>
      </c>
    </row>
    <row r="87" spans="3:4">
      <c r="C87" s="395" t="s">
        <v>3467</v>
      </c>
      <c r="D87" s="396">
        <v>2</v>
      </c>
    </row>
    <row r="88" spans="3:4">
      <c r="C88" s="395"/>
      <c r="D88" s="396"/>
    </row>
    <row r="89" spans="3:4">
      <c r="C89" s="397" t="s">
        <v>3601</v>
      </c>
      <c r="D89" s="402" t="s">
        <v>1398</v>
      </c>
    </row>
    <row r="90" spans="3:4">
      <c r="C90" s="395" t="s">
        <v>3550</v>
      </c>
      <c r="D90" s="396">
        <v>2</v>
      </c>
    </row>
    <row r="91" spans="3:4">
      <c r="C91" s="395" t="s">
        <v>3391</v>
      </c>
      <c r="D91" s="396">
        <v>2</v>
      </c>
    </row>
    <row r="92" spans="3:4">
      <c r="C92" s="395"/>
      <c r="D92" s="396"/>
    </row>
    <row r="93" spans="3:4">
      <c r="C93" s="397" t="s">
        <v>3605</v>
      </c>
      <c r="D93" s="402" t="s">
        <v>1398</v>
      </c>
    </row>
    <row r="94" spans="3:4">
      <c r="C94" s="395" t="s">
        <v>3529</v>
      </c>
      <c r="D94" s="396">
        <v>2</v>
      </c>
    </row>
    <row r="95" spans="3:4">
      <c r="C95" s="395" t="s">
        <v>3384</v>
      </c>
      <c r="D95" s="396">
        <v>2</v>
      </c>
    </row>
    <row r="96" spans="3:4">
      <c r="C96" s="395"/>
      <c r="D96" s="396"/>
    </row>
    <row r="97" spans="1:5">
      <c r="C97" s="506" t="s">
        <v>3593</v>
      </c>
      <c r="D97" s="507"/>
    </row>
    <row r="98" spans="1:5" ht="31.5">
      <c r="A98" s="407"/>
      <c r="B98" s="408"/>
      <c r="C98" s="399" t="s">
        <v>3595</v>
      </c>
      <c r="D98" s="399" t="s">
        <v>1398</v>
      </c>
      <c r="E98" s="408"/>
    </row>
    <row r="99" spans="1:5">
      <c r="C99" s="395" t="s">
        <v>3535</v>
      </c>
      <c r="D99" s="396">
        <v>2</v>
      </c>
    </row>
    <row r="100" spans="1:5">
      <c r="C100" s="395" t="s">
        <v>3382</v>
      </c>
      <c r="D100" s="396">
        <v>2</v>
      </c>
    </row>
    <row r="101" spans="1:5">
      <c r="C101" s="395" t="s">
        <v>3574</v>
      </c>
      <c r="D101" s="396">
        <v>2</v>
      </c>
    </row>
    <row r="102" spans="1:5">
      <c r="C102" s="395" t="s">
        <v>3537</v>
      </c>
      <c r="D102" s="396">
        <v>2</v>
      </c>
    </row>
    <row r="103" spans="1:5">
      <c r="C103" s="395"/>
      <c r="D103" s="396"/>
    </row>
    <row r="104" spans="1:5">
      <c r="C104" s="395" t="s">
        <v>3531</v>
      </c>
      <c r="D104" s="396">
        <v>2</v>
      </c>
    </row>
    <row r="105" spans="1:5">
      <c r="C105" s="395" t="s">
        <v>3391</v>
      </c>
      <c r="D105" s="396">
        <v>2</v>
      </c>
    </row>
    <row r="106" spans="1:5">
      <c r="C106" s="397" t="s">
        <v>3596</v>
      </c>
      <c r="D106" s="402" t="s">
        <v>1398</v>
      </c>
    </row>
    <row r="107" spans="1:5">
      <c r="C107" s="395" t="s">
        <v>3534</v>
      </c>
      <c r="D107" s="396">
        <v>2</v>
      </c>
    </row>
    <row r="108" spans="1:5">
      <c r="C108" s="395" t="s">
        <v>3382</v>
      </c>
      <c r="D108" s="396">
        <v>2</v>
      </c>
    </row>
    <row r="109" spans="1:5">
      <c r="C109" s="397" t="s">
        <v>3566</v>
      </c>
      <c r="D109" s="402" t="s">
        <v>1398</v>
      </c>
    </row>
    <row r="110" spans="1:5">
      <c r="C110" s="395" t="s">
        <v>3529</v>
      </c>
      <c r="D110" s="396">
        <v>2</v>
      </c>
    </row>
    <row r="111" spans="1:5">
      <c r="C111" s="395" t="s">
        <v>3534</v>
      </c>
      <c r="D111" s="396">
        <v>4</v>
      </c>
    </row>
    <row r="112" spans="1:5">
      <c r="C112" s="395" t="s">
        <v>3385</v>
      </c>
      <c r="D112" s="396">
        <v>2</v>
      </c>
    </row>
    <row r="113" spans="3:4">
      <c r="C113" s="395" t="s">
        <v>3387</v>
      </c>
      <c r="D113" s="396">
        <v>4</v>
      </c>
    </row>
    <row r="114" spans="3:4">
      <c r="C114" s="395"/>
      <c r="D114" s="396"/>
    </row>
    <row r="115" spans="3:4">
      <c r="C115" s="395" t="s">
        <v>3523</v>
      </c>
      <c r="D115" s="396">
        <v>4</v>
      </c>
    </row>
    <row r="116" spans="3:4">
      <c r="C116" s="395" t="s">
        <v>3531</v>
      </c>
      <c r="D116" s="396">
        <v>6</v>
      </c>
    </row>
    <row r="117" spans="3:4">
      <c r="C117" s="395" t="s">
        <v>3391</v>
      </c>
      <c r="D117" s="396">
        <v>10</v>
      </c>
    </row>
    <row r="118" spans="3:4">
      <c r="C118" s="395" t="s">
        <v>3540</v>
      </c>
      <c r="D118" s="396">
        <v>2</v>
      </c>
    </row>
    <row r="119" spans="3:4">
      <c r="C119" s="395" t="s">
        <v>3597</v>
      </c>
      <c r="D119" s="396">
        <v>2</v>
      </c>
    </row>
    <row r="120" spans="3:4">
      <c r="C120" s="395"/>
      <c r="D120" s="396"/>
    </row>
    <row r="121" spans="3:4">
      <c r="C121" s="395" t="s">
        <v>3598</v>
      </c>
      <c r="D121" s="396">
        <v>2</v>
      </c>
    </row>
    <row r="122" spans="3:4">
      <c r="C122" s="395" t="s">
        <v>3599</v>
      </c>
      <c r="D122" s="396">
        <v>2</v>
      </c>
    </row>
    <row r="123" spans="3:4">
      <c r="C123" s="395" t="s">
        <v>3600</v>
      </c>
      <c r="D123" s="396">
        <v>2</v>
      </c>
    </row>
    <row r="124" spans="3:4">
      <c r="C124" s="397" t="s">
        <v>3565</v>
      </c>
      <c r="D124" s="402" t="s">
        <v>1398</v>
      </c>
    </row>
    <row r="125" spans="3:4">
      <c r="C125" s="395" t="s">
        <v>3574</v>
      </c>
      <c r="D125" s="396">
        <v>2</v>
      </c>
    </row>
    <row r="126" spans="3:4">
      <c r="C126" s="395" t="s">
        <v>3602</v>
      </c>
      <c r="D126" s="396">
        <v>2</v>
      </c>
    </row>
    <row r="127" spans="3:4">
      <c r="C127" s="395" t="s">
        <v>3603</v>
      </c>
      <c r="D127" s="396">
        <v>2</v>
      </c>
    </row>
    <row r="128" spans="3:4">
      <c r="C128" s="395" t="s">
        <v>3452</v>
      </c>
      <c r="D128" s="396">
        <v>2</v>
      </c>
    </row>
    <row r="129" spans="3:4">
      <c r="C129" s="395"/>
      <c r="D129" s="396"/>
    </row>
    <row r="130" spans="3:4">
      <c r="C130" s="395" t="s">
        <v>3523</v>
      </c>
      <c r="D130" s="396">
        <v>6</v>
      </c>
    </row>
    <row r="131" spans="3:4">
      <c r="C131" s="395" t="s">
        <v>3392</v>
      </c>
      <c r="D131" s="396">
        <v>10</v>
      </c>
    </row>
    <row r="132" spans="3:4">
      <c r="C132" s="395" t="s">
        <v>3531</v>
      </c>
      <c r="D132" s="396">
        <v>2</v>
      </c>
    </row>
    <row r="133" spans="3:4">
      <c r="C133" s="395" t="s">
        <v>3556</v>
      </c>
      <c r="D133" s="396">
        <v>2</v>
      </c>
    </row>
    <row r="134" spans="3:4">
      <c r="C134" s="395" t="s">
        <v>3388</v>
      </c>
      <c r="D134" s="396">
        <v>2</v>
      </c>
    </row>
    <row r="135" spans="3:4">
      <c r="C135" s="395" t="s">
        <v>3604</v>
      </c>
      <c r="D135" s="396">
        <v>2</v>
      </c>
    </row>
    <row r="136" spans="3:4">
      <c r="C136" s="397" t="s">
        <v>3606</v>
      </c>
      <c r="D136" s="402" t="s">
        <v>1398</v>
      </c>
    </row>
    <row r="137" spans="3:4">
      <c r="C137" s="395" t="s">
        <v>3523</v>
      </c>
      <c r="D137" s="396">
        <v>2</v>
      </c>
    </row>
    <row r="138" spans="3:4">
      <c r="C138" s="395" t="s">
        <v>3391</v>
      </c>
      <c r="D138" s="396">
        <v>2</v>
      </c>
    </row>
    <row r="139" spans="3:4">
      <c r="C139" s="498" t="s">
        <v>3593</v>
      </c>
      <c r="D139" s="500"/>
    </row>
    <row r="140" spans="3:4">
      <c r="C140" s="397" t="s">
        <v>3609</v>
      </c>
      <c r="D140" s="402" t="s">
        <v>1398</v>
      </c>
    </row>
    <row r="141" spans="3:4">
      <c r="C141" s="395" t="s">
        <v>3383</v>
      </c>
      <c r="D141" s="396">
        <v>4</v>
      </c>
    </row>
    <row r="142" spans="3:4">
      <c r="C142" s="395" t="s">
        <v>3535</v>
      </c>
      <c r="D142" s="396">
        <v>4</v>
      </c>
    </row>
    <row r="143" spans="3:4">
      <c r="C143" s="395"/>
      <c r="D143" s="396"/>
    </row>
    <row r="144" spans="3:4">
      <c r="C144" s="395" t="s">
        <v>3523</v>
      </c>
      <c r="D144" s="396">
        <v>2</v>
      </c>
    </row>
    <row r="145" spans="3:4">
      <c r="C145" s="395" t="s">
        <v>3392</v>
      </c>
      <c r="D145" s="396">
        <v>2</v>
      </c>
    </row>
    <row r="146" spans="3:4">
      <c r="C146" s="397" t="s">
        <v>3610</v>
      </c>
      <c r="D146" s="402" t="s">
        <v>1398</v>
      </c>
    </row>
    <row r="147" spans="3:4">
      <c r="C147" s="395" t="s">
        <v>3543</v>
      </c>
      <c r="D147" s="396">
        <v>4</v>
      </c>
    </row>
    <row r="148" spans="3:4">
      <c r="C148" s="395" t="s">
        <v>3379</v>
      </c>
      <c r="D148" s="396">
        <v>6</v>
      </c>
    </row>
    <row r="149" spans="3:4">
      <c r="C149" s="395" t="s">
        <v>3533</v>
      </c>
      <c r="D149" s="396">
        <v>10</v>
      </c>
    </row>
    <row r="150" spans="3:4">
      <c r="C150" s="395" t="s">
        <v>3527</v>
      </c>
      <c r="D150" s="396">
        <v>10</v>
      </c>
    </row>
    <row r="151" spans="3:4">
      <c r="C151" s="395" t="s">
        <v>3378</v>
      </c>
      <c r="D151" s="396">
        <v>12</v>
      </c>
    </row>
    <row r="152" spans="3:4">
      <c r="C152" s="395" t="s">
        <v>3389</v>
      </c>
      <c r="D152" s="396">
        <v>2</v>
      </c>
    </row>
    <row r="153" spans="3:4">
      <c r="C153" s="395" t="s">
        <v>3380</v>
      </c>
      <c r="D153" s="396">
        <v>2</v>
      </c>
    </row>
    <row r="154" spans="3:4">
      <c r="C154" s="395" t="s">
        <v>3460</v>
      </c>
      <c r="D154" s="396">
        <v>2</v>
      </c>
    </row>
    <row r="155" spans="3:4">
      <c r="C155" s="395"/>
      <c r="D155" s="396"/>
    </row>
    <row r="156" spans="3:4">
      <c r="C156" s="395" t="s">
        <v>3529</v>
      </c>
      <c r="D156" s="396">
        <v>8</v>
      </c>
    </row>
    <row r="157" spans="3:4">
      <c r="C157" s="395" t="s">
        <v>3534</v>
      </c>
      <c r="D157" s="396">
        <v>12</v>
      </c>
    </row>
    <row r="158" spans="3:4">
      <c r="C158" s="395" t="s">
        <v>3383</v>
      </c>
      <c r="D158" s="396">
        <v>4</v>
      </c>
    </row>
    <row r="159" spans="3:4">
      <c r="C159" s="395" t="s">
        <v>3535</v>
      </c>
      <c r="D159" s="396">
        <v>20</v>
      </c>
    </row>
    <row r="160" spans="3:4">
      <c r="C160" s="395" t="s">
        <v>3382</v>
      </c>
      <c r="D160" s="396">
        <v>26</v>
      </c>
    </row>
    <row r="161" spans="3:4">
      <c r="C161" s="395" t="s">
        <v>3386</v>
      </c>
      <c r="D161" s="396">
        <v>8</v>
      </c>
    </row>
    <row r="162" spans="3:4">
      <c r="C162" s="395" t="s">
        <v>3449</v>
      </c>
      <c r="D162" s="396">
        <v>2</v>
      </c>
    </row>
    <row r="163" spans="3:4">
      <c r="C163" s="397" t="s">
        <v>3613</v>
      </c>
      <c r="D163" s="402" t="s">
        <v>1398</v>
      </c>
    </row>
    <row r="164" spans="3:4">
      <c r="C164" s="395" t="s">
        <v>3529</v>
      </c>
      <c r="D164" s="396">
        <v>4</v>
      </c>
    </row>
    <row r="165" spans="3:4">
      <c r="C165" s="395" t="s">
        <v>3534</v>
      </c>
      <c r="D165" s="396">
        <v>2</v>
      </c>
    </row>
    <row r="166" spans="3:4">
      <c r="C166" s="395" t="s">
        <v>3383</v>
      </c>
      <c r="D166" s="396">
        <v>2</v>
      </c>
    </row>
    <row r="167" spans="3:4">
      <c r="C167" s="395" t="s">
        <v>3535</v>
      </c>
      <c r="D167" s="396">
        <v>2</v>
      </c>
    </row>
    <row r="168" spans="3:4">
      <c r="C168" s="395" t="s">
        <v>3382</v>
      </c>
      <c r="D168" s="396">
        <v>6</v>
      </c>
    </row>
    <row r="169" spans="3:4">
      <c r="C169" s="395" t="s">
        <v>3611</v>
      </c>
      <c r="D169" s="396">
        <v>2</v>
      </c>
    </row>
    <row r="170" spans="3:4">
      <c r="C170" s="395" t="s">
        <v>3612</v>
      </c>
      <c r="D170" s="396">
        <v>2</v>
      </c>
    </row>
    <row r="171" spans="3:4">
      <c r="C171" s="395"/>
      <c r="D171" s="396"/>
    </row>
    <row r="172" spans="3:4">
      <c r="C172" s="395" t="s">
        <v>3531</v>
      </c>
      <c r="D172" s="396">
        <v>4</v>
      </c>
    </row>
    <row r="173" spans="3:4">
      <c r="C173" s="395" t="s">
        <v>3391</v>
      </c>
      <c r="D173" s="396">
        <v>4</v>
      </c>
    </row>
    <row r="174" spans="3:4">
      <c r="C174" s="397" t="s">
        <v>3615</v>
      </c>
      <c r="D174" s="402" t="s">
        <v>1398</v>
      </c>
    </row>
    <row r="175" spans="3:4">
      <c r="C175" s="395" t="s">
        <v>3528</v>
      </c>
      <c r="D175" s="396">
        <v>4</v>
      </c>
    </row>
    <row r="176" spans="3:4">
      <c r="C176" s="395" t="s">
        <v>3552</v>
      </c>
      <c r="D176" s="396">
        <v>6</v>
      </c>
    </row>
    <row r="177" spans="3:4">
      <c r="C177" s="395" t="s">
        <v>3614</v>
      </c>
      <c r="D177" s="396">
        <v>2</v>
      </c>
    </row>
    <row r="178" spans="3:4">
      <c r="C178" s="516" t="s">
        <v>3617</v>
      </c>
      <c r="D178" s="517"/>
    </row>
    <row r="179" spans="3:4">
      <c r="C179" s="397" t="s">
        <v>3592</v>
      </c>
      <c r="D179" s="402" t="s">
        <v>1398</v>
      </c>
    </row>
    <row r="180" spans="3:4">
      <c r="C180" s="395" t="s">
        <v>3529</v>
      </c>
      <c r="D180" s="396">
        <v>6</v>
      </c>
    </row>
    <row r="181" spans="3:4">
      <c r="C181" s="395" t="s">
        <v>3534</v>
      </c>
      <c r="D181" s="396">
        <v>12</v>
      </c>
    </row>
    <row r="182" spans="3:4">
      <c r="C182" s="395" t="s">
        <v>3383</v>
      </c>
      <c r="D182" s="396">
        <v>8</v>
      </c>
    </row>
    <row r="183" spans="3:4">
      <c r="C183" s="395" t="s">
        <v>3535</v>
      </c>
      <c r="D183" s="396">
        <v>10</v>
      </c>
    </row>
    <row r="184" spans="3:4">
      <c r="C184" s="395" t="s">
        <v>3382</v>
      </c>
      <c r="D184" s="396">
        <v>2</v>
      </c>
    </row>
    <row r="185" spans="3:4">
      <c r="C185" s="395" t="s">
        <v>3384</v>
      </c>
      <c r="D185" s="396">
        <v>6</v>
      </c>
    </row>
    <row r="186" spans="3:4">
      <c r="C186" s="395" t="s">
        <v>3386</v>
      </c>
      <c r="D186" s="396">
        <v>12</v>
      </c>
    </row>
    <row r="187" spans="3:4">
      <c r="C187" s="397" t="s">
        <v>3618</v>
      </c>
      <c r="D187" s="402" t="s">
        <v>1398</v>
      </c>
    </row>
    <row r="188" spans="3:4">
      <c r="C188" s="395" t="s">
        <v>3534</v>
      </c>
      <c r="D188" s="396">
        <v>6</v>
      </c>
    </row>
    <row r="189" spans="3:4">
      <c r="C189" s="395" t="s">
        <v>3535</v>
      </c>
      <c r="D189" s="396">
        <v>2</v>
      </c>
    </row>
    <row r="190" spans="3:4">
      <c r="C190" s="395" t="s">
        <v>3382</v>
      </c>
      <c r="D190" s="396">
        <v>8</v>
      </c>
    </row>
    <row r="191" spans="3:4">
      <c r="C191" s="395"/>
      <c r="D191" s="396"/>
    </row>
    <row r="192" spans="3:4">
      <c r="C192" s="395" t="s">
        <v>3523</v>
      </c>
      <c r="D192" s="396">
        <v>2</v>
      </c>
    </row>
    <row r="193" spans="3:4">
      <c r="C193" s="395" t="s">
        <v>3392</v>
      </c>
      <c r="D193" s="396">
        <v>4</v>
      </c>
    </row>
    <row r="194" spans="3:4">
      <c r="C194" s="395" t="s">
        <v>3531</v>
      </c>
      <c r="D194" s="396">
        <v>2</v>
      </c>
    </row>
    <row r="195" spans="3:4">
      <c r="C195" s="397" t="s">
        <v>3542</v>
      </c>
      <c r="D195" s="402" t="s">
        <v>1398</v>
      </c>
    </row>
    <row r="196" spans="3:4">
      <c r="C196" s="395" t="s">
        <v>3534</v>
      </c>
      <c r="D196" s="396">
        <v>2</v>
      </c>
    </row>
    <row r="197" spans="3:4">
      <c r="C197" s="395" t="s">
        <v>3383</v>
      </c>
      <c r="D197" s="396">
        <v>2</v>
      </c>
    </row>
    <row r="198" spans="3:4">
      <c r="C198" s="395" t="s">
        <v>3549</v>
      </c>
      <c r="D198" s="396">
        <v>2</v>
      </c>
    </row>
    <row r="199" spans="3:4">
      <c r="C199" s="395" t="s">
        <v>3555</v>
      </c>
      <c r="D199" s="396">
        <v>2</v>
      </c>
    </row>
    <row r="200" spans="3:4">
      <c r="C200" s="395"/>
      <c r="D200" s="396"/>
    </row>
    <row r="201" spans="3:4">
      <c r="C201" s="395" t="s">
        <v>3523</v>
      </c>
      <c r="D201" s="396">
        <v>2</v>
      </c>
    </row>
    <row r="202" spans="3:4">
      <c r="C202" s="395" t="s">
        <v>3392</v>
      </c>
      <c r="D202" s="396">
        <v>2</v>
      </c>
    </row>
    <row r="203" spans="3:4">
      <c r="C203" s="395" t="s">
        <v>3531</v>
      </c>
      <c r="D203" s="396">
        <v>2</v>
      </c>
    </row>
    <row r="204" spans="3:4">
      <c r="C204" s="395" t="s">
        <v>3391</v>
      </c>
      <c r="D204" s="396">
        <v>2</v>
      </c>
    </row>
    <row r="205" spans="3:4">
      <c r="C205" s="395" t="s">
        <v>3550</v>
      </c>
      <c r="D205" s="396">
        <v>2</v>
      </c>
    </row>
    <row r="206" spans="3:4">
      <c r="C206" s="395" t="s">
        <v>3619</v>
      </c>
      <c r="D206" s="396">
        <v>2</v>
      </c>
    </row>
    <row r="207" spans="3:4">
      <c r="C207" s="395"/>
      <c r="D207" s="396"/>
    </row>
    <row r="208" spans="3:4">
      <c r="C208" s="395" t="s">
        <v>3576</v>
      </c>
      <c r="D208" s="396">
        <v>2</v>
      </c>
    </row>
    <row r="209" spans="3:4">
      <c r="C209" s="395" t="s">
        <v>3620</v>
      </c>
      <c r="D209" s="396">
        <v>2</v>
      </c>
    </row>
    <row r="210" spans="3:4">
      <c r="C210" s="516" t="s">
        <v>3617</v>
      </c>
      <c r="D210" s="517"/>
    </row>
    <row r="211" spans="3:4">
      <c r="C211" s="397" t="s">
        <v>3545</v>
      </c>
      <c r="D211" s="402" t="s">
        <v>1398</v>
      </c>
    </row>
    <row r="212" spans="3:4">
      <c r="C212" s="395" t="s">
        <v>3533</v>
      </c>
      <c r="D212" s="396">
        <v>4</v>
      </c>
    </row>
    <row r="213" spans="3:4">
      <c r="C213" s="395" t="s">
        <v>3527</v>
      </c>
      <c r="D213" s="396">
        <v>12</v>
      </c>
    </row>
    <row r="214" spans="3:4">
      <c r="C214" s="395" t="s">
        <v>3378</v>
      </c>
      <c r="D214" s="396">
        <v>8</v>
      </c>
    </row>
    <row r="215" spans="3:4">
      <c r="C215" s="395" t="s">
        <v>3380</v>
      </c>
      <c r="D215" s="396">
        <v>8</v>
      </c>
    </row>
    <row r="216" spans="3:4">
      <c r="C216" s="395"/>
      <c r="D216" s="396"/>
    </row>
    <row r="217" spans="3:4">
      <c r="C217" s="395" t="s">
        <v>3534</v>
      </c>
      <c r="D217" s="396">
        <v>14</v>
      </c>
    </row>
    <row r="218" spans="3:4">
      <c r="C218" s="395" t="s">
        <v>3382</v>
      </c>
      <c r="D218" s="396">
        <v>10</v>
      </c>
    </row>
    <row r="219" spans="3:4">
      <c r="C219" s="395" t="s">
        <v>3384</v>
      </c>
      <c r="D219" s="396">
        <v>6</v>
      </c>
    </row>
    <row r="220" spans="3:4">
      <c r="C220" s="395" t="s">
        <v>3574</v>
      </c>
      <c r="D220" s="396">
        <v>4</v>
      </c>
    </row>
    <row r="221" spans="3:4">
      <c r="C221" s="395" t="s">
        <v>3555</v>
      </c>
      <c r="D221" s="396">
        <v>2</v>
      </c>
    </row>
    <row r="222" spans="3:4">
      <c r="C222" s="395"/>
      <c r="D222" s="396"/>
    </row>
    <row r="223" spans="3:4">
      <c r="C223" s="395" t="s">
        <v>3524</v>
      </c>
      <c r="D223" s="396">
        <v>2</v>
      </c>
    </row>
    <row r="224" spans="3:4">
      <c r="C224" s="395" t="s">
        <v>3478</v>
      </c>
      <c r="D224" s="396">
        <v>2</v>
      </c>
    </row>
    <row r="225" spans="3:4">
      <c r="C225" s="397" t="s">
        <v>3609</v>
      </c>
      <c r="D225" s="402" t="s">
        <v>1398</v>
      </c>
    </row>
    <row r="226" spans="3:4">
      <c r="C226" s="395" t="s">
        <v>3383</v>
      </c>
      <c r="D226" s="396">
        <v>2</v>
      </c>
    </row>
    <row r="227" spans="3:4">
      <c r="C227" s="395" t="s">
        <v>3535</v>
      </c>
      <c r="D227" s="396">
        <v>2</v>
      </c>
    </row>
    <row r="228" spans="3:4">
      <c r="C228" s="397" t="s">
        <v>3622</v>
      </c>
      <c r="D228" s="402" t="s">
        <v>1398</v>
      </c>
    </row>
    <row r="229" spans="3:4">
      <c r="C229" s="395" t="s">
        <v>3528</v>
      </c>
      <c r="D229" s="396">
        <v>2</v>
      </c>
    </row>
    <row r="230" spans="3:4">
      <c r="C230" s="395" t="s">
        <v>3552</v>
      </c>
      <c r="D230" s="396">
        <v>2</v>
      </c>
    </row>
    <row r="231" spans="3:4">
      <c r="C231" s="397" t="s">
        <v>3623</v>
      </c>
      <c r="D231" s="402" t="s">
        <v>1398</v>
      </c>
    </row>
    <row r="232" spans="3:4">
      <c r="C232" s="395" t="s">
        <v>3534</v>
      </c>
      <c r="D232" s="396">
        <v>2</v>
      </c>
    </row>
    <row r="233" spans="3:4">
      <c r="C233" s="395" t="s">
        <v>3383</v>
      </c>
      <c r="D233" s="396">
        <v>2</v>
      </c>
    </row>
    <row r="234" spans="3:4">
      <c r="C234" s="395" t="s">
        <v>3535</v>
      </c>
      <c r="D234" s="396">
        <v>2</v>
      </c>
    </row>
    <row r="235" spans="3:4">
      <c r="C235" s="395" t="s">
        <v>3382</v>
      </c>
      <c r="D235" s="396">
        <v>2</v>
      </c>
    </row>
    <row r="236" spans="3:4">
      <c r="C236" s="498" t="s">
        <v>3626</v>
      </c>
      <c r="D236" s="500"/>
    </row>
    <row r="237" spans="3:4" ht="36">
      <c r="C237" s="410" t="s">
        <v>3633</v>
      </c>
      <c r="D237" s="402" t="s">
        <v>1398</v>
      </c>
    </row>
    <row r="238" spans="3:4">
      <c r="C238" s="395" t="s">
        <v>3379</v>
      </c>
      <c r="D238" s="396">
        <v>4</v>
      </c>
    </row>
    <row r="239" spans="3:4">
      <c r="C239" s="395" t="s">
        <v>3533</v>
      </c>
      <c r="D239" s="396">
        <v>4</v>
      </c>
    </row>
    <row r="240" spans="3:4">
      <c r="C240" s="395"/>
      <c r="D240" s="396"/>
    </row>
    <row r="241" spans="3:4">
      <c r="C241" s="395" t="s">
        <v>3534</v>
      </c>
      <c r="D241" s="396">
        <v>6</v>
      </c>
    </row>
    <row r="242" spans="3:4">
      <c r="C242" s="395" t="s">
        <v>3383</v>
      </c>
      <c r="D242" s="396">
        <v>2</v>
      </c>
    </row>
    <row r="243" spans="3:4">
      <c r="C243" s="395" t="s">
        <v>3535</v>
      </c>
      <c r="D243" s="396">
        <v>2</v>
      </c>
    </row>
    <row r="244" spans="3:4">
      <c r="C244" s="395" t="s">
        <v>3382</v>
      </c>
      <c r="D244" s="396">
        <v>2</v>
      </c>
    </row>
    <row r="245" spans="3:4">
      <c r="C245" s="395" t="s">
        <v>3386</v>
      </c>
      <c r="D245" s="396">
        <v>4</v>
      </c>
    </row>
    <row r="246" spans="3:4">
      <c r="C246" s="397" t="s">
        <v>3627</v>
      </c>
      <c r="D246" s="402" t="s">
        <v>1398</v>
      </c>
    </row>
    <row r="247" spans="3:4">
      <c r="C247" s="395" t="s">
        <v>3529</v>
      </c>
      <c r="D247" s="396">
        <v>2</v>
      </c>
    </row>
    <row r="248" spans="3:4">
      <c r="C248" s="395" t="s">
        <v>3534</v>
      </c>
      <c r="D248" s="396">
        <v>6</v>
      </c>
    </row>
    <row r="249" spans="3:4">
      <c r="C249" s="395" t="s">
        <v>3383</v>
      </c>
      <c r="D249" s="396">
        <v>2</v>
      </c>
    </row>
    <row r="250" spans="3:4">
      <c r="C250" s="395" t="s">
        <v>3382</v>
      </c>
      <c r="D250" s="396">
        <v>2</v>
      </c>
    </row>
    <row r="251" spans="3:4">
      <c r="C251" s="395" t="s">
        <v>3384</v>
      </c>
      <c r="D251" s="396">
        <v>4</v>
      </c>
    </row>
    <row r="252" spans="3:4">
      <c r="C252" s="395" t="s">
        <v>3574</v>
      </c>
      <c r="D252" s="396">
        <v>2</v>
      </c>
    </row>
    <row r="253" spans="3:4">
      <c r="C253" s="395" t="s">
        <v>3530</v>
      </c>
      <c r="D253" s="396">
        <v>2</v>
      </c>
    </row>
    <row r="254" spans="3:4">
      <c r="C254" s="395"/>
      <c r="D254" s="396"/>
    </row>
    <row r="255" spans="3:4">
      <c r="C255" s="395" t="s">
        <v>3392</v>
      </c>
      <c r="D255" s="396">
        <v>2</v>
      </c>
    </row>
    <row r="256" spans="3:4">
      <c r="C256" s="395" t="s">
        <v>3540</v>
      </c>
      <c r="D256" s="396">
        <v>2</v>
      </c>
    </row>
    <row r="257" spans="3:4">
      <c r="C257" s="395" t="s">
        <v>3576</v>
      </c>
      <c r="D257" s="396">
        <v>2</v>
      </c>
    </row>
    <row r="258" spans="3:4">
      <c r="C258" s="520" t="s">
        <v>3630</v>
      </c>
      <c r="D258" s="521"/>
    </row>
    <row r="259" spans="3:4">
      <c r="C259" s="409" t="s">
        <v>3625</v>
      </c>
      <c r="D259" s="402" t="s">
        <v>1398</v>
      </c>
    </row>
    <row r="260" spans="3:4">
      <c r="C260" s="395" t="s">
        <v>3534</v>
      </c>
      <c r="D260" s="396">
        <v>6</v>
      </c>
    </row>
    <row r="261" spans="3:4">
      <c r="C261" s="395" t="s">
        <v>3383</v>
      </c>
      <c r="D261" s="396">
        <v>4</v>
      </c>
    </row>
    <row r="262" spans="3:4">
      <c r="C262" s="395" t="s">
        <v>3535</v>
      </c>
      <c r="D262" s="396">
        <v>4</v>
      </c>
    </row>
    <row r="263" spans="3:4">
      <c r="C263" s="395" t="s">
        <v>3382</v>
      </c>
      <c r="D263" s="396">
        <v>6</v>
      </c>
    </row>
    <row r="264" spans="3:4">
      <c r="C264" s="395" t="s">
        <v>3544</v>
      </c>
      <c r="D264" s="396">
        <v>2</v>
      </c>
    </row>
    <row r="265" spans="3:4">
      <c r="C265" s="395" t="s">
        <v>3629</v>
      </c>
      <c r="D265" s="396">
        <v>2</v>
      </c>
    </row>
    <row r="266" spans="3:4">
      <c r="C266" s="397" t="s">
        <v>3632</v>
      </c>
      <c r="D266" s="402" t="s">
        <v>1398</v>
      </c>
    </row>
    <row r="267" spans="3:4">
      <c r="C267" s="395" t="s">
        <v>3533</v>
      </c>
      <c r="D267" s="396">
        <v>2</v>
      </c>
    </row>
    <row r="268" spans="3:4">
      <c r="C268" s="395" t="s">
        <v>3378</v>
      </c>
      <c r="D268" s="396">
        <v>2</v>
      </c>
    </row>
    <row r="269" spans="3:4">
      <c r="C269" s="395"/>
      <c r="D269" s="396"/>
    </row>
    <row r="270" spans="3:4">
      <c r="C270" s="395" t="s">
        <v>3534</v>
      </c>
      <c r="D270" s="396">
        <v>2</v>
      </c>
    </row>
    <row r="271" spans="3:4">
      <c r="C271" s="395" t="s">
        <v>3382</v>
      </c>
      <c r="D271" s="396">
        <v>2</v>
      </c>
    </row>
    <row r="272" spans="3:4">
      <c r="C272" s="397" t="s">
        <v>3634</v>
      </c>
      <c r="D272" s="402" t="s">
        <v>1398</v>
      </c>
    </row>
    <row r="273" spans="3:4">
      <c r="C273" s="395" t="s">
        <v>3534</v>
      </c>
      <c r="D273" s="396">
        <v>4</v>
      </c>
    </row>
    <row r="274" spans="3:4">
      <c r="C274" s="395" t="s">
        <v>3383</v>
      </c>
      <c r="D274" s="396">
        <v>4</v>
      </c>
    </row>
    <row r="275" spans="3:4">
      <c r="C275" s="395" t="s">
        <v>3535</v>
      </c>
      <c r="D275" s="396">
        <v>4</v>
      </c>
    </row>
    <row r="276" spans="3:4">
      <c r="C276" s="395" t="s">
        <v>3382</v>
      </c>
      <c r="D276" s="396">
        <v>6</v>
      </c>
    </row>
    <row r="277" spans="3:4">
      <c r="C277" s="395" t="s">
        <v>3541</v>
      </c>
      <c r="D277" s="396">
        <v>2</v>
      </c>
    </row>
    <row r="278" spans="3:4">
      <c r="C278" s="395" t="s">
        <v>3559</v>
      </c>
      <c r="D278" s="396">
        <v>2</v>
      </c>
    </row>
    <row r="279" spans="3:4">
      <c r="C279" s="395" t="s">
        <v>3631</v>
      </c>
      <c r="D279" s="396">
        <v>2</v>
      </c>
    </row>
    <row r="281" spans="3:4">
      <c r="C281" s="397" t="s">
        <v>3640</v>
      </c>
      <c r="D281" s="402" t="s">
        <v>1398</v>
      </c>
    </row>
    <row r="282" spans="3:4">
      <c r="C282" s="395" t="s">
        <v>1953</v>
      </c>
      <c r="D282" s="396">
        <v>2</v>
      </c>
    </row>
    <row r="283" spans="3:4">
      <c r="C283" s="395" t="s">
        <v>3637</v>
      </c>
      <c r="D283" s="396">
        <v>2</v>
      </c>
    </row>
    <row r="284" spans="3:4">
      <c r="C284" s="395"/>
      <c r="D284" s="396"/>
    </row>
    <row r="285" spans="3:4">
      <c r="C285" s="395" t="s">
        <v>3383</v>
      </c>
      <c r="D285" s="396">
        <v>2</v>
      </c>
    </row>
    <row r="286" spans="3:4">
      <c r="C286" s="395" t="s">
        <v>3549</v>
      </c>
      <c r="D286" s="396">
        <v>2</v>
      </c>
    </row>
    <row r="287" spans="3:4">
      <c r="C287" s="395"/>
      <c r="D287" s="396"/>
    </row>
    <row r="288" spans="3:4">
      <c r="C288" s="395" t="s">
        <v>3529</v>
      </c>
      <c r="D288" s="396">
        <v>10</v>
      </c>
    </row>
    <row r="289" spans="3:4">
      <c r="C289" s="395" t="s">
        <v>3390</v>
      </c>
      <c r="D289" s="396">
        <v>2</v>
      </c>
    </row>
    <row r="290" spans="3:4">
      <c r="C290" s="395" t="s">
        <v>3383</v>
      </c>
      <c r="D290" s="396">
        <v>2</v>
      </c>
    </row>
    <row r="291" spans="3:4">
      <c r="C291" s="395" t="s">
        <v>3535</v>
      </c>
      <c r="D291" s="396">
        <v>2</v>
      </c>
    </row>
    <row r="292" spans="3:4">
      <c r="C292" s="395" t="s">
        <v>3384</v>
      </c>
      <c r="D292" s="396">
        <v>2</v>
      </c>
    </row>
    <row r="293" spans="3:4">
      <c r="C293" s="395" t="s">
        <v>3386</v>
      </c>
      <c r="D293" s="396">
        <v>6</v>
      </c>
    </row>
    <row r="294" spans="3:4">
      <c r="C294" s="395"/>
      <c r="D294" s="396"/>
    </row>
    <row r="295" spans="3:4">
      <c r="C295" s="395" t="s">
        <v>3392</v>
      </c>
      <c r="D295" s="396">
        <v>2</v>
      </c>
    </row>
    <row r="296" spans="3:4">
      <c r="C296" s="395" t="s">
        <v>3550</v>
      </c>
      <c r="D296" s="396">
        <v>2</v>
      </c>
    </row>
    <row r="297" spans="3:4">
      <c r="C297" s="395"/>
      <c r="D297" s="396"/>
    </row>
    <row r="298" spans="3:4">
      <c r="C298" s="395" t="s">
        <v>3638</v>
      </c>
      <c r="D298" s="396">
        <v>1</v>
      </c>
    </row>
    <row r="299" spans="3:4">
      <c r="C299" s="395" t="s">
        <v>3639</v>
      </c>
      <c r="D299" s="396">
        <v>1</v>
      </c>
    </row>
    <row r="300" spans="3:4">
      <c r="C300" s="518" t="s">
        <v>3645</v>
      </c>
      <c r="D300" s="519"/>
    </row>
    <row r="301" spans="3:4">
      <c r="C301" s="397" t="s">
        <v>3644</v>
      </c>
      <c r="D301" s="402" t="s">
        <v>1398</v>
      </c>
    </row>
    <row r="302" spans="3:4">
      <c r="C302" s="395" t="s">
        <v>3379</v>
      </c>
      <c r="D302" s="396">
        <v>12</v>
      </c>
    </row>
    <row r="303" spans="3:4">
      <c r="C303" s="395" t="s">
        <v>3527</v>
      </c>
      <c r="D303" s="396">
        <v>24</v>
      </c>
    </row>
    <row r="304" spans="3:4">
      <c r="C304" s="395" t="s">
        <v>3378</v>
      </c>
      <c r="D304" s="396">
        <v>8</v>
      </c>
    </row>
    <row r="305" spans="3:4">
      <c r="C305" s="395" t="s">
        <v>3389</v>
      </c>
      <c r="D305" s="396">
        <v>4</v>
      </c>
    </row>
    <row r="306" spans="3:4">
      <c r="C306" s="395"/>
      <c r="D306" s="396"/>
    </row>
    <row r="307" spans="3:4">
      <c r="C307" s="395" t="s">
        <v>3529</v>
      </c>
      <c r="D307" s="396">
        <v>24</v>
      </c>
    </row>
    <row r="308" spans="3:4">
      <c r="C308" s="395" t="s">
        <v>3534</v>
      </c>
      <c r="D308" s="396">
        <v>24</v>
      </c>
    </row>
    <row r="309" spans="3:4">
      <c r="C309" s="395" t="s">
        <v>3383</v>
      </c>
      <c r="D309" s="396">
        <v>6</v>
      </c>
    </row>
    <row r="310" spans="3:4">
      <c r="C310" s="395" t="s">
        <v>3535</v>
      </c>
      <c r="D310" s="396">
        <v>2</v>
      </c>
    </row>
    <row r="311" spans="3:4">
      <c r="C311" s="395" t="s">
        <v>3642</v>
      </c>
      <c r="D311" s="396">
        <v>2</v>
      </c>
    </row>
    <row r="312" spans="3:4">
      <c r="C312" s="395" t="s">
        <v>3382</v>
      </c>
      <c r="D312" s="396">
        <v>16</v>
      </c>
    </row>
    <row r="313" spans="3:4">
      <c r="C313" s="395" t="s">
        <v>3384</v>
      </c>
      <c r="D313" s="396">
        <v>22</v>
      </c>
    </row>
    <row r="314" spans="3:4">
      <c r="C314" s="395" t="s">
        <v>3386</v>
      </c>
      <c r="D314" s="396">
        <v>4</v>
      </c>
    </row>
    <row r="315" spans="3:4">
      <c r="C315" s="395" t="s">
        <v>3385</v>
      </c>
      <c r="D315" s="396">
        <v>2</v>
      </c>
    </row>
    <row r="316" spans="3:4">
      <c r="C316" s="395" t="s">
        <v>3537</v>
      </c>
      <c r="D316" s="396">
        <v>2</v>
      </c>
    </row>
    <row r="317" spans="3:4">
      <c r="C317" s="395"/>
      <c r="D317" s="396"/>
    </row>
    <row r="318" spans="3:4">
      <c r="C318" s="395" t="s">
        <v>3536</v>
      </c>
      <c r="D318" s="396">
        <v>2</v>
      </c>
    </row>
    <row r="319" spans="3:4">
      <c r="C319" s="395" t="s">
        <v>3643</v>
      </c>
      <c r="D319" s="396">
        <v>2</v>
      </c>
    </row>
    <row r="321" spans="3:4">
      <c r="C321" s="397" t="s">
        <v>3655</v>
      </c>
      <c r="D321" s="402" t="s">
        <v>1398</v>
      </c>
    </row>
    <row r="322" spans="3:4">
      <c r="C322" s="395" t="s">
        <v>3647</v>
      </c>
      <c r="D322" s="396">
        <v>2</v>
      </c>
    </row>
    <row r="323" spans="3:4">
      <c r="C323" s="395" t="s">
        <v>3648</v>
      </c>
      <c r="D323" s="396">
        <v>2</v>
      </c>
    </row>
    <row r="324" spans="3:4">
      <c r="C324" s="395"/>
      <c r="D324" s="396"/>
    </row>
    <row r="325" spans="3:4">
      <c r="C325" s="395" t="s">
        <v>3543</v>
      </c>
      <c r="D325" s="396">
        <v>6</v>
      </c>
    </row>
    <row r="326" spans="3:4">
      <c r="C326" s="395" t="s">
        <v>3379</v>
      </c>
      <c r="D326" s="396">
        <v>6</v>
      </c>
    </row>
    <row r="327" spans="3:4">
      <c r="C327" s="395" t="s">
        <v>3533</v>
      </c>
      <c r="D327" s="396">
        <v>6</v>
      </c>
    </row>
    <row r="328" spans="3:4">
      <c r="C328" s="395" t="s">
        <v>3378</v>
      </c>
      <c r="D328" s="396">
        <v>6</v>
      </c>
    </row>
    <row r="329" spans="3:4">
      <c r="C329" s="395" t="s">
        <v>3586</v>
      </c>
      <c r="D329" s="396">
        <v>2</v>
      </c>
    </row>
    <row r="330" spans="3:4">
      <c r="C330" s="395" t="s">
        <v>3587</v>
      </c>
      <c r="D330" s="396">
        <v>2</v>
      </c>
    </row>
    <row r="331" spans="3:4">
      <c r="C331" s="395"/>
      <c r="D331" s="396"/>
    </row>
    <row r="332" spans="3:4">
      <c r="C332" s="395" t="s">
        <v>3649</v>
      </c>
      <c r="D332" s="396">
        <v>4</v>
      </c>
    </row>
    <row r="333" spans="3:4">
      <c r="C333" s="395" t="s">
        <v>3560</v>
      </c>
      <c r="D333" s="396">
        <v>4</v>
      </c>
    </row>
    <row r="334" spans="3:4">
      <c r="C334" s="395"/>
      <c r="D334" s="396"/>
    </row>
    <row r="335" spans="3:4">
      <c r="C335" s="395" t="s">
        <v>3529</v>
      </c>
      <c r="D335" s="396">
        <v>8</v>
      </c>
    </row>
    <row r="336" spans="3:4">
      <c r="C336" s="395" t="s">
        <v>3383</v>
      </c>
      <c r="D336" s="396">
        <v>4</v>
      </c>
    </row>
    <row r="337" spans="3:4">
      <c r="C337" s="395" t="s">
        <v>3535</v>
      </c>
      <c r="D337" s="396">
        <v>2</v>
      </c>
    </row>
    <row r="338" spans="3:4">
      <c r="C338" s="395" t="s">
        <v>3382</v>
      </c>
      <c r="D338" s="396">
        <v>4</v>
      </c>
    </row>
    <row r="339" spans="3:4">
      <c r="C339" s="395" t="s">
        <v>3384</v>
      </c>
      <c r="D339" s="396">
        <v>6</v>
      </c>
    </row>
    <row r="340" spans="3:4">
      <c r="C340" s="395" t="s">
        <v>3650</v>
      </c>
      <c r="D340" s="396">
        <v>2</v>
      </c>
    </row>
    <row r="341" spans="3:4">
      <c r="C341" s="395" t="s">
        <v>3549</v>
      </c>
      <c r="D341" s="396">
        <v>2</v>
      </c>
    </row>
    <row r="342" spans="3:4">
      <c r="C342" s="395" t="s">
        <v>3651</v>
      </c>
      <c r="D342" s="396">
        <v>2</v>
      </c>
    </row>
    <row r="343" spans="3:4">
      <c r="C343" s="395" t="s">
        <v>3652</v>
      </c>
      <c r="D343" s="396">
        <v>2</v>
      </c>
    </row>
    <row r="344" spans="3:4">
      <c r="C344" s="395"/>
      <c r="D344" s="396"/>
    </row>
    <row r="345" spans="3:4">
      <c r="C345" s="395" t="s">
        <v>3653</v>
      </c>
      <c r="D345" s="396">
        <v>6</v>
      </c>
    </row>
    <row r="346" spans="3:4">
      <c r="C346" s="395" t="s">
        <v>3654</v>
      </c>
      <c r="D346" s="396">
        <v>6</v>
      </c>
    </row>
    <row r="348" spans="3:4">
      <c r="C348" s="411" t="s">
        <v>3657</v>
      </c>
      <c r="D348" s="402" t="s">
        <v>1398</v>
      </c>
    </row>
    <row r="349" spans="3:4" ht="46.5">
      <c r="C349" s="412" t="s">
        <v>3659</v>
      </c>
      <c r="D349" s="402"/>
    </row>
    <row r="350" spans="3:4">
      <c r="C350" s="395" t="s">
        <v>3379</v>
      </c>
      <c r="D350" s="396">
        <v>4</v>
      </c>
    </row>
    <row r="351" spans="3:4">
      <c r="C351" s="395" t="s">
        <v>3533</v>
      </c>
      <c r="D351" s="396">
        <v>4</v>
      </c>
    </row>
    <row r="352" spans="3:4">
      <c r="C352" s="395" t="s">
        <v>3527</v>
      </c>
      <c r="D352" s="396">
        <v>6</v>
      </c>
    </row>
    <row r="353" spans="3:4">
      <c r="C353" s="395" t="s">
        <v>3378</v>
      </c>
      <c r="D353" s="396">
        <v>2</v>
      </c>
    </row>
    <row r="354" spans="3:4">
      <c r="C354" s="395" t="s">
        <v>3389</v>
      </c>
      <c r="D354" s="396">
        <v>4</v>
      </c>
    </row>
    <row r="355" spans="3:4">
      <c r="C355" s="395"/>
      <c r="D355" s="396"/>
    </row>
    <row r="356" spans="3:4">
      <c r="C356" s="395" t="s">
        <v>3529</v>
      </c>
      <c r="D356" s="396">
        <v>20</v>
      </c>
    </row>
    <row r="357" spans="3:4">
      <c r="C357" s="395" t="s">
        <v>3390</v>
      </c>
      <c r="D357" s="396">
        <v>2</v>
      </c>
    </row>
    <row r="358" spans="3:4">
      <c r="C358" s="395" t="s">
        <v>3534</v>
      </c>
      <c r="D358" s="396">
        <v>60</v>
      </c>
    </row>
    <row r="359" spans="3:4">
      <c r="C359" s="395" t="s">
        <v>3383</v>
      </c>
      <c r="D359" s="396">
        <v>46</v>
      </c>
    </row>
    <row r="360" spans="3:4">
      <c r="C360" s="395" t="s">
        <v>3535</v>
      </c>
      <c r="D360" s="396">
        <v>20</v>
      </c>
    </row>
    <row r="361" spans="3:4">
      <c r="C361" s="395" t="s">
        <v>3382</v>
      </c>
      <c r="D361" s="396">
        <v>30</v>
      </c>
    </row>
    <row r="362" spans="3:4">
      <c r="C362" s="395" t="s">
        <v>3384</v>
      </c>
      <c r="D362" s="396">
        <v>24</v>
      </c>
    </row>
    <row r="363" spans="3:4">
      <c r="C363" s="395" t="s">
        <v>3650</v>
      </c>
      <c r="D363" s="396">
        <v>2</v>
      </c>
    </row>
    <row r="365" spans="3:4">
      <c r="C365" s="397" t="s">
        <v>2577</v>
      </c>
      <c r="D365" s="402" t="s">
        <v>1398</v>
      </c>
    </row>
    <row r="366" spans="3:4">
      <c r="C366" s="395" t="s">
        <v>3534</v>
      </c>
      <c r="D366" s="396">
        <v>80</v>
      </c>
    </row>
    <row r="367" spans="3:4">
      <c r="C367" s="395" t="s">
        <v>3382</v>
      </c>
      <c r="D367" s="396">
        <v>80</v>
      </c>
    </row>
    <row r="369" spans="3:4">
      <c r="C369" s="397" t="s">
        <v>3665</v>
      </c>
      <c r="D369" s="402" t="s">
        <v>1398</v>
      </c>
    </row>
    <row r="370" spans="3:4">
      <c r="C370" s="397" t="s">
        <v>3666</v>
      </c>
      <c r="D370" s="402"/>
    </row>
    <row r="371" spans="3:4">
      <c r="C371" s="395" t="s">
        <v>3543</v>
      </c>
      <c r="D371" s="396">
        <v>10</v>
      </c>
    </row>
    <row r="372" spans="3:4">
      <c r="C372" s="395" t="s">
        <v>3379</v>
      </c>
      <c r="D372" s="396">
        <v>18</v>
      </c>
    </row>
    <row r="373" spans="3:4">
      <c r="C373" s="395" t="s">
        <v>3533</v>
      </c>
      <c r="D373" s="396">
        <v>18</v>
      </c>
    </row>
    <row r="374" spans="3:4">
      <c r="C374" s="395" t="s">
        <v>3527</v>
      </c>
      <c r="D374" s="396">
        <v>16</v>
      </c>
    </row>
    <row r="375" spans="3:4">
      <c r="C375" s="395" t="s">
        <v>3378</v>
      </c>
      <c r="D375" s="396">
        <v>22</v>
      </c>
    </row>
    <row r="376" spans="3:4">
      <c r="C376" s="395" t="s">
        <v>3389</v>
      </c>
      <c r="D376" s="396">
        <v>4</v>
      </c>
    </row>
    <row r="377" spans="3:4">
      <c r="C377" s="395" t="s">
        <v>3661</v>
      </c>
      <c r="D377" s="396">
        <v>2</v>
      </c>
    </row>
    <row r="378" spans="3:4">
      <c r="C378" s="395" t="s">
        <v>3662</v>
      </c>
      <c r="D378" s="396">
        <v>2</v>
      </c>
    </row>
    <row r="379" spans="3:4">
      <c r="C379" s="395"/>
      <c r="D379" s="396"/>
    </row>
    <row r="380" spans="3:4">
      <c r="C380" s="395" t="s">
        <v>3529</v>
      </c>
      <c r="D380" s="396">
        <v>94</v>
      </c>
    </row>
    <row r="381" spans="3:4">
      <c r="C381" s="395" t="s">
        <v>3534</v>
      </c>
      <c r="D381" s="396">
        <v>52</v>
      </c>
    </row>
    <row r="382" spans="3:4">
      <c r="C382" s="395" t="s">
        <v>3383</v>
      </c>
      <c r="D382" s="396">
        <v>66</v>
      </c>
    </row>
    <row r="383" spans="3:4">
      <c r="C383" s="395" t="s">
        <v>3535</v>
      </c>
      <c r="D383" s="396">
        <v>50</v>
      </c>
    </row>
    <row r="384" spans="3:4">
      <c r="C384" s="395" t="s">
        <v>3382</v>
      </c>
      <c r="D384" s="396">
        <v>40</v>
      </c>
    </row>
    <row r="385" spans="3:4">
      <c r="C385" s="395" t="s">
        <v>3384</v>
      </c>
      <c r="D385" s="396">
        <v>50</v>
      </c>
    </row>
    <row r="386" spans="3:4">
      <c r="C386" s="395" t="s">
        <v>3386</v>
      </c>
      <c r="D386" s="396">
        <v>32</v>
      </c>
    </row>
    <row r="387" spans="3:4">
      <c r="C387" s="395" t="s">
        <v>3447</v>
      </c>
      <c r="D387" s="396">
        <v>2</v>
      </c>
    </row>
    <row r="388" spans="3:4">
      <c r="C388" s="395" t="s">
        <v>3449</v>
      </c>
      <c r="D388" s="396">
        <v>2</v>
      </c>
    </row>
    <row r="389" spans="3:4">
      <c r="C389" s="395" t="s">
        <v>3663</v>
      </c>
      <c r="D389" s="396">
        <v>2</v>
      </c>
    </row>
    <row r="390" spans="3:4">
      <c r="C390" s="395" t="s">
        <v>3664</v>
      </c>
      <c r="D390" s="396">
        <v>2</v>
      </c>
    </row>
    <row r="391" spans="3:4">
      <c r="C391" s="504" t="s">
        <v>3668</v>
      </c>
      <c r="D391" s="505"/>
    </row>
    <row r="392" spans="3:4">
      <c r="C392" s="397" t="s">
        <v>3669</v>
      </c>
      <c r="D392" s="402" t="s">
        <v>1398</v>
      </c>
    </row>
    <row r="393" spans="3:4">
      <c r="C393" s="395" t="s">
        <v>3379</v>
      </c>
      <c r="D393" s="396">
        <v>6</v>
      </c>
    </row>
    <row r="394" spans="3:4">
      <c r="C394" s="395" t="s">
        <v>3533</v>
      </c>
      <c r="D394" s="396">
        <v>14</v>
      </c>
    </row>
    <row r="395" spans="3:4">
      <c r="C395" s="395" t="s">
        <v>3527</v>
      </c>
      <c r="D395" s="396">
        <v>6</v>
      </c>
    </row>
    <row r="396" spans="3:4">
      <c r="C396" s="395" t="s">
        <v>3378</v>
      </c>
      <c r="D396" s="396">
        <v>14</v>
      </c>
    </row>
    <row r="397" spans="3:4">
      <c r="C397" s="395"/>
      <c r="D397" s="396"/>
    </row>
    <row r="398" spans="3:4">
      <c r="C398" s="395" t="s">
        <v>3534</v>
      </c>
      <c r="D398" s="396">
        <v>24</v>
      </c>
    </row>
    <row r="399" spans="3:4">
      <c r="C399" s="395" t="s">
        <v>3383</v>
      </c>
      <c r="D399" s="396">
        <v>16</v>
      </c>
    </row>
    <row r="400" spans="3:4">
      <c r="C400" s="395" t="s">
        <v>3535</v>
      </c>
      <c r="D400" s="396">
        <v>8</v>
      </c>
    </row>
    <row r="401" spans="3:4">
      <c r="C401" s="395" t="s">
        <v>3382</v>
      </c>
      <c r="D401" s="396">
        <v>14</v>
      </c>
    </row>
    <row r="402" spans="3:4">
      <c r="C402" s="395" t="s">
        <v>3386</v>
      </c>
      <c r="D402" s="396">
        <v>2</v>
      </c>
    </row>
    <row r="403" spans="3:4">
      <c r="C403" s="395"/>
      <c r="D403" s="396"/>
    </row>
    <row r="404" spans="3:4">
      <c r="C404" s="395" t="s">
        <v>3523</v>
      </c>
      <c r="D404" s="396">
        <v>8</v>
      </c>
    </row>
    <row r="405" spans="3:4">
      <c r="C405" s="395" t="s">
        <v>3391</v>
      </c>
      <c r="D405" s="396">
        <v>8</v>
      </c>
    </row>
    <row r="406" spans="3:4">
      <c r="C406" s="397" t="s">
        <v>3565</v>
      </c>
      <c r="D406" s="402" t="s">
        <v>1398</v>
      </c>
    </row>
    <row r="407" spans="3:4">
      <c r="C407" s="395" t="s">
        <v>3534</v>
      </c>
      <c r="D407" s="396">
        <v>2</v>
      </c>
    </row>
    <row r="408" spans="3:4">
      <c r="C408" s="395" t="s">
        <v>3383</v>
      </c>
      <c r="D408" s="396">
        <v>2</v>
      </c>
    </row>
    <row r="409" spans="3:4">
      <c r="C409" s="395"/>
      <c r="D409" s="396"/>
    </row>
    <row r="410" spans="3:4">
      <c r="C410" s="395" t="s">
        <v>3523</v>
      </c>
      <c r="D410" s="396">
        <v>6</v>
      </c>
    </row>
    <row r="411" spans="3:4">
      <c r="C411" s="395" t="s">
        <v>3392</v>
      </c>
      <c r="D411" s="396">
        <v>10</v>
      </c>
    </row>
    <row r="412" spans="3:4">
      <c r="C412" s="395" t="s">
        <v>3531</v>
      </c>
      <c r="D412" s="396">
        <v>12</v>
      </c>
    </row>
    <row r="413" spans="3:4">
      <c r="C413" s="395" t="s">
        <v>3391</v>
      </c>
      <c r="D413" s="396">
        <v>6</v>
      </c>
    </row>
    <row r="414" spans="3:4">
      <c r="C414" s="395" t="s">
        <v>3670</v>
      </c>
      <c r="D414" s="396">
        <v>2</v>
      </c>
    </row>
    <row r="415" spans="3:4">
      <c r="C415" s="397" t="s">
        <v>3671</v>
      </c>
      <c r="D415" s="402" t="s">
        <v>1398</v>
      </c>
    </row>
    <row r="416" spans="3:4">
      <c r="C416" s="395" t="s">
        <v>3534</v>
      </c>
      <c r="D416" s="396">
        <v>2</v>
      </c>
    </row>
    <row r="417" spans="3:4">
      <c r="C417" s="395" t="s">
        <v>3382</v>
      </c>
      <c r="D417" s="396">
        <v>2</v>
      </c>
    </row>
    <row r="418" spans="3:4">
      <c r="C418" s="395"/>
      <c r="D418" s="396"/>
    </row>
    <row r="419" spans="3:4">
      <c r="C419" s="395" t="s">
        <v>3524</v>
      </c>
      <c r="D419" s="396">
        <v>2</v>
      </c>
    </row>
    <row r="420" spans="3:4">
      <c r="C420" s="395" t="s">
        <v>3394</v>
      </c>
      <c r="D420" s="396">
        <v>2</v>
      </c>
    </row>
    <row r="421" spans="3:4">
      <c r="C421" s="397" t="s">
        <v>3678</v>
      </c>
      <c r="D421" s="402" t="s">
        <v>1398</v>
      </c>
    </row>
    <row r="422" spans="3:4">
      <c r="C422" s="395" t="s">
        <v>3529</v>
      </c>
      <c r="D422" s="396">
        <v>2</v>
      </c>
    </row>
    <row r="423" spans="3:4">
      <c r="C423" s="395" t="s">
        <v>3534</v>
      </c>
      <c r="D423" s="396">
        <v>4</v>
      </c>
    </row>
    <row r="424" spans="3:4">
      <c r="C424" s="395" t="s">
        <v>3383</v>
      </c>
      <c r="D424" s="396">
        <v>4</v>
      </c>
    </row>
    <row r="425" spans="3:4">
      <c r="C425" s="395" t="s">
        <v>3535</v>
      </c>
      <c r="D425" s="396">
        <v>2</v>
      </c>
    </row>
    <row r="426" spans="3:4">
      <c r="C426" s="395" t="s">
        <v>3382</v>
      </c>
      <c r="D426" s="396">
        <v>2</v>
      </c>
    </row>
    <row r="427" spans="3:4">
      <c r="C427" s="395" t="s">
        <v>3672</v>
      </c>
      <c r="D427" s="396">
        <v>2</v>
      </c>
    </row>
    <row r="428" spans="3:4">
      <c r="C428" s="395" t="s">
        <v>3673</v>
      </c>
      <c r="D428" s="396">
        <v>4</v>
      </c>
    </row>
    <row r="429" spans="3:4">
      <c r="C429" s="395"/>
      <c r="D429" s="396"/>
    </row>
    <row r="430" spans="3:4">
      <c r="C430" s="395" t="s">
        <v>3523</v>
      </c>
      <c r="D430" s="396">
        <v>8</v>
      </c>
    </row>
    <row r="431" spans="3:4">
      <c r="C431" s="395" t="s">
        <v>3392</v>
      </c>
      <c r="D431" s="396">
        <v>12</v>
      </c>
    </row>
    <row r="432" spans="3:4">
      <c r="C432" s="395" t="s">
        <v>3432</v>
      </c>
      <c r="D432" s="396">
        <v>4</v>
      </c>
    </row>
    <row r="433" spans="3:4">
      <c r="C433" s="395" t="s">
        <v>3531</v>
      </c>
      <c r="D433" s="396">
        <v>6</v>
      </c>
    </row>
    <row r="434" spans="3:4">
      <c r="C434" s="395" t="s">
        <v>3391</v>
      </c>
      <c r="D434" s="396">
        <v>2</v>
      </c>
    </row>
    <row r="435" spans="3:4">
      <c r="C435" s="395" t="s">
        <v>3550</v>
      </c>
      <c r="D435" s="396">
        <v>4</v>
      </c>
    </row>
    <row r="436" spans="3:4">
      <c r="C436" s="395"/>
      <c r="D436" s="396"/>
    </row>
    <row r="437" spans="3:4">
      <c r="C437" s="395" t="s">
        <v>3674</v>
      </c>
      <c r="D437" s="396">
        <v>2</v>
      </c>
    </row>
    <row r="438" spans="3:4">
      <c r="C438" s="395" t="s">
        <v>3675</v>
      </c>
      <c r="D438" s="396">
        <v>2</v>
      </c>
    </row>
    <row r="439" spans="3:4">
      <c r="C439" s="395" t="s">
        <v>3676</v>
      </c>
      <c r="D439" s="396">
        <v>2</v>
      </c>
    </row>
    <row r="440" spans="3:4">
      <c r="C440" s="395" t="s">
        <v>3677</v>
      </c>
      <c r="D440" s="396">
        <v>4</v>
      </c>
    </row>
    <row r="441" spans="3:4">
      <c r="C441" s="414" t="s">
        <v>3680</v>
      </c>
      <c r="D441" s="402" t="s">
        <v>1398</v>
      </c>
    </row>
    <row r="442" spans="3:4">
      <c r="C442" s="414" t="s">
        <v>3659</v>
      </c>
      <c r="D442" s="402"/>
    </row>
    <row r="443" spans="3:4">
      <c r="C443" s="395" t="s">
        <v>3527</v>
      </c>
      <c r="D443" s="396">
        <v>2</v>
      </c>
    </row>
    <row r="444" spans="3:4">
      <c r="C444" s="395" t="s">
        <v>3378</v>
      </c>
      <c r="D444" s="396">
        <v>2</v>
      </c>
    </row>
    <row r="445" spans="3:4">
      <c r="C445" s="395"/>
      <c r="D445" s="396"/>
    </row>
    <row r="446" spans="3:4">
      <c r="C446" s="395" t="s">
        <v>3529</v>
      </c>
      <c r="D446" s="396">
        <v>52</v>
      </c>
    </row>
    <row r="447" spans="3:4">
      <c r="C447" s="395" t="s">
        <v>3534</v>
      </c>
      <c r="D447" s="396">
        <v>74</v>
      </c>
    </row>
    <row r="448" spans="3:4">
      <c r="C448" s="395" t="s">
        <v>3383</v>
      </c>
      <c r="D448" s="396">
        <v>18</v>
      </c>
    </row>
    <row r="449" spans="3:4">
      <c r="C449" s="395" t="s">
        <v>3535</v>
      </c>
      <c r="D449" s="396">
        <v>10</v>
      </c>
    </row>
    <row r="450" spans="3:4">
      <c r="C450" s="395" t="s">
        <v>3382</v>
      </c>
      <c r="D450" s="396">
        <v>66</v>
      </c>
    </row>
    <row r="451" spans="3:4">
      <c r="C451" s="395" t="s">
        <v>3384</v>
      </c>
      <c r="D451" s="396">
        <v>16</v>
      </c>
    </row>
    <row r="452" spans="3:4">
      <c r="C452" s="395" t="s">
        <v>3386</v>
      </c>
      <c r="D452" s="396">
        <v>36</v>
      </c>
    </row>
    <row r="453" spans="3:4">
      <c r="C453" s="395"/>
      <c r="D453" s="396"/>
    </row>
    <row r="454" spans="3:4">
      <c r="C454" s="395" t="s">
        <v>3536</v>
      </c>
      <c r="D454" s="396">
        <v>2</v>
      </c>
    </row>
    <row r="455" spans="3:4">
      <c r="C455" s="395" t="s">
        <v>3478</v>
      </c>
      <c r="D455" s="396">
        <v>2</v>
      </c>
    </row>
    <row r="456" spans="3:4">
      <c r="C456" s="397" t="s">
        <v>3683</v>
      </c>
      <c r="D456" s="402" t="s">
        <v>1398</v>
      </c>
    </row>
    <row r="457" spans="3:4">
      <c r="C457" s="395" t="s">
        <v>3682</v>
      </c>
      <c r="D457" s="396">
        <v>2</v>
      </c>
    </row>
    <row r="458" spans="3:4">
      <c r="C458" s="395" t="s">
        <v>3654</v>
      </c>
      <c r="D458" s="396">
        <v>2</v>
      </c>
    </row>
    <row r="460" spans="3:4">
      <c r="C460" s="397" t="s">
        <v>3093</v>
      </c>
      <c r="D460" s="402" t="s">
        <v>1398</v>
      </c>
    </row>
    <row r="461" spans="3:4">
      <c r="C461" s="395" t="s">
        <v>3685</v>
      </c>
      <c r="D461" s="396">
        <v>2</v>
      </c>
    </row>
    <row r="462" spans="3:4">
      <c r="C462" s="395" t="s">
        <v>3686</v>
      </c>
      <c r="D462" s="396">
        <v>2</v>
      </c>
    </row>
    <row r="464" spans="3:4">
      <c r="C464" s="397" t="s">
        <v>3700</v>
      </c>
      <c r="D464" s="402" t="s">
        <v>1398</v>
      </c>
    </row>
    <row r="465" spans="3:4">
      <c r="C465" s="415" t="s">
        <v>1953</v>
      </c>
      <c r="D465" s="416">
        <v>2</v>
      </c>
    </row>
    <row r="466" spans="3:4">
      <c r="C466" s="415" t="s">
        <v>1949</v>
      </c>
      <c r="D466" s="416">
        <v>2</v>
      </c>
    </row>
    <row r="467" spans="3:4">
      <c r="C467" s="415" t="s">
        <v>3688</v>
      </c>
      <c r="D467" s="416">
        <v>2</v>
      </c>
    </row>
    <row r="468" spans="3:4">
      <c r="C468" s="415" t="s">
        <v>3689</v>
      </c>
      <c r="D468" s="416">
        <v>2</v>
      </c>
    </row>
    <row r="469" spans="3:4">
      <c r="C469" s="415"/>
      <c r="D469" s="416"/>
    </row>
    <row r="470" spans="3:4">
      <c r="C470" s="415" t="s">
        <v>3690</v>
      </c>
      <c r="D470" s="416">
        <v>2</v>
      </c>
    </row>
    <row r="471" spans="3:4">
      <c r="C471" s="415" t="s">
        <v>1983</v>
      </c>
      <c r="D471" s="416">
        <v>2</v>
      </c>
    </row>
    <row r="472" spans="3:4">
      <c r="C472" s="415" t="s">
        <v>3382</v>
      </c>
      <c r="D472" s="416">
        <v>2</v>
      </c>
    </row>
    <row r="473" spans="3:4">
      <c r="C473" s="415" t="s">
        <v>3691</v>
      </c>
      <c r="D473" s="416">
        <v>2</v>
      </c>
    </row>
    <row r="474" spans="3:4">
      <c r="C474" s="415"/>
      <c r="D474" s="416"/>
    </row>
    <row r="475" spans="3:4">
      <c r="C475" s="415" t="s">
        <v>2508</v>
      </c>
      <c r="D475" s="416">
        <v>2</v>
      </c>
    </row>
    <row r="476" spans="3:4">
      <c r="C476" s="415" t="s">
        <v>3697</v>
      </c>
      <c r="D476" s="416">
        <v>2</v>
      </c>
    </row>
    <row r="477" spans="3:4">
      <c r="C477" s="415"/>
      <c r="D477" s="416"/>
    </row>
    <row r="478" spans="3:4">
      <c r="C478" s="415" t="s">
        <v>3692</v>
      </c>
      <c r="D478" s="416">
        <v>2</v>
      </c>
    </row>
    <row r="479" spans="3:4">
      <c r="C479" s="415" t="s">
        <v>3699</v>
      </c>
      <c r="D479" s="416">
        <v>1</v>
      </c>
    </row>
    <row r="480" spans="3:4">
      <c r="C480" s="415" t="s">
        <v>3696</v>
      </c>
      <c r="D480" s="416">
        <v>1</v>
      </c>
    </row>
    <row r="481" spans="3:4">
      <c r="C481" s="415"/>
      <c r="D481" s="416"/>
    </row>
    <row r="482" spans="3:4">
      <c r="C482" s="415" t="s">
        <v>3693</v>
      </c>
      <c r="D482" s="416">
        <v>1</v>
      </c>
    </row>
    <row r="483" spans="3:4">
      <c r="C483" s="415" t="s">
        <v>3695</v>
      </c>
      <c r="D483" s="416">
        <v>1</v>
      </c>
    </row>
    <row r="484" spans="3:4">
      <c r="C484" s="415" t="s">
        <v>3698</v>
      </c>
      <c r="D484" s="416">
        <v>1</v>
      </c>
    </row>
    <row r="485" spans="3:4">
      <c r="C485" s="415"/>
      <c r="D485" s="416"/>
    </row>
    <row r="486" spans="3:4">
      <c r="C486" s="415" t="s">
        <v>3694</v>
      </c>
      <c r="D486" s="416">
        <v>1</v>
      </c>
    </row>
    <row r="488" spans="3:4">
      <c r="C488" s="397" t="s">
        <v>3712</v>
      </c>
      <c r="D488" s="402" t="s">
        <v>1398</v>
      </c>
    </row>
    <row r="489" spans="3:4" ht="36">
      <c r="C489" s="419" t="s">
        <v>3701</v>
      </c>
      <c r="D489" s="420">
        <v>4</v>
      </c>
    </row>
    <row r="490" spans="3:4" ht="36">
      <c r="C490" s="419" t="s">
        <v>3702</v>
      </c>
      <c r="D490" s="420">
        <v>2</v>
      </c>
    </row>
    <row r="491" spans="3:4" ht="36">
      <c r="C491" s="419" t="s">
        <v>3703</v>
      </c>
      <c r="D491" s="420">
        <v>2</v>
      </c>
    </row>
    <row r="492" spans="3:4" ht="36">
      <c r="C492" s="419" t="s">
        <v>3704</v>
      </c>
      <c r="D492" s="420">
        <v>2</v>
      </c>
    </row>
    <row r="493" spans="3:4" ht="36">
      <c r="C493" s="419" t="s">
        <v>3705</v>
      </c>
      <c r="D493" s="420">
        <v>4</v>
      </c>
    </row>
    <row r="494" spans="3:4" ht="36">
      <c r="C494" s="419" t="s">
        <v>3706</v>
      </c>
      <c r="D494" s="420">
        <v>2</v>
      </c>
    </row>
    <row r="495" spans="3:4" ht="36">
      <c r="C495" s="419"/>
      <c r="D495" s="420"/>
    </row>
    <row r="496" spans="3:4" ht="36">
      <c r="C496" s="419" t="s">
        <v>3707</v>
      </c>
      <c r="D496" s="420">
        <v>2</v>
      </c>
    </row>
    <row r="497" spans="3:4" ht="36">
      <c r="C497" s="419" t="s">
        <v>3708</v>
      </c>
      <c r="D497" s="420">
        <v>2</v>
      </c>
    </row>
    <row r="498" spans="3:4" ht="36">
      <c r="C498" s="419"/>
      <c r="D498" s="420"/>
    </row>
    <row r="499" spans="3:4" ht="36">
      <c r="C499" s="419" t="s">
        <v>3709</v>
      </c>
      <c r="D499" s="420">
        <v>1</v>
      </c>
    </row>
    <row r="500" spans="3:4" ht="36">
      <c r="C500" s="419" t="s">
        <v>3710</v>
      </c>
      <c r="D500" s="420">
        <v>1</v>
      </c>
    </row>
    <row r="501" spans="3:4" ht="36">
      <c r="C501" s="419" t="s">
        <v>3711</v>
      </c>
      <c r="D501" s="420">
        <v>2</v>
      </c>
    </row>
    <row r="505" spans="3:4">
      <c r="C505" s="397" t="s">
        <v>3713</v>
      </c>
      <c r="D505" s="416"/>
    </row>
    <row r="506" spans="3:4">
      <c r="C506" s="414" t="s">
        <v>3529</v>
      </c>
      <c r="D506" s="421">
        <v>4</v>
      </c>
    </row>
    <row r="507" spans="3:4">
      <c r="C507" s="414" t="s">
        <v>3534</v>
      </c>
      <c r="D507" s="421">
        <v>2</v>
      </c>
    </row>
    <row r="508" spans="3:4">
      <c r="C508" s="414" t="s">
        <v>3383</v>
      </c>
      <c r="D508" s="421">
        <v>6</v>
      </c>
    </row>
    <row r="509" spans="3:4">
      <c r="C509" s="414" t="s">
        <v>3535</v>
      </c>
      <c r="D509" s="421">
        <v>10</v>
      </c>
    </row>
    <row r="510" spans="3:4">
      <c r="C510" s="414" t="s">
        <v>3382</v>
      </c>
      <c r="D510" s="421">
        <v>8</v>
      </c>
    </row>
    <row r="511" spans="3:4">
      <c r="C511" s="414" t="s">
        <v>3385</v>
      </c>
      <c r="D511" s="421">
        <v>2</v>
      </c>
    </row>
    <row r="512" spans="3:4">
      <c r="C512" s="414" t="s">
        <v>3523</v>
      </c>
      <c r="D512" s="421">
        <v>2</v>
      </c>
    </row>
    <row r="513" spans="3:4">
      <c r="C513" s="414" t="s">
        <v>3392</v>
      </c>
      <c r="D513" s="421">
        <v>2</v>
      </c>
    </row>
    <row r="514" spans="3:4">
      <c r="C514" s="414" t="s">
        <v>3531</v>
      </c>
      <c r="D514" s="421">
        <v>10</v>
      </c>
    </row>
    <row r="515" spans="3:4">
      <c r="C515" s="414" t="s">
        <v>3391</v>
      </c>
      <c r="D515" s="421">
        <v>4</v>
      </c>
    </row>
    <row r="516" spans="3:4">
      <c r="C516" s="414" t="s">
        <v>3436</v>
      </c>
      <c r="D516" s="421">
        <v>6</v>
      </c>
    </row>
    <row r="518" spans="3:4">
      <c r="C518" s="358" t="s">
        <v>3714</v>
      </c>
    </row>
    <row r="519" spans="3:4">
      <c r="C519" s="414" t="s">
        <v>3533</v>
      </c>
      <c r="D519" s="421">
        <v>8</v>
      </c>
    </row>
    <row r="520" spans="3:4">
      <c r="C520" s="414" t="s">
        <v>3378</v>
      </c>
      <c r="D520" s="421">
        <v>6</v>
      </c>
    </row>
    <row r="521" spans="3:4">
      <c r="C521" s="414" t="s">
        <v>3381</v>
      </c>
      <c r="D521" s="421">
        <v>2</v>
      </c>
    </row>
    <row r="522" spans="3:4">
      <c r="C522" s="414"/>
      <c r="D522" s="421"/>
    </row>
    <row r="523" spans="3:4">
      <c r="C523" s="422" t="s">
        <v>3528</v>
      </c>
      <c r="D523" s="423">
        <v>4</v>
      </c>
    </row>
    <row r="524" spans="3:4">
      <c r="C524" s="422" t="s">
        <v>3560</v>
      </c>
      <c r="D524" s="423">
        <v>2</v>
      </c>
    </row>
    <row r="525" spans="3:4">
      <c r="C525" s="422" t="s">
        <v>3552</v>
      </c>
      <c r="D525" s="423">
        <v>6</v>
      </c>
    </row>
    <row r="526" spans="3:4">
      <c r="C526" s="422" t="s">
        <v>3589</v>
      </c>
      <c r="D526" s="423">
        <v>2</v>
      </c>
    </row>
    <row r="527" spans="3:4">
      <c r="C527" s="422" t="s">
        <v>3614</v>
      </c>
      <c r="D527" s="423">
        <v>2</v>
      </c>
    </row>
    <row r="528" spans="3:4">
      <c r="C528" s="422"/>
      <c r="D528" s="423"/>
    </row>
    <row r="529" spans="3:4">
      <c r="C529" s="414" t="s">
        <v>3529</v>
      </c>
      <c r="D529" s="421">
        <v>2</v>
      </c>
    </row>
    <row r="530" spans="3:4">
      <c r="C530" s="414" t="s">
        <v>3534</v>
      </c>
      <c r="D530" s="421">
        <v>8</v>
      </c>
    </row>
    <row r="531" spans="3:4">
      <c r="C531" s="414" t="s">
        <v>3383</v>
      </c>
      <c r="D531" s="421">
        <v>16</v>
      </c>
    </row>
    <row r="532" spans="3:4">
      <c r="C532" s="414" t="s">
        <v>3535</v>
      </c>
      <c r="D532" s="421">
        <v>16</v>
      </c>
    </row>
    <row r="533" spans="3:4">
      <c r="C533" s="414" t="s">
        <v>3382</v>
      </c>
      <c r="D533" s="421">
        <v>8</v>
      </c>
    </row>
    <row r="534" spans="3:4">
      <c r="C534" s="414" t="s">
        <v>3611</v>
      </c>
      <c r="D534" s="421">
        <v>2</v>
      </c>
    </row>
    <row r="535" spans="3:4">
      <c r="C535" s="414" t="s">
        <v>3385</v>
      </c>
      <c r="D535" s="421">
        <v>2</v>
      </c>
    </row>
    <row r="536" spans="3:4">
      <c r="C536" s="414" t="s">
        <v>3549</v>
      </c>
      <c r="D536" s="421">
        <v>2</v>
      </c>
    </row>
    <row r="537" spans="3:4">
      <c r="C537" s="414" t="s">
        <v>3564</v>
      </c>
      <c r="D537" s="421">
        <v>2</v>
      </c>
    </row>
    <row r="538" spans="3:4">
      <c r="C538" s="414" t="s">
        <v>3612</v>
      </c>
      <c r="D538" s="421">
        <v>2</v>
      </c>
    </row>
    <row r="539" spans="3:4">
      <c r="C539" s="414" t="s">
        <v>3523</v>
      </c>
      <c r="D539" s="421">
        <v>4</v>
      </c>
    </row>
    <row r="540" spans="3:4">
      <c r="C540" s="414" t="s">
        <v>3392</v>
      </c>
      <c r="D540" s="421">
        <v>4</v>
      </c>
    </row>
    <row r="541" spans="3:4">
      <c r="C541" s="414" t="s">
        <v>3531</v>
      </c>
      <c r="D541" s="421">
        <v>4</v>
      </c>
    </row>
    <row r="542" spans="3:4">
      <c r="C542" s="414" t="s">
        <v>3391</v>
      </c>
      <c r="D542" s="421">
        <v>6</v>
      </c>
    </row>
    <row r="543" spans="3:4">
      <c r="C543" s="414" t="s">
        <v>3583</v>
      </c>
      <c r="D543" s="421">
        <v>2</v>
      </c>
    </row>
    <row r="545" spans="3:4">
      <c r="C545" s="397" t="s">
        <v>3715</v>
      </c>
      <c r="D545" s="402"/>
    </row>
    <row r="546" spans="3:4">
      <c r="C546" s="414" t="s">
        <v>3543</v>
      </c>
      <c r="D546" s="421">
        <v>4</v>
      </c>
    </row>
    <row r="547" spans="3:4">
      <c r="C547" s="414" t="s">
        <v>3379</v>
      </c>
      <c r="D547" s="421">
        <v>2</v>
      </c>
    </row>
    <row r="548" spans="3:4">
      <c r="C548" s="414" t="s">
        <v>3533</v>
      </c>
      <c r="D548" s="421">
        <v>6</v>
      </c>
    </row>
    <row r="549" spans="3:4">
      <c r="C549" s="414" t="s">
        <v>3527</v>
      </c>
      <c r="D549" s="421">
        <v>8</v>
      </c>
    </row>
    <row r="550" spans="3:4">
      <c r="C550" s="414" t="s">
        <v>3378</v>
      </c>
      <c r="D550" s="421">
        <v>6</v>
      </c>
    </row>
    <row r="551" spans="3:4">
      <c r="C551" s="414" t="s">
        <v>3389</v>
      </c>
      <c r="D551" s="421">
        <v>10</v>
      </c>
    </row>
    <row r="552" spans="3:4">
      <c r="C552" s="425"/>
      <c r="D552" s="425"/>
    </row>
    <row r="553" spans="3:4">
      <c r="C553" s="414" t="s">
        <v>3529</v>
      </c>
      <c r="D553" s="421">
        <v>2</v>
      </c>
    </row>
    <row r="554" spans="3:4">
      <c r="C554" s="414" t="s">
        <v>3390</v>
      </c>
      <c r="D554" s="421">
        <v>2</v>
      </c>
    </row>
    <row r="555" spans="3:4">
      <c r="C555" s="414" t="s">
        <v>3534</v>
      </c>
      <c r="D555" s="421">
        <v>42</v>
      </c>
    </row>
    <row r="556" spans="3:4">
      <c r="C556" s="414" t="s">
        <v>3383</v>
      </c>
      <c r="D556" s="421">
        <v>44</v>
      </c>
    </row>
    <row r="557" spans="3:4">
      <c r="C557" s="414" t="s">
        <v>3535</v>
      </c>
      <c r="D557" s="421">
        <v>12</v>
      </c>
    </row>
    <row r="558" spans="3:4">
      <c r="C558" s="414" t="s">
        <v>3382</v>
      </c>
      <c r="D558" s="421">
        <v>10</v>
      </c>
    </row>
    <row r="562" spans="3:4">
      <c r="C562" s="414" t="s">
        <v>3533</v>
      </c>
      <c r="D562" s="421">
        <v>16</v>
      </c>
    </row>
    <row r="563" spans="3:4">
      <c r="C563" s="414" t="s">
        <v>3378</v>
      </c>
      <c r="D563" s="421">
        <v>16</v>
      </c>
    </row>
    <row r="564" spans="3:4">
      <c r="C564" s="414" t="s">
        <v>3535</v>
      </c>
      <c r="D564" s="421">
        <v>6</v>
      </c>
    </row>
    <row r="565" spans="3:4">
      <c r="C565" s="414" t="s">
        <v>3382</v>
      </c>
      <c r="D565" s="421">
        <v>6</v>
      </c>
    </row>
    <row r="566" spans="3:4">
      <c r="C566" s="414"/>
      <c r="D566" s="421"/>
    </row>
    <row r="567" spans="3:4">
      <c r="C567" s="414" t="s">
        <v>3384</v>
      </c>
      <c r="D567" s="421">
        <v>100</v>
      </c>
    </row>
    <row r="568" spans="3:4">
      <c r="C568" s="414" t="s">
        <v>3534</v>
      </c>
      <c r="D568" s="421">
        <v>100</v>
      </c>
    </row>
    <row r="569" spans="3:4">
      <c r="C569" s="397" t="s">
        <v>3286</v>
      </c>
      <c r="D569" s="402"/>
    </row>
    <row r="570" spans="3:4">
      <c r="C570" s="414" t="s">
        <v>3534</v>
      </c>
      <c r="D570" s="421">
        <v>230</v>
      </c>
    </row>
    <row r="571" spans="3:4">
      <c r="C571" s="414" t="s">
        <v>3382</v>
      </c>
      <c r="D571" s="421">
        <v>230</v>
      </c>
    </row>
    <row r="573" spans="3:4">
      <c r="C573" s="397" t="s">
        <v>3728</v>
      </c>
      <c r="D573" s="402" t="s">
        <v>1398</v>
      </c>
    </row>
    <row r="574" spans="3:4">
      <c r="C574" s="417" t="s">
        <v>3716</v>
      </c>
      <c r="D574" s="418">
        <v>2</v>
      </c>
    </row>
    <row r="575" spans="3:4">
      <c r="C575" s="417" t="s">
        <v>3717</v>
      </c>
      <c r="D575" s="418">
        <v>2</v>
      </c>
    </row>
    <row r="576" spans="3:4">
      <c r="C576" s="417"/>
      <c r="D576" s="418"/>
    </row>
    <row r="577" spans="3:4">
      <c r="C577" s="417" t="s">
        <v>3533</v>
      </c>
      <c r="D577" s="418">
        <v>6</v>
      </c>
    </row>
    <row r="578" spans="3:4">
      <c r="C578" s="417" t="s">
        <v>3378</v>
      </c>
      <c r="D578" s="418">
        <v>2</v>
      </c>
    </row>
    <row r="579" spans="3:4">
      <c r="C579" s="417" t="s">
        <v>3389</v>
      </c>
      <c r="D579" s="418">
        <v>2</v>
      </c>
    </row>
    <row r="580" spans="3:4">
      <c r="C580" s="417" t="s">
        <v>3718</v>
      </c>
      <c r="D580" s="418">
        <v>2</v>
      </c>
    </row>
    <row r="581" spans="3:4">
      <c r="C581" s="417"/>
      <c r="D581" s="418"/>
    </row>
    <row r="582" spans="3:4">
      <c r="C582" s="417" t="s">
        <v>3528</v>
      </c>
      <c r="D582" s="418">
        <v>4</v>
      </c>
    </row>
    <row r="583" spans="3:4">
      <c r="C583" s="417" t="s">
        <v>3649</v>
      </c>
      <c r="D583" s="418">
        <v>4</v>
      </c>
    </row>
    <row r="584" spans="3:4">
      <c r="C584" s="417" t="s">
        <v>3560</v>
      </c>
      <c r="D584" s="418">
        <v>2</v>
      </c>
    </row>
    <row r="585" spans="3:4">
      <c r="C585" s="417" t="s">
        <v>3552</v>
      </c>
      <c r="D585" s="418">
        <v>6</v>
      </c>
    </row>
    <row r="586" spans="3:4">
      <c r="C586" s="417" t="s">
        <v>3719</v>
      </c>
      <c r="D586" s="418">
        <v>2</v>
      </c>
    </row>
    <row r="587" spans="3:4">
      <c r="C587" s="417" t="s">
        <v>3720</v>
      </c>
      <c r="D587" s="418">
        <v>2</v>
      </c>
    </row>
    <row r="588" spans="3:4">
      <c r="C588" s="417"/>
      <c r="D588" s="418"/>
    </row>
    <row r="589" spans="3:4">
      <c r="C589" s="417" t="s">
        <v>3529</v>
      </c>
      <c r="D589" s="418">
        <v>2</v>
      </c>
    </row>
    <row r="590" spans="3:4">
      <c r="C590" s="417" t="s">
        <v>3534</v>
      </c>
      <c r="D590" s="418">
        <v>6</v>
      </c>
    </row>
    <row r="591" spans="3:4">
      <c r="C591" s="417" t="s">
        <v>3383</v>
      </c>
      <c r="D591" s="418">
        <v>42</v>
      </c>
    </row>
    <row r="592" spans="3:4">
      <c r="C592" s="417" t="s">
        <v>3535</v>
      </c>
      <c r="D592" s="418">
        <v>52</v>
      </c>
    </row>
    <row r="593" spans="3:4">
      <c r="C593" s="417" t="s">
        <v>3382</v>
      </c>
      <c r="D593" s="418">
        <v>14</v>
      </c>
    </row>
    <row r="594" spans="3:4">
      <c r="C594" s="417" t="s">
        <v>3386</v>
      </c>
      <c r="D594" s="418">
        <v>6</v>
      </c>
    </row>
    <row r="595" spans="3:4">
      <c r="C595" s="417" t="s">
        <v>3574</v>
      </c>
      <c r="D595" s="418">
        <v>2</v>
      </c>
    </row>
    <row r="596" spans="3:4">
      <c r="C596" s="417" t="s">
        <v>3537</v>
      </c>
      <c r="D596" s="418">
        <v>2</v>
      </c>
    </row>
    <row r="597" spans="3:4">
      <c r="C597" s="417" t="s">
        <v>3559</v>
      </c>
      <c r="D597" s="418">
        <v>2</v>
      </c>
    </row>
    <row r="598" spans="3:4">
      <c r="C598" s="417" t="s">
        <v>3721</v>
      </c>
      <c r="D598" s="418">
        <v>2</v>
      </c>
    </row>
    <row r="599" spans="3:4">
      <c r="C599" s="417" t="s">
        <v>3722</v>
      </c>
      <c r="D599" s="418">
        <v>2</v>
      </c>
    </row>
    <row r="600" spans="3:4">
      <c r="C600" s="417" t="s">
        <v>3723</v>
      </c>
      <c r="D600" s="418">
        <v>2</v>
      </c>
    </row>
    <row r="601" spans="3:4">
      <c r="C601" s="417" t="s">
        <v>3724</v>
      </c>
      <c r="D601" s="418">
        <v>2</v>
      </c>
    </row>
    <row r="602" spans="3:4">
      <c r="C602" s="417"/>
      <c r="D602" s="418"/>
    </row>
    <row r="603" spans="3:4">
      <c r="C603" s="417" t="s">
        <v>3682</v>
      </c>
      <c r="D603" s="418">
        <v>2</v>
      </c>
    </row>
    <row r="604" spans="3:4">
      <c r="C604" s="417" t="s">
        <v>3725</v>
      </c>
      <c r="D604" s="418">
        <v>2</v>
      </c>
    </row>
    <row r="605" spans="3:4">
      <c r="C605" s="417" t="s">
        <v>3392</v>
      </c>
      <c r="D605" s="418">
        <v>2</v>
      </c>
    </row>
    <row r="606" spans="3:4">
      <c r="C606" s="417" t="s">
        <v>3531</v>
      </c>
      <c r="D606" s="418">
        <v>6</v>
      </c>
    </row>
    <row r="607" spans="3:4">
      <c r="C607" s="417" t="s">
        <v>3391</v>
      </c>
      <c r="D607" s="418">
        <v>4</v>
      </c>
    </row>
    <row r="608" spans="3:4">
      <c r="C608" s="417" t="s">
        <v>3550</v>
      </c>
      <c r="D608" s="418">
        <v>2</v>
      </c>
    </row>
    <row r="609" spans="3:4">
      <c r="C609" s="417" t="s">
        <v>3726</v>
      </c>
      <c r="D609" s="418">
        <v>2</v>
      </c>
    </row>
    <row r="610" spans="3:4">
      <c r="C610" s="417"/>
      <c r="D610" s="418"/>
    </row>
    <row r="611" spans="3:4">
      <c r="C611" s="417" t="s">
        <v>3727</v>
      </c>
      <c r="D611" s="418">
        <v>1</v>
      </c>
    </row>
    <row r="614" spans="3:4">
      <c r="C614" s="397" t="s">
        <v>3730</v>
      </c>
      <c r="D614" s="402" t="s">
        <v>1398</v>
      </c>
    </row>
    <row r="615" spans="3:4">
      <c r="C615" s="397"/>
      <c r="D615" s="402"/>
    </row>
    <row r="616" spans="3:4">
      <c r="C616" s="397"/>
      <c r="D616" s="402"/>
    </row>
    <row r="617" spans="3:4">
      <c r="C617" s="397"/>
      <c r="D617" s="402"/>
    </row>
    <row r="618" spans="3:4">
      <c r="C618" s="417" t="s">
        <v>3379</v>
      </c>
      <c r="D618" s="418">
        <v>18</v>
      </c>
    </row>
    <row r="619" spans="3:4">
      <c r="C619" s="417" t="s">
        <v>3533</v>
      </c>
      <c r="D619" s="418">
        <v>14</v>
      </c>
    </row>
    <row r="620" spans="3:4">
      <c r="C620" s="417" t="s">
        <v>3527</v>
      </c>
      <c r="D620" s="418">
        <v>38</v>
      </c>
    </row>
    <row r="621" spans="3:4">
      <c r="C621" s="417" t="s">
        <v>3378</v>
      </c>
      <c r="D621" s="418">
        <v>28</v>
      </c>
    </row>
    <row r="622" spans="3:4">
      <c r="C622" s="417" t="s">
        <v>3389</v>
      </c>
      <c r="D622" s="418">
        <v>6</v>
      </c>
    </row>
    <row r="623" spans="3:4">
      <c r="C623" s="417"/>
      <c r="D623" s="418"/>
    </row>
    <row r="624" spans="3:4">
      <c r="C624" s="417" t="s">
        <v>3529</v>
      </c>
      <c r="D624" s="418">
        <v>28</v>
      </c>
    </row>
    <row r="625" spans="3:4">
      <c r="C625" s="417" t="s">
        <v>3534</v>
      </c>
      <c r="D625" s="418">
        <v>118</v>
      </c>
    </row>
    <row r="626" spans="3:4">
      <c r="C626" s="417" t="s">
        <v>3383</v>
      </c>
      <c r="D626" s="418">
        <v>32</v>
      </c>
    </row>
    <row r="627" spans="3:4">
      <c r="C627" s="417" t="s">
        <v>3535</v>
      </c>
      <c r="D627" s="418">
        <v>40</v>
      </c>
    </row>
    <row r="628" spans="3:4">
      <c r="C628" s="417" t="s">
        <v>3382</v>
      </c>
      <c r="D628" s="418">
        <v>108</v>
      </c>
    </row>
    <row r="629" spans="3:4">
      <c r="C629" s="417" t="s">
        <v>3384</v>
      </c>
      <c r="D629" s="418">
        <v>46</v>
      </c>
    </row>
    <row r="630" spans="3:4">
      <c r="C630" s="417" t="s">
        <v>3386</v>
      </c>
      <c r="D630" s="418">
        <v>4</v>
      </c>
    </row>
    <row r="631" spans="3:4">
      <c r="C631" s="417" t="s">
        <v>3691</v>
      </c>
      <c r="D631" s="418">
        <v>4</v>
      </c>
    </row>
    <row r="632" spans="3:4">
      <c r="C632" s="417"/>
      <c r="D632" s="418"/>
    </row>
    <row r="633" spans="3:4">
      <c r="C633" s="417" t="s">
        <v>3729</v>
      </c>
      <c r="D633" s="418">
        <v>2</v>
      </c>
    </row>
    <row r="634" spans="3:4">
      <c r="C634" s="417" t="s">
        <v>3476</v>
      </c>
      <c r="D634" s="418">
        <v>2</v>
      </c>
    </row>
    <row r="637" spans="3:4">
      <c r="C637" s="417" t="s">
        <v>3529</v>
      </c>
      <c r="D637" s="418">
        <v>320</v>
      </c>
    </row>
    <row r="638" spans="3:4">
      <c r="C638" s="417" t="s">
        <v>3384</v>
      </c>
      <c r="D638" s="418">
        <v>320</v>
      </c>
    </row>
    <row r="640" spans="3:4">
      <c r="C640" s="399" t="s">
        <v>3734</v>
      </c>
      <c r="D640" s="402" t="s">
        <v>1398</v>
      </c>
    </row>
    <row r="641" spans="3:4">
      <c r="C641" s="399" t="s">
        <v>3735</v>
      </c>
      <c r="D641" s="402"/>
    </row>
    <row r="642" spans="3:4">
      <c r="C642" s="395" t="s">
        <v>3379</v>
      </c>
      <c r="D642" s="396">
        <v>2</v>
      </c>
    </row>
    <row r="643" spans="3:4">
      <c r="C643" s="395" t="s">
        <v>3527</v>
      </c>
      <c r="D643" s="396">
        <v>4</v>
      </c>
    </row>
    <row r="644" spans="3:4">
      <c r="C644" s="395" t="s">
        <v>3378</v>
      </c>
      <c r="D644" s="396">
        <v>2</v>
      </c>
    </row>
    <row r="645" spans="3:4">
      <c r="C645" s="395"/>
      <c r="D645" s="396"/>
    </row>
    <row r="646" spans="3:4">
      <c r="C646" s="395" t="s">
        <v>3529</v>
      </c>
      <c r="D646" s="396">
        <v>2</v>
      </c>
    </row>
    <row r="647" spans="3:4">
      <c r="C647" s="395" t="s">
        <v>3534</v>
      </c>
      <c r="D647" s="396">
        <v>16</v>
      </c>
    </row>
    <row r="648" spans="3:4">
      <c r="C648" s="395" t="s">
        <v>3382</v>
      </c>
      <c r="D648" s="396">
        <v>10</v>
      </c>
    </row>
    <row r="649" spans="3:4">
      <c r="C649" s="395" t="s">
        <v>3384</v>
      </c>
      <c r="D649" s="396">
        <v>6</v>
      </c>
    </row>
    <row r="650" spans="3:4">
      <c r="C650" s="395" t="s">
        <v>3732</v>
      </c>
      <c r="D650" s="396">
        <v>2</v>
      </c>
    </row>
    <row r="651" spans="3:4">
      <c r="C651" s="395" t="s">
        <v>3721</v>
      </c>
      <c r="D651" s="396">
        <v>2</v>
      </c>
    </row>
    <row r="652" spans="3:4">
      <c r="C652" s="395" t="s">
        <v>3733</v>
      </c>
      <c r="D652" s="396">
        <v>2</v>
      </c>
    </row>
    <row r="653" spans="3:4">
      <c r="C653" s="395"/>
      <c r="D653" s="396"/>
    </row>
    <row r="654" spans="3:4">
      <c r="C654" s="395" t="s">
        <v>3523</v>
      </c>
      <c r="D654" s="396">
        <v>2</v>
      </c>
    </row>
    <row r="655" spans="3:4">
      <c r="C655" s="395" t="s">
        <v>3392</v>
      </c>
      <c r="D655" s="396">
        <v>2</v>
      </c>
    </row>
    <row r="656" spans="3:4">
      <c r="C656" s="397" t="s">
        <v>3736</v>
      </c>
      <c r="D656" s="402" t="s">
        <v>1398</v>
      </c>
    </row>
    <row r="657" spans="3:4">
      <c r="C657" s="395" t="s">
        <v>3383</v>
      </c>
      <c r="D657" s="396">
        <v>2</v>
      </c>
    </row>
    <row r="658" spans="3:4">
      <c r="C658" s="395" t="s">
        <v>3535</v>
      </c>
      <c r="D658" s="396">
        <v>2</v>
      </c>
    </row>
    <row r="659" spans="3:4">
      <c r="C659" s="395"/>
      <c r="D659" s="396"/>
    </row>
    <row r="660" spans="3:4">
      <c r="C660" s="395" t="s">
        <v>3523</v>
      </c>
      <c r="D660" s="396">
        <v>6</v>
      </c>
    </row>
    <row r="661" spans="3:4">
      <c r="C661" s="395" t="s">
        <v>3392</v>
      </c>
      <c r="D661" s="396">
        <v>12</v>
      </c>
    </row>
    <row r="662" spans="3:4">
      <c r="C662" s="395" t="s">
        <v>3531</v>
      </c>
      <c r="D662" s="396">
        <v>6</v>
      </c>
    </row>
    <row r="663" spans="3:4">
      <c r="C663" s="395"/>
      <c r="D663" s="396"/>
    </row>
    <row r="664" spans="3:4">
      <c r="C664" s="395" t="s">
        <v>3675</v>
      </c>
      <c r="D664" s="396">
        <v>2</v>
      </c>
    </row>
    <row r="665" spans="3:4">
      <c r="C665" s="397" t="s">
        <v>3565</v>
      </c>
      <c r="D665" s="402" t="s">
        <v>1398</v>
      </c>
    </row>
    <row r="666" spans="3:4">
      <c r="C666" s="395" t="s">
        <v>3379</v>
      </c>
      <c r="D666" s="396">
        <v>2</v>
      </c>
    </row>
    <row r="667" spans="3:4">
      <c r="C667" s="395" t="s">
        <v>3533</v>
      </c>
      <c r="D667" s="396">
        <v>4</v>
      </c>
    </row>
    <row r="668" spans="3:4">
      <c r="C668" s="395" t="s">
        <v>3380</v>
      </c>
      <c r="D668" s="396">
        <v>2</v>
      </c>
    </row>
    <row r="669" spans="3:4">
      <c r="C669" s="395"/>
      <c r="D669" s="396"/>
    </row>
    <row r="670" spans="3:4">
      <c r="C670" s="395" t="s">
        <v>3523</v>
      </c>
      <c r="D670" s="396">
        <v>6</v>
      </c>
    </row>
    <row r="671" spans="3:4">
      <c r="C671" s="395" t="s">
        <v>3392</v>
      </c>
      <c r="D671" s="396">
        <v>4</v>
      </c>
    </row>
    <row r="672" spans="3:4">
      <c r="C672" s="395" t="s">
        <v>3441</v>
      </c>
      <c r="D672" s="396">
        <v>2</v>
      </c>
    </row>
    <row r="673" spans="3:4">
      <c r="C673" s="395" t="s">
        <v>3531</v>
      </c>
      <c r="D673" s="396">
        <v>14</v>
      </c>
    </row>
    <row r="674" spans="3:4">
      <c r="C674" s="395" t="s">
        <v>3391</v>
      </c>
      <c r="D674" s="396">
        <v>8</v>
      </c>
    </row>
    <row r="675" spans="3:4">
      <c r="C675" s="395" t="s">
        <v>3436</v>
      </c>
      <c r="D675" s="396">
        <v>6</v>
      </c>
    </row>
    <row r="676" spans="3:4">
      <c r="C676" s="402" t="s">
        <v>3744</v>
      </c>
      <c r="D676" s="402" t="s">
        <v>1398</v>
      </c>
    </row>
    <row r="677" spans="3:4">
      <c r="C677" s="395" t="s">
        <v>3738</v>
      </c>
      <c r="D677" s="396">
        <v>2</v>
      </c>
    </row>
    <row r="678" spans="3:4">
      <c r="C678" s="395" t="s">
        <v>3739</v>
      </c>
      <c r="D678" s="396">
        <v>2</v>
      </c>
    </row>
    <row r="679" spans="3:4">
      <c r="C679" s="395" t="s">
        <v>3740</v>
      </c>
      <c r="D679" s="396">
        <v>2</v>
      </c>
    </row>
    <row r="680" spans="3:4">
      <c r="C680" s="395" t="s">
        <v>3741</v>
      </c>
      <c r="D680" s="396">
        <v>2</v>
      </c>
    </row>
    <row r="681" spans="3:4">
      <c r="C681" s="395"/>
      <c r="D681" s="396"/>
    </row>
    <row r="682" spans="3:4">
      <c r="C682" s="395" t="s">
        <v>3742</v>
      </c>
      <c r="D682" s="396">
        <v>2</v>
      </c>
    </row>
    <row r="683" spans="3:4">
      <c r="C683" s="395" t="s">
        <v>3743</v>
      </c>
      <c r="D683" s="396">
        <v>2</v>
      </c>
    </row>
    <row r="685" spans="3:4">
      <c r="C685" s="414" t="s">
        <v>3745</v>
      </c>
      <c r="D685" s="421">
        <v>1</v>
      </c>
    </row>
    <row r="686" spans="3:4">
      <c r="C686" s="414" t="s">
        <v>3746</v>
      </c>
      <c r="D686" s="421">
        <v>1</v>
      </c>
    </row>
    <row r="687" spans="3:4">
      <c r="C687" s="414" t="s">
        <v>3747</v>
      </c>
      <c r="D687" s="421">
        <v>2</v>
      </c>
    </row>
    <row r="688" spans="3:4">
      <c r="C688" s="414" t="s">
        <v>2504</v>
      </c>
      <c r="D688" s="421">
        <v>2</v>
      </c>
    </row>
    <row r="690" spans="3:5">
      <c r="C690" s="397" t="s">
        <v>3752</v>
      </c>
      <c r="D690" s="402" t="s">
        <v>1398</v>
      </c>
    </row>
    <row r="691" spans="3:5">
      <c r="C691" s="395" t="s">
        <v>3749</v>
      </c>
      <c r="D691" s="396">
        <v>2</v>
      </c>
    </row>
    <row r="692" spans="3:5">
      <c r="C692" s="395" t="s">
        <v>1953</v>
      </c>
      <c r="D692" s="396">
        <v>2</v>
      </c>
    </row>
    <row r="693" spans="3:5">
      <c r="C693" s="395"/>
      <c r="D693" s="396"/>
    </row>
    <row r="694" spans="3:5">
      <c r="C694" s="395" t="s">
        <v>3750</v>
      </c>
      <c r="D694" s="396">
        <v>1</v>
      </c>
    </row>
    <row r="695" spans="3:5">
      <c r="C695" s="395" t="s">
        <v>3751</v>
      </c>
      <c r="D695" s="396">
        <v>1</v>
      </c>
    </row>
    <row r="697" spans="3:5">
      <c r="C697" s="397" t="s">
        <v>3756</v>
      </c>
      <c r="D697" s="402" t="s">
        <v>1398</v>
      </c>
    </row>
    <row r="698" spans="3:5">
      <c r="C698" s="395" t="s">
        <v>3753</v>
      </c>
      <c r="D698" s="396">
        <v>2</v>
      </c>
    </row>
    <row r="699" spans="3:5">
      <c r="C699" s="395" t="s">
        <v>3754</v>
      </c>
      <c r="D699" s="396">
        <v>2</v>
      </c>
    </row>
    <row r="700" spans="3:5">
      <c r="C700" s="395" t="s">
        <v>3755</v>
      </c>
      <c r="D700" s="396">
        <v>1</v>
      </c>
    </row>
    <row r="701" spans="3:5">
      <c r="C701" s="395"/>
      <c r="D701" s="396"/>
    </row>
    <row r="702" spans="3:5">
      <c r="C702" s="395" t="s">
        <v>3383</v>
      </c>
      <c r="D702" s="396">
        <v>2</v>
      </c>
    </row>
    <row r="703" spans="3:5">
      <c r="C703" s="395" t="s">
        <v>3549</v>
      </c>
      <c r="D703" s="396">
        <v>2</v>
      </c>
    </row>
    <row r="704" spans="3:5">
      <c r="C704" s="403"/>
      <c r="D704" s="1"/>
      <c r="E704" s="1"/>
    </row>
    <row r="705" spans="3:4">
      <c r="C705" s="397" t="s">
        <v>3093</v>
      </c>
      <c r="D705" s="402" t="s">
        <v>1398</v>
      </c>
    </row>
    <row r="706" spans="3:4">
      <c r="C706" s="395" t="s">
        <v>3758</v>
      </c>
      <c r="D706" s="396">
        <v>2</v>
      </c>
    </row>
    <row r="707" spans="3:4">
      <c r="C707" s="395" t="s">
        <v>3759</v>
      </c>
      <c r="D707" s="396">
        <v>2</v>
      </c>
    </row>
    <row r="709" spans="3:4">
      <c r="C709" s="399" t="s">
        <v>3734</v>
      </c>
      <c r="D709" s="402" t="s">
        <v>1398</v>
      </c>
    </row>
    <row r="710" spans="3:4">
      <c r="C710" s="399" t="s">
        <v>3666</v>
      </c>
      <c r="D710" s="402"/>
    </row>
    <row r="711" spans="3:4">
      <c r="C711" s="395" t="s">
        <v>3379</v>
      </c>
      <c r="D711" s="396">
        <v>2</v>
      </c>
    </row>
    <row r="712" spans="3:4">
      <c r="C712" s="395" t="s">
        <v>3533</v>
      </c>
      <c r="D712" s="396">
        <v>2</v>
      </c>
    </row>
    <row r="713" spans="3:4">
      <c r="C713" s="395" t="s">
        <v>3760</v>
      </c>
      <c r="D713" s="396">
        <v>6</v>
      </c>
    </row>
    <row r="714" spans="3:4">
      <c r="C714" s="395" t="s">
        <v>3761</v>
      </c>
      <c r="D714" s="396">
        <v>6</v>
      </c>
    </row>
    <row r="715" spans="3:4">
      <c r="C715" s="395"/>
      <c r="D715" s="396"/>
    </row>
    <row r="716" spans="3:4">
      <c r="C716" s="395" t="s">
        <v>3528</v>
      </c>
      <c r="D716" s="396">
        <v>4</v>
      </c>
    </row>
    <row r="717" spans="3:4">
      <c r="C717" s="395" t="s">
        <v>3552</v>
      </c>
      <c r="D717" s="396">
        <v>2</v>
      </c>
    </row>
    <row r="718" spans="3:4">
      <c r="C718" s="395" t="s">
        <v>3762</v>
      </c>
      <c r="D718" s="396">
        <v>2</v>
      </c>
    </row>
    <row r="719" spans="3:4">
      <c r="C719" s="395"/>
      <c r="D719" s="396"/>
    </row>
    <row r="720" spans="3:4">
      <c r="C720" s="395" t="s">
        <v>3534</v>
      </c>
      <c r="D720" s="396">
        <v>6</v>
      </c>
    </row>
    <row r="721" spans="3:4">
      <c r="C721" s="395" t="s">
        <v>3383</v>
      </c>
      <c r="D721" s="396">
        <v>12</v>
      </c>
    </row>
    <row r="722" spans="3:4">
      <c r="C722" s="395" t="s">
        <v>3535</v>
      </c>
      <c r="D722" s="396">
        <v>16</v>
      </c>
    </row>
    <row r="723" spans="3:4">
      <c r="C723" s="395" t="s">
        <v>3382</v>
      </c>
      <c r="D723" s="396">
        <v>8</v>
      </c>
    </row>
    <row r="724" spans="3:4">
      <c r="C724" s="395" t="s">
        <v>3386</v>
      </c>
      <c r="D724" s="396">
        <v>2</v>
      </c>
    </row>
    <row r="725" spans="3:4">
      <c r="C725" s="395" t="s">
        <v>3763</v>
      </c>
      <c r="D725" s="396">
        <v>2</v>
      </c>
    </row>
    <row r="726" spans="3:4">
      <c r="C726" s="395" t="s">
        <v>3559</v>
      </c>
      <c r="D726" s="396">
        <v>2</v>
      </c>
    </row>
    <row r="727" spans="3:4">
      <c r="C727" s="395"/>
      <c r="D727" s="396"/>
    </row>
    <row r="728" spans="3:4">
      <c r="C728" s="395" t="s">
        <v>3523</v>
      </c>
      <c r="D728" s="396">
        <v>4</v>
      </c>
    </row>
    <row r="729" spans="3:4">
      <c r="C729" s="395" t="s">
        <v>3432</v>
      </c>
      <c r="D729" s="396">
        <v>2</v>
      </c>
    </row>
    <row r="730" spans="3:4">
      <c r="C730" s="395" t="s">
        <v>3531</v>
      </c>
      <c r="D730" s="396">
        <v>4</v>
      </c>
    </row>
    <row r="731" spans="3:4">
      <c r="C731" s="395" t="s">
        <v>3391</v>
      </c>
      <c r="D731" s="396">
        <v>2</v>
      </c>
    </row>
    <row r="732" spans="3:4">
      <c r="C732" s="395" t="s">
        <v>3388</v>
      </c>
      <c r="D732" s="396">
        <v>4</v>
      </c>
    </row>
    <row r="733" spans="3:4">
      <c r="C733" s="395"/>
      <c r="D733" s="396"/>
    </row>
    <row r="734" spans="3:4">
      <c r="C734" s="395" t="s">
        <v>3764</v>
      </c>
      <c r="D734" s="396">
        <v>4</v>
      </c>
    </row>
    <row r="735" spans="3:4">
      <c r="C735" s="395" t="s">
        <v>3765</v>
      </c>
      <c r="D735" s="396">
        <v>4</v>
      </c>
    </row>
    <row r="738" spans="3:4">
      <c r="C738" s="397" t="s">
        <v>3769</v>
      </c>
      <c r="D738" s="402" t="s">
        <v>1398</v>
      </c>
    </row>
    <row r="739" spans="3:4">
      <c r="C739" s="415" t="s">
        <v>3379</v>
      </c>
      <c r="D739" s="416">
        <v>4</v>
      </c>
    </row>
    <row r="740" spans="3:4">
      <c r="C740" s="415" t="s">
        <v>3527</v>
      </c>
      <c r="D740" s="416">
        <v>2</v>
      </c>
    </row>
    <row r="741" spans="3:4">
      <c r="C741" s="415" t="s">
        <v>3766</v>
      </c>
      <c r="D741" s="416">
        <v>2</v>
      </c>
    </row>
    <row r="742" spans="3:4">
      <c r="C742" s="415"/>
      <c r="D742" s="416"/>
    </row>
    <row r="743" spans="3:4">
      <c r="C743" s="415" t="s">
        <v>3529</v>
      </c>
      <c r="D743" s="416">
        <v>4</v>
      </c>
    </row>
    <row r="744" spans="3:4">
      <c r="C744" s="415" t="s">
        <v>3390</v>
      </c>
      <c r="D744" s="416">
        <v>2</v>
      </c>
    </row>
    <row r="745" spans="3:4">
      <c r="C745" s="415" t="s">
        <v>3534</v>
      </c>
      <c r="D745" s="416">
        <v>34</v>
      </c>
    </row>
    <row r="746" spans="3:4">
      <c r="C746" s="415" t="s">
        <v>3383</v>
      </c>
      <c r="D746" s="416">
        <v>10</v>
      </c>
    </row>
    <row r="747" spans="3:4">
      <c r="C747" s="415" t="s">
        <v>3535</v>
      </c>
      <c r="D747" s="416">
        <v>12</v>
      </c>
    </row>
    <row r="748" spans="3:4">
      <c r="C748" s="415" t="s">
        <v>3382</v>
      </c>
      <c r="D748" s="416">
        <v>30</v>
      </c>
    </row>
    <row r="749" spans="3:4">
      <c r="C749" s="415" t="s">
        <v>3384</v>
      </c>
      <c r="D749" s="416">
        <v>8</v>
      </c>
    </row>
    <row r="750" spans="3:4">
      <c r="C750" s="415"/>
      <c r="D750" s="416"/>
    </row>
    <row r="751" spans="3:4">
      <c r="C751" s="415" t="s">
        <v>3523</v>
      </c>
      <c r="D751" s="416">
        <v>4</v>
      </c>
    </row>
    <row r="752" spans="3:4">
      <c r="C752" s="415" t="s">
        <v>3392</v>
      </c>
      <c r="D752" s="416">
        <v>6</v>
      </c>
    </row>
    <row r="753" spans="3:4">
      <c r="C753" s="415" t="s">
        <v>3391</v>
      </c>
      <c r="D753" s="416">
        <v>2</v>
      </c>
    </row>
    <row r="754" spans="3:4">
      <c r="C754" s="415" t="s">
        <v>3550</v>
      </c>
      <c r="D754" s="416">
        <v>6</v>
      </c>
    </row>
    <row r="755" spans="3:4">
      <c r="C755" s="415" t="s">
        <v>3767</v>
      </c>
      <c r="D755" s="416">
        <v>2</v>
      </c>
    </row>
    <row r="756" spans="3:4">
      <c r="C756" s="415" t="s">
        <v>3388</v>
      </c>
      <c r="D756" s="416">
        <v>2</v>
      </c>
    </row>
    <row r="757" spans="3:4">
      <c r="C757" s="415" t="s">
        <v>3768</v>
      </c>
      <c r="D757" s="416">
        <v>2</v>
      </c>
    </row>
    <row r="759" spans="3:4">
      <c r="C759" s="397" t="s">
        <v>3770</v>
      </c>
      <c r="D759" s="402" t="s">
        <v>1398</v>
      </c>
    </row>
    <row r="760" spans="3:4">
      <c r="C760" s="415" t="s">
        <v>3379</v>
      </c>
      <c r="D760" s="416">
        <v>14</v>
      </c>
    </row>
    <row r="761" spans="3:4">
      <c r="C761" s="415" t="s">
        <v>3533</v>
      </c>
      <c r="D761" s="416">
        <v>2</v>
      </c>
    </row>
    <row r="762" spans="3:4">
      <c r="C762" s="415" t="s">
        <v>3527</v>
      </c>
      <c r="D762" s="416">
        <v>18</v>
      </c>
    </row>
    <row r="763" spans="3:4">
      <c r="C763" s="415" t="s">
        <v>3378</v>
      </c>
      <c r="D763" s="416">
        <v>6</v>
      </c>
    </row>
    <row r="764" spans="3:4">
      <c r="C764" s="415"/>
      <c r="D764" s="416"/>
    </row>
    <row r="765" spans="3:4">
      <c r="C765" s="415" t="s">
        <v>3529</v>
      </c>
      <c r="D765" s="416">
        <v>4</v>
      </c>
    </row>
    <row r="766" spans="3:4">
      <c r="C766" s="415" t="s">
        <v>3534</v>
      </c>
      <c r="D766" s="416">
        <v>336</v>
      </c>
    </row>
    <row r="767" spans="3:4">
      <c r="C767" s="415" t="s">
        <v>3383</v>
      </c>
      <c r="D767" s="416">
        <v>34</v>
      </c>
    </row>
    <row r="768" spans="3:4">
      <c r="C768" s="415" t="s">
        <v>3535</v>
      </c>
      <c r="D768" s="416">
        <v>20</v>
      </c>
    </row>
    <row r="769" spans="3:4">
      <c r="C769" s="415" t="s">
        <v>3382</v>
      </c>
      <c r="D769" s="416">
        <v>306</v>
      </c>
    </row>
    <row r="770" spans="3:4">
      <c r="C770" s="415" t="s">
        <v>3386</v>
      </c>
      <c r="D770" s="416">
        <v>20</v>
      </c>
    </row>
    <row r="772" spans="3:4">
      <c r="C772" s="397" t="s">
        <v>3771</v>
      </c>
      <c r="D772" s="402" t="s">
        <v>1398</v>
      </c>
    </row>
    <row r="773" spans="3:4">
      <c r="C773" s="415" t="s">
        <v>3534</v>
      </c>
      <c r="D773" s="416">
        <v>280</v>
      </c>
    </row>
    <row r="774" spans="3:4">
      <c r="C774" s="415" t="s">
        <v>3382</v>
      </c>
      <c r="D774" s="416">
        <v>280</v>
      </c>
    </row>
    <row r="776" spans="3:4">
      <c r="C776" s="397" t="s">
        <v>3772</v>
      </c>
      <c r="D776" s="402" t="s">
        <v>1398</v>
      </c>
    </row>
    <row r="777" spans="3:4">
      <c r="C777" s="395" t="s">
        <v>3383</v>
      </c>
      <c r="D777" s="396">
        <v>2</v>
      </c>
    </row>
    <row r="778" spans="3:4">
      <c r="C778" s="395" t="s">
        <v>3535</v>
      </c>
      <c r="D778" s="396">
        <v>2</v>
      </c>
    </row>
    <row r="780" spans="3:4">
      <c r="C780" s="397" t="s">
        <v>3773</v>
      </c>
      <c r="D780" s="402" t="s">
        <v>1398</v>
      </c>
    </row>
    <row r="781" spans="3:4">
      <c r="C781" s="395" t="s">
        <v>3690</v>
      </c>
      <c r="D781" s="396">
        <v>2</v>
      </c>
    </row>
    <row r="782" spans="3:4">
      <c r="C782" s="395" t="s">
        <v>1991</v>
      </c>
      <c r="D782" s="396">
        <v>2</v>
      </c>
    </row>
    <row r="783" spans="3:4">
      <c r="C783" s="395" t="s">
        <v>3699</v>
      </c>
      <c r="D783" s="396">
        <v>2</v>
      </c>
    </row>
    <row r="785" spans="3:4">
      <c r="C785" s="397" t="s">
        <v>3774</v>
      </c>
      <c r="D785" s="402" t="s">
        <v>1398</v>
      </c>
    </row>
    <row r="786" spans="3:4">
      <c r="C786" s="395" t="s">
        <v>3564</v>
      </c>
      <c r="D786" s="396">
        <v>70</v>
      </c>
    </row>
    <row r="787" spans="3:4">
      <c r="C787" s="395" t="s">
        <v>3651</v>
      </c>
      <c r="D787" s="396">
        <v>70</v>
      </c>
    </row>
    <row r="788" spans="3:4">
      <c r="C788" s="504" t="s">
        <v>3779</v>
      </c>
      <c r="D788" s="505"/>
    </row>
    <row r="789" spans="3:4">
      <c r="C789" s="427" t="s">
        <v>3785</v>
      </c>
      <c r="D789" s="428"/>
    </row>
    <row r="790" spans="3:4">
      <c r="C790" s="397" t="s">
        <v>3778</v>
      </c>
      <c r="D790" s="402" t="s">
        <v>1398</v>
      </c>
    </row>
    <row r="791" spans="3:4">
      <c r="C791" s="395" t="s">
        <v>3685</v>
      </c>
      <c r="D791" s="396">
        <v>2</v>
      </c>
    </row>
    <row r="792" spans="3:4">
      <c r="C792" s="395" t="s">
        <v>3775</v>
      </c>
      <c r="D792" s="396">
        <v>2</v>
      </c>
    </row>
    <row r="793" spans="3:4">
      <c r="C793" s="395" t="s">
        <v>3776</v>
      </c>
      <c r="D793" s="396">
        <v>1</v>
      </c>
    </row>
    <row r="794" spans="3:4">
      <c r="C794" s="395" t="s">
        <v>3777</v>
      </c>
      <c r="D794" s="396">
        <v>1</v>
      </c>
    </row>
    <row r="795" spans="3:4">
      <c r="C795" s="397" t="s">
        <v>3780</v>
      </c>
      <c r="D795" s="402" t="s">
        <v>1398</v>
      </c>
    </row>
    <row r="796" spans="3:4">
      <c r="C796" s="395" t="s">
        <v>3528</v>
      </c>
      <c r="D796" s="396">
        <v>2</v>
      </c>
    </row>
    <row r="797" spans="3:4">
      <c r="C797" s="395" t="s">
        <v>3649</v>
      </c>
      <c r="D797" s="396">
        <v>2</v>
      </c>
    </row>
    <row r="798" spans="3:4">
      <c r="C798" s="395" t="s">
        <v>3552</v>
      </c>
      <c r="D798" s="396">
        <v>4</v>
      </c>
    </row>
    <row r="799" spans="3:4">
      <c r="C799" s="397" t="s">
        <v>3783</v>
      </c>
      <c r="D799" s="402" t="s">
        <v>1398</v>
      </c>
    </row>
    <row r="800" spans="3:4">
      <c r="C800" s="395" t="s">
        <v>3379</v>
      </c>
      <c r="D800" s="396">
        <v>2</v>
      </c>
    </row>
    <row r="801" spans="3:4">
      <c r="C801" s="395" t="s">
        <v>3533</v>
      </c>
      <c r="D801" s="396">
        <v>2</v>
      </c>
    </row>
    <row r="802" spans="3:4">
      <c r="C802" s="395" t="s">
        <v>3527</v>
      </c>
      <c r="D802" s="396">
        <v>2</v>
      </c>
    </row>
    <row r="803" spans="3:4">
      <c r="C803" s="395" t="s">
        <v>3781</v>
      </c>
      <c r="D803" s="396">
        <v>2</v>
      </c>
    </row>
    <row r="804" spans="3:4">
      <c r="C804" s="395"/>
      <c r="D804" s="396"/>
    </row>
    <row r="805" spans="3:4">
      <c r="C805" s="395" t="s">
        <v>3529</v>
      </c>
      <c r="D805" s="396">
        <v>8</v>
      </c>
    </row>
    <row r="806" spans="3:4">
      <c r="C806" s="395" t="s">
        <v>3390</v>
      </c>
      <c r="D806" s="396">
        <v>6</v>
      </c>
    </row>
    <row r="807" spans="3:4">
      <c r="C807" s="395" t="s">
        <v>3535</v>
      </c>
      <c r="D807" s="396">
        <v>2</v>
      </c>
    </row>
    <row r="808" spans="3:4">
      <c r="C808" s="395" t="s">
        <v>3384</v>
      </c>
      <c r="D808" s="396">
        <v>2</v>
      </c>
    </row>
    <row r="809" spans="3:4">
      <c r="C809" s="395" t="s">
        <v>3386</v>
      </c>
      <c r="D809" s="396">
        <v>2</v>
      </c>
    </row>
    <row r="810" spans="3:4">
      <c r="C810" s="395" t="s">
        <v>3691</v>
      </c>
      <c r="D810" s="396">
        <v>2</v>
      </c>
    </row>
    <row r="811" spans="3:4">
      <c r="C811" s="395" t="s">
        <v>3724</v>
      </c>
      <c r="D811" s="396">
        <v>2</v>
      </c>
    </row>
    <row r="812" spans="3:4">
      <c r="C812" s="395"/>
      <c r="D812" s="396"/>
    </row>
    <row r="813" spans="3:4">
      <c r="C813" s="395" t="s">
        <v>3729</v>
      </c>
      <c r="D813" s="396">
        <v>2</v>
      </c>
    </row>
    <row r="814" spans="3:4">
      <c r="C814" s="395" t="s">
        <v>3782</v>
      </c>
      <c r="D814" s="396">
        <v>2</v>
      </c>
    </row>
    <row r="815" spans="3:4">
      <c r="C815" s="397" t="s">
        <v>3784</v>
      </c>
      <c r="D815" s="402" t="s">
        <v>1398</v>
      </c>
    </row>
    <row r="816" spans="3:4">
      <c r="C816" s="395" t="s">
        <v>3379</v>
      </c>
      <c r="D816" s="396">
        <v>6</v>
      </c>
    </row>
    <row r="817" spans="3:4">
      <c r="C817" s="395" t="s">
        <v>3533</v>
      </c>
      <c r="D817" s="396">
        <v>10</v>
      </c>
    </row>
    <row r="818" spans="3:4">
      <c r="C818" s="395" t="s">
        <v>3378</v>
      </c>
      <c r="D818" s="396">
        <v>4</v>
      </c>
    </row>
    <row r="819" spans="3:4">
      <c r="C819" s="395"/>
      <c r="D819" s="396"/>
    </row>
    <row r="820" spans="3:4">
      <c r="C820" s="395" t="s">
        <v>3529</v>
      </c>
      <c r="D820" s="396">
        <v>2</v>
      </c>
    </row>
    <row r="821" spans="3:4">
      <c r="C821" s="395" t="s">
        <v>3383</v>
      </c>
      <c r="D821" s="396">
        <v>8</v>
      </c>
    </row>
    <row r="822" spans="3:4">
      <c r="C822" s="395" t="s">
        <v>3535</v>
      </c>
      <c r="D822" s="396">
        <v>14</v>
      </c>
    </row>
    <row r="823" spans="3:4">
      <c r="C823" s="395" t="s">
        <v>3382</v>
      </c>
      <c r="D823" s="396">
        <v>8</v>
      </c>
    </row>
    <row r="824" spans="3:4">
      <c r="C824" s="395"/>
      <c r="D824" s="396"/>
    </row>
    <row r="825" spans="3:4">
      <c r="C825" s="395" t="s">
        <v>3523</v>
      </c>
      <c r="D825" s="396">
        <v>2</v>
      </c>
    </row>
    <row r="826" spans="3:4">
      <c r="C826" s="395" t="s">
        <v>3392</v>
      </c>
      <c r="D826" s="396">
        <v>2</v>
      </c>
    </row>
    <row r="827" spans="3:4">
      <c r="C827" s="397" t="s">
        <v>3786</v>
      </c>
      <c r="D827" s="402" t="s">
        <v>1398</v>
      </c>
    </row>
    <row r="828" spans="3:4">
      <c r="C828" s="395" t="s">
        <v>3529</v>
      </c>
      <c r="D828" s="396">
        <v>20</v>
      </c>
    </row>
    <row r="829" spans="3:4">
      <c r="C829" s="395" t="s">
        <v>3534</v>
      </c>
      <c r="D829" s="396">
        <v>26</v>
      </c>
    </row>
    <row r="830" spans="3:4">
      <c r="C830" s="395" t="s">
        <v>3384</v>
      </c>
      <c r="D830" s="396">
        <v>46</v>
      </c>
    </row>
    <row r="832" spans="3:4">
      <c r="C832" s="397" t="s">
        <v>3790</v>
      </c>
      <c r="D832" s="402" t="s">
        <v>1398</v>
      </c>
    </row>
    <row r="833" spans="3:4">
      <c r="C833" s="395" t="s">
        <v>3543</v>
      </c>
      <c r="D833" s="396">
        <v>4</v>
      </c>
    </row>
    <row r="834" spans="3:4">
      <c r="C834" s="395" t="s">
        <v>3379</v>
      </c>
      <c r="D834" s="396">
        <v>36</v>
      </c>
    </row>
    <row r="835" spans="3:4">
      <c r="C835" s="395" t="s">
        <v>3533</v>
      </c>
      <c r="D835" s="396">
        <v>26</v>
      </c>
    </row>
    <row r="836" spans="3:4">
      <c r="C836" s="395" t="s">
        <v>3527</v>
      </c>
      <c r="D836" s="396">
        <v>54</v>
      </c>
    </row>
    <row r="837" spans="3:4">
      <c r="C837" s="395" t="s">
        <v>3378</v>
      </c>
      <c r="D837" s="396">
        <v>36</v>
      </c>
    </row>
    <row r="838" spans="3:4">
      <c r="C838" s="395" t="s">
        <v>3389</v>
      </c>
      <c r="D838" s="396">
        <v>10</v>
      </c>
    </row>
    <row r="839" spans="3:4">
      <c r="C839" s="395" t="s">
        <v>3381</v>
      </c>
      <c r="D839" s="396">
        <v>2</v>
      </c>
    </row>
    <row r="840" spans="3:4">
      <c r="C840" s="395"/>
      <c r="D840" s="396"/>
    </row>
    <row r="841" spans="3:4">
      <c r="C841" s="395" t="s">
        <v>3529</v>
      </c>
      <c r="D841" s="396">
        <v>82</v>
      </c>
    </row>
    <row r="842" spans="3:4">
      <c r="C842" s="395" t="s">
        <v>3390</v>
      </c>
      <c r="D842" s="396">
        <v>6</v>
      </c>
    </row>
    <row r="843" spans="3:4">
      <c r="C843" s="395" t="s">
        <v>3534</v>
      </c>
      <c r="D843" s="396">
        <v>8</v>
      </c>
    </row>
    <row r="844" spans="3:4">
      <c r="C844" s="395" t="s">
        <v>3383</v>
      </c>
      <c r="D844" s="396">
        <v>24</v>
      </c>
    </row>
    <row r="845" spans="3:4">
      <c r="C845" s="395" t="s">
        <v>3535</v>
      </c>
      <c r="D845" s="396">
        <v>54</v>
      </c>
    </row>
    <row r="846" spans="3:4">
      <c r="C846" s="395" t="s">
        <v>3382</v>
      </c>
      <c r="D846" s="396">
        <v>54</v>
      </c>
    </row>
    <row r="847" spans="3:4">
      <c r="C847" s="395" t="s">
        <v>3384</v>
      </c>
      <c r="D847" s="396">
        <v>2</v>
      </c>
    </row>
    <row r="848" spans="3:4">
      <c r="C848" s="395" t="s">
        <v>3386</v>
      </c>
      <c r="D848" s="396">
        <v>62</v>
      </c>
    </row>
    <row r="849" spans="3:4">
      <c r="C849" s="395" t="s">
        <v>3574</v>
      </c>
      <c r="D849" s="396">
        <v>2</v>
      </c>
    </row>
    <row r="850" spans="3:4">
      <c r="C850" s="395" t="s">
        <v>3549</v>
      </c>
      <c r="D850" s="396">
        <v>2</v>
      </c>
    </row>
    <row r="851" spans="3:4">
      <c r="C851" s="395" t="s">
        <v>3612</v>
      </c>
      <c r="D851" s="396">
        <v>2</v>
      </c>
    </row>
    <row r="852" spans="3:4">
      <c r="C852" s="395" t="s">
        <v>3787</v>
      </c>
      <c r="D852" s="396">
        <v>2</v>
      </c>
    </row>
    <row r="853" spans="3:4">
      <c r="C853" s="395" t="s">
        <v>3788</v>
      </c>
      <c r="D853" s="396">
        <v>2</v>
      </c>
    </row>
    <row r="854" spans="3:4">
      <c r="C854" s="395" t="s">
        <v>3789</v>
      </c>
      <c r="D854" s="396">
        <v>2</v>
      </c>
    </row>
    <row r="855" spans="3:4">
      <c r="C855" s="395"/>
      <c r="D855" s="396"/>
    </row>
    <row r="856" spans="3:4">
      <c r="C856" s="395" t="s">
        <v>3524</v>
      </c>
      <c r="D856" s="396">
        <v>2</v>
      </c>
    </row>
    <row r="857" spans="3:4">
      <c r="C857" s="395" t="s">
        <v>3394</v>
      </c>
      <c r="D857" s="396">
        <v>2</v>
      </c>
    </row>
    <row r="858" spans="3:4">
      <c r="C858" s="506" t="s">
        <v>3796</v>
      </c>
      <c r="D858" s="507"/>
    </row>
    <row r="859" spans="3:4">
      <c r="C859" s="397" t="s">
        <v>3545</v>
      </c>
      <c r="D859" s="402" t="s">
        <v>1398</v>
      </c>
    </row>
    <row r="860" spans="3:4">
      <c r="C860" s="395" t="s">
        <v>3543</v>
      </c>
      <c r="D860" s="396">
        <v>4</v>
      </c>
    </row>
    <row r="861" spans="3:4">
      <c r="C861" s="395" t="s">
        <v>3379</v>
      </c>
      <c r="D861" s="396">
        <v>30</v>
      </c>
    </row>
    <row r="862" spans="3:4">
      <c r="C862" s="395" t="s">
        <v>3533</v>
      </c>
      <c r="D862" s="396">
        <v>34</v>
      </c>
    </row>
    <row r="863" spans="3:4">
      <c r="C863" s="395" t="s">
        <v>3527</v>
      </c>
      <c r="D863" s="396">
        <v>50</v>
      </c>
    </row>
    <row r="864" spans="3:4">
      <c r="C864" s="395" t="s">
        <v>3378</v>
      </c>
      <c r="D864" s="396">
        <v>50</v>
      </c>
    </row>
    <row r="865" spans="3:4">
      <c r="C865" s="395" t="s">
        <v>3389</v>
      </c>
      <c r="D865" s="396">
        <v>8</v>
      </c>
    </row>
    <row r="866" spans="3:4">
      <c r="C866" s="395" t="s">
        <v>3793</v>
      </c>
      <c r="D866" s="396">
        <v>2</v>
      </c>
    </row>
    <row r="867" spans="3:4">
      <c r="C867" s="395" t="s">
        <v>3794</v>
      </c>
      <c r="D867" s="396">
        <v>2</v>
      </c>
    </row>
    <row r="868" spans="3:4">
      <c r="C868" s="395"/>
      <c r="D868" s="396"/>
    </row>
    <row r="869" spans="3:4">
      <c r="C869" s="395" t="s">
        <v>3529</v>
      </c>
      <c r="D869" s="396">
        <v>30</v>
      </c>
    </row>
    <row r="870" spans="3:4">
      <c r="C870" s="395" t="s">
        <v>3534</v>
      </c>
      <c r="D870" s="396">
        <v>62</v>
      </c>
    </row>
    <row r="871" spans="3:4">
      <c r="C871" s="395" t="s">
        <v>3383</v>
      </c>
      <c r="D871" s="396">
        <v>100</v>
      </c>
    </row>
    <row r="872" spans="3:4">
      <c r="C872" s="395" t="s">
        <v>3535</v>
      </c>
      <c r="D872" s="396">
        <v>62</v>
      </c>
    </row>
    <row r="873" spans="3:4">
      <c r="C873" s="395" t="s">
        <v>3382</v>
      </c>
      <c r="D873" s="396">
        <v>18</v>
      </c>
    </row>
    <row r="874" spans="3:4">
      <c r="C874" s="395" t="s">
        <v>3384</v>
      </c>
      <c r="D874" s="396">
        <v>4</v>
      </c>
    </row>
    <row r="875" spans="3:4">
      <c r="C875" s="395" t="s">
        <v>3386</v>
      </c>
      <c r="D875" s="396">
        <v>30</v>
      </c>
    </row>
    <row r="876" spans="3:4">
      <c r="C876" s="395" t="s">
        <v>3795</v>
      </c>
      <c r="D876" s="396">
        <v>2</v>
      </c>
    </row>
    <row r="878" spans="3:4">
      <c r="C878" s="397" t="s">
        <v>3799</v>
      </c>
      <c r="D878" s="402" t="s">
        <v>1398</v>
      </c>
    </row>
    <row r="879" spans="3:4">
      <c r="C879" s="395" t="s">
        <v>3797</v>
      </c>
      <c r="D879" s="396">
        <v>2</v>
      </c>
    </row>
    <row r="880" spans="3:4">
      <c r="C880" s="395" t="s">
        <v>1987</v>
      </c>
      <c r="D880" s="396">
        <v>2</v>
      </c>
    </row>
    <row r="881" spans="3:4">
      <c r="C881" s="395" t="s">
        <v>3798</v>
      </c>
      <c r="D881" s="396">
        <v>2</v>
      </c>
    </row>
    <row r="882" spans="3:4">
      <c r="C882" s="397" t="s">
        <v>3799</v>
      </c>
      <c r="D882" s="402" t="s">
        <v>1398</v>
      </c>
    </row>
    <row r="883" spans="3:4">
      <c r="C883" s="395" t="s">
        <v>3749</v>
      </c>
      <c r="D883" s="396">
        <v>2</v>
      </c>
    </row>
    <row r="884" spans="3:4">
      <c r="C884" s="395" t="s">
        <v>1953</v>
      </c>
      <c r="D884" s="396">
        <v>2</v>
      </c>
    </row>
    <row r="885" spans="3:4">
      <c r="C885" s="395"/>
      <c r="D885" s="396"/>
    </row>
    <row r="886" spans="3:4">
      <c r="C886" s="395" t="s">
        <v>3750</v>
      </c>
      <c r="D886" s="396">
        <v>1</v>
      </c>
    </row>
    <row r="887" spans="3:4">
      <c r="C887" s="395" t="s">
        <v>3751</v>
      </c>
      <c r="D887" s="396">
        <v>1</v>
      </c>
    </row>
    <row r="888" spans="3:4">
      <c r="C888" s="397" t="s">
        <v>3802</v>
      </c>
      <c r="D888" s="402" t="s">
        <v>1398</v>
      </c>
    </row>
    <row r="889" spans="3:4">
      <c r="C889" s="395" t="s">
        <v>3649</v>
      </c>
      <c r="D889" s="396">
        <v>2</v>
      </c>
    </row>
    <row r="890" spans="3:4">
      <c r="C890" s="395" t="s">
        <v>3552</v>
      </c>
      <c r="D890" s="396">
        <v>2</v>
      </c>
    </row>
    <row r="891" spans="3:4">
      <c r="C891" s="395"/>
      <c r="D891" s="396"/>
    </row>
    <row r="892" spans="3:4">
      <c r="C892" s="395" t="s">
        <v>3383</v>
      </c>
      <c r="D892" s="396">
        <v>8</v>
      </c>
    </row>
    <row r="893" spans="3:4">
      <c r="C893" s="395" t="s">
        <v>3535</v>
      </c>
      <c r="D893" s="396">
        <v>4</v>
      </c>
    </row>
    <row r="894" spans="3:4">
      <c r="C894" s="395" t="s">
        <v>3382</v>
      </c>
      <c r="D894" s="396">
        <v>2</v>
      </c>
    </row>
    <row r="895" spans="3:4">
      <c r="C895" s="395" t="s">
        <v>3549</v>
      </c>
      <c r="D895" s="396">
        <v>6</v>
      </c>
    </row>
    <row r="897" spans="3:4">
      <c r="C897" s="415" t="s">
        <v>3804</v>
      </c>
      <c r="D897" s="416"/>
    </row>
    <row r="898" spans="3:4">
      <c r="C898" s="415" t="s">
        <v>3384</v>
      </c>
      <c r="D898" s="416">
        <v>200</v>
      </c>
    </row>
    <row r="899" spans="3:4">
      <c r="C899" s="415" t="s">
        <v>3529</v>
      </c>
      <c r="D899" s="416">
        <v>200</v>
      </c>
    </row>
    <row r="900" spans="3:4">
      <c r="C900" s="415"/>
      <c r="D900" s="416"/>
    </row>
    <row r="901" spans="3:4">
      <c r="C901" s="415"/>
      <c r="D901" s="416"/>
    </row>
    <row r="902" spans="3:4">
      <c r="C902" s="415" t="s">
        <v>3384</v>
      </c>
      <c r="D902" s="416">
        <v>100</v>
      </c>
    </row>
    <row r="903" spans="3:4">
      <c r="C903" s="415" t="s">
        <v>3534</v>
      </c>
      <c r="D903" s="416">
        <v>100</v>
      </c>
    </row>
    <row r="906" spans="3:4">
      <c r="C906" s="397" t="s">
        <v>3093</v>
      </c>
      <c r="D906" s="402" t="s">
        <v>1398</v>
      </c>
    </row>
    <row r="907" spans="3:4">
      <c r="C907" s="415" t="s">
        <v>3805</v>
      </c>
      <c r="D907" s="416">
        <v>28</v>
      </c>
    </row>
    <row r="908" spans="3:4">
      <c r="C908" s="415" t="s">
        <v>3806</v>
      </c>
      <c r="D908" s="416">
        <v>32</v>
      </c>
    </row>
    <row r="909" spans="3:4">
      <c r="C909" s="415" t="s">
        <v>3807</v>
      </c>
      <c r="D909" s="416">
        <v>4</v>
      </c>
    </row>
    <row r="910" spans="3:4">
      <c r="C910" s="415"/>
      <c r="D910" s="416"/>
    </row>
    <row r="911" spans="3:4">
      <c r="C911" s="415" t="s">
        <v>3534</v>
      </c>
      <c r="D911" s="416">
        <v>2</v>
      </c>
    </row>
    <row r="912" spans="3:4">
      <c r="C912" s="415" t="s">
        <v>3383</v>
      </c>
      <c r="D912" s="416">
        <v>2</v>
      </c>
    </row>
    <row r="913" spans="3:4">
      <c r="C913" s="415" t="s">
        <v>3574</v>
      </c>
      <c r="D913" s="416">
        <v>2</v>
      </c>
    </row>
    <row r="914" spans="3:4">
      <c r="C914" s="415" t="s">
        <v>3385</v>
      </c>
      <c r="D914" s="416">
        <v>2</v>
      </c>
    </row>
    <row r="915" spans="3:4">
      <c r="C915" s="415" t="s">
        <v>3789</v>
      </c>
      <c r="D915" s="416">
        <v>2</v>
      </c>
    </row>
    <row r="916" spans="3:4">
      <c r="C916" s="415" t="s">
        <v>3808</v>
      </c>
      <c r="D916" s="416">
        <v>2</v>
      </c>
    </row>
    <row r="917" spans="3:4">
      <c r="C917" s="415"/>
      <c r="D917" s="416"/>
    </row>
    <row r="918" spans="3:4">
      <c r="C918" s="415" t="s">
        <v>3550</v>
      </c>
      <c r="D918" s="416">
        <v>4</v>
      </c>
    </row>
    <row r="919" spans="3:4">
      <c r="C919" s="415" t="s">
        <v>3809</v>
      </c>
      <c r="D919" s="416">
        <v>4</v>
      </c>
    </row>
    <row r="922" spans="3:4">
      <c r="C922" s="397" t="s">
        <v>3810</v>
      </c>
      <c r="D922" s="402" t="s">
        <v>1398</v>
      </c>
    </row>
    <row r="923" spans="3:4">
      <c r="C923" s="395" t="s">
        <v>3534</v>
      </c>
      <c r="D923" s="396">
        <v>200</v>
      </c>
    </row>
    <row r="924" spans="3:4">
      <c r="C924" s="395" t="s">
        <v>3384</v>
      </c>
      <c r="D924" s="396">
        <v>200</v>
      </c>
    </row>
    <row r="926" spans="3:4">
      <c r="C926" s="397" t="s">
        <v>3811</v>
      </c>
      <c r="D926" s="402" t="s">
        <v>1398</v>
      </c>
    </row>
    <row r="927" spans="3:4">
      <c r="C927" s="397" t="s">
        <v>3812</v>
      </c>
      <c r="D927" s="402"/>
    </row>
    <row r="928" spans="3:4">
      <c r="C928" s="395" t="s">
        <v>3716</v>
      </c>
      <c r="D928" s="396">
        <v>2</v>
      </c>
    </row>
    <row r="929" spans="3:4">
      <c r="C929" s="395" t="s">
        <v>3717</v>
      </c>
      <c r="D929" s="396">
        <v>2</v>
      </c>
    </row>
    <row r="930" spans="3:4">
      <c r="C930" s="395"/>
      <c r="D930" s="396"/>
    </row>
    <row r="931" spans="3:4">
      <c r="C931" s="395" t="s">
        <v>3383</v>
      </c>
      <c r="D931" s="396">
        <v>4</v>
      </c>
    </row>
    <row r="932" spans="3:4">
      <c r="C932" s="395" t="s">
        <v>3535</v>
      </c>
      <c r="D932" s="396">
        <v>8</v>
      </c>
    </row>
    <row r="933" spans="3:4">
      <c r="C933" s="395" t="s">
        <v>3382</v>
      </c>
      <c r="D933" s="396">
        <v>4</v>
      </c>
    </row>
    <row r="934" spans="3:4">
      <c r="C934" s="395" t="s">
        <v>3523</v>
      </c>
      <c r="D934" s="396">
        <v>2</v>
      </c>
    </row>
    <row r="935" spans="3:4">
      <c r="C935" s="395" t="s">
        <v>3392</v>
      </c>
      <c r="D935" s="396">
        <v>2</v>
      </c>
    </row>
    <row r="936" spans="3:4">
      <c r="C936" s="397" t="s">
        <v>3818</v>
      </c>
      <c r="D936" s="402" t="s">
        <v>1398</v>
      </c>
    </row>
    <row r="937" spans="3:4">
      <c r="C937" s="395" t="s">
        <v>3716</v>
      </c>
      <c r="D937" s="396">
        <v>6</v>
      </c>
    </row>
    <row r="938" spans="3:4">
      <c r="C938" s="395" t="s">
        <v>3717</v>
      </c>
      <c r="D938" s="396">
        <v>4</v>
      </c>
    </row>
    <row r="939" spans="3:4">
      <c r="C939" s="395" t="s">
        <v>3648</v>
      </c>
      <c r="D939" s="396">
        <v>2</v>
      </c>
    </row>
    <row r="940" spans="3:4">
      <c r="C940" s="395"/>
      <c r="D940" s="396"/>
    </row>
    <row r="941" spans="3:4">
      <c r="C941" s="395" t="s">
        <v>3379</v>
      </c>
      <c r="D941" s="396">
        <v>2</v>
      </c>
    </row>
    <row r="942" spans="3:4">
      <c r="C942" s="395" t="s">
        <v>3533</v>
      </c>
      <c r="D942" s="396">
        <v>4</v>
      </c>
    </row>
    <row r="943" spans="3:4">
      <c r="C943" s="395" t="s">
        <v>3527</v>
      </c>
      <c r="D943" s="396">
        <v>4</v>
      </c>
    </row>
    <row r="944" spans="3:4">
      <c r="C944" s="395" t="s">
        <v>3378</v>
      </c>
      <c r="D944" s="396">
        <v>6</v>
      </c>
    </row>
    <row r="945" spans="3:4">
      <c r="C945" s="395"/>
      <c r="D945" s="396"/>
    </row>
    <row r="946" spans="3:4">
      <c r="C946" s="395" t="s">
        <v>3528</v>
      </c>
      <c r="D946" s="396">
        <v>6</v>
      </c>
    </row>
    <row r="947" spans="3:4">
      <c r="C947" s="395" t="s">
        <v>3649</v>
      </c>
      <c r="D947" s="396">
        <v>8</v>
      </c>
    </row>
    <row r="948" spans="3:4">
      <c r="C948" s="395" t="s">
        <v>3560</v>
      </c>
      <c r="D948" s="396">
        <v>4</v>
      </c>
    </row>
    <row r="949" spans="3:4">
      <c r="C949" s="395" t="s">
        <v>3552</v>
      </c>
      <c r="D949" s="396">
        <v>10</v>
      </c>
    </row>
    <row r="950" spans="3:4">
      <c r="C950" s="395"/>
      <c r="D950" s="396"/>
    </row>
    <row r="951" spans="3:4">
      <c r="C951" s="395" t="s">
        <v>3529</v>
      </c>
      <c r="D951" s="396">
        <v>2</v>
      </c>
    </row>
    <row r="952" spans="3:4">
      <c r="C952" s="395" t="s">
        <v>3534</v>
      </c>
      <c r="D952" s="396">
        <v>26</v>
      </c>
    </row>
    <row r="953" spans="3:4">
      <c r="C953" s="395" t="s">
        <v>3383</v>
      </c>
      <c r="D953" s="396">
        <v>38</v>
      </c>
    </row>
    <row r="954" spans="3:4">
      <c r="C954" s="395" t="s">
        <v>3535</v>
      </c>
      <c r="D954" s="396">
        <v>36</v>
      </c>
    </row>
    <row r="955" spans="3:4">
      <c r="C955" s="395" t="s">
        <v>3382</v>
      </c>
      <c r="D955" s="396">
        <v>24</v>
      </c>
    </row>
    <row r="956" spans="3:4">
      <c r="C956" s="395" t="s">
        <v>3384</v>
      </c>
      <c r="D956" s="396">
        <v>2</v>
      </c>
    </row>
    <row r="957" spans="3:4">
      <c r="C957" s="395" t="s">
        <v>3386</v>
      </c>
      <c r="D957" s="396">
        <v>2</v>
      </c>
    </row>
    <row r="958" spans="3:4">
      <c r="C958" s="395" t="s">
        <v>3813</v>
      </c>
      <c r="D958" s="396">
        <v>2</v>
      </c>
    </row>
    <row r="959" spans="3:4">
      <c r="C959" s="395" t="s">
        <v>3814</v>
      </c>
      <c r="D959" s="396">
        <v>2</v>
      </c>
    </row>
    <row r="960" spans="3:4">
      <c r="C960" s="395" t="s">
        <v>3815</v>
      </c>
      <c r="D960" s="396">
        <v>2</v>
      </c>
    </row>
    <row r="961" spans="3:4">
      <c r="C961" s="395"/>
      <c r="D961" s="396"/>
    </row>
    <row r="962" spans="3:4">
      <c r="C962" s="395" t="s">
        <v>3682</v>
      </c>
      <c r="D962" s="396">
        <v>2</v>
      </c>
    </row>
    <row r="963" spans="3:4">
      <c r="C963" s="395" t="s">
        <v>3816</v>
      </c>
      <c r="D963" s="396">
        <v>2</v>
      </c>
    </row>
    <row r="964" spans="3:4">
      <c r="C964" s="395" t="s">
        <v>3817</v>
      </c>
      <c r="D964" s="396">
        <v>4</v>
      </c>
    </row>
    <row r="965" spans="3:4">
      <c r="C965" s="395"/>
      <c r="D965" s="396"/>
    </row>
    <row r="966" spans="3:4">
      <c r="C966" s="395" t="s">
        <v>3523</v>
      </c>
      <c r="D966" s="396">
        <v>2</v>
      </c>
    </row>
    <row r="967" spans="3:4">
      <c r="C967" s="395" t="s">
        <v>3531</v>
      </c>
      <c r="D967" s="396">
        <v>16</v>
      </c>
    </row>
    <row r="968" spans="3:4">
      <c r="C968" s="395" t="s">
        <v>3391</v>
      </c>
      <c r="D968" s="396">
        <v>18</v>
      </c>
    </row>
    <row r="969" spans="3:4">
      <c r="C969" s="395" t="s">
        <v>3436</v>
      </c>
      <c r="D969" s="396">
        <v>2</v>
      </c>
    </row>
    <row r="970" spans="3:4">
      <c r="C970" s="395" t="s">
        <v>3550</v>
      </c>
      <c r="D970" s="396">
        <v>2</v>
      </c>
    </row>
    <row r="972" spans="3:4">
      <c r="C972" s="397" t="s">
        <v>3824</v>
      </c>
      <c r="D972" s="402" t="s">
        <v>1398</v>
      </c>
    </row>
    <row r="973" spans="3:4">
      <c r="C973" s="395" t="s">
        <v>3820</v>
      </c>
      <c r="D973" s="396">
        <v>4</v>
      </c>
    </row>
    <row r="974" spans="3:4">
      <c r="C974" s="395" t="s">
        <v>3821</v>
      </c>
      <c r="D974" s="396">
        <v>4</v>
      </c>
    </row>
    <row r="975" spans="3:4">
      <c r="C975" s="395"/>
      <c r="D975" s="396"/>
    </row>
    <row r="976" spans="3:4">
      <c r="C976" s="395" t="s">
        <v>3382</v>
      </c>
      <c r="D976" s="396">
        <v>2</v>
      </c>
    </row>
    <row r="977" spans="3:4">
      <c r="C977" s="395" t="s">
        <v>3822</v>
      </c>
      <c r="D977" s="396">
        <v>2</v>
      </c>
    </row>
    <row r="978" spans="3:4">
      <c r="C978" s="395"/>
      <c r="D978" s="396"/>
    </row>
    <row r="979" spans="3:4">
      <c r="C979" s="395" t="s">
        <v>3531</v>
      </c>
      <c r="D979" s="396">
        <v>2</v>
      </c>
    </row>
    <row r="980" spans="3:4">
      <c r="C980" s="395" t="s">
        <v>3391</v>
      </c>
      <c r="D980" s="396">
        <v>8</v>
      </c>
    </row>
    <row r="981" spans="3:4">
      <c r="C981" s="395" t="s">
        <v>3550</v>
      </c>
      <c r="D981" s="396">
        <v>4</v>
      </c>
    </row>
    <row r="982" spans="3:4">
      <c r="C982" s="395" t="s">
        <v>3551</v>
      </c>
      <c r="D982" s="396">
        <v>4</v>
      </c>
    </row>
    <row r="983" spans="3:4">
      <c r="C983" s="395" t="s">
        <v>3823</v>
      </c>
      <c r="D983" s="396">
        <v>2</v>
      </c>
    </row>
    <row r="984" spans="3:4">
      <c r="C984" s="397" t="s">
        <v>3825</v>
      </c>
      <c r="D984" s="402" t="s">
        <v>1398</v>
      </c>
    </row>
    <row r="985" spans="3:4">
      <c r="C985" s="397" t="s">
        <v>3592</v>
      </c>
      <c r="D985" s="402"/>
    </row>
    <row r="986" spans="3:4">
      <c r="C986" s="395" t="s">
        <v>3543</v>
      </c>
      <c r="D986" s="396">
        <v>16</v>
      </c>
    </row>
    <row r="987" spans="3:4">
      <c r="C987" s="395" t="s">
        <v>3379</v>
      </c>
      <c r="D987" s="396">
        <v>8</v>
      </c>
    </row>
    <row r="988" spans="3:4">
      <c r="C988" s="395" t="s">
        <v>3533</v>
      </c>
      <c r="D988" s="396">
        <v>24</v>
      </c>
    </row>
    <row r="989" spans="3:4">
      <c r="C989" s="395" t="s">
        <v>3378</v>
      </c>
      <c r="D989" s="396">
        <v>16</v>
      </c>
    </row>
    <row r="990" spans="3:4">
      <c r="C990" s="395" t="s">
        <v>3389</v>
      </c>
      <c r="D990" s="396">
        <v>8</v>
      </c>
    </row>
    <row r="991" spans="3:4">
      <c r="C991" s="395" t="s">
        <v>3455</v>
      </c>
      <c r="D991" s="396">
        <v>8</v>
      </c>
    </row>
    <row r="992" spans="3:4">
      <c r="C992" s="395"/>
      <c r="D992" s="396"/>
    </row>
    <row r="993" spans="3:4">
      <c r="C993" s="395" t="s">
        <v>3529</v>
      </c>
      <c r="D993" s="396">
        <v>14</v>
      </c>
    </row>
    <row r="994" spans="3:4">
      <c r="C994" s="395" t="s">
        <v>3390</v>
      </c>
      <c r="D994" s="396">
        <v>8</v>
      </c>
    </row>
    <row r="995" spans="3:4">
      <c r="C995" s="395" t="s">
        <v>3534</v>
      </c>
      <c r="D995" s="396">
        <v>52</v>
      </c>
    </row>
    <row r="996" spans="3:4">
      <c r="C996" s="395" t="s">
        <v>3383</v>
      </c>
      <c r="D996" s="396">
        <v>50</v>
      </c>
    </row>
    <row r="997" spans="3:4">
      <c r="C997" s="395" t="s">
        <v>3535</v>
      </c>
      <c r="D997" s="396">
        <v>40</v>
      </c>
    </row>
    <row r="998" spans="3:4">
      <c r="C998" s="395" t="s">
        <v>3382</v>
      </c>
      <c r="D998" s="396">
        <v>40</v>
      </c>
    </row>
    <row r="999" spans="3:4">
      <c r="C999" s="395" t="s">
        <v>3386</v>
      </c>
      <c r="D999" s="396">
        <v>8</v>
      </c>
    </row>
    <row r="1000" spans="3:4">
      <c r="C1000" s="395" t="s">
        <v>3555</v>
      </c>
      <c r="D1000" s="396">
        <v>2</v>
      </c>
    </row>
    <row r="1001" spans="3:4">
      <c r="C1001" s="395" t="s">
        <v>3691</v>
      </c>
      <c r="D1001" s="396">
        <v>2</v>
      </c>
    </row>
    <row r="1002" spans="3:4">
      <c r="C1002" s="397" t="s">
        <v>3829</v>
      </c>
      <c r="D1002" s="402" t="s">
        <v>1398</v>
      </c>
    </row>
    <row r="1003" spans="3:4">
      <c r="C1003" s="397" t="s">
        <v>3830</v>
      </c>
      <c r="D1003" s="402"/>
    </row>
    <row r="1004" spans="3:4">
      <c r="C1004" s="395" t="s">
        <v>3543</v>
      </c>
      <c r="D1004" s="396">
        <v>2</v>
      </c>
    </row>
    <row r="1005" spans="3:4">
      <c r="C1005" s="395" t="s">
        <v>3379</v>
      </c>
      <c r="D1005" s="396">
        <v>2</v>
      </c>
    </row>
    <row r="1006" spans="3:4">
      <c r="C1006" s="395" t="s">
        <v>3527</v>
      </c>
      <c r="D1006" s="396">
        <v>2</v>
      </c>
    </row>
    <row r="1007" spans="3:4">
      <c r="C1007" s="395" t="s">
        <v>3380</v>
      </c>
      <c r="D1007" s="396">
        <v>2</v>
      </c>
    </row>
    <row r="1008" spans="3:4">
      <c r="C1008" s="395"/>
      <c r="D1008" s="396"/>
    </row>
    <row r="1009" spans="3:4">
      <c r="C1009" s="395" t="s">
        <v>3534</v>
      </c>
      <c r="D1009" s="396">
        <v>6</v>
      </c>
    </row>
    <row r="1010" spans="3:4">
      <c r="C1010" s="395" t="s">
        <v>3383</v>
      </c>
      <c r="D1010" s="396">
        <v>14</v>
      </c>
    </row>
    <row r="1011" spans="3:4">
      <c r="C1011" s="395" t="s">
        <v>3535</v>
      </c>
      <c r="D1011" s="396">
        <v>16</v>
      </c>
    </row>
    <row r="1012" spans="3:4">
      <c r="C1012" s="395" t="s">
        <v>3382</v>
      </c>
      <c r="D1012" s="396">
        <v>12</v>
      </c>
    </row>
    <row r="1013" spans="3:4">
      <c r="C1013" s="395" t="s">
        <v>3574</v>
      </c>
      <c r="D1013" s="396">
        <v>2</v>
      </c>
    </row>
    <row r="1014" spans="3:4">
      <c r="C1014" s="395" t="s">
        <v>3385</v>
      </c>
      <c r="D1014" s="396">
        <v>2</v>
      </c>
    </row>
    <row r="1015" spans="3:4">
      <c r="C1015" s="395" t="s">
        <v>3549</v>
      </c>
      <c r="D1015" s="396">
        <v>6</v>
      </c>
    </row>
    <row r="1016" spans="3:4">
      <c r="C1016" s="395" t="s">
        <v>3612</v>
      </c>
      <c r="D1016" s="396">
        <v>2</v>
      </c>
    </row>
    <row r="1017" spans="3:4">
      <c r="C1017" s="395"/>
      <c r="D1017" s="396"/>
    </row>
    <row r="1018" spans="3:4">
      <c r="C1018" s="395" t="s">
        <v>3523</v>
      </c>
      <c r="D1018" s="396">
        <v>12</v>
      </c>
    </row>
    <row r="1019" spans="3:4">
      <c r="C1019" s="395" t="s">
        <v>3392</v>
      </c>
      <c r="D1019" s="396">
        <v>6</v>
      </c>
    </row>
    <row r="1020" spans="3:4">
      <c r="C1020" s="395" t="s">
        <v>3441</v>
      </c>
      <c r="D1020" s="396">
        <v>2</v>
      </c>
    </row>
    <row r="1021" spans="3:4">
      <c r="C1021" s="395" t="s">
        <v>3531</v>
      </c>
      <c r="D1021" s="396">
        <v>10</v>
      </c>
    </row>
    <row r="1022" spans="3:4">
      <c r="C1022" s="395" t="s">
        <v>3391</v>
      </c>
      <c r="D1022" s="396">
        <v>16</v>
      </c>
    </row>
    <row r="1023" spans="3:4">
      <c r="C1023" s="395" t="s">
        <v>3436</v>
      </c>
      <c r="D1023" s="396">
        <v>4</v>
      </c>
    </row>
    <row r="1024" spans="3:4">
      <c r="C1024" s="395" t="s">
        <v>3550</v>
      </c>
      <c r="D1024" s="396">
        <v>4</v>
      </c>
    </row>
    <row r="1025" spans="3:4">
      <c r="C1025" s="395" t="s">
        <v>3556</v>
      </c>
      <c r="D1025" s="396">
        <v>2</v>
      </c>
    </row>
    <row r="1026" spans="3:4">
      <c r="C1026" s="395"/>
      <c r="D1026" s="396"/>
    </row>
    <row r="1027" spans="3:4">
      <c r="C1027" s="395" t="s">
        <v>3826</v>
      </c>
      <c r="D1027" s="396">
        <v>4</v>
      </c>
    </row>
    <row r="1028" spans="3:4">
      <c r="C1028" s="395" t="s">
        <v>3675</v>
      </c>
      <c r="D1028" s="396">
        <v>6</v>
      </c>
    </row>
    <row r="1029" spans="3:4">
      <c r="C1029" s="395" t="s">
        <v>3827</v>
      </c>
      <c r="D1029" s="396">
        <v>6</v>
      </c>
    </row>
    <row r="1030" spans="3:4">
      <c r="C1030" s="395" t="s">
        <v>3828</v>
      </c>
      <c r="D1030" s="396">
        <v>2</v>
      </c>
    </row>
    <row r="1032" spans="3:4">
      <c r="C1032" s="397" t="s">
        <v>3833</v>
      </c>
      <c r="D1032" s="402" t="s">
        <v>1398</v>
      </c>
    </row>
    <row r="1033" spans="3:4">
      <c r="C1033" s="395" t="s">
        <v>3379</v>
      </c>
      <c r="D1033" s="396">
        <v>2</v>
      </c>
    </row>
    <row r="1034" spans="3:4">
      <c r="C1034" s="395" t="s">
        <v>3533</v>
      </c>
      <c r="D1034" s="396">
        <v>2</v>
      </c>
    </row>
    <row r="1035" spans="3:4">
      <c r="C1035" s="395"/>
      <c r="D1035" s="396"/>
    </row>
    <row r="1036" spans="3:4">
      <c r="C1036" s="395" t="s">
        <v>3534</v>
      </c>
      <c r="D1036" s="396">
        <v>4</v>
      </c>
    </row>
    <row r="1037" spans="3:4">
      <c r="C1037" s="395" t="s">
        <v>3383</v>
      </c>
      <c r="D1037" s="396">
        <v>2</v>
      </c>
    </row>
    <row r="1038" spans="3:4">
      <c r="C1038" s="395" t="s">
        <v>3384</v>
      </c>
      <c r="D1038" s="396">
        <v>2</v>
      </c>
    </row>
    <row r="1039" spans="3:4">
      <c r="C1039" s="397" t="s">
        <v>3836</v>
      </c>
      <c r="D1039" s="402" t="s">
        <v>1398</v>
      </c>
    </row>
    <row r="1040" spans="3:4">
      <c r="C1040" s="395" t="s">
        <v>3383</v>
      </c>
      <c r="D1040" s="396">
        <v>4</v>
      </c>
    </row>
    <row r="1041" spans="3:4">
      <c r="C1041" s="395" t="s">
        <v>3535</v>
      </c>
      <c r="D1041" s="396">
        <v>16</v>
      </c>
    </row>
    <row r="1042" spans="3:4">
      <c r="C1042" s="395" t="s">
        <v>3382</v>
      </c>
      <c r="D1042" s="396">
        <v>12</v>
      </c>
    </row>
    <row r="1043" spans="3:4">
      <c r="C1043" s="395"/>
      <c r="D1043" s="396"/>
    </row>
    <row r="1044" spans="3:4">
      <c r="C1044" s="395" t="s">
        <v>3816</v>
      </c>
      <c r="D1044" s="396">
        <v>2</v>
      </c>
    </row>
    <row r="1045" spans="3:4">
      <c r="C1045" s="395" t="s">
        <v>3523</v>
      </c>
      <c r="D1045" s="396">
        <v>12</v>
      </c>
    </row>
    <row r="1046" spans="3:4">
      <c r="C1046" s="395" t="s">
        <v>3432</v>
      </c>
      <c r="D1046" s="396">
        <v>12</v>
      </c>
    </row>
    <row r="1047" spans="3:4">
      <c r="C1047" s="395" t="s">
        <v>3835</v>
      </c>
      <c r="D1047" s="396">
        <v>2</v>
      </c>
    </row>
    <row r="1048" spans="3:4">
      <c r="C1048" s="395"/>
      <c r="D1048" s="396"/>
    </row>
    <row r="1049" spans="3:4">
      <c r="C1049" s="395" t="s">
        <v>3524</v>
      </c>
      <c r="D1049" s="396">
        <v>4</v>
      </c>
    </row>
    <row r="1050" spans="3:4">
      <c r="C1050" s="395" t="s">
        <v>3394</v>
      </c>
      <c r="D1050" s="396">
        <v>4</v>
      </c>
    </row>
    <row r="1052" spans="3:4">
      <c r="C1052" s="397" t="s">
        <v>3840</v>
      </c>
      <c r="D1052" s="402" t="s">
        <v>1398</v>
      </c>
    </row>
    <row r="1053" spans="3:4">
      <c r="C1053" s="435" t="s">
        <v>3838</v>
      </c>
      <c r="D1053" s="436">
        <v>4</v>
      </c>
    </row>
    <row r="1054" spans="3:4">
      <c r="C1054" s="433" t="s">
        <v>3839</v>
      </c>
      <c r="D1054" s="434">
        <v>4</v>
      </c>
    </row>
    <row r="1055" spans="3:4">
      <c r="C1055" s="510" t="s">
        <v>3842</v>
      </c>
      <c r="D1055" s="511"/>
    </row>
    <row r="1056" spans="3:4">
      <c r="C1056" s="397" t="s">
        <v>3592</v>
      </c>
      <c r="D1056" s="402" t="s">
        <v>1398</v>
      </c>
    </row>
    <row r="1057" spans="3:4">
      <c r="C1057" s="395" t="s">
        <v>3379</v>
      </c>
      <c r="D1057" s="396">
        <v>8</v>
      </c>
    </row>
    <row r="1058" spans="3:4">
      <c r="C1058" s="395" t="s">
        <v>3533</v>
      </c>
      <c r="D1058" s="396">
        <v>14</v>
      </c>
    </row>
    <row r="1059" spans="3:4">
      <c r="C1059" s="395" t="s">
        <v>3527</v>
      </c>
      <c r="D1059" s="396">
        <v>4</v>
      </c>
    </row>
    <row r="1060" spans="3:4">
      <c r="C1060" s="395" t="s">
        <v>3378</v>
      </c>
      <c r="D1060" s="396">
        <v>10</v>
      </c>
    </row>
    <row r="1061" spans="3:4">
      <c r="C1061" s="395"/>
      <c r="D1061" s="396"/>
    </row>
    <row r="1062" spans="3:4">
      <c r="C1062" s="395" t="s">
        <v>3529</v>
      </c>
      <c r="D1062" s="396">
        <v>14</v>
      </c>
    </row>
    <row r="1063" spans="3:4">
      <c r="C1063" s="395" t="s">
        <v>3534</v>
      </c>
      <c r="D1063" s="396">
        <v>90</v>
      </c>
    </row>
    <row r="1064" spans="3:4">
      <c r="C1064" s="395" t="s">
        <v>3383</v>
      </c>
      <c r="D1064" s="396">
        <v>70</v>
      </c>
    </row>
    <row r="1065" spans="3:4">
      <c r="C1065" s="395" t="s">
        <v>3535</v>
      </c>
      <c r="D1065" s="396">
        <v>122</v>
      </c>
    </row>
    <row r="1066" spans="3:4">
      <c r="C1066" s="395" t="s">
        <v>3382</v>
      </c>
      <c r="D1066" s="396">
        <v>132</v>
      </c>
    </row>
    <row r="1067" spans="3:4">
      <c r="C1067" s="395" t="s">
        <v>3386</v>
      </c>
      <c r="D1067" s="396">
        <v>28</v>
      </c>
    </row>
    <row r="1068" spans="3:4">
      <c r="C1068" s="395" t="s">
        <v>3549</v>
      </c>
      <c r="D1068" s="396">
        <v>6</v>
      </c>
    </row>
    <row r="1069" spans="3:4">
      <c r="C1069" s="395" t="s">
        <v>3447</v>
      </c>
      <c r="D1069" s="396">
        <v>2</v>
      </c>
    </row>
    <row r="1070" spans="3:4">
      <c r="C1070" s="504" t="s">
        <v>3847</v>
      </c>
      <c r="D1070" s="505"/>
    </row>
    <row r="1071" spans="3:4">
      <c r="C1071" s="397" t="s">
        <v>3545</v>
      </c>
      <c r="D1071" s="402" t="s">
        <v>1398</v>
      </c>
    </row>
    <row r="1072" spans="3:4">
      <c r="C1072" s="395" t="s">
        <v>3543</v>
      </c>
      <c r="D1072" s="396">
        <v>2</v>
      </c>
    </row>
    <row r="1073" spans="3:4">
      <c r="C1073" s="395" t="s">
        <v>3379</v>
      </c>
      <c r="D1073" s="396">
        <v>10</v>
      </c>
    </row>
    <row r="1074" spans="3:4">
      <c r="C1074" s="395" t="s">
        <v>3533</v>
      </c>
      <c r="D1074" s="396">
        <v>16</v>
      </c>
    </row>
    <row r="1075" spans="3:4">
      <c r="C1075" s="395" t="s">
        <v>3527</v>
      </c>
      <c r="D1075" s="396">
        <v>8</v>
      </c>
    </row>
    <row r="1076" spans="3:4">
      <c r="C1076" s="395" t="s">
        <v>3378</v>
      </c>
      <c r="D1076" s="396">
        <v>16</v>
      </c>
    </row>
    <row r="1077" spans="3:4">
      <c r="C1077" s="395" t="s">
        <v>3381</v>
      </c>
      <c r="D1077" s="396">
        <v>2</v>
      </c>
    </row>
    <row r="1078" spans="3:4">
      <c r="C1078" s="395" t="s">
        <v>3844</v>
      </c>
      <c r="D1078" s="396">
        <v>4</v>
      </c>
    </row>
    <row r="1079" spans="3:4">
      <c r="C1079" s="395" t="s">
        <v>3845</v>
      </c>
      <c r="D1079" s="396">
        <v>2</v>
      </c>
    </row>
    <row r="1080" spans="3:4">
      <c r="C1080" s="395"/>
      <c r="D1080" s="396"/>
    </row>
    <row r="1081" spans="3:4">
      <c r="C1081" s="395" t="s">
        <v>3529</v>
      </c>
      <c r="D1081" s="396">
        <v>12</v>
      </c>
    </row>
    <row r="1082" spans="3:4">
      <c r="C1082" s="395" t="s">
        <v>3534</v>
      </c>
      <c r="D1082" s="396">
        <v>32</v>
      </c>
    </row>
    <row r="1083" spans="3:4">
      <c r="C1083" s="395" t="s">
        <v>3383</v>
      </c>
      <c r="D1083" s="396">
        <v>36</v>
      </c>
    </row>
    <row r="1084" spans="3:4">
      <c r="C1084" s="395" t="s">
        <v>3535</v>
      </c>
      <c r="D1084" s="396">
        <v>34</v>
      </c>
    </row>
    <row r="1085" spans="3:4">
      <c r="C1085" s="395" t="s">
        <v>3382</v>
      </c>
      <c r="D1085" s="396">
        <v>28</v>
      </c>
    </row>
    <row r="1086" spans="3:4">
      <c r="C1086" s="395" t="s">
        <v>3384</v>
      </c>
      <c r="D1086" s="396">
        <v>10</v>
      </c>
    </row>
    <row r="1087" spans="3:4">
      <c r="C1087" s="395" t="s">
        <v>3386</v>
      </c>
      <c r="D1087" s="396">
        <v>4</v>
      </c>
    </row>
    <row r="1088" spans="3:4">
      <c r="C1088" s="395" t="s">
        <v>3549</v>
      </c>
      <c r="D1088" s="396">
        <v>2</v>
      </c>
    </row>
    <row r="1089" spans="3:4">
      <c r="C1089" s="395" t="s">
        <v>3564</v>
      </c>
      <c r="D1089" s="396">
        <v>2</v>
      </c>
    </row>
    <row r="1090" spans="3:4">
      <c r="C1090" s="395" t="s">
        <v>3691</v>
      </c>
      <c r="D1090" s="396">
        <v>2</v>
      </c>
    </row>
    <row r="1091" spans="3:4">
      <c r="C1091" s="395" t="s">
        <v>3724</v>
      </c>
      <c r="D1091" s="396">
        <v>2</v>
      </c>
    </row>
    <row r="1092" spans="3:4">
      <c r="C1092" s="395" t="s">
        <v>3789</v>
      </c>
      <c r="D1092" s="396">
        <v>2</v>
      </c>
    </row>
    <row r="1093" spans="3:4">
      <c r="C1093" s="395" t="s">
        <v>3808</v>
      </c>
      <c r="D1093" s="396">
        <v>4</v>
      </c>
    </row>
    <row r="1094" spans="3:4">
      <c r="C1094" s="395" t="s">
        <v>3846</v>
      </c>
      <c r="D1094" s="396">
        <v>2</v>
      </c>
    </row>
    <row r="1096" spans="3:4">
      <c r="C1096" s="395" t="s">
        <v>3534</v>
      </c>
      <c r="D1096" s="396">
        <v>20</v>
      </c>
    </row>
    <row r="1097" spans="3:4">
      <c r="C1097" s="504" t="s">
        <v>3847</v>
      </c>
      <c r="D1097" s="505"/>
    </row>
    <row r="1098" spans="3:4">
      <c r="C1098" s="442" t="s">
        <v>3609</v>
      </c>
      <c r="D1098" s="443" t="s">
        <v>1398</v>
      </c>
    </row>
    <row r="1099" spans="3:4">
      <c r="C1099" s="444" t="s">
        <v>3529</v>
      </c>
      <c r="D1099" s="445">
        <v>2</v>
      </c>
    </row>
    <row r="1100" spans="3:4">
      <c r="C1100" s="444" t="s">
        <v>3384</v>
      </c>
      <c r="D1100" s="445">
        <v>2</v>
      </c>
    </row>
    <row r="1101" spans="3:4">
      <c r="C1101" s="444"/>
      <c r="D1101" s="445"/>
    </row>
    <row r="1102" spans="3:4">
      <c r="C1102" s="444" t="s">
        <v>3523</v>
      </c>
      <c r="D1102" s="445">
        <v>2</v>
      </c>
    </row>
    <row r="1103" spans="3:4">
      <c r="C1103" s="444" t="s">
        <v>3391</v>
      </c>
      <c r="D1103" s="445">
        <v>2</v>
      </c>
    </row>
    <row r="1104" spans="3:4">
      <c r="C1104" s="442" t="s">
        <v>3853</v>
      </c>
      <c r="D1104" s="443" t="s">
        <v>1398</v>
      </c>
    </row>
    <row r="1105" spans="3:4">
      <c r="C1105" s="444" t="s">
        <v>3716</v>
      </c>
      <c r="D1105" s="445">
        <v>2</v>
      </c>
    </row>
    <row r="1106" spans="3:4">
      <c r="C1106" s="444" t="s">
        <v>3647</v>
      </c>
      <c r="D1106" s="445">
        <v>2</v>
      </c>
    </row>
    <row r="1107" spans="3:4">
      <c r="C1107" s="444"/>
      <c r="D1107" s="445"/>
    </row>
    <row r="1108" spans="3:4">
      <c r="C1108" s="444" t="s">
        <v>3528</v>
      </c>
      <c r="D1108" s="445">
        <v>2</v>
      </c>
    </row>
    <row r="1109" spans="3:4">
      <c r="C1109" s="444" t="s">
        <v>3649</v>
      </c>
      <c r="D1109" s="445">
        <v>8</v>
      </c>
    </row>
    <row r="1110" spans="3:4">
      <c r="C1110" s="444" t="s">
        <v>3560</v>
      </c>
      <c r="D1110" s="445">
        <v>4</v>
      </c>
    </row>
    <row r="1111" spans="3:4">
      <c r="C1111" s="444" t="s">
        <v>3552</v>
      </c>
      <c r="D1111" s="445">
        <v>8</v>
      </c>
    </row>
    <row r="1112" spans="3:4">
      <c r="C1112" s="444" t="s">
        <v>3850</v>
      </c>
      <c r="D1112" s="445">
        <v>2</v>
      </c>
    </row>
    <row r="1113" spans="3:4">
      <c r="C1113" s="444"/>
      <c r="D1113" s="445"/>
    </row>
    <row r="1114" spans="3:4">
      <c r="C1114" s="444" t="s">
        <v>3745</v>
      </c>
      <c r="D1114" s="445">
        <v>1</v>
      </c>
    </row>
    <row r="1115" spans="3:4">
      <c r="C1115" s="444" t="s">
        <v>3746</v>
      </c>
      <c r="D1115" s="445">
        <v>1</v>
      </c>
    </row>
    <row r="1116" spans="3:4">
      <c r="C1116" s="444"/>
      <c r="D1116" s="445"/>
    </row>
    <row r="1117" spans="3:4">
      <c r="C1117" s="444" t="s">
        <v>3682</v>
      </c>
      <c r="D1117" s="445">
        <v>2</v>
      </c>
    </row>
    <row r="1118" spans="3:4">
      <c r="C1118" s="444" t="s">
        <v>3725</v>
      </c>
      <c r="D1118" s="445">
        <v>2</v>
      </c>
    </row>
    <row r="1119" spans="3:4">
      <c r="C1119" s="444"/>
      <c r="D1119" s="445"/>
    </row>
    <row r="1120" spans="3:4">
      <c r="C1120" s="444" t="s">
        <v>3851</v>
      </c>
      <c r="D1120" s="445">
        <v>1</v>
      </c>
    </row>
    <row r="1121" spans="3:5">
      <c r="C1121" s="444"/>
      <c r="D1121" s="445"/>
    </row>
    <row r="1122" spans="3:5">
      <c r="C1122" s="444" t="s">
        <v>3747</v>
      </c>
      <c r="D1122" s="445">
        <v>2</v>
      </c>
    </row>
    <row r="1123" spans="3:5">
      <c r="C1123" s="444" t="s">
        <v>2504</v>
      </c>
      <c r="D1123" s="445">
        <v>2</v>
      </c>
    </row>
    <row r="1124" spans="3:5">
      <c r="C1124" s="444"/>
      <c r="D1124" s="445"/>
    </row>
    <row r="1125" spans="3:5">
      <c r="C1125" s="444" t="s">
        <v>3852</v>
      </c>
      <c r="D1125" s="445">
        <v>2</v>
      </c>
    </row>
    <row r="1126" spans="3:5">
      <c r="C1126" s="444" t="s">
        <v>3686</v>
      </c>
      <c r="D1126" s="445">
        <v>2</v>
      </c>
    </row>
    <row r="1127" spans="3:5">
      <c r="C1127" s="446" t="s">
        <v>3855</v>
      </c>
      <c r="D1127" s="447" t="s">
        <v>1398</v>
      </c>
      <c r="E1127" s="1"/>
    </row>
    <row r="1128" spans="3:5">
      <c r="C1128" s="444" t="s">
        <v>3379</v>
      </c>
      <c r="D1128" s="445">
        <v>2</v>
      </c>
    </row>
    <row r="1129" spans="3:5">
      <c r="C1129" s="444" t="s">
        <v>3527</v>
      </c>
      <c r="D1129" s="445">
        <v>2</v>
      </c>
    </row>
    <row r="1130" spans="3:5">
      <c r="C1130" s="444" t="s">
        <v>3378</v>
      </c>
      <c r="D1130" s="445">
        <v>4</v>
      </c>
    </row>
    <row r="1131" spans="3:5">
      <c r="C1131" s="444" t="s">
        <v>3854</v>
      </c>
      <c r="D1131" s="445">
        <v>6</v>
      </c>
    </row>
    <row r="1132" spans="3:5">
      <c r="C1132" s="444" t="s">
        <v>3821</v>
      </c>
      <c r="D1132" s="445">
        <v>2</v>
      </c>
    </row>
    <row r="1133" spans="3:5">
      <c r="C1133" s="444"/>
      <c r="D1133" s="445"/>
    </row>
    <row r="1134" spans="3:5">
      <c r="C1134" s="444" t="s">
        <v>3529</v>
      </c>
      <c r="D1134" s="445">
        <v>4</v>
      </c>
    </row>
    <row r="1135" spans="3:5">
      <c r="C1135" s="444" t="s">
        <v>3534</v>
      </c>
      <c r="D1135" s="445">
        <v>4</v>
      </c>
    </row>
    <row r="1136" spans="3:5">
      <c r="C1136" s="444" t="s">
        <v>3383</v>
      </c>
      <c r="D1136" s="445">
        <v>2</v>
      </c>
    </row>
    <row r="1137" spans="3:4">
      <c r="C1137" s="444" t="s">
        <v>3535</v>
      </c>
      <c r="D1137" s="445">
        <v>4</v>
      </c>
    </row>
    <row r="1138" spans="3:4">
      <c r="C1138" s="444" t="s">
        <v>3382</v>
      </c>
      <c r="D1138" s="445">
        <v>4</v>
      </c>
    </row>
    <row r="1139" spans="3:4">
      <c r="C1139" s="444" t="s">
        <v>3611</v>
      </c>
      <c r="D1139" s="445">
        <v>2</v>
      </c>
    </row>
    <row r="1140" spans="3:4">
      <c r="C1140" s="444" t="s">
        <v>3384</v>
      </c>
      <c r="D1140" s="445">
        <v>2</v>
      </c>
    </row>
    <row r="1141" spans="3:4">
      <c r="C1141" s="444" t="s">
        <v>3537</v>
      </c>
      <c r="D1141" s="445">
        <v>2</v>
      </c>
    </row>
    <row r="1142" spans="3:4">
      <c r="C1142" s="444" t="s">
        <v>3763</v>
      </c>
      <c r="D1142" s="445">
        <v>2</v>
      </c>
    </row>
    <row r="1143" spans="3:4">
      <c r="C1143" s="444" t="s">
        <v>3838</v>
      </c>
      <c r="D1143" s="445">
        <v>2</v>
      </c>
    </row>
    <row r="1144" spans="3:4">
      <c r="C1144" s="444" t="s">
        <v>3559</v>
      </c>
      <c r="D1144" s="445">
        <v>2</v>
      </c>
    </row>
    <row r="1145" spans="3:4">
      <c r="C1145" s="444" t="s">
        <v>3447</v>
      </c>
      <c r="D1145" s="445">
        <v>2</v>
      </c>
    </row>
    <row r="1146" spans="3:4">
      <c r="C1146" s="444"/>
      <c r="D1146" s="445"/>
    </row>
    <row r="1147" spans="3:4">
      <c r="C1147" s="444" t="s">
        <v>3523</v>
      </c>
      <c r="D1147" s="445">
        <v>2</v>
      </c>
    </row>
    <row r="1148" spans="3:4">
      <c r="C1148" s="444" t="s">
        <v>3392</v>
      </c>
      <c r="D1148" s="445">
        <v>4</v>
      </c>
    </row>
    <row r="1149" spans="3:4">
      <c r="C1149" s="444" t="s">
        <v>3531</v>
      </c>
      <c r="D1149" s="445">
        <v>6</v>
      </c>
    </row>
    <row r="1150" spans="3:4">
      <c r="C1150" s="444" t="s">
        <v>3391</v>
      </c>
      <c r="D1150" s="445">
        <v>4</v>
      </c>
    </row>
    <row r="1151" spans="3:4">
      <c r="C1151" s="508" t="s">
        <v>3858</v>
      </c>
      <c r="D1151" s="509"/>
    </row>
    <row r="1152" spans="3:4">
      <c r="C1152" s="442" t="s">
        <v>3857</v>
      </c>
      <c r="D1152" s="443" t="s">
        <v>1398</v>
      </c>
    </row>
    <row r="1153" spans="3:4">
      <c r="C1153" s="444" t="s">
        <v>3535</v>
      </c>
      <c r="D1153" s="445">
        <v>2</v>
      </c>
    </row>
    <row r="1154" spans="3:4">
      <c r="C1154" s="444" t="s">
        <v>3564</v>
      </c>
      <c r="D1154" s="445">
        <v>2</v>
      </c>
    </row>
    <row r="1155" spans="3:4">
      <c r="C1155" s="508" t="s">
        <v>3859</v>
      </c>
      <c r="D1155" s="509"/>
    </row>
    <row r="1156" spans="3:4">
      <c r="C1156" s="442" t="s">
        <v>3610</v>
      </c>
      <c r="D1156" s="443" t="s">
        <v>1398</v>
      </c>
    </row>
    <row r="1157" spans="3:4">
      <c r="C1157" s="444" t="s">
        <v>3543</v>
      </c>
      <c r="D1157" s="445">
        <v>2</v>
      </c>
    </row>
    <row r="1158" spans="3:4">
      <c r="C1158" s="444" t="s">
        <v>3379</v>
      </c>
      <c r="D1158" s="445">
        <v>4</v>
      </c>
    </row>
    <row r="1159" spans="3:4">
      <c r="C1159" s="444" t="s">
        <v>3533</v>
      </c>
      <c r="D1159" s="445">
        <v>6</v>
      </c>
    </row>
    <row r="1160" spans="3:4">
      <c r="C1160" s="444" t="s">
        <v>3389</v>
      </c>
      <c r="D1160" s="445">
        <v>4</v>
      </c>
    </row>
    <row r="1161" spans="3:4">
      <c r="C1161" s="444"/>
      <c r="D1161" s="445"/>
    </row>
    <row r="1162" spans="3:4">
      <c r="C1162" s="444" t="s">
        <v>3529</v>
      </c>
      <c r="D1162" s="445">
        <v>10</v>
      </c>
    </row>
    <row r="1163" spans="3:4">
      <c r="C1163" s="444" t="s">
        <v>3534</v>
      </c>
      <c r="D1163" s="445">
        <v>12</v>
      </c>
    </row>
    <row r="1164" spans="3:4">
      <c r="C1164" s="444" t="s">
        <v>3383</v>
      </c>
      <c r="D1164" s="445">
        <v>8</v>
      </c>
    </row>
    <row r="1165" spans="3:4">
      <c r="C1165" s="444" t="s">
        <v>3535</v>
      </c>
      <c r="D1165" s="445">
        <v>2</v>
      </c>
    </row>
    <row r="1166" spans="3:4">
      <c r="C1166" s="444" t="s">
        <v>3384</v>
      </c>
      <c r="D1166" s="445">
        <v>12</v>
      </c>
    </row>
    <row r="1167" spans="3:4">
      <c r="C1167" s="444" t="s">
        <v>3386</v>
      </c>
      <c r="D1167" s="445">
        <v>4</v>
      </c>
    </row>
    <row r="1168" spans="3:4">
      <c r="C1168" s="508" t="s">
        <v>3859</v>
      </c>
      <c r="D1168" s="509"/>
    </row>
    <row r="1169" spans="3:4">
      <c r="C1169" s="442" t="s">
        <v>3860</v>
      </c>
      <c r="D1169" s="443" t="s">
        <v>1398</v>
      </c>
    </row>
    <row r="1170" spans="3:4">
      <c r="C1170" s="444" t="s">
        <v>3527</v>
      </c>
      <c r="D1170" s="445">
        <v>2</v>
      </c>
    </row>
    <row r="1171" spans="3:4">
      <c r="C1171" s="444" t="s">
        <v>3380</v>
      </c>
      <c r="D1171" s="445">
        <v>2</v>
      </c>
    </row>
    <row r="1172" spans="3:4">
      <c r="C1172" s="444"/>
      <c r="D1172" s="445"/>
    </row>
    <row r="1173" spans="3:4">
      <c r="C1173" s="444" t="s">
        <v>3529</v>
      </c>
      <c r="D1173" s="445">
        <v>4</v>
      </c>
    </row>
    <row r="1174" spans="3:4">
      <c r="C1174" s="444" t="s">
        <v>3534</v>
      </c>
      <c r="D1174" s="445">
        <v>8</v>
      </c>
    </row>
    <row r="1175" spans="3:4">
      <c r="C1175" s="444" t="s">
        <v>3383</v>
      </c>
      <c r="D1175" s="445">
        <v>6</v>
      </c>
    </row>
    <row r="1176" spans="3:4">
      <c r="C1176" s="444" t="s">
        <v>3382</v>
      </c>
      <c r="D1176" s="445">
        <v>4</v>
      </c>
    </row>
    <row r="1177" spans="3:4">
      <c r="C1177" s="444" t="s">
        <v>3386</v>
      </c>
      <c r="D1177" s="445">
        <v>2</v>
      </c>
    </row>
    <row r="1178" spans="3:4">
      <c r="C1178" s="448"/>
      <c r="D1178" s="449"/>
    </row>
    <row r="1179" spans="3:4">
      <c r="C1179" s="508" t="s">
        <v>3825</v>
      </c>
      <c r="D1179" s="509"/>
    </row>
    <row r="1180" spans="3:4">
      <c r="C1180" s="450" t="s">
        <v>3867</v>
      </c>
      <c r="D1180" s="451" t="s">
        <v>1398</v>
      </c>
    </row>
    <row r="1181" spans="3:4">
      <c r="C1181" s="444" t="s">
        <v>3529</v>
      </c>
      <c r="D1181" s="445">
        <v>6</v>
      </c>
    </row>
    <row r="1182" spans="3:4">
      <c r="C1182" s="444" t="s">
        <v>3534</v>
      </c>
      <c r="D1182" s="445">
        <v>12</v>
      </c>
    </row>
    <row r="1183" spans="3:4">
      <c r="C1183" s="444" t="s">
        <v>3383</v>
      </c>
      <c r="D1183" s="445">
        <v>6</v>
      </c>
    </row>
    <row r="1184" spans="3:4">
      <c r="C1184" s="444" t="s">
        <v>3535</v>
      </c>
      <c r="D1184" s="445">
        <v>6</v>
      </c>
    </row>
    <row r="1185" spans="3:4">
      <c r="C1185" s="444" t="s">
        <v>3382</v>
      </c>
      <c r="D1185" s="445">
        <v>14</v>
      </c>
    </row>
    <row r="1186" spans="3:4">
      <c r="C1186" s="444" t="s">
        <v>3384</v>
      </c>
      <c r="D1186" s="445">
        <v>4</v>
      </c>
    </row>
    <row r="1187" spans="3:4">
      <c r="C1187" s="444"/>
      <c r="D1187" s="445"/>
    </row>
    <row r="1188" spans="3:4">
      <c r="C1188" s="444" t="s">
        <v>3523</v>
      </c>
      <c r="D1188" s="445">
        <v>26</v>
      </c>
    </row>
    <row r="1189" spans="3:4">
      <c r="C1189" s="444" t="s">
        <v>3392</v>
      </c>
      <c r="D1189" s="445">
        <v>12</v>
      </c>
    </row>
    <row r="1190" spans="3:4">
      <c r="C1190" s="444" t="s">
        <v>3432</v>
      </c>
      <c r="D1190" s="445">
        <v>8</v>
      </c>
    </row>
    <row r="1191" spans="3:4">
      <c r="C1191" s="444" t="s">
        <v>3531</v>
      </c>
      <c r="D1191" s="445">
        <v>20</v>
      </c>
    </row>
    <row r="1192" spans="3:4">
      <c r="C1192" s="444" t="s">
        <v>3391</v>
      </c>
      <c r="D1192" s="445">
        <v>24</v>
      </c>
    </row>
    <row r="1193" spans="3:4">
      <c r="C1193" s="444" t="s">
        <v>3436</v>
      </c>
      <c r="D1193" s="445">
        <v>8</v>
      </c>
    </row>
    <row r="1194" spans="3:4">
      <c r="C1194" s="444" t="s">
        <v>3550</v>
      </c>
      <c r="D1194" s="445">
        <v>10</v>
      </c>
    </row>
    <row r="1195" spans="3:4">
      <c r="C1195" s="444" t="s">
        <v>3551</v>
      </c>
      <c r="D1195" s="445">
        <v>2</v>
      </c>
    </row>
    <row r="1196" spans="3:4">
      <c r="C1196" s="444" t="s">
        <v>3583</v>
      </c>
      <c r="D1196" s="445">
        <v>2</v>
      </c>
    </row>
    <row r="1197" spans="3:4">
      <c r="C1197" s="444" t="s">
        <v>3438</v>
      </c>
      <c r="D1197" s="445">
        <v>2</v>
      </c>
    </row>
    <row r="1198" spans="3:4">
      <c r="C1198" s="444" t="s">
        <v>3864</v>
      </c>
      <c r="D1198" s="445">
        <v>2</v>
      </c>
    </row>
    <row r="1199" spans="3:4">
      <c r="C1199" s="444" t="s">
        <v>3865</v>
      </c>
      <c r="D1199" s="445">
        <v>2</v>
      </c>
    </row>
    <row r="1200" spans="3:4">
      <c r="C1200" s="444" t="s">
        <v>3866</v>
      </c>
      <c r="D1200" s="445">
        <v>2</v>
      </c>
    </row>
    <row r="1201" spans="3:4">
      <c r="C1201" s="444"/>
      <c r="D1201" s="445"/>
    </row>
    <row r="1202" spans="3:4">
      <c r="C1202" s="444" t="s">
        <v>3394</v>
      </c>
      <c r="D1202" s="445">
        <v>2</v>
      </c>
    </row>
    <row r="1203" spans="3:4">
      <c r="C1203" s="444" t="s">
        <v>3729</v>
      </c>
      <c r="D1203" s="445">
        <v>2</v>
      </c>
    </row>
    <row r="1204" spans="3:4">
      <c r="C1204" s="508" t="s">
        <v>3859</v>
      </c>
      <c r="D1204" s="509"/>
    </row>
    <row r="1205" spans="3:4">
      <c r="C1205" s="442" t="s">
        <v>3862</v>
      </c>
      <c r="D1205" s="443" t="s">
        <v>1398</v>
      </c>
    </row>
    <row r="1206" spans="3:4">
      <c r="C1206" s="444" t="s">
        <v>3534</v>
      </c>
      <c r="D1206" s="445">
        <v>50</v>
      </c>
    </row>
    <row r="1207" spans="3:4">
      <c r="C1207" s="444" t="s">
        <v>3383</v>
      </c>
      <c r="D1207" s="445">
        <v>10</v>
      </c>
    </row>
    <row r="1208" spans="3:4">
      <c r="C1208" s="444" t="s">
        <v>3535</v>
      </c>
      <c r="D1208" s="445">
        <v>14</v>
      </c>
    </row>
    <row r="1209" spans="3:4">
      <c r="C1209" s="444" t="s">
        <v>3382</v>
      </c>
      <c r="D1209" s="445">
        <v>44</v>
      </c>
    </row>
    <row r="1210" spans="3:4">
      <c r="C1210" s="444" t="s">
        <v>3384</v>
      </c>
      <c r="D1210" s="445">
        <v>10</v>
      </c>
    </row>
    <row r="1211" spans="3:4">
      <c r="C1211" s="448"/>
      <c r="D1211" s="449"/>
    </row>
    <row r="1212" spans="3:4">
      <c r="C1212" s="442" t="s">
        <v>3877</v>
      </c>
      <c r="D1212" s="443" t="s">
        <v>1398</v>
      </c>
    </row>
    <row r="1213" spans="3:4">
      <c r="C1213" s="444" t="s">
        <v>3869</v>
      </c>
      <c r="D1213" s="445">
        <v>2</v>
      </c>
    </row>
    <row r="1214" spans="3:4">
      <c r="C1214" s="444" t="s">
        <v>3870</v>
      </c>
      <c r="D1214" s="445">
        <v>2</v>
      </c>
    </row>
    <row r="1215" spans="3:4">
      <c r="C1215" s="444"/>
      <c r="D1215" s="445"/>
    </row>
    <row r="1216" spans="3:4">
      <c r="C1216" s="444" t="s">
        <v>3871</v>
      </c>
      <c r="D1216" s="445">
        <v>2</v>
      </c>
    </row>
    <row r="1217" spans="3:5">
      <c r="C1217" s="444" t="s">
        <v>3872</v>
      </c>
      <c r="D1217" s="445">
        <v>2</v>
      </c>
    </row>
    <row r="1218" spans="3:5">
      <c r="C1218" s="444"/>
      <c r="D1218" s="445"/>
    </row>
    <row r="1219" spans="3:5">
      <c r="C1219" s="444" t="s">
        <v>3649</v>
      </c>
      <c r="D1219" s="445">
        <v>2</v>
      </c>
    </row>
    <row r="1220" spans="3:5">
      <c r="C1220" s="444" t="s">
        <v>3560</v>
      </c>
      <c r="D1220" s="445">
        <v>2</v>
      </c>
    </row>
    <row r="1221" spans="3:5">
      <c r="C1221" s="444"/>
      <c r="D1221" s="445"/>
    </row>
    <row r="1222" spans="3:5">
      <c r="C1222" s="444" t="s">
        <v>3876</v>
      </c>
      <c r="D1222" s="445">
        <v>2</v>
      </c>
    </row>
    <row r="1223" spans="3:5">
      <c r="C1223" s="444" t="s">
        <v>3222</v>
      </c>
      <c r="D1223" s="445">
        <v>2</v>
      </c>
    </row>
    <row r="1224" spans="3:5">
      <c r="C1224" s="444"/>
      <c r="D1224" s="445"/>
    </row>
    <row r="1225" spans="3:5">
      <c r="C1225" s="444" t="s">
        <v>3698</v>
      </c>
      <c r="D1225" s="445">
        <v>1</v>
      </c>
    </row>
    <row r="1226" spans="3:5">
      <c r="C1226" s="444" t="s">
        <v>3873</v>
      </c>
      <c r="D1226" s="445">
        <v>1</v>
      </c>
    </row>
    <row r="1227" spans="3:5">
      <c r="C1227" s="444" t="s">
        <v>3699</v>
      </c>
      <c r="D1227" s="445">
        <v>1</v>
      </c>
    </row>
    <row r="1228" spans="3:5">
      <c r="C1228" s="444" t="s">
        <v>3874</v>
      </c>
      <c r="D1228" s="445">
        <v>2</v>
      </c>
    </row>
    <row r="1229" spans="3:5">
      <c r="C1229" s="444" t="s">
        <v>3875</v>
      </c>
      <c r="D1229" s="445">
        <v>1</v>
      </c>
    </row>
    <row r="1230" spans="3:5">
      <c r="C1230" s="512" t="s">
        <v>3966</v>
      </c>
      <c r="D1230" s="513"/>
      <c r="E1230" s="1"/>
    </row>
    <row r="1231" spans="3:5">
      <c r="C1231" s="442" t="s">
        <v>3967</v>
      </c>
      <c r="D1231" s="443" t="s">
        <v>1398</v>
      </c>
    </row>
    <row r="1232" spans="3:5">
      <c r="C1232" s="444" t="s">
        <v>3379</v>
      </c>
      <c r="D1232" s="445">
        <v>2</v>
      </c>
    </row>
    <row r="1233" spans="3:4">
      <c r="C1233" s="444" t="s">
        <v>3527</v>
      </c>
      <c r="D1233" s="445">
        <v>4</v>
      </c>
    </row>
    <row r="1234" spans="3:4">
      <c r="C1234" s="444" t="s">
        <v>3378</v>
      </c>
      <c r="D1234" s="445">
        <v>2</v>
      </c>
    </row>
    <row r="1235" spans="3:4">
      <c r="C1235" s="444"/>
      <c r="D1235" s="445"/>
    </row>
    <row r="1236" spans="3:4">
      <c r="C1236" s="444" t="s">
        <v>3534</v>
      </c>
      <c r="D1236" s="445">
        <v>54</v>
      </c>
    </row>
    <row r="1237" spans="3:4">
      <c r="C1237" s="444" t="s">
        <v>3383</v>
      </c>
      <c r="D1237" s="445">
        <v>14</v>
      </c>
    </row>
    <row r="1238" spans="3:4">
      <c r="C1238" s="444" t="s">
        <v>3382</v>
      </c>
      <c r="D1238" s="445">
        <v>36</v>
      </c>
    </row>
    <row r="1239" spans="3:4">
      <c r="C1239" s="444" t="s">
        <v>3384</v>
      </c>
      <c r="D1239" s="445">
        <v>4</v>
      </c>
    </row>
    <row r="1240" spans="3:4">
      <c r="C1240" s="444"/>
      <c r="D1240" s="445"/>
    </row>
    <row r="1241" spans="3:4">
      <c r="C1241" s="444" t="s">
        <v>3392</v>
      </c>
      <c r="D1241" s="445">
        <v>4</v>
      </c>
    </row>
    <row r="1242" spans="3:4">
      <c r="C1242" s="444" t="s">
        <v>3531</v>
      </c>
      <c r="D1242" s="445">
        <v>12</v>
      </c>
    </row>
    <row r="1243" spans="3:4">
      <c r="C1243" s="444" t="s">
        <v>3391</v>
      </c>
      <c r="D1243" s="445">
        <v>8</v>
      </c>
    </row>
    <row r="1244" spans="3:4">
      <c r="C1244" s="514" t="s">
        <v>3971</v>
      </c>
      <c r="D1244" s="515"/>
    </row>
    <row r="1245" spans="3:4">
      <c r="C1245" s="442" t="s">
        <v>3970</v>
      </c>
      <c r="D1245" s="443" t="s">
        <v>1398</v>
      </c>
    </row>
    <row r="1246" spans="3:4">
      <c r="C1246" s="444" t="s">
        <v>3691</v>
      </c>
      <c r="D1246" s="445">
        <v>14</v>
      </c>
    </row>
    <row r="1247" spans="3:4">
      <c r="C1247" s="444" t="s">
        <v>3969</v>
      </c>
      <c r="D1247" s="445">
        <v>14</v>
      </c>
    </row>
    <row r="1248" spans="3:4">
      <c r="C1248" s="508" t="s">
        <v>3991</v>
      </c>
      <c r="D1248" s="509"/>
    </row>
    <row r="1249" spans="3:4">
      <c r="C1249" s="442" t="s">
        <v>3990</v>
      </c>
      <c r="D1249" s="443" t="s">
        <v>1398</v>
      </c>
    </row>
    <row r="1250" spans="3:4">
      <c r="C1250" s="444" t="s">
        <v>3984</v>
      </c>
      <c r="D1250" s="445">
        <v>4</v>
      </c>
    </row>
    <row r="1251" spans="3:4">
      <c r="C1251" s="444" t="s">
        <v>3985</v>
      </c>
      <c r="D1251" s="445">
        <v>2</v>
      </c>
    </row>
    <row r="1252" spans="3:4">
      <c r="C1252" s="444" t="s">
        <v>3986</v>
      </c>
      <c r="D1252" s="445">
        <v>2</v>
      </c>
    </row>
    <row r="1253" spans="3:4">
      <c r="C1253" s="444" t="s">
        <v>3987</v>
      </c>
      <c r="D1253" s="445">
        <v>2</v>
      </c>
    </row>
    <row r="1254" spans="3:4">
      <c r="C1254" s="444" t="s">
        <v>3988</v>
      </c>
      <c r="D1254" s="445">
        <v>4</v>
      </c>
    </row>
    <row r="1255" spans="3:4">
      <c r="C1255" s="444" t="s">
        <v>3989</v>
      </c>
      <c r="D1255" s="445">
        <v>2</v>
      </c>
    </row>
    <row r="1257" spans="3:4">
      <c r="C1257" s="397" t="s">
        <v>2577</v>
      </c>
      <c r="D1257" s="402" t="s">
        <v>1398</v>
      </c>
    </row>
    <row r="1258" spans="3:4">
      <c r="C1258" s="415" t="s">
        <v>3529</v>
      </c>
      <c r="D1258" s="416">
        <v>50</v>
      </c>
    </row>
    <row r="1259" spans="3:4">
      <c r="C1259" s="415" t="s">
        <v>3384</v>
      </c>
      <c r="D1259" s="416">
        <v>50</v>
      </c>
    </row>
    <row r="1260" spans="3:4">
      <c r="C1260" s="415"/>
      <c r="D1260" s="416"/>
    </row>
    <row r="1261" spans="3:4">
      <c r="C1261" s="415" t="s">
        <v>3534</v>
      </c>
      <c r="D1261" s="416">
        <v>30</v>
      </c>
    </row>
    <row r="1262" spans="3:4">
      <c r="C1262" s="415" t="s">
        <v>3384</v>
      </c>
      <c r="D1262" s="416">
        <v>30</v>
      </c>
    </row>
    <row r="1263" spans="3:4">
      <c r="C1263" s="415"/>
      <c r="D1263" s="416"/>
    </row>
    <row r="1264" spans="3:4">
      <c r="C1264" s="415" t="s">
        <v>3534</v>
      </c>
      <c r="D1264" s="416">
        <v>20</v>
      </c>
    </row>
    <row r="1265" spans="3:4">
      <c r="C1265" s="415" t="s">
        <v>3382</v>
      </c>
      <c r="D1265" s="416">
        <v>20</v>
      </c>
    </row>
    <row r="1266" spans="3:4">
      <c r="C1266" s="415"/>
      <c r="D1266" s="416"/>
    </row>
    <row r="1267" spans="3:4">
      <c r="C1267" s="415" t="s">
        <v>3535</v>
      </c>
      <c r="D1267" s="416">
        <v>50</v>
      </c>
    </row>
    <row r="1268" spans="3:4">
      <c r="C1268" s="415" t="s">
        <v>3382</v>
      </c>
      <c r="D1268" s="416">
        <v>50</v>
      </c>
    </row>
    <row r="1269" spans="3:4">
      <c r="C1269" s="508" t="s">
        <v>3994</v>
      </c>
      <c r="D1269" s="509"/>
    </row>
    <row r="1270" spans="3:4">
      <c r="C1270" s="442" t="s">
        <v>3993</v>
      </c>
      <c r="D1270" s="443" t="s">
        <v>1398</v>
      </c>
    </row>
    <row r="1271" spans="3:4">
      <c r="C1271" s="444" t="s">
        <v>3543</v>
      </c>
      <c r="D1271" s="445">
        <v>2</v>
      </c>
    </row>
    <row r="1272" spans="3:4">
      <c r="C1272" s="444" t="s">
        <v>3379</v>
      </c>
      <c r="D1272" s="445">
        <v>38</v>
      </c>
    </row>
    <row r="1273" spans="3:4">
      <c r="C1273" s="444" t="s">
        <v>3533</v>
      </c>
      <c r="D1273" s="445">
        <v>24</v>
      </c>
    </row>
    <row r="1274" spans="3:4">
      <c r="C1274" s="444" t="s">
        <v>3527</v>
      </c>
      <c r="D1274" s="445">
        <v>34</v>
      </c>
    </row>
    <row r="1275" spans="3:4">
      <c r="C1275" s="444" t="s">
        <v>3378</v>
      </c>
      <c r="D1275" s="445">
        <v>16</v>
      </c>
    </row>
    <row r="1276" spans="3:4">
      <c r="C1276" s="444" t="s">
        <v>3389</v>
      </c>
      <c r="D1276" s="445">
        <v>6</v>
      </c>
    </row>
    <row r="1277" spans="3:4">
      <c r="C1277" s="444"/>
      <c r="D1277" s="445"/>
    </row>
    <row r="1278" spans="3:4">
      <c r="C1278" s="444" t="s">
        <v>3529</v>
      </c>
      <c r="D1278" s="445">
        <v>10</v>
      </c>
    </row>
    <row r="1279" spans="3:4">
      <c r="C1279" s="444" t="s">
        <v>3390</v>
      </c>
      <c r="D1279" s="445">
        <v>4</v>
      </c>
    </row>
    <row r="1280" spans="3:4">
      <c r="C1280" s="444" t="s">
        <v>3534</v>
      </c>
      <c r="D1280" s="445">
        <v>4</v>
      </c>
    </row>
    <row r="1281" spans="3:4">
      <c r="C1281" s="444" t="s">
        <v>3535</v>
      </c>
      <c r="D1281" s="445">
        <v>4</v>
      </c>
    </row>
    <row r="1282" spans="3:4">
      <c r="C1282" s="444" t="s">
        <v>3382</v>
      </c>
      <c r="D1282" s="445">
        <v>2</v>
      </c>
    </row>
    <row r="1283" spans="3:4">
      <c r="C1283" s="444" t="s">
        <v>3384</v>
      </c>
      <c r="D1283" s="445">
        <v>4</v>
      </c>
    </row>
    <row r="1284" spans="3:4">
      <c r="C1284" s="444" t="s">
        <v>3386</v>
      </c>
      <c r="D1284" s="445">
        <v>4</v>
      </c>
    </row>
    <row r="1285" spans="3:4">
      <c r="C1285" s="444" t="s">
        <v>3387</v>
      </c>
      <c r="D1285" s="445">
        <v>4</v>
      </c>
    </row>
    <row r="1286" spans="3:4">
      <c r="C1286" s="444" t="s">
        <v>3524</v>
      </c>
      <c r="D1286" s="445">
        <v>2</v>
      </c>
    </row>
    <row r="1287" spans="3:4">
      <c r="C1287" s="444" t="s">
        <v>3394</v>
      </c>
      <c r="D1287" s="445">
        <v>2</v>
      </c>
    </row>
    <row r="1288" spans="3:4">
      <c r="C1288" s="448"/>
      <c r="D1288" s="449"/>
    </row>
    <row r="1289" spans="3:4">
      <c r="C1289" s="442" t="s">
        <v>3996</v>
      </c>
      <c r="D1289" s="443" t="s">
        <v>1398</v>
      </c>
    </row>
    <row r="1290" spans="3:4">
      <c r="C1290" s="444" t="s">
        <v>3533</v>
      </c>
      <c r="D1290" s="445">
        <v>8</v>
      </c>
    </row>
    <row r="1291" spans="3:4">
      <c r="C1291" s="444" t="s">
        <v>3461</v>
      </c>
      <c r="D1291" s="445">
        <v>8</v>
      </c>
    </row>
    <row r="1292" spans="3:4">
      <c r="C1292" s="444"/>
      <c r="D1292" s="445"/>
    </row>
    <row r="1293" spans="3:4">
      <c r="C1293" s="444" t="s">
        <v>3383</v>
      </c>
      <c r="D1293" s="445">
        <v>2</v>
      </c>
    </row>
    <row r="1294" spans="3:4">
      <c r="C1294" s="444" t="s">
        <v>3535</v>
      </c>
      <c r="D1294" s="445">
        <v>2</v>
      </c>
    </row>
    <row r="1295" spans="3:4">
      <c r="C1295" s="448"/>
      <c r="D1295" s="449"/>
    </row>
    <row r="1296" spans="3:4">
      <c r="C1296" s="442" t="s">
        <v>4001</v>
      </c>
      <c r="D1296" s="443" t="s">
        <v>1398</v>
      </c>
    </row>
    <row r="1297" spans="3:4">
      <c r="C1297" s="444" t="s">
        <v>3997</v>
      </c>
      <c r="D1297" s="445">
        <v>2</v>
      </c>
    </row>
    <row r="1298" spans="3:4">
      <c r="C1298" s="444" t="s">
        <v>3998</v>
      </c>
      <c r="D1298" s="445">
        <v>2</v>
      </c>
    </row>
    <row r="1299" spans="3:4">
      <c r="C1299" s="451" t="s">
        <v>3798</v>
      </c>
      <c r="D1299" s="451">
        <v>1</v>
      </c>
    </row>
    <row r="1300" spans="3:4">
      <c r="C1300" s="452"/>
      <c r="D1300" s="452"/>
    </row>
    <row r="1301" spans="3:4">
      <c r="C1301" s="442" t="s">
        <v>4002</v>
      </c>
      <c r="D1301" s="443" t="s">
        <v>1398</v>
      </c>
    </row>
    <row r="1302" spans="3:4">
      <c r="C1302" s="444" t="s">
        <v>4000</v>
      </c>
      <c r="D1302" s="445">
        <v>2</v>
      </c>
    </row>
    <row r="1303" spans="3:4">
      <c r="C1303" s="444" t="s">
        <v>3999</v>
      </c>
      <c r="D1303" s="445">
        <v>2</v>
      </c>
    </row>
    <row r="1304" spans="3:4">
      <c r="C1304" s="451" t="s">
        <v>3798</v>
      </c>
      <c r="D1304" s="451">
        <v>1</v>
      </c>
    </row>
    <row r="1305" spans="3:4">
      <c r="C1305" s="448"/>
      <c r="D1305" s="449"/>
    </row>
    <row r="1306" spans="3:4">
      <c r="C1306" s="442" t="s">
        <v>4003</v>
      </c>
      <c r="D1306" s="443" t="s">
        <v>1398</v>
      </c>
    </row>
    <row r="1307" spans="3:4">
      <c r="C1307" s="444" t="s">
        <v>4000</v>
      </c>
      <c r="D1307" s="445">
        <v>2</v>
      </c>
    </row>
    <row r="1308" spans="3:4">
      <c r="C1308" s="444" t="s">
        <v>3999</v>
      </c>
      <c r="D1308" s="445">
        <v>2</v>
      </c>
    </row>
    <row r="1309" spans="3:4">
      <c r="C1309" s="451" t="s">
        <v>3798</v>
      </c>
      <c r="D1309" s="451">
        <v>1</v>
      </c>
    </row>
    <row r="1310" spans="3:4">
      <c r="C1310" s="448"/>
      <c r="D1310" s="449"/>
    </row>
    <row r="1311" spans="3:4">
      <c r="C1311" s="442" t="s">
        <v>4004</v>
      </c>
      <c r="D1311" s="443" t="s">
        <v>1398</v>
      </c>
    </row>
    <row r="1312" spans="3:4">
      <c r="C1312" s="453" t="s">
        <v>3998</v>
      </c>
      <c r="D1312" s="451">
        <v>4</v>
      </c>
    </row>
    <row r="1313" spans="3:4">
      <c r="C1313" s="453" t="s">
        <v>3997</v>
      </c>
      <c r="D1313" s="451">
        <v>4</v>
      </c>
    </row>
    <row r="1314" spans="3:4">
      <c r="C1314" s="448"/>
      <c r="D1314" s="449"/>
    </row>
    <row r="1315" spans="3:4">
      <c r="C1315" s="442" t="s">
        <v>3858</v>
      </c>
      <c r="D1315" s="443" t="s">
        <v>1398</v>
      </c>
    </row>
    <row r="1316" spans="3:4">
      <c r="C1316" s="444" t="s">
        <v>3559</v>
      </c>
      <c r="D1316" s="445">
        <v>64</v>
      </c>
    </row>
    <row r="1317" spans="3:4">
      <c r="C1317" s="444" t="s">
        <v>3673</v>
      </c>
      <c r="D1317" s="445">
        <v>22</v>
      </c>
    </row>
    <row r="1318" spans="3:4">
      <c r="C1318" s="444" t="s">
        <v>3721</v>
      </c>
      <c r="D1318" s="445">
        <v>42</v>
      </c>
    </row>
    <row r="1319" spans="3:4">
      <c r="C1319" s="448"/>
      <c r="D1319" s="449"/>
    </row>
    <row r="1320" spans="3:4">
      <c r="C1320" s="442" t="s">
        <v>4008</v>
      </c>
      <c r="D1320" s="443" t="s">
        <v>1398</v>
      </c>
    </row>
    <row r="1321" spans="3:4">
      <c r="C1321" s="444" t="s">
        <v>3527</v>
      </c>
      <c r="D1321" s="445">
        <v>2</v>
      </c>
    </row>
    <row r="1322" spans="3:4">
      <c r="C1322" s="444" t="s">
        <v>3378</v>
      </c>
      <c r="D1322" s="445">
        <v>2</v>
      </c>
    </row>
    <row r="1323" spans="3:4">
      <c r="C1323" s="444"/>
      <c r="D1323" s="445"/>
    </row>
    <row r="1324" spans="3:4">
      <c r="C1324" s="444" t="s">
        <v>3938</v>
      </c>
      <c r="D1324" s="445">
        <v>2</v>
      </c>
    </row>
    <row r="1325" spans="3:4">
      <c r="C1325" s="444" t="s">
        <v>4006</v>
      </c>
      <c r="D1325" s="445">
        <v>2</v>
      </c>
    </row>
    <row r="1326" spans="3:4">
      <c r="C1326" s="444"/>
      <c r="D1326" s="445"/>
    </row>
    <row r="1327" spans="3:4">
      <c r="C1327" s="444" t="s">
        <v>3534</v>
      </c>
      <c r="D1327" s="445">
        <v>2</v>
      </c>
    </row>
    <row r="1328" spans="3:4">
      <c r="C1328" s="444" t="s">
        <v>3382</v>
      </c>
      <c r="D1328" s="445">
        <v>2</v>
      </c>
    </row>
    <row r="1329" spans="3:4">
      <c r="C1329" s="444" t="s">
        <v>4007</v>
      </c>
      <c r="D1329" s="445">
        <v>2</v>
      </c>
    </row>
    <row r="1330" spans="3:4">
      <c r="C1330" s="448"/>
      <c r="D1330" s="449"/>
    </row>
    <row r="1331" spans="3:4">
      <c r="C1331" s="442" t="s">
        <v>4012</v>
      </c>
      <c r="D1331" s="443" t="s">
        <v>1398</v>
      </c>
    </row>
    <row r="1332" spans="3:4">
      <c r="C1332" s="444" t="s">
        <v>4010</v>
      </c>
      <c r="D1332" s="445">
        <v>2</v>
      </c>
    </row>
    <row r="1333" spans="3:4">
      <c r="C1333" s="444" t="s">
        <v>4011</v>
      </c>
      <c r="D1333" s="445">
        <v>2</v>
      </c>
    </row>
    <row r="1334" spans="3:4">
      <c r="C1334" s="448"/>
      <c r="D1334" s="449"/>
    </row>
    <row r="1335" spans="3:4">
      <c r="C1335" s="442" t="s">
        <v>4014</v>
      </c>
      <c r="D1335" s="443" t="s">
        <v>1398</v>
      </c>
    </row>
    <row r="1336" spans="3:4">
      <c r="C1336" s="444" t="s">
        <v>3529</v>
      </c>
      <c r="D1336" s="445">
        <v>100</v>
      </c>
    </row>
    <row r="1337" spans="3:4">
      <c r="C1337" s="444" t="s">
        <v>3384</v>
      </c>
      <c r="D1337" s="445">
        <v>100</v>
      </c>
    </row>
    <row r="1338" spans="3:4">
      <c r="C1338" s="444" t="s">
        <v>3523</v>
      </c>
      <c r="D1338" s="445">
        <v>20</v>
      </c>
    </row>
    <row r="1339" spans="3:4">
      <c r="C1339" s="448"/>
      <c r="D1339" s="449"/>
    </row>
    <row r="1340" spans="3:4">
      <c r="C1340" s="454" t="s">
        <v>4016</v>
      </c>
      <c r="D1340" s="454" t="s">
        <v>4017</v>
      </c>
    </row>
    <row r="1341" spans="3:4">
      <c r="C1341" s="444" t="s">
        <v>3560</v>
      </c>
      <c r="D1341" s="445">
        <v>2</v>
      </c>
    </row>
    <row r="1342" spans="3:4">
      <c r="C1342" s="444" t="s">
        <v>3850</v>
      </c>
      <c r="D1342" s="445">
        <v>2</v>
      </c>
    </row>
    <row r="1343" spans="3:4">
      <c r="C1343" s="442" t="s">
        <v>4024</v>
      </c>
      <c r="D1343" s="443" t="s">
        <v>1398</v>
      </c>
    </row>
    <row r="1344" spans="3:4">
      <c r="C1344" s="444" t="s">
        <v>3649</v>
      </c>
      <c r="D1344" s="445">
        <v>6</v>
      </c>
    </row>
    <row r="1345" spans="3:4">
      <c r="C1345" s="444" t="s">
        <v>3552</v>
      </c>
      <c r="D1345" s="445">
        <v>6</v>
      </c>
    </row>
    <row r="1346" spans="3:4">
      <c r="C1346" s="444"/>
      <c r="D1346" s="445"/>
    </row>
    <row r="1347" spans="3:4">
      <c r="C1347" s="444" t="s">
        <v>3816</v>
      </c>
      <c r="D1347" s="445">
        <v>4</v>
      </c>
    </row>
    <row r="1348" spans="3:4">
      <c r="C1348" s="444" t="s">
        <v>3817</v>
      </c>
      <c r="D1348" s="445">
        <v>4</v>
      </c>
    </row>
    <row r="1349" spans="3:4">
      <c r="C1349" s="444"/>
      <c r="D1349" s="445"/>
    </row>
    <row r="1350" spans="3:4">
      <c r="C1350" s="444" t="s">
        <v>3534</v>
      </c>
      <c r="D1350" s="445">
        <v>2</v>
      </c>
    </row>
    <row r="1351" spans="3:4">
      <c r="C1351" s="444" t="s">
        <v>3383</v>
      </c>
      <c r="D1351" s="445">
        <v>2</v>
      </c>
    </row>
    <row r="1352" spans="3:4">
      <c r="C1352" s="444" t="s">
        <v>3535</v>
      </c>
      <c r="D1352" s="445">
        <v>4</v>
      </c>
    </row>
    <row r="1353" spans="3:4">
      <c r="C1353" s="444" t="s">
        <v>3382</v>
      </c>
      <c r="D1353" s="445">
        <v>2</v>
      </c>
    </row>
    <row r="1354" spans="3:4">
      <c r="C1354" s="444" t="s">
        <v>3386</v>
      </c>
      <c r="D1354" s="445">
        <v>2</v>
      </c>
    </row>
    <row r="1355" spans="3:4">
      <c r="C1355" s="444" t="s">
        <v>3574</v>
      </c>
      <c r="D1355" s="445">
        <v>4</v>
      </c>
    </row>
    <row r="1356" spans="3:4">
      <c r="C1356" s="444" t="s">
        <v>3530</v>
      </c>
      <c r="D1356" s="445">
        <v>2</v>
      </c>
    </row>
    <row r="1357" spans="3:4">
      <c r="C1357" s="444" t="s">
        <v>3385</v>
      </c>
      <c r="D1357" s="445">
        <v>4</v>
      </c>
    </row>
    <row r="1358" spans="3:4">
      <c r="C1358" s="444" t="s">
        <v>3549</v>
      </c>
      <c r="D1358" s="445">
        <v>4</v>
      </c>
    </row>
    <row r="1359" spans="3:4">
      <c r="C1359" s="444" t="s">
        <v>3673</v>
      </c>
      <c r="D1359" s="445">
        <v>4</v>
      </c>
    </row>
    <row r="1360" spans="3:4">
      <c r="C1360" s="444" t="s">
        <v>4020</v>
      </c>
      <c r="D1360" s="445">
        <v>2</v>
      </c>
    </row>
    <row r="1361" spans="3:4">
      <c r="C1361" s="444" t="s">
        <v>4021</v>
      </c>
      <c r="D1361" s="445">
        <v>2</v>
      </c>
    </row>
    <row r="1362" spans="3:4">
      <c r="C1362" s="444" t="s">
        <v>4022</v>
      </c>
      <c r="D1362" s="445">
        <v>2</v>
      </c>
    </row>
    <row r="1363" spans="3:4">
      <c r="C1363" s="444"/>
      <c r="D1363" s="445"/>
    </row>
    <row r="1364" spans="3:4">
      <c r="C1364" s="444" t="s">
        <v>3523</v>
      </c>
      <c r="D1364" s="445">
        <v>2</v>
      </c>
    </row>
    <row r="1365" spans="3:4">
      <c r="C1365" s="444" t="s">
        <v>3551</v>
      </c>
      <c r="D1365" s="445">
        <v>2</v>
      </c>
    </row>
    <row r="1366" spans="3:4">
      <c r="C1366" s="444" t="s">
        <v>3435</v>
      </c>
      <c r="D1366" s="445">
        <v>2</v>
      </c>
    </row>
    <row r="1367" spans="3:4">
      <c r="C1367" s="444" t="s">
        <v>3434</v>
      </c>
      <c r="D1367" s="445">
        <v>2</v>
      </c>
    </row>
    <row r="1368" spans="3:4">
      <c r="C1368" s="444"/>
      <c r="D1368" s="445"/>
    </row>
    <row r="1369" spans="3:4">
      <c r="C1369" s="444" t="s">
        <v>3851</v>
      </c>
      <c r="D1369" s="445">
        <v>2</v>
      </c>
    </row>
    <row r="1370" spans="3:4">
      <c r="C1370" s="444"/>
      <c r="D1370" s="445"/>
    </row>
    <row r="1371" spans="3:4">
      <c r="C1371" s="444" t="s">
        <v>3476</v>
      </c>
      <c r="D1371" s="445">
        <v>2</v>
      </c>
    </row>
    <row r="1372" spans="3:4">
      <c r="C1372" s="444" t="s">
        <v>3536</v>
      </c>
      <c r="D1372" s="445">
        <v>2</v>
      </c>
    </row>
    <row r="1373" spans="3:4">
      <c r="C1373" s="444"/>
      <c r="D1373" s="445"/>
    </row>
    <row r="1374" spans="3:4">
      <c r="C1374" s="444" t="s">
        <v>3827</v>
      </c>
      <c r="D1374" s="445">
        <v>2</v>
      </c>
    </row>
    <row r="1375" spans="3:4">
      <c r="C1375" s="444" t="s">
        <v>4023</v>
      </c>
      <c r="D1375" s="445">
        <v>2</v>
      </c>
    </row>
    <row r="1376" spans="3:4">
      <c r="C1376" s="448"/>
      <c r="D1376" s="449"/>
    </row>
    <row r="1377" spans="3:4">
      <c r="C1377" s="444" t="s">
        <v>3534</v>
      </c>
      <c r="D1377" s="445">
        <v>50</v>
      </c>
    </row>
    <row r="1378" spans="3:4">
      <c r="C1378" s="444" t="s">
        <v>3383</v>
      </c>
      <c r="D1378" s="445">
        <v>50</v>
      </c>
    </row>
    <row r="1379" spans="3:4">
      <c r="C1379" s="448"/>
      <c r="D1379" s="449"/>
    </row>
    <row r="1380" spans="3:4">
      <c r="C1380" s="444" t="s">
        <v>3394</v>
      </c>
      <c r="D1380" s="445">
        <v>2</v>
      </c>
    </row>
    <row r="1381" spans="3:4">
      <c r="C1381" s="444" t="s">
        <v>3729</v>
      </c>
      <c r="D1381" s="445">
        <v>2</v>
      </c>
    </row>
    <row r="1383" spans="3:4">
      <c r="C1383" s="415" t="s">
        <v>4028</v>
      </c>
      <c r="D1383" s="416" t="s">
        <v>4029</v>
      </c>
    </row>
    <row r="1384" spans="3:4">
      <c r="C1384" s="415" t="s">
        <v>2611</v>
      </c>
      <c r="D1384" s="416">
        <v>40</v>
      </c>
    </row>
    <row r="1385" spans="3:4">
      <c r="C1385" s="415" t="s">
        <v>3535</v>
      </c>
      <c r="D1385" s="416">
        <v>30</v>
      </c>
    </row>
    <row r="1386" spans="3:4">
      <c r="C1386" s="415" t="s">
        <v>3382</v>
      </c>
      <c r="D1386" s="416">
        <v>70</v>
      </c>
    </row>
    <row r="1388" spans="3:4">
      <c r="C1388" s="397" t="s">
        <v>4030</v>
      </c>
      <c r="D1388" s="402" t="s">
        <v>1398</v>
      </c>
    </row>
    <row r="1389" spans="3:4">
      <c r="C1389" s="415" t="s">
        <v>3534</v>
      </c>
      <c r="D1389" s="416">
        <v>150</v>
      </c>
    </row>
    <row r="1390" spans="3:4">
      <c r="C1390" s="415" t="s">
        <v>3382</v>
      </c>
      <c r="D1390" s="416">
        <v>150</v>
      </c>
    </row>
    <row r="1391" spans="3:4">
      <c r="C1391" s="415"/>
      <c r="D1391" s="416"/>
    </row>
    <row r="1392" spans="3:4">
      <c r="C1392" s="415" t="s">
        <v>3535</v>
      </c>
      <c r="D1392" s="416">
        <v>110</v>
      </c>
    </row>
    <row r="1393" spans="3:7">
      <c r="C1393" s="415" t="s">
        <v>3382</v>
      </c>
      <c r="D1393" s="416">
        <v>110</v>
      </c>
    </row>
    <row r="1394" spans="3:7">
      <c r="C1394" s="415"/>
      <c r="D1394" s="416"/>
    </row>
    <row r="1395" spans="3:7">
      <c r="C1395" s="415" t="s">
        <v>3535</v>
      </c>
      <c r="D1395" s="416">
        <v>100</v>
      </c>
    </row>
    <row r="1396" spans="3:7">
      <c r="C1396" s="415" t="s">
        <v>3383</v>
      </c>
      <c r="D1396" s="416">
        <v>100</v>
      </c>
    </row>
    <row r="1397" spans="3:7">
      <c r="C1397" s="415" t="s">
        <v>3085</v>
      </c>
      <c r="D1397" s="416"/>
      <c r="E1397" s="403" t="s">
        <v>3085</v>
      </c>
      <c r="F1397" s="1" t="s">
        <v>3085</v>
      </c>
      <c r="G1397" s="1" t="s">
        <v>3085</v>
      </c>
    </row>
    <row r="1398" spans="3:7">
      <c r="C1398" s="504" t="s">
        <v>4033</v>
      </c>
      <c r="D1398" s="505"/>
    </row>
    <row r="1399" spans="3:7">
      <c r="C1399" s="397" t="s">
        <v>4032</v>
      </c>
      <c r="D1399" s="402" t="s">
        <v>1398</v>
      </c>
    </row>
    <row r="1400" spans="3:7">
      <c r="C1400" s="395" t="s">
        <v>3379</v>
      </c>
      <c r="D1400" s="396">
        <v>2</v>
      </c>
    </row>
    <row r="1401" spans="3:7">
      <c r="C1401" s="395" t="s">
        <v>3527</v>
      </c>
      <c r="D1401" s="396">
        <v>6</v>
      </c>
    </row>
    <row r="1402" spans="3:7">
      <c r="C1402" s="395" t="s">
        <v>3378</v>
      </c>
      <c r="D1402" s="396">
        <v>2</v>
      </c>
    </row>
    <row r="1403" spans="3:7">
      <c r="C1403" s="395" t="s">
        <v>3380</v>
      </c>
      <c r="D1403" s="396">
        <v>2</v>
      </c>
    </row>
    <row r="1404" spans="3:7">
      <c r="C1404" s="395"/>
      <c r="D1404" s="396"/>
    </row>
    <row r="1405" spans="3:7">
      <c r="C1405" s="395" t="s">
        <v>3529</v>
      </c>
      <c r="D1405" s="396">
        <v>4</v>
      </c>
    </row>
    <row r="1406" spans="3:7">
      <c r="C1406" s="395" t="s">
        <v>3534</v>
      </c>
      <c r="D1406" s="396">
        <v>38</v>
      </c>
    </row>
    <row r="1407" spans="3:7">
      <c r="C1407" s="395" t="s">
        <v>3383</v>
      </c>
      <c r="D1407" s="396">
        <v>44</v>
      </c>
    </row>
    <row r="1408" spans="3:7">
      <c r="C1408" s="395" t="s">
        <v>3535</v>
      </c>
      <c r="D1408" s="396">
        <v>74</v>
      </c>
    </row>
    <row r="1409" spans="3:4">
      <c r="C1409" s="395" t="s">
        <v>3382</v>
      </c>
      <c r="D1409" s="396">
        <v>68</v>
      </c>
    </row>
    <row r="1410" spans="3:4">
      <c r="C1410" s="395" t="s">
        <v>3384</v>
      </c>
      <c r="D1410" s="396">
        <v>4</v>
      </c>
    </row>
    <row r="1411" spans="3:4">
      <c r="C1411" s="395" t="s">
        <v>3795</v>
      </c>
      <c r="D1411" s="396">
        <v>2</v>
      </c>
    </row>
    <row r="1412" spans="3:4">
      <c r="C1412" s="395" t="s">
        <v>3846</v>
      </c>
      <c r="D1412" s="396">
        <v>2</v>
      </c>
    </row>
    <row r="1413" spans="3:4">
      <c r="C1413" s="395"/>
      <c r="D1413" s="396"/>
    </row>
    <row r="1414" spans="3:4">
      <c r="C1414" s="395" t="s">
        <v>3523</v>
      </c>
      <c r="D1414" s="396">
        <v>8</v>
      </c>
    </row>
    <row r="1415" spans="3:4">
      <c r="C1415" s="395" t="s">
        <v>3392</v>
      </c>
      <c r="D1415" s="396">
        <v>4</v>
      </c>
    </row>
    <row r="1416" spans="3:4">
      <c r="C1416" s="395" t="s">
        <v>3531</v>
      </c>
      <c r="D1416" s="396">
        <v>4</v>
      </c>
    </row>
    <row r="1417" spans="3:4">
      <c r="C1417" s="395" t="s">
        <v>3391</v>
      </c>
      <c r="D1417" s="396">
        <v>6</v>
      </c>
    </row>
    <row r="1418" spans="3:4">
      <c r="C1418" s="395" t="s">
        <v>3767</v>
      </c>
      <c r="D1418" s="396">
        <v>2</v>
      </c>
    </row>
    <row r="1420" spans="3:4">
      <c r="C1420" s="397" t="s">
        <v>4041</v>
      </c>
      <c r="D1420" s="402" t="s">
        <v>1398</v>
      </c>
    </row>
    <row r="1421" spans="3:4">
      <c r="C1421" s="395" t="s">
        <v>3535</v>
      </c>
      <c r="D1421" s="396">
        <v>2</v>
      </c>
    </row>
    <row r="1422" spans="3:4">
      <c r="C1422" s="395" t="s">
        <v>3386</v>
      </c>
      <c r="D1422" s="396">
        <v>2</v>
      </c>
    </row>
    <row r="1423" spans="3:4">
      <c r="C1423" s="395"/>
      <c r="D1423" s="396"/>
    </row>
    <row r="1424" spans="3:4">
      <c r="C1424" s="395" t="s">
        <v>3476</v>
      </c>
      <c r="D1424" s="396">
        <v>2</v>
      </c>
    </row>
    <row r="1425" spans="3:4">
      <c r="C1425" s="395" t="s">
        <v>3536</v>
      </c>
      <c r="D1425" s="396">
        <v>2</v>
      </c>
    </row>
    <row r="1426" spans="3:4">
      <c r="C1426" s="395" t="s">
        <v>3524</v>
      </c>
      <c r="D1426" s="396">
        <v>2</v>
      </c>
    </row>
    <row r="1427" spans="3:4">
      <c r="C1427" s="395" t="s">
        <v>3476</v>
      </c>
      <c r="D1427" s="396">
        <v>2</v>
      </c>
    </row>
    <row r="1428" spans="3:4">
      <c r="C1428" s="395"/>
      <c r="D1428" s="396"/>
    </row>
    <row r="1429" spans="3:4">
      <c r="C1429" s="395" t="s">
        <v>4037</v>
      </c>
      <c r="D1429" s="396">
        <v>2</v>
      </c>
    </row>
    <row r="1430" spans="3:4">
      <c r="C1430" s="395" t="s">
        <v>4035</v>
      </c>
      <c r="D1430" s="396">
        <v>1</v>
      </c>
    </row>
    <row r="1431" spans="3:4">
      <c r="C1431" s="395" t="s">
        <v>4036</v>
      </c>
      <c r="D1431" s="396">
        <v>1</v>
      </c>
    </row>
    <row r="1433" spans="3:4">
      <c r="C1433" s="397" t="s">
        <v>4043</v>
      </c>
      <c r="D1433" s="402" t="s">
        <v>1398</v>
      </c>
    </row>
    <row r="1434" spans="3:4">
      <c r="C1434" s="456" t="s">
        <v>3534</v>
      </c>
      <c r="D1434" s="457">
        <v>100</v>
      </c>
    </row>
    <row r="1435" spans="3:4">
      <c r="C1435" s="456" t="s">
        <v>3382</v>
      </c>
      <c r="D1435" s="457">
        <v>100</v>
      </c>
    </row>
    <row r="1436" spans="3:4">
      <c r="C1436" s="456"/>
      <c r="D1436" s="457"/>
    </row>
    <row r="1437" spans="3:4">
      <c r="C1437" s="456" t="s">
        <v>3535</v>
      </c>
      <c r="D1437" s="457">
        <v>40</v>
      </c>
    </row>
    <row r="1438" spans="3:4">
      <c r="C1438" s="456" t="s">
        <v>3382</v>
      </c>
      <c r="D1438" s="457">
        <v>40</v>
      </c>
    </row>
    <row r="1440" spans="3:4">
      <c r="C1440" s="397" t="s">
        <v>3994</v>
      </c>
      <c r="D1440" s="402" t="s">
        <v>1398</v>
      </c>
    </row>
    <row r="1441" spans="3:4">
      <c r="C1441" s="397" t="s">
        <v>4053</v>
      </c>
      <c r="D1441" s="402"/>
    </row>
    <row r="1442" spans="3:4">
      <c r="C1442" s="395" t="s">
        <v>3534</v>
      </c>
      <c r="D1442" s="396">
        <v>4</v>
      </c>
    </row>
    <row r="1443" spans="3:4">
      <c r="C1443" s="395" t="s">
        <v>3383</v>
      </c>
      <c r="D1443" s="396">
        <v>6</v>
      </c>
    </row>
    <row r="1444" spans="3:4">
      <c r="C1444" s="395" t="s">
        <v>3382</v>
      </c>
      <c r="D1444" s="396">
        <v>4</v>
      </c>
    </row>
    <row r="1445" spans="3:4">
      <c r="C1445" s="395" t="s">
        <v>3549</v>
      </c>
      <c r="D1445" s="396">
        <v>2</v>
      </c>
    </row>
    <row r="1446" spans="3:4">
      <c r="C1446" s="395" t="s">
        <v>3691</v>
      </c>
      <c r="D1446" s="396">
        <v>6</v>
      </c>
    </row>
    <row r="1447" spans="3:4">
      <c r="C1447" s="395" t="s">
        <v>3839</v>
      </c>
      <c r="D1447" s="396">
        <v>2</v>
      </c>
    </row>
    <row r="1448" spans="3:4">
      <c r="C1448" s="395"/>
      <c r="D1448" s="396"/>
    </row>
    <row r="1449" spans="3:4">
      <c r="C1449" s="395" t="s">
        <v>3523</v>
      </c>
      <c r="D1449" s="396">
        <v>8</v>
      </c>
    </row>
    <row r="1450" spans="3:4">
      <c r="C1450" s="395" t="s">
        <v>3392</v>
      </c>
      <c r="D1450" s="396">
        <v>12</v>
      </c>
    </row>
    <row r="1451" spans="3:4">
      <c r="C1451" s="395" t="s">
        <v>3531</v>
      </c>
      <c r="D1451" s="396">
        <v>10</v>
      </c>
    </row>
    <row r="1452" spans="3:4">
      <c r="C1452" s="395" t="s">
        <v>3391</v>
      </c>
      <c r="D1452" s="396">
        <v>8</v>
      </c>
    </row>
    <row r="1453" spans="3:4">
      <c r="C1453" s="395" t="s">
        <v>3550</v>
      </c>
      <c r="D1453" s="396">
        <v>2</v>
      </c>
    </row>
    <row r="1454" spans="3:4">
      <c r="C1454" s="395"/>
      <c r="D1454" s="396"/>
    </row>
    <row r="1455" spans="3:4">
      <c r="C1455" s="395" t="s">
        <v>4045</v>
      </c>
      <c r="D1455" s="396">
        <v>2</v>
      </c>
    </row>
    <row r="1456" spans="3:4">
      <c r="C1456" s="504" t="s">
        <v>3994</v>
      </c>
      <c r="D1456" s="505"/>
    </row>
    <row r="1457" spans="3:4">
      <c r="C1457" s="397" t="s">
        <v>3545</v>
      </c>
      <c r="D1457" s="402" t="s">
        <v>1398</v>
      </c>
    </row>
    <row r="1458" spans="3:4">
      <c r="C1458" s="395" t="s">
        <v>3543</v>
      </c>
      <c r="D1458" s="396">
        <v>6</v>
      </c>
    </row>
    <row r="1459" spans="3:4">
      <c r="C1459" s="395" t="s">
        <v>3533</v>
      </c>
      <c r="D1459" s="396">
        <v>54</v>
      </c>
    </row>
    <row r="1460" spans="3:4">
      <c r="C1460" s="395" t="s">
        <v>3527</v>
      </c>
      <c r="D1460" s="396">
        <v>46</v>
      </c>
    </row>
    <row r="1461" spans="3:4">
      <c r="C1461" s="395" t="s">
        <v>3378</v>
      </c>
      <c r="D1461" s="396">
        <v>82</v>
      </c>
    </row>
    <row r="1462" spans="3:4">
      <c r="C1462" s="395" t="s">
        <v>3389</v>
      </c>
      <c r="D1462" s="396">
        <v>20</v>
      </c>
    </row>
    <row r="1463" spans="3:4">
      <c r="C1463" s="395" t="s">
        <v>3380</v>
      </c>
      <c r="D1463" s="396">
        <v>4</v>
      </c>
    </row>
    <row r="1464" spans="3:4">
      <c r="C1464" s="395"/>
      <c r="D1464" s="396"/>
    </row>
    <row r="1465" spans="3:4">
      <c r="C1465" s="395" t="s">
        <v>3529</v>
      </c>
      <c r="D1465" s="396">
        <v>10</v>
      </c>
    </row>
    <row r="1466" spans="3:4">
      <c r="C1466" s="395" t="s">
        <v>3390</v>
      </c>
      <c r="D1466" s="396">
        <v>4</v>
      </c>
    </row>
    <row r="1467" spans="3:4">
      <c r="C1467" s="395" t="s">
        <v>3534</v>
      </c>
      <c r="D1467" s="396">
        <v>10</v>
      </c>
    </row>
    <row r="1468" spans="3:4">
      <c r="C1468" s="395" t="s">
        <v>3383</v>
      </c>
      <c r="D1468" s="396">
        <v>4</v>
      </c>
    </row>
    <row r="1469" spans="3:4">
      <c r="C1469" s="395" t="s">
        <v>3384</v>
      </c>
      <c r="D1469" s="396">
        <v>6</v>
      </c>
    </row>
    <row r="1470" spans="3:4">
      <c r="C1470" s="395" t="s">
        <v>3386</v>
      </c>
      <c r="D1470" s="396">
        <v>2</v>
      </c>
    </row>
    <row r="1471" spans="3:4">
      <c r="C1471" s="395" t="s">
        <v>3549</v>
      </c>
      <c r="D1471" s="396">
        <v>2</v>
      </c>
    </row>
    <row r="1472" spans="3:4">
      <c r="C1472" s="395" t="s">
        <v>3387</v>
      </c>
      <c r="D1472" s="396">
        <v>6</v>
      </c>
    </row>
    <row r="1473" spans="3:8">
      <c r="C1473" s="395"/>
      <c r="D1473" s="396"/>
    </row>
    <row r="1474" spans="3:8">
      <c r="C1474" s="395" t="s">
        <v>3524</v>
      </c>
      <c r="D1474" s="396">
        <v>2</v>
      </c>
    </row>
    <row r="1475" spans="3:8">
      <c r="C1475" s="395" t="s">
        <v>3394</v>
      </c>
      <c r="D1475" s="396">
        <v>2</v>
      </c>
    </row>
    <row r="1477" spans="3:8">
      <c r="C1477" s="397" t="s">
        <v>4058</v>
      </c>
      <c r="D1477" s="402" t="s">
        <v>1398</v>
      </c>
    </row>
    <row r="1478" spans="3:8">
      <c r="C1478" s="397" t="s">
        <v>4059</v>
      </c>
      <c r="D1478" s="402"/>
    </row>
    <row r="1479" spans="3:8">
      <c r="C1479" s="395" t="s">
        <v>3717</v>
      </c>
      <c r="D1479" s="396">
        <v>2</v>
      </c>
    </row>
    <row r="1480" spans="3:8">
      <c r="C1480" s="395" t="s">
        <v>4056</v>
      </c>
      <c r="D1480" s="396">
        <v>2</v>
      </c>
    </row>
    <row r="1481" spans="3:8">
      <c r="C1481" s="395" t="s">
        <v>4057</v>
      </c>
      <c r="D1481" s="396">
        <v>1</v>
      </c>
    </row>
    <row r="1482" spans="3:8">
      <c r="C1482" s="397" t="s">
        <v>4061</v>
      </c>
      <c r="D1482" s="402" t="s">
        <v>1398</v>
      </c>
    </row>
    <row r="1483" spans="3:8">
      <c r="C1483" s="397" t="s">
        <v>3666</v>
      </c>
      <c r="D1483" s="402"/>
    </row>
    <row r="1484" spans="3:8">
      <c r="C1484" s="456" t="s">
        <v>4060</v>
      </c>
      <c r="D1484" s="457">
        <v>2</v>
      </c>
    </row>
    <row r="1485" spans="3:8">
      <c r="C1485" s="456" t="s">
        <v>3382</v>
      </c>
      <c r="D1485" s="457">
        <v>2</v>
      </c>
      <c r="H1485" s="466"/>
    </row>
    <row r="1487" spans="3:8">
      <c r="C1487" s="467" t="s">
        <v>4062</v>
      </c>
      <c r="D1487" s="468" t="s">
        <v>1398</v>
      </c>
    </row>
    <row r="1488" spans="3:8">
      <c r="C1488" s="467" t="s">
        <v>4063</v>
      </c>
      <c r="D1488" s="468"/>
    </row>
    <row r="1489" spans="3:4">
      <c r="C1489" s="456" t="s">
        <v>3535</v>
      </c>
      <c r="D1489" s="457">
        <v>200</v>
      </c>
    </row>
    <row r="1490" spans="3:4">
      <c r="C1490" s="456" t="s">
        <v>3382</v>
      </c>
      <c r="D1490" s="457">
        <v>200</v>
      </c>
    </row>
    <row r="1491" spans="3:4">
      <c r="C1491" s="467" t="s">
        <v>3785</v>
      </c>
      <c r="D1491" s="457"/>
    </row>
    <row r="1492" spans="3:4">
      <c r="C1492" s="456" t="s">
        <v>3534</v>
      </c>
      <c r="D1492" s="457">
        <v>66</v>
      </c>
    </row>
    <row r="1493" spans="3:4">
      <c r="C1493" s="456" t="s">
        <v>3384</v>
      </c>
      <c r="D1493" s="457">
        <v>66</v>
      </c>
    </row>
    <row r="1494" spans="3:4">
      <c r="C1494" s="467" t="s">
        <v>4064</v>
      </c>
      <c r="D1494" s="457"/>
    </row>
    <row r="1495" spans="3:4">
      <c r="C1495" s="456" t="s">
        <v>3529</v>
      </c>
      <c r="D1495" s="457">
        <v>54</v>
      </c>
    </row>
    <row r="1496" spans="3:4">
      <c r="C1496" s="456" t="s">
        <v>3384</v>
      </c>
      <c r="D1496" s="457">
        <v>54</v>
      </c>
    </row>
    <row r="1497" spans="3:4">
      <c r="C1497" s="467" t="s">
        <v>4065</v>
      </c>
      <c r="D1497" s="457"/>
    </row>
    <row r="1498" spans="3:4">
      <c r="C1498" s="456" t="s">
        <v>3534</v>
      </c>
      <c r="D1498" s="457">
        <v>84</v>
      </c>
    </row>
    <row r="1499" spans="3:4">
      <c r="C1499" s="456" t="s">
        <v>3383</v>
      </c>
      <c r="D1499" s="457">
        <v>84</v>
      </c>
    </row>
    <row r="1501" spans="3:4">
      <c r="C1501" s="506" t="s">
        <v>4068</v>
      </c>
      <c r="D1501" s="507"/>
    </row>
    <row r="1502" spans="3:4">
      <c r="C1502" s="397" t="s">
        <v>3860</v>
      </c>
      <c r="D1502" s="402" t="s">
        <v>1398</v>
      </c>
    </row>
    <row r="1503" spans="3:4">
      <c r="C1503" s="397" t="s">
        <v>4063</v>
      </c>
      <c r="D1503" s="402"/>
    </row>
    <row r="1504" spans="3:4">
      <c r="C1504" s="395" t="s">
        <v>3529</v>
      </c>
      <c r="D1504" s="396">
        <v>40</v>
      </c>
    </row>
    <row r="1505" spans="3:4">
      <c r="C1505" s="395" t="s">
        <v>3534</v>
      </c>
      <c r="D1505" s="396">
        <v>168</v>
      </c>
    </row>
    <row r="1506" spans="3:4">
      <c r="C1506" s="395" t="s">
        <v>3383</v>
      </c>
      <c r="D1506" s="396">
        <v>56</v>
      </c>
    </row>
    <row r="1507" spans="3:4">
      <c r="C1507" s="395" t="s">
        <v>3535</v>
      </c>
      <c r="D1507" s="396">
        <v>58</v>
      </c>
    </row>
    <row r="1508" spans="3:4">
      <c r="C1508" s="395" t="s">
        <v>3382</v>
      </c>
      <c r="D1508" s="396">
        <v>148</v>
      </c>
    </row>
    <row r="1509" spans="3:4">
      <c r="C1509" s="395" t="s">
        <v>3386</v>
      </c>
      <c r="D1509" s="396">
        <v>62</v>
      </c>
    </row>
    <row r="1510" spans="3:4">
      <c r="C1510" s="395" t="s">
        <v>3574</v>
      </c>
      <c r="D1510" s="396">
        <v>2</v>
      </c>
    </row>
    <row r="1511" spans="3:4">
      <c r="C1511" s="395" t="s">
        <v>4067</v>
      </c>
      <c r="D1511" s="396">
        <v>2</v>
      </c>
    </row>
    <row r="1512" spans="3:4">
      <c r="C1512" s="397" t="s">
        <v>3785</v>
      </c>
      <c r="D1512" s="416"/>
    </row>
    <row r="1513" spans="3:4">
      <c r="C1513" s="395" t="s">
        <v>3543</v>
      </c>
      <c r="D1513" s="396">
        <v>2</v>
      </c>
    </row>
    <row r="1514" spans="3:4">
      <c r="C1514" s="395" t="s">
        <v>3379</v>
      </c>
      <c r="D1514" s="396">
        <v>4</v>
      </c>
    </row>
    <row r="1515" spans="3:4">
      <c r="C1515" s="395" t="s">
        <v>3527</v>
      </c>
      <c r="D1515" s="396">
        <v>6</v>
      </c>
    </row>
    <row r="1516" spans="3:4">
      <c r="C1516" s="395" t="s">
        <v>3378</v>
      </c>
      <c r="D1516" s="396">
        <v>2</v>
      </c>
    </row>
    <row r="1517" spans="3:4">
      <c r="C1517" s="395" t="s">
        <v>3380</v>
      </c>
      <c r="D1517" s="396">
        <v>2</v>
      </c>
    </row>
    <row r="1520" spans="3:4">
      <c r="C1520" s="415" t="s">
        <v>2840</v>
      </c>
      <c r="D1520" s="416" t="s">
        <v>1398</v>
      </c>
    </row>
    <row r="1521" spans="3:4">
      <c r="C1521" s="415" t="s">
        <v>3529</v>
      </c>
      <c r="D1521" s="416">
        <v>20</v>
      </c>
    </row>
    <row r="1522" spans="3:4">
      <c r="C1522" s="415" t="s">
        <v>3534</v>
      </c>
      <c r="D1522" s="416">
        <v>100</v>
      </c>
    </row>
    <row r="1523" spans="3:4">
      <c r="C1523" s="415" t="s">
        <v>3535</v>
      </c>
      <c r="D1523" s="416">
        <v>40</v>
      </c>
    </row>
    <row r="1524" spans="3:4">
      <c r="C1524" s="415" t="s">
        <v>3382</v>
      </c>
      <c r="D1524" s="416">
        <v>140</v>
      </c>
    </row>
    <row r="1525" spans="3:4">
      <c r="C1525" s="415" t="s">
        <v>3386</v>
      </c>
      <c r="D1525" s="416">
        <v>20</v>
      </c>
    </row>
    <row r="1528" spans="3:4" ht="36">
      <c r="C1528" s="419" t="s">
        <v>3534</v>
      </c>
      <c r="D1528" s="420">
        <v>356</v>
      </c>
    </row>
    <row r="1529" spans="3:4" ht="36">
      <c r="C1529" s="419" t="s">
        <v>3382</v>
      </c>
      <c r="D1529" s="420">
        <v>356</v>
      </c>
    </row>
    <row r="1531" spans="3:4">
      <c r="C1531" s="397" t="s">
        <v>4071</v>
      </c>
      <c r="D1531" s="402" t="s">
        <v>1398</v>
      </c>
    </row>
    <row r="1532" spans="3:4">
      <c r="C1532" s="469" t="s">
        <v>4063</v>
      </c>
      <c r="D1532" s="416"/>
    </row>
    <row r="1533" spans="3:4">
      <c r="C1533" s="416" t="s">
        <v>3534</v>
      </c>
      <c r="D1533" s="416">
        <v>100</v>
      </c>
    </row>
    <row r="1534" spans="3:4">
      <c r="C1534" s="416" t="s">
        <v>3382</v>
      </c>
      <c r="D1534" s="416">
        <v>100</v>
      </c>
    </row>
    <row r="1535" spans="3:4">
      <c r="C1535" s="469" t="s">
        <v>3785</v>
      </c>
      <c r="D1535" s="416"/>
    </row>
    <row r="1536" spans="3:4">
      <c r="C1536" s="416" t="s">
        <v>3534</v>
      </c>
      <c r="D1536" s="416">
        <v>100</v>
      </c>
    </row>
    <row r="1537" spans="3:4">
      <c r="C1537" s="416" t="s">
        <v>3384</v>
      </c>
      <c r="D1537" s="416">
        <v>100</v>
      </c>
    </row>
    <row r="1538" spans="3:4">
      <c r="C1538" s="469" t="s">
        <v>4064</v>
      </c>
      <c r="D1538" s="416"/>
    </row>
    <row r="1539" spans="3:4">
      <c r="C1539" s="416" t="s">
        <v>3529</v>
      </c>
      <c r="D1539" s="416">
        <v>80</v>
      </c>
    </row>
    <row r="1540" spans="3:4">
      <c r="C1540" s="416" t="s">
        <v>3386</v>
      </c>
      <c r="D1540" s="416">
        <v>80</v>
      </c>
    </row>
    <row r="1541" spans="3:4">
      <c r="C1541" s="469" t="s">
        <v>4065</v>
      </c>
      <c r="D1541" s="416"/>
    </row>
    <row r="1542" spans="3:4">
      <c r="C1542" s="416" t="s">
        <v>3534</v>
      </c>
      <c r="D1542" s="416">
        <v>44</v>
      </c>
    </row>
    <row r="1543" spans="3:4">
      <c r="C1543" s="416" t="s">
        <v>3386</v>
      </c>
      <c r="D1543" s="416">
        <v>44</v>
      </c>
    </row>
    <row r="1544" spans="3:4">
      <c r="C1544" s="469" t="s">
        <v>4070</v>
      </c>
      <c r="D1544" s="416"/>
    </row>
    <row r="1545" spans="3:4">
      <c r="C1545" s="416" t="s">
        <v>3535</v>
      </c>
      <c r="D1545" s="416">
        <v>246</v>
      </c>
    </row>
    <row r="1546" spans="3:4">
      <c r="C1546" s="416" t="s">
        <v>3383</v>
      </c>
      <c r="D1546" s="416">
        <v>246</v>
      </c>
    </row>
    <row r="1549" spans="3:4">
      <c r="C1549" s="417" t="s">
        <v>3533</v>
      </c>
      <c r="D1549" s="418">
        <v>2</v>
      </c>
    </row>
    <row r="1550" spans="3:4">
      <c r="C1550" s="417" t="s">
        <v>3378</v>
      </c>
      <c r="D1550" s="418">
        <v>2</v>
      </c>
    </row>
    <row r="1551" spans="3:4">
      <c r="C1551" s="417"/>
      <c r="D1551" s="418"/>
    </row>
    <row r="1552" spans="3:4">
      <c r="C1552" s="417" t="s">
        <v>4072</v>
      </c>
      <c r="D1552" s="418">
        <v>2</v>
      </c>
    </row>
    <row r="1553" spans="3:4">
      <c r="C1553" s="417" t="s">
        <v>4073</v>
      </c>
      <c r="D1553" s="418">
        <v>2</v>
      </c>
    </row>
    <row r="1554" spans="3:4">
      <c r="C1554" s="417" t="s">
        <v>4074</v>
      </c>
      <c r="D1554" s="418">
        <v>2</v>
      </c>
    </row>
    <row r="1555" spans="3:4">
      <c r="C1555" s="417" t="s">
        <v>4075</v>
      </c>
      <c r="D1555" s="418">
        <v>2</v>
      </c>
    </row>
    <row r="1557" spans="3:4">
      <c r="C1557" s="470" t="s">
        <v>3534</v>
      </c>
      <c r="D1557" s="471">
        <v>100</v>
      </c>
    </row>
    <row r="1558" spans="3:4">
      <c r="C1558" s="470" t="s">
        <v>3384</v>
      </c>
      <c r="D1558" s="471">
        <v>100</v>
      </c>
    </row>
    <row r="1562" spans="3:4">
      <c r="C1562" s="397" t="s">
        <v>4076</v>
      </c>
      <c r="D1562" s="402" t="s">
        <v>1398</v>
      </c>
    </row>
    <row r="1563" spans="3:4">
      <c r="C1563" s="397" t="s">
        <v>3534</v>
      </c>
      <c r="D1563" s="402">
        <v>100</v>
      </c>
    </row>
    <row r="1564" spans="3:4">
      <c r="C1564" s="397" t="s">
        <v>3382</v>
      </c>
      <c r="D1564" s="402">
        <v>100</v>
      </c>
    </row>
    <row r="1567" spans="3:4">
      <c r="C1567" s="397" t="s">
        <v>4077</v>
      </c>
      <c r="D1567" s="402" t="s">
        <v>1398</v>
      </c>
    </row>
    <row r="1568" spans="3:4">
      <c r="C1568" s="397" t="s">
        <v>4078</v>
      </c>
      <c r="D1568" s="402"/>
    </row>
    <row r="1569" spans="3:4">
      <c r="C1569" s="415" t="s">
        <v>3534</v>
      </c>
      <c r="D1569" s="416">
        <v>200</v>
      </c>
    </row>
    <row r="1570" spans="3:4">
      <c r="C1570" s="415" t="s">
        <v>3382</v>
      </c>
      <c r="D1570" s="416">
        <v>200</v>
      </c>
    </row>
    <row r="1571" spans="3:4">
      <c r="C1571" s="415"/>
      <c r="D1571" s="416"/>
    </row>
    <row r="1572" spans="3:4">
      <c r="C1572" s="397" t="s">
        <v>2577</v>
      </c>
      <c r="D1572" s="402"/>
    </row>
    <row r="1573" spans="3:4">
      <c r="C1573" s="415" t="s">
        <v>3529</v>
      </c>
      <c r="D1573" s="416">
        <v>30</v>
      </c>
    </row>
    <row r="1574" spans="3:4">
      <c r="C1574" s="415" t="s">
        <v>3382</v>
      </c>
      <c r="D1574" s="416">
        <v>30</v>
      </c>
    </row>
    <row r="1575" spans="3:4">
      <c r="C1575" s="415" t="s">
        <v>3085</v>
      </c>
      <c r="D1575" s="416"/>
    </row>
    <row r="1576" spans="3:4">
      <c r="C1576" s="415" t="s">
        <v>3534</v>
      </c>
      <c r="D1576" s="416">
        <v>50</v>
      </c>
    </row>
    <row r="1577" spans="3:4">
      <c r="C1577" s="415" t="s">
        <v>3384</v>
      </c>
      <c r="D1577" s="416">
        <v>50</v>
      </c>
    </row>
    <row r="1578" spans="3:4">
      <c r="C1578" s="415"/>
      <c r="D1578" s="416"/>
    </row>
    <row r="1579" spans="3:4">
      <c r="C1579" s="415" t="s">
        <v>3535</v>
      </c>
      <c r="D1579" s="416">
        <v>20</v>
      </c>
    </row>
    <row r="1580" spans="3:4">
      <c r="C1580" s="415" t="s">
        <v>3382</v>
      </c>
      <c r="D1580" s="416">
        <v>20</v>
      </c>
    </row>
    <row r="1581" spans="3:4">
      <c r="C1581" s="415"/>
      <c r="D1581" s="416"/>
    </row>
    <row r="1582" spans="3:4">
      <c r="C1582" s="415" t="s">
        <v>3529</v>
      </c>
      <c r="D1582" s="416">
        <v>50</v>
      </c>
    </row>
    <row r="1583" spans="3:4">
      <c r="C1583" s="415" t="s">
        <v>3384</v>
      </c>
      <c r="D1583" s="416">
        <v>50</v>
      </c>
    </row>
    <row r="1586" spans="3:4">
      <c r="C1586" s="397" t="s">
        <v>4083</v>
      </c>
      <c r="D1586" s="402" t="s">
        <v>1398</v>
      </c>
    </row>
    <row r="1587" spans="3:4">
      <c r="C1587" s="415" t="s">
        <v>3379</v>
      </c>
      <c r="D1587" s="416">
        <v>10</v>
      </c>
    </row>
    <row r="1588" spans="3:4">
      <c r="C1588" s="415" t="s">
        <v>3533</v>
      </c>
      <c r="D1588" s="416">
        <v>8</v>
      </c>
    </row>
    <row r="1589" spans="3:4">
      <c r="C1589" s="415" t="s">
        <v>3527</v>
      </c>
      <c r="D1589" s="416">
        <v>6</v>
      </c>
    </row>
    <row r="1590" spans="3:4">
      <c r="C1590" s="415" t="s">
        <v>3378</v>
      </c>
      <c r="D1590" s="416">
        <v>2</v>
      </c>
    </row>
    <row r="1591" spans="3:4">
      <c r="C1591" s="415" t="s">
        <v>3380</v>
      </c>
      <c r="D1591" s="416">
        <v>2</v>
      </c>
    </row>
    <row r="1592" spans="3:4">
      <c r="C1592" s="415" t="s">
        <v>4079</v>
      </c>
      <c r="D1592" s="416">
        <v>2</v>
      </c>
    </row>
    <row r="1593" spans="3:4">
      <c r="C1593" s="415" t="s">
        <v>4080</v>
      </c>
      <c r="D1593" s="416">
        <v>2</v>
      </c>
    </row>
    <row r="1594" spans="3:4">
      <c r="C1594" s="415"/>
      <c r="D1594" s="416"/>
    </row>
    <row r="1595" spans="3:4">
      <c r="C1595" s="415" t="s">
        <v>3529</v>
      </c>
      <c r="D1595" s="416">
        <v>12</v>
      </c>
    </row>
    <row r="1596" spans="3:4">
      <c r="C1596" s="415" t="s">
        <v>3534</v>
      </c>
      <c r="D1596" s="416">
        <v>138</v>
      </c>
    </row>
    <row r="1597" spans="3:4">
      <c r="C1597" s="415" t="s">
        <v>3383</v>
      </c>
      <c r="D1597" s="416">
        <v>80</v>
      </c>
    </row>
    <row r="1598" spans="3:4">
      <c r="C1598" s="415" t="s">
        <v>3535</v>
      </c>
      <c r="D1598" s="416">
        <v>60</v>
      </c>
    </row>
    <row r="1599" spans="3:4">
      <c r="C1599" s="415" t="s">
        <v>3382</v>
      </c>
      <c r="D1599" s="416">
        <v>116</v>
      </c>
    </row>
    <row r="1600" spans="3:4">
      <c r="C1600" s="415" t="s">
        <v>3384</v>
      </c>
      <c r="D1600" s="416">
        <v>12</v>
      </c>
    </row>
    <row r="1601" spans="3:4">
      <c r="C1601" s="415" t="s">
        <v>3386</v>
      </c>
      <c r="D1601" s="416">
        <v>2</v>
      </c>
    </row>
    <row r="1602" spans="3:4">
      <c r="C1602" s="415" t="s">
        <v>3795</v>
      </c>
      <c r="D1602" s="416">
        <v>2</v>
      </c>
    </row>
    <row r="1603" spans="3:4">
      <c r="C1603" s="415" t="s">
        <v>3846</v>
      </c>
      <c r="D1603" s="416">
        <v>2</v>
      </c>
    </row>
    <row r="1604" spans="3:4">
      <c r="C1604" s="415" t="s">
        <v>4081</v>
      </c>
      <c r="D1604" s="416">
        <v>2</v>
      </c>
    </row>
    <row r="1605" spans="3:4">
      <c r="C1605" s="415" t="s">
        <v>4082</v>
      </c>
      <c r="D1605" s="416">
        <v>2</v>
      </c>
    </row>
    <row r="1607" spans="3:4">
      <c r="C1607" s="397" t="s">
        <v>4085</v>
      </c>
      <c r="D1607" s="402" t="s">
        <v>1398</v>
      </c>
    </row>
    <row r="1608" spans="3:4">
      <c r="C1608" s="415" t="s">
        <v>3379</v>
      </c>
      <c r="D1608" s="416">
        <v>2</v>
      </c>
    </row>
    <row r="1609" spans="3:4">
      <c r="C1609" s="415" t="s">
        <v>3527</v>
      </c>
      <c r="D1609" s="416">
        <v>2</v>
      </c>
    </row>
    <row r="1610" spans="3:4">
      <c r="C1610" s="415"/>
      <c r="D1610" s="416"/>
    </row>
    <row r="1611" spans="3:4">
      <c r="C1611" s="415" t="s">
        <v>3523</v>
      </c>
      <c r="D1611" s="416">
        <v>118</v>
      </c>
    </row>
    <row r="1612" spans="3:4">
      <c r="C1612" s="415" t="s">
        <v>3392</v>
      </c>
      <c r="D1612" s="416">
        <v>76</v>
      </c>
    </row>
    <row r="1613" spans="3:4">
      <c r="C1613" s="415" t="s">
        <v>3531</v>
      </c>
      <c r="D1613" s="416">
        <v>126</v>
      </c>
    </row>
    <row r="1614" spans="3:4">
      <c r="C1614" s="415" t="s">
        <v>3391</v>
      </c>
      <c r="D1614" s="416">
        <v>158</v>
      </c>
    </row>
    <row r="1615" spans="3:4">
      <c r="C1615" s="415" t="s">
        <v>3436</v>
      </c>
      <c r="D1615" s="416">
        <v>10</v>
      </c>
    </row>
    <row r="1616" spans="3:4">
      <c r="C1616" s="415" t="s">
        <v>3550</v>
      </c>
      <c r="D1616" s="416">
        <v>2</v>
      </c>
    </row>
    <row r="1617" spans="3:4">
      <c r="C1617" s="415" t="s">
        <v>3438</v>
      </c>
      <c r="D1617" s="416">
        <v>4</v>
      </c>
    </row>
    <row r="1618" spans="3:4">
      <c r="C1618" s="415" t="s">
        <v>4084</v>
      </c>
      <c r="D1618" s="416">
        <v>2</v>
      </c>
    </row>
    <row r="1621" spans="3:4">
      <c r="C1621" s="358" t="s">
        <v>3564</v>
      </c>
      <c r="D1621" s="403">
        <v>40</v>
      </c>
    </row>
    <row r="1622" spans="3:4">
      <c r="C1622" s="358" t="s">
        <v>3529</v>
      </c>
      <c r="D1622" s="403">
        <v>40</v>
      </c>
    </row>
    <row r="1625" spans="3:4">
      <c r="C1625" s="397" t="s">
        <v>3700</v>
      </c>
      <c r="D1625" s="402" t="s">
        <v>1398</v>
      </c>
    </row>
    <row r="1626" spans="3:4">
      <c r="C1626" s="415" t="s">
        <v>3869</v>
      </c>
      <c r="D1626" s="416">
        <v>6</v>
      </c>
    </row>
    <row r="1627" spans="3:4">
      <c r="C1627" s="415" t="s">
        <v>3905</v>
      </c>
      <c r="D1627" s="416">
        <v>4</v>
      </c>
    </row>
    <row r="1628" spans="3:4">
      <c r="C1628" s="415" t="s">
        <v>3901</v>
      </c>
      <c r="D1628" s="416">
        <v>2</v>
      </c>
    </row>
    <row r="1629" spans="3:4">
      <c r="C1629" s="415" t="s">
        <v>3543</v>
      </c>
      <c r="D1629" s="416">
        <v>2</v>
      </c>
    </row>
    <row r="1630" spans="3:4">
      <c r="C1630" s="415" t="s">
        <v>3379</v>
      </c>
      <c r="D1630" s="416">
        <v>2</v>
      </c>
    </row>
    <row r="1631" spans="3:4">
      <c r="C1631" s="415" t="s">
        <v>3533</v>
      </c>
      <c r="D1631" s="416">
        <v>2</v>
      </c>
    </row>
    <row r="1632" spans="3:4">
      <c r="C1632" s="415" t="s">
        <v>3389</v>
      </c>
      <c r="D1632" s="416">
        <v>2</v>
      </c>
    </row>
    <row r="1633" spans="3:4">
      <c r="C1633" s="415"/>
      <c r="D1633" s="416"/>
    </row>
    <row r="1634" spans="3:4">
      <c r="C1634" s="415" t="s">
        <v>3871</v>
      </c>
      <c r="D1634" s="416">
        <v>2</v>
      </c>
    </row>
    <row r="1635" spans="3:4">
      <c r="C1635" s="415" t="s">
        <v>3925</v>
      </c>
      <c r="D1635" s="416">
        <v>2</v>
      </c>
    </row>
    <row r="1636" spans="3:4">
      <c r="C1636" s="415" t="s">
        <v>3390</v>
      </c>
      <c r="D1636" s="416">
        <v>2</v>
      </c>
    </row>
    <row r="1637" spans="3:4">
      <c r="C1637" s="415" t="s">
        <v>3535</v>
      </c>
      <c r="D1637" s="416">
        <v>6</v>
      </c>
    </row>
    <row r="1638" spans="3:4">
      <c r="C1638" s="415" t="s">
        <v>3382</v>
      </c>
      <c r="D1638" s="416">
        <v>2</v>
      </c>
    </row>
    <row r="1639" spans="3:4">
      <c r="C1639" s="415" t="s">
        <v>3386</v>
      </c>
      <c r="D1639" s="416">
        <v>2</v>
      </c>
    </row>
    <row r="1640" spans="3:4">
      <c r="C1640" s="415"/>
      <c r="D1640" s="416"/>
    </row>
    <row r="1641" spans="3:4">
      <c r="C1641" s="415" t="s">
        <v>3394</v>
      </c>
      <c r="D1641" s="416">
        <v>4</v>
      </c>
    </row>
    <row r="1642" spans="3:4">
      <c r="C1642" s="415" t="s">
        <v>3729</v>
      </c>
      <c r="D1642" s="416">
        <v>4</v>
      </c>
    </row>
    <row r="1643" spans="3:4">
      <c r="C1643" s="415"/>
      <c r="D1643" s="416"/>
    </row>
    <row r="1644" spans="3:4">
      <c r="C1644" s="415"/>
      <c r="D1644" s="416"/>
    </row>
    <row r="1645" spans="3:4">
      <c r="C1645" s="415"/>
      <c r="D1645" s="416"/>
    </row>
    <row r="1646" spans="3:4">
      <c r="C1646" s="415"/>
      <c r="D1646" s="416"/>
    </row>
    <row r="1647" spans="3:4">
      <c r="C1647" s="415" t="s">
        <v>3873</v>
      </c>
      <c r="D1647" s="416">
        <v>1</v>
      </c>
    </row>
    <row r="1648" spans="3:4">
      <c r="C1648" s="415" t="s">
        <v>4087</v>
      </c>
      <c r="D1648" s="416">
        <v>2</v>
      </c>
    </row>
    <row r="1649" spans="3:4">
      <c r="C1649" s="415"/>
      <c r="D1649" s="416"/>
    </row>
    <row r="1650" spans="3:4">
      <c r="C1650" s="415" t="s">
        <v>3692</v>
      </c>
      <c r="D1650" s="416">
        <v>1</v>
      </c>
    </row>
    <row r="1651" spans="3:4">
      <c r="C1651" s="415" t="s">
        <v>4086</v>
      </c>
      <c r="D1651" s="416">
        <v>2</v>
      </c>
    </row>
    <row r="1652" spans="3:4">
      <c r="C1652" s="415" t="s">
        <v>4088</v>
      </c>
      <c r="D1652" s="416">
        <v>2</v>
      </c>
    </row>
    <row r="1654" spans="3:4" ht="36" thickBot="1"/>
    <row r="1655" spans="3:4" ht="36" thickBot="1">
      <c r="C1655" s="478" t="s">
        <v>4096</v>
      </c>
      <c r="D1655" s="476" t="s">
        <v>1398</v>
      </c>
    </row>
    <row r="1656" spans="3:4">
      <c r="C1656" s="477" t="s">
        <v>4089</v>
      </c>
      <c r="D1656" s="473">
        <v>2</v>
      </c>
    </row>
    <row r="1657" spans="3:4">
      <c r="C1657" s="472" t="s">
        <v>4090</v>
      </c>
      <c r="D1657" s="473">
        <v>2</v>
      </c>
    </row>
    <row r="1658" spans="3:4">
      <c r="C1658" s="472"/>
      <c r="D1658" s="473"/>
    </row>
    <row r="1659" spans="3:4">
      <c r="C1659" s="472" t="s">
        <v>4092</v>
      </c>
      <c r="D1659" s="473">
        <v>4</v>
      </c>
    </row>
    <row r="1660" spans="3:4">
      <c r="C1660" s="472" t="s">
        <v>4093</v>
      </c>
      <c r="D1660" s="473">
        <v>4</v>
      </c>
    </row>
    <row r="1661" spans="3:4">
      <c r="C1661" s="472"/>
      <c r="D1661" s="473"/>
    </row>
    <row r="1662" spans="3:4">
      <c r="C1662" s="472" t="s">
        <v>4091</v>
      </c>
      <c r="D1662" s="473">
        <v>3</v>
      </c>
    </row>
    <row r="1663" spans="3:4">
      <c r="C1663" s="472" t="s">
        <v>4094</v>
      </c>
      <c r="D1663" s="473">
        <v>1</v>
      </c>
    </row>
    <row r="1664" spans="3:4" ht="36" thickBot="1">
      <c r="C1664" s="474" t="s">
        <v>4095</v>
      </c>
      <c r="D1664" s="475">
        <v>1</v>
      </c>
    </row>
    <row r="1666" spans="3:4">
      <c r="C1666" s="397" t="s">
        <v>3093</v>
      </c>
      <c r="D1666" s="402" t="s">
        <v>1398</v>
      </c>
    </row>
    <row r="1667" spans="3:4">
      <c r="C1667" s="415" t="s">
        <v>4097</v>
      </c>
      <c r="D1667" s="416">
        <v>8</v>
      </c>
    </row>
    <row r="1668" spans="3:4">
      <c r="C1668" s="415" t="s">
        <v>4098</v>
      </c>
      <c r="D1668" s="416">
        <v>8</v>
      </c>
    </row>
    <row r="1670" spans="3:4">
      <c r="C1670" s="397" t="s">
        <v>4099</v>
      </c>
      <c r="D1670" s="402" t="s">
        <v>1398</v>
      </c>
    </row>
    <row r="1671" spans="3:4">
      <c r="C1671" s="415" t="s">
        <v>3543</v>
      </c>
      <c r="D1671" s="416">
        <v>2</v>
      </c>
    </row>
    <row r="1672" spans="3:4">
      <c r="C1672" s="415" t="s">
        <v>3379</v>
      </c>
      <c r="D1672" s="416">
        <v>6</v>
      </c>
    </row>
    <row r="1673" spans="3:4">
      <c r="C1673" s="415" t="s">
        <v>3527</v>
      </c>
      <c r="D1673" s="416">
        <v>4</v>
      </c>
    </row>
    <row r="1674" spans="3:4">
      <c r="C1674" s="415" t="s">
        <v>3378</v>
      </c>
      <c r="D1674" s="416">
        <v>4</v>
      </c>
    </row>
    <row r="1675" spans="3:4">
      <c r="C1675" s="415" t="s">
        <v>3854</v>
      </c>
      <c r="D1675" s="416">
        <v>6</v>
      </c>
    </row>
    <row r="1676" spans="3:4">
      <c r="C1676" s="415" t="s">
        <v>3821</v>
      </c>
      <c r="D1676" s="416">
        <v>2</v>
      </c>
    </row>
    <row r="1677" spans="3:4">
      <c r="C1677" s="415"/>
      <c r="D1677" s="416"/>
    </row>
    <row r="1678" spans="3:4">
      <c r="C1678" s="415" t="s">
        <v>3529</v>
      </c>
      <c r="D1678" s="416">
        <v>4</v>
      </c>
    </row>
    <row r="1679" spans="3:4">
      <c r="C1679" s="415" t="s">
        <v>3534</v>
      </c>
      <c r="D1679" s="416">
        <v>14</v>
      </c>
    </row>
    <row r="1680" spans="3:4">
      <c r="C1680" s="415" t="s">
        <v>3383</v>
      </c>
      <c r="D1680" s="416">
        <v>8</v>
      </c>
    </row>
    <row r="1681" spans="3:4">
      <c r="C1681" s="415" t="s">
        <v>3535</v>
      </c>
      <c r="D1681" s="416">
        <v>12</v>
      </c>
    </row>
    <row r="1682" spans="3:4">
      <c r="C1682" s="415" t="s">
        <v>3382</v>
      </c>
      <c r="D1682" s="416">
        <v>18</v>
      </c>
    </row>
    <row r="1683" spans="3:4">
      <c r="C1683" s="415" t="s">
        <v>3611</v>
      </c>
      <c r="D1683" s="416">
        <v>2</v>
      </c>
    </row>
    <row r="1684" spans="3:4">
      <c r="C1684" s="415" t="s">
        <v>3384</v>
      </c>
      <c r="D1684" s="416">
        <v>6</v>
      </c>
    </row>
    <row r="1686" spans="3:4">
      <c r="C1686" s="397" t="s">
        <v>4104</v>
      </c>
      <c r="D1686" s="402" t="s">
        <v>1398</v>
      </c>
    </row>
    <row r="1687" spans="3:4">
      <c r="C1687" s="415" t="s">
        <v>4100</v>
      </c>
      <c r="D1687" s="416">
        <v>2</v>
      </c>
    </row>
    <row r="1688" spans="3:4">
      <c r="C1688" s="415" t="s">
        <v>4101</v>
      </c>
      <c r="D1688" s="416">
        <v>2</v>
      </c>
    </row>
    <row r="1689" spans="3:4">
      <c r="C1689" s="415"/>
      <c r="D1689" s="416"/>
    </row>
    <row r="1690" spans="3:4">
      <c r="C1690" s="415" t="s">
        <v>3529</v>
      </c>
      <c r="D1690" s="416">
        <v>2</v>
      </c>
    </row>
    <row r="1691" spans="3:4">
      <c r="C1691" s="415" t="s">
        <v>3534</v>
      </c>
      <c r="D1691" s="416">
        <v>8</v>
      </c>
    </row>
    <row r="1692" spans="3:4">
      <c r="C1692" s="415" t="s">
        <v>3383</v>
      </c>
      <c r="D1692" s="416">
        <v>2</v>
      </c>
    </row>
    <row r="1693" spans="3:4">
      <c r="C1693" s="415" t="s">
        <v>3535</v>
      </c>
      <c r="D1693" s="416">
        <v>8</v>
      </c>
    </row>
    <row r="1694" spans="3:4">
      <c r="C1694" s="415" t="s">
        <v>3382</v>
      </c>
      <c r="D1694" s="416">
        <v>12</v>
      </c>
    </row>
    <row r="1695" spans="3:4">
      <c r="C1695" s="415" t="s">
        <v>3537</v>
      </c>
      <c r="D1695" s="416">
        <v>2</v>
      </c>
    </row>
    <row r="1696" spans="3:4">
      <c r="C1696" s="415" t="s">
        <v>3763</v>
      </c>
      <c r="D1696" s="416">
        <v>2</v>
      </c>
    </row>
    <row r="1697" spans="3:4">
      <c r="C1697" s="415" t="s">
        <v>3838</v>
      </c>
      <c r="D1697" s="416">
        <v>2</v>
      </c>
    </row>
    <row r="1698" spans="3:4">
      <c r="C1698" s="415" t="s">
        <v>3559</v>
      </c>
      <c r="D1698" s="416">
        <v>2</v>
      </c>
    </row>
    <row r="1699" spans="3:4">
      <c r="C1699" s="415"/>
      <c r="D1699" s="416"/>
    </row>
    <row r="1700" spans="3:4">
      <c r="C1700" s="415" t="s">
        <v>3523</v>
      </c>
      <c r="D1700" s="416">
        <v>4</v>
      </c>
    </row>
    <row r="1701" spans="3:4">
      <c r="C1701" s="415" t="s">
        <v>3392</v>
      </c>
      <c r="D1701" s="416">
        <v>6</v>
      </c>
    </row>
    <row r="1702" spans="3:4">
      <c r="C1702" s="415" t="s">
        <v>3531</v>
      </c>
      <c r="D1702" s="416">
        <v>6</v>
      </c>
    </row>
    <row r="1703" spans="3:4">
      <c r="C1703" s="415" t="s">
        <v>3391</v>
      </c>
      <c r="D1703" s="416">
        <v>4</v>
      </c>
    </row>
    <row r="1704" spans="3:4">
      <c r="C1704" s="415" t="s">
        <v>4102</v>
      </c>
      <c r="D1704" s="416">
        <v>2</v>
      </c>
    </row>
    <row r="1705" spans="3:4">
      <c r="C1705" s="415" t="s">
        <v>4103</v>
      </c>
      <c r="D1705" s="416">
        <v>2</v>
      </c>
    </row>
    <row r="1707" spans="3:4">
      <c r="C1707" s="397" t="s">
        <v>1409</v>
      </c>
      <c r="D1707" s="402" t="s">
        <v>1398</v>
      </c>
    </row>
    <row r="1708" spans="3:4">
      <c r="C1708" s="415" t="s">
        <v>3529</v>
      </c>
      <c r="D1708" s="416">
        <v>2</v>
      </c>
    </row>
    <row r="1709" spans="3:4">
      <c r="C1709" s="415" t="s">
        <v>3534</v>
      </c>
      <c r="D1709" s="416">
        <v>4</v>
      </c>
    </row>
    <row r="1710" spans="3:4">
      <c r="C1710" s="415" t="s">
        <v>3383</v>
      </c>
      <c r="D1710" s="416">
        <v>2</v>
      </c>
    </row>
    <row r="1711" spans="3:4">
      <c r="C1711" s="415" t="s">
        <v>3382</v>
      </c>
      <c r="D1711" s="416">
        <v>2</v>
      </c>
    </row>
    <row r="1712" spans="3:4">
      <c r="C1712" s="415" t="s">
        <v>3384</v>
      </c>
      <c r="D1712" s="416">
        <v>2</v>
      </c>
    </row>
    <row r="1713" spans="3:4">
      <c r="C1713" s="415"/>
      <c r="D1713" s="416"/>
    </row>
    <row r="1714" spans="3:4">
      <c r="C1714" s="415" t="s">
        <v>3523</v>
      </c>
      <c r="D1714" s="416">
        <v>2</v>
      </c>
    </row>
    <row r="1715" spans="3:4">
      <c r="C1715" s="415" t="s">
        <v>3392</v>
      </c>
      <c r="D1715" s="416">
        <v>2</v>
      </c>
    </row>
    <row r="1716" spans="3:4">
      <c r="C1716" s="415" t="s">
        <v>3531</v>
      </c>
      <c r="D1716" s="416">
        <v>4</v>
      </c>
    </row>
    <row r="1717" spans="3:4">
      <c r="C1717" s="415" t="s">
        <v>3391</v>
      </c>
      <c r="D1717" s="416">
        <v>4</v>
      </c>
    </row>
    <row r="1719" spans="3:4" ht="70.5">
      <c r="C1719" s="479" t="s">
        <v>4106</v>
      </c>
      <c r="D1719" s="402" t="s">
        <v>1398</v>
      </c>
    </row>
    <row r="1720" spans="3:4">
      <c r="C1720" s="415" t="s">
        <v>3716</v>
      </c>
      <c r="D1720" s="416">
        <v>2</v>
      </c>
    </row>
    <row r="1721" spans="3:4">
      <c r="C1721" s="415" t="s">
        <v>3647</v>
      </c>
      <c r="D1721" s="416">
        <v>2</v>
      </c>
    </row>
    <row r="1722" spans="3:4">
      <c r="C1722" s="415"/>
      <c r="D1722" s="416"/>
    </row>
    <row r="1723" spans="3:4">
      <c r="C1723" s="415" t="s">
        <v>3528</v>
      </c>
      <c r="D1723" s="416">
        <v>4</v>
      </c>
    </row>
    <row r="1724" spans="3:4">
      <c r="C1724" s="415" t="s">
        <v>3649</v>
      </c>
      <c r="D1724" s="416">
        <v>4</v>
      </c>
    </row>
    <row r="1725" spans="3:4">
      <c r="C1725" s="415" t="s">
        <v>3560</v>
      </c>
      <c r="D1725" s="416">
        <v>8</v>
      </c>
    </row>
    <row r="1726" spans="3:4">
      <c r="C1726" s="415" t="s">
        <v>3552</v>
      </c>
      <c r="D1726" s="416">
        <v>2</v>
      </c>
    </row>
    <row r="1727" spans="3:4">
      <c r="C1727" s="415" t="s">
        <v>3850</v>
      </c>
      <c r="D1727" s="416">
        <v>2</v>
      </c>
    </row>
    <row r="1728" spans="3:4">
      <c r="C1728" s="415"/>
      <c r="D1728" s="416"/>
    </row>
    <row r="1729" spans="3:4">
      <c r="C1729" s="415" t="s">
        <v>3682</v>
      </c>
      <c r="D1729" s="416">
        <v>4</v>
      </c>
    </row>
    <row r="1730" spans="3:4">
      <c r="C1730" s="415" t="s">
        <v>3725</v>
      </c>
      <c r="D1730" s="416">
        <v>2</v>
      </c>
    </row>
    <row r="1731" spans="3:4">
      <c r="C1731" s="415" t="s">
        <v>3817</v>
      </c>
      <c r="D1731" s="416">
        <v>2</v>
      </c>
    </row>
    <row r="1732" spans="3:4">
      <c r="C1732" s="415"/>
      <c r="D1732" s="416"/>
    </row>
    <row r="1733" spans="3:4">
      <c r="C1733" s="415" t="s">
        <v>3851</v>
      </c>
      <c r="D1733" s="416">
        <v>1</v>
      </c>
    </row>
    <row r="1734" spans="3:4">
      <c r="C1734" s="415"/>
      <c r="D1734" s="416"/>
    </row>
    <row r="1735" spans="3:4">
      <c r="C1735" s="415" t="s">
        <v>3852</v>
      </c>
      <c r="D1735" s="416">
        <v>2</v>
      </c>
    </row>
    <row r="1736" spans="3:4">
      <c r="C1736" s="415" t="s">
        <v>4105</v>
      </c>
      <c r="D1736" s="416">
        <v>2</v>
      </c>
    </row>
    <row r="1739" spans="3:4">
      <c r="C1739" s="397" t="s">
        <v>4109</v>
      </c>
      <c r="D1739" s="402" t="s">
        <v>1398</v>
      </c>
    </row>
    <row r="1740" spans="3:4">
      <c r="C1740" s="456" t="s">
        <v>3534</v>
      </c>
      <c r="D1740" s="457">
        <v>100</v>
      </c>
    </row>
    <row r="1741" spans="3:4">
      <c r="C1741" s="456" t="s">
        <v>3382</v>
      </c>
      <c r="D1741" s="457">
        <v>100</v>
      </c>
    </row>
    <row r="1742" spans="3:4">
      <c r="C1742" s="456" t="s">
        <v>3085</v>
      </c>
      <c r="D1742" s="457"/>
    </row>
    <row r="1743" spans="3:4">
      <c r="C1743" s="456" t="s">
        <v>3535</v>
      </c>
      <c r="D1743" s="457">
        <v>100</v>
      </c>
    </row>
    <row r="1744" spans="3:4">
      <c r="C1744" s="456" t="s">
        <v>3382</v>
      </c>
      <c r="D1744" s="457">
        <v>100</v>
      </c>
    </row>
    <row r="1746" spans="3:4">
      <c r="C1746" s="397" t="s">
        <v>3802</v>
      </c>
      <c r="D1746" s="402" t="s">
        <v>1398</v>
      </c>
    </row>
    <row r="1747" spans="3:4">
      <c r="C1747" s="395" t="s">
        <v>3543</v>
      </c>
      <c r="D1747" s="396">
        <v>2</v>
      </c>
    </row>
    <row r="1748" spans="3:4">
      <c r="C1748" s="395" t="s">
        <v>3389</v>
      </c>
      <c r="D1748" s="396">
        <v>2</v>
      </c>
    </row>
    <row r="1749" spans="3:4">
      <c r="C1749" s="395"/>
      <c r="D1749" s="396"/>
    </row>
    <row r="1750" spans="3:4">
      <c r="C1750" s="395" t="s">
        <v>3528</v>
      </c>
      <c r="D1750" s="396">
        <v>10</v>
      </c>
    </row>
    <row r="1751" spans="3:4">
      <c r="C1751" s="395" t="s">
        <v>3649</v>
      </c>
      <c r="D1751" s="396">
        <v>6</v>
      </c>
    </row>
    <row r="1752" spans="3:4">
      <c r="C1752" s="395" t="s">
        <v>3552</v>
      </c>
      <c r="D1752" s="396">
        <v>12</v>
      </c>
    </row>
    <row r="1753" spans="3:4">
      <c r="C1753" s="395" t="s">
        <v>4111</v>
      </c>
      <c r="D1753" s="396">
        <v>4</v>
      </c>
    </row>
    <row r="1754" spans="3:4">
      <c r="C1754" s="395"/>
      <c r="D1754" s="396"/>
    </row>
    <row r="1755" spans="3:4">
      <c r="C1755" s="395" t="s">
        <v>3529</v>
      </c>
      <c r="D1755" s="396">
        <v>6</v>
      </c>
    </row>
    <row r="1756" spans="3:4">
      <c r="C1756" s="395" t="s">
        <v>3383</v>
      </c>
      <c r="D1756" s="396">
        <v>2</v>
      </c>
    </row>
    <row r="1757" spans="3:4">
      <c r="C1757" s="395" t="s">
        <v>3535</v>
      </c>
      <c r="D1757" s="396">
        <v>4</v>
      </c>
    </row>
    <row r="1758" spans="3:4">
      <c r="C1758" s="395" t="s">
        <v>3382</v>
      </c>
      <c r="D1758" s="396">
        <v>4</v>
      </c>
    </row>
    <row r="1759" spans="3:4">
      <c r="C1759" s="395" t="s">
        <v>3384</v>
      </c>
      <c r="D1759" s="396">
        <v>4</v>
      </c>
    </row>
    <row r="1760" spans="3:4">
      <c r="C1760" s="395" t="s">
        <v>3530</v>
      </c>
      <c r="D1760" s="396">
        <v>2</v>
      </c>
    </row>
    <row r="1761" spans="3:4">
      <c r="C1761" s="395" t="s">
        <v>3673</v>
      </c>
      <c r="D1761" s="396">
        <v>2</v>
      </c>
    </row>
    <row r="1762" spans="3:4">
      <c r="C1762" s="395"/>
      <c r="D1762" s="396"/>
    </row>
    <row r="1763" spans="3:4">
      <c r="C1763" s="395" t="s">
        <v>3392</v>
      </c>
      <c r="D1763" s="396">
        <v>2</v>
      </c>
    </row>
    <row r="1764" spans="3:4">
      <c r="C1764" s="395" t="s">
        <v>3531</v>
      </c>
      <c r="D1764" s="396">
        <v>2</v>
      </c>
    </row>
    <row r="1765" spans="3:4">
      <c r="C1765" s="395" t="s">
        <v>3556</v>
      </c>
      <c r="D1765" s="396">
        <v>2</v>
      </c>
    </row>
    <row r="1766" spans="3:4">
      <c r="C1766" s="395" t="s">
        <v>3584</v>
      </c>
      <c r="D1766" s="396">
        <v>2</v>
      </c>
    </row>
    <row r="1767" spans="3:4">
      <c r="C1767" s="395" t="s">
        <v>4113</v>
      </c>
      <c r="D1767" s="396">
        <v>2</v>
      </c>
    </row>
    <row r="1768" spans="3:4">
      <c r="C1768" s="395" t="s">
        <v>4114</v>
      </c>
      <c r="D1768" s="396">
        <v>2</v>
      </c>
    </row>
    <row r="1769" spans="3:4">
      <c r="C1769" s="395"/>
      <c r="D1769" s="396"/>
    </row>
    <row r="1770" spans="3:4">
      <c r="C1770" s="395" t="s">
        <v>4115</v>
      </c>
      <c r="D1770" s="396">
        <v>4</v>
      </c>
    </row>
    <row r="1771" spans="3:4">
      <c r="C1771" s="395" t="s">
        <v>3685</v>
      </c>
      <c r="D1771" s="396">
        <v>4</v>
      </c>
    </row>
    <row r="1772" spans="3:4">
      <c r="C1772" s="395"/>
      <c r="D1772" s="396"/>
    </row>
    <row r="1773" spans="3:4">
      <c r="C1773" s="395" t="s">
        <v>3851</v>
      </c>
      <c r="D1773" s="396">
        <v>3</v>
      </c>
    </row>
    <row r="1774" spans="3:4">
      <c r="C1774" s="395" t="s">
        <v>4112</v>
      </c>
      <c r="D1774" s="396">
        <v>4</v>
      </c>
    </row>
    <row r="1775" spans="3:4">
      <c r="C1775" s="395" t="s">
        <v>4116</v>
      </c>
      <c r="D1775" s="396">
        <v>2</v>
      </c>
    </row>
    <row r="1777" spans="3:4">
      <c r="C1777" s="397" t="s">
        <v>3802</v>
      </c>
      <c r="D1777" s="402" t="s">
        <v>1398</v>
      </c>
    </row>
    <row r="1778" spans="3:4">
      <c r="C1778" s="395" t="s">
        <v>3534</v>
      </c>
      <c r="D1778" s="396">
        <v>6</v>
      </c>
    </row>
    <row r="1779" spans="3:4">
      <c r="C1779" s="395" t="s">
        <v>3383</v>
      </c>
      <c r="D1779" s="396">
        <v>10</v>
      </c>
    </row>
    <row r="1780" spans="3:4">
      <c r="C1780" s="395" t="s">
        <v>3535</v>
      </c>
      <c r="D1780" s="396">
        <v>18</v>
      </c>
    </row>
    <row r="1781" spans="3:4">
      <c r="C1781" s="395" t="s">
        <v>3382</v>
      </c>
      <c r="D1781" s="396">
        <v>14</v>
      </c>
    </row>
    <row r="1782" spans="3:4">
      <c r="C1782" s="395" t="s">
        <v>3384</v>
      </c>
      <c r="D1782" s="396">
        <v>2</v>
      </c>
    </row>
    <row r="1783" spans="3:4">
      <c r="C1783" s="395" t="s">
        <v>3574</v>
      </c>
      <c r="D1783" s="396">
        <v>4</v>
      </c>
    </row>
    <row r="1784" spans="3:4">
      <c r="C1784" s="395" t="s">
        <v>3672</v>
      </c>
      <c r="D1784" s="396">
        <v>2</v>
      </c>
    </row>
    <row r="1785" spans="3:4">
      <c r="C1785" s="395"/>
      <c r="D1785" s="396"/>
    </row>
    <row r="1786" spans="3:4">
      <c r="C1786" s="395" t="s">
        <v>3523</v>
      </c>
      <c r="D1786" s="396">
        <v>8</v>
      </c>
    </row>
    <row r="1787" spans="3:4">
      <c r="C1787" s="395" t="s">
        <v>3392</v>
      </c>
      <c r="D1787" s="396">
        <v>6</v>
      </c>
    </row>
    <row r="1788" spans="3:4">
      <c r="C1788" s="395" t="s">
        <v>3432</v>
      </c>
      <c r="D1788" s="396">
        <v>6</v>
      </c>
    </row>
    <row r="1789" spans="3:4">
      <c r="C1789" s="395" t="s">
        <v>3531</v>
      </c>
      <c r="D1789" s="396">
        <v>10</v>
      </c>
    </row>
    <row r="1790" spans="3:4">
      <c r="C1790" s="395" t="s">
        <v>3391</v>
      </c>
      <c r="D1790" s="396">
        <v>4</v>
      </c>
    </row>
    <row r="1791" spans="3:4">
      <c r="C1791" s="395" t="s">
        <v>3436</v>
      </c>
      <c r="D1791" s="396">
        <v>2</v>
      </c>
    </row>
    <row r="1793" spans="3:4">
      <c r="C1793" s="397" t="s">
        <v>4119</v>
      </c>
      <c r="D1793" s="402" t="s">
        <v>1398</v>
      </c>
    </row>
    <row r="1794" spans="3:4">
      <c r="C1794" s="456" t="s">
        <v>3527</v>
      </c>
      <c r="D1794" s="457">
        <v>42</v>
      </c>
    </row>
    <row r="1795" spans="3:4">
      <c r="C1795" s="456" t="s">
        <v>3379</v>
      </c>
      <c r="D1795" s="457">
        <v>42</v>
      </c>
    </row>
    <row r="1796" spans="3:4">
      <c r="C1796" s="456"/>
      <c r="D1796" s="457"/>
    </row>
    <row r="1797" spans="3:4">
      <c r="C1797" s="456" t="s">
        <v>3533</v>
      </c>
      <c r="D1797" s="457">
        <v>20</v>
      </c>
    </row>
    <row r="1798" spans="3:4">
      <c r="C1798" s="456" t="s">
        <v>3379</v>
      </c>
      <c r="D1798" s="457">
        <v>20</v>
      </c>
    </row>
    <row r="1799" spans="3:4">
      <c r="C1799" s="456" t="s">
        <v>3085</v>
      </c>
      <c r="D1799" s="457"/>
    </row>
    <row r="1800" spans="3:4">
      <c r="C1800" s="456" t="s">
        <v>3527</v>
      </c>
      <c r="D1800" s="457">
        <v>64</v>
      </c>
    </row>
    <row r="1801" spans="3:4">
      <c r="C1801" s="456" t="s">
        <v>3378</v>
      </c>
      <c r="D1801" s="457">
        <v>64</v>
      </c>
    </row>
    <row r="1802" spans="3:4">
      <c r="C1802" s="397" t="s">
        <v>4119</v>
      </c>
      <c r="D1802" s="402" t="s">
        <v>1398</v>
      </c>
    </row>
    <row r="1803" spans="3:4">
      <c r="C1803" s="395" t="s">
        <v>3543</v>
      </c>
      <c r="D1803" s="396">
        <v>10</v>
      </c>
    </row>
    <row r="1804" spans="3:4">
      <c r="C1804" s="395" t="s">
        <v>3379</v>
      </c>
      <c r="D1804" s="396">
        <v>10</v>
      </c>
    </row>
    <row r="1805" spans="3:4">
      <c r="C1805" s="395" t="s">
        <v>3533</v>
      </c>
      <c r="D1805" s="396">
        <v>50</v>
      </c>
    </row>
    <row r="1806" spans="3:4">
      <c r="C1806" s="395" t="s">
        <v>3527</v>
      </c>
      <c r="D1806" s="396">
        <v>10</v>
      </c>
    </row>
    <row r="1807" spans="3:4">
      <c r="C1807" s="395" t="s">
        <v>3378</v>
      </c>
      <c r="D1807" s="396">
        <v>38</v>
      </c>
    </row>
    <row r="1808" spans="3:4">
      <c r="C1808" s="395" t="s">
        <v>3389</v>
      </c>
      <c r="D1808" s="396">
        <v>20</v>
      </c>
    </row>
    <row r="1809" spans="3:4">
      <c r="C1809" s="395" t="s">
        <v>3793</v>
      </c>
      <c r="D1809" s="396">
        <v>2</v>
      </c>
    </row>
    <row r="1810" spans="3:4">
      <c r="C1810" s="395" t="s">
        <v>3854</v>
      </c>
      <c r="D1810" s="396">
        <v>4</v>
      </c>
    </row>
    <row r="1811" spans="3:4">
      <c r="C1811" s="395" t="s">
        <v>4100</v>
      </c>
      <c r="D1811" s="396">
        <v>2</v>
      </c>
    </row>
    <row r="1812" spans="3:4">
      <c r="C1812" s="395" t="s">
        <v>3381</v>
      </c>
      <c r="D1812" s="396">
        <v>2</v>
      </c>
    </row>
    <row r="1813" spans="3:4">
      <c r="C1813" s="395" t="s">
        <v>3580</v>
      </c>
      <c r="D1813" s="396">
        <v>2</v>
      </c>
    </row>
    <row r="1814" spans="3:4">
      <c r="C1814" s="395" t="s">
        <v>3587</v>
      </c>
      <c r="D1814" s="396">
        <v>2</v>
      </c>
    </row>
    <row r="1815" spans="3:4">
      <c r="C1815" s="395" t="s">
        <v>3761</v>
      </c>
      <c r="D1815" s="396">
        <v>2</v>
      </c>
    </row>
    <row r="1816" spans="3:4">
      <c r="C1816" s="395" t="s">
        <v>3766</v>
      </c>
      <c r="D1816" s="396">
        <v>2</v>
      </c>
    </row>
    <row r="1817" spans="3:4">
      <c r="C1817" s="395" t="s">
        <v>3461</v>
      </c>
      <c r="D1817" s="396">
        <v>2</v>
      </c>
    </row>
    <row r="1818" spans="3:4">
      <c r="C1818" s="395" t="s">
        <v>4121</v>
      </c>
      <c r="D1818" s="396">
        <v>2</v>
      </c>
    </row>
    <row r="1820" spans="3:4">
      <c r="C1820" s="397" t="s">
        <v>4043</v>
      </c>
      <c r="D1820" s="402" t="s">
        <v>1398</v>
      </c>
    </row>
    <row r="1821" spans="3:4">
      <c r="C1821" s="395" t="s">
        <v>3535</v>
      </c>
      <c r="D1821" s="396">
        <v>100</v>
      </c>
    </row>
    <row r="1822" spans="3:4">
      <c r="C1822" s="395" t="s">
        <v>3382</v>
      </c>
      <c r="D1822" s="396">
        <v>100</v>
      </c>
    </row>
    <row r="1824" spans="3:4">
      <c r="C1824" s="395" t="s">
        <v>3534</v>
      </c>
      <c r="D1824" s="396">
        <v>100</v>
      </c>
    </row>
    <row r="1825" spans="3:4">
      <c r="C1825" s="395" t="s">
        <v>3382</v>
      </c>
      <c r="D1825" s="396">
        <v>100</v>
      </c>
    </row>
  </sheetData>
  <mergeCells count="28">
    <mergeCell ref="C391:D391"/>
    <mergeCell ref="C10:D10"/>
    <mergeCell ref="C69:D69"/>
    <mergeCell ref="C84:D84"/>
    <mergeCell ref="C97:D97"/>
    <mergeCell ref="C139:D139"/>
    <mergeCell ref="C300:D300"/>
    <mergeCell ref="C178:D178"/>
    <mergeCell ref="C210:D210"/>
    <mergeCell ref="C236:D236"/>
    <mergeCell ref="C258:D258"/>
    <mergeCell ref="C1230:D1230"/>
    <mergeCell ref="C1244:D1244"/>
    <mergeCell ref="C1097:D1097"/>
    <mergeCell ref="C1151:D1151"/>
    <mergeCell ref="C1155:D1155"/>
    <mergeCell ref="C1168:D1168"/>
    <mergeCell ref="C1179:D1179"/>
    <mergeCell ref="C1055:D1055"/>
    <mergeCell ref="C1070:D1070"/>
    <mergeCell ref="C788:D788"/>
    <mergeCell ref="C858:D858"/>
    <mergeCell ref="C1204:D1204"/>
    <mergeCell ref="C1398:D1398"/>
    <mergeCell ref="C1456:D1456"/>
    <mergeCell ref="C1501:D1501"/>
    <mergeCell ref="C1269:D1269"/>
    <mergeCell ref="C1248:D1248"/>
  </mergeCells>
  <pageMargins left="0.2" right="0.7" top="5.6" bottom="0.26" header="10.45" footer="1.24"/>
  <pageSetup paperSize="9" scale="44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Views>
    <sheetView topLeftCell="A163" workbookViewId="0">
      <selection activeCell="A174" sqref="A174"/>
    </sheetView>
  </sheetViews>
  <sheetFormatPr defaultRowHeight="18"/>
  <cols>
    <col min="1" max="2" width="17.5703125" style="363" bestFit="1" customWidth="1"/>
    <col min="3" max="3" width="14.5703125" style="363" bestFit="1" customWidth="1"/>
    <col min="4" max="4" width="30.140625" style="363" bestFit="1" customWidth="1"/>
    <col min="5" max="5" width="29.85546875" style="363" customWidth="1"/>
    <col min="6" max="6" width="12.42578125" style="363" bestFit="1" customWidth="1"/>
    <col min="7" max="7" width="15.42578125" style="363" bestFit="1" customWidth="1"/>
  </cols>
  <sheetData>
    <row r="1" spans="1:7" ht="18.75" thickBot="1">
      <c r="A1" s="522" t="s">
        <v>3279</v>
      </c>
      <c r="B1" s="523"/>
      <c r="C1" s="523"/>
      <c r="D1" s="523"/>
      <c r="E1" s="523"/>
      <c r="F1" s="523"/>
      <c r="G1" s="524"/>
    </row>
    <row r="2" spans="1:7" ht="18.75" thickBot="1">
      <c r="A2" s="369" t="s">
        <v>3274</v>
      </c>
      <c r="B2" s="370" t="s">
        <v>3280</v>
      </c>
      <c r="C2" s="370" t="s">
        <v>3281</v>
      </c>
      <c r="D2" s="370" t="s">
        <v>3276</v>
      </c>
      <c r="E2" s="370" t="s">
        <v>3275</v>
      </c>
      <c r="F2" s="370" t="s">
        <v>3277</v>
      </c>
      <c r="G2" s="371" t="s">
        <v>3278</v>
      </c>
    </row>
    <row r="3" spans="1:7">
      <c r="A3" s="372">
        <v>45669</v>
      </c>
      <c r="B3" s="367" t="s">
        <v>3282</v>
      </c>
      <c r="C3" s="367" t="s">
        <v>3283</v>
      </c>
      <c r="D3" s="367" t="s">
        <v>3284</v>
      </c>
      <c r="E3" s="373">
        <v>0.88194444444444453</v>
      </c>
      <c r="F3" s="376" t="s">
        <v>3296</v>
      </c>
      <c r="G3" s="368"/>
    </row>
    <row r="4" spans="1:7">
      <c r="A4" s="374">
        <v>45670</v>
      </c>
      <c r="B4" s="357" t="s">
        <v>3286</v>
      </c>
      <c r="C4" s="357"/>
      <c r="D4" s="357"/>
      <c r="E4" s="375">
        <v>0.19027777777777777</v>
      </c>
      <c r="F4" s="357" t="s">
        <v>3285</v>
      </c>
      <c r="G4" s="365"/>
    </row>
    <row r="5" spans="1:7">
      <c r="A5" s="374">
        <v>46035</v>
      </c>
      <c r="B5" s="357" t="s">
        <v>3287</v>
      </c>
      <c r="C5" s="357" t="s">
        <v>3288</v>
      </c>
      <c r="D5" s="367" t="s">
        <v>3289</v>
      </c>
      <c r="E5" s="357" t="s">
        <v>3290</v>
      </c>
      <c r="F5" s="357" t="s">
        <v>3285</v>
      </c>
      <c r="G5" s="365"/>
    </row>
    <row r="6" spans="1:7">
      <c r="A6" s="374">
        <v>46035</v>
      </c>
      <c r="B6" s="357" t="s">
        <v>3286</v>
      </c>
      <c r="C6" s="357" t="s">
        <v>3288</v>
      </c>
      <c r="D6" s="377" t="s">
        <v>3291</v>
      </c>
      <c r="E6" s="357" t="s">
        <v>3292</v>
      </c>
      <c r="F6" s="376" t="s">
        <v>3296</v>
      </c>
      <c r="G6" s="365"/>
    </row>
    <row r="7" spans="1:7">
      <c r="A7" s="374">
        <v>46035</v>
      </c>
      <c r="B7" s="357" t="s">
        <v>3294</v>
      </c>
      <c r="C7" s="357" t="s">
        <v>3288</v>
      </c>
      <c r="D7" s="357" t="s">
        <v>3293</v>
      </c>
      <c r="E7" s="357" t="s">
        <v>3295</v>
      </c>
      <c r="F7" s="357" t="s">
        <v>3285</v>
      </c>
      <c r="G7" s="365"/>
    </row>
    <row r="8" spans="1:7">
      <c r="A8" s="374">
        <v>46035</v>
      </c>
      <c r="B8" s="357" t="s">
        <v>3286</v>
      </c>
      <c r="C8" s="357" t="s">
        <v>3298</v>
      </c>
      <c r="D8" s="357" t="s">
        <v>3297</v>
      </c>
      <c r="E8" s="357" t="s">
        <v>3299</v>
      </c>
      <c r="F8" s="357" t="s">
        <v>3285</v>
      </c>
      <c r="G8" s="365"/>
    </row>
    <row r="9" spans="1:7">
      <c r="A9" s="374">
        <v>46035</v>
      </c>
      <c r="B9" s="357" t="s">
        <v>3302</v>
      </c>
      <c r="C9" s="357" t="s">
        <v>3298</v>
      </c>
      <c r="D9" s="357" t="s">
        <v>3300</v>
      </c>
      <c r="E9" s="357" t="s">
        <v>3301</v>
      </c>
      <c r="F9" s="357" t="s">
        <v>3285</v>
      </c>
      <c r="G9" s="365"/>
    </row>
    <row r="10" spans="1:7">
      <c r="A10" s="374">
        <v>46035</v>
      </c>
      <c r="B10" s="357" t="s">
        <v>3302</v>
      </c>
      <c r="C10" s="357" t="s">
        <v>3298</v>
      </c>
      <c r="D10" s="357" t="s">
        <v>3303</v>
      </c>
      <c r="E10" s="357" t="s">
        <v>3304</v>
      </c>
      <c r="F10" s="357" t="s">
        <v>3285</v>
      </c>
      <c r="G10" s="365"/>
    </row>
    <row r="11" spans="1:7">
      <c r="A11" s="374">
        <v>46035</v>
      </c>
      <c r="B11" s="357" t="s">
        <v>3306</v>
      </c>
      <c r="C11" s="357" t="s">
        <v>3283</v>
      </c>
      <c r="D11" s="357" t="s">
        <v>3305</v>
      </c>
      <c r="E11" s="375">
        <v>0.90694444444444444</v>
      </c>
      <c r="F11" s="357" t="s">
        <v>3285</v>
      </c>
      <c r="G11" s="365"/>
    </row>
    <row r="12" spans="1:7">
      <c r="A12" s="374">
        <v>46036</v>
      </c>
      <c r="B12" s="357" t="s">
        <v>3286</v>
      </c>
      <c r="C12" s="357" t="s">
        <v>3288</v>
      </c>
      <c r="D12" s="357" t="s">
        <v>3307</v>
      </c>
      <c r="E12" s="357" t="s">
        <v>3308</v>
      </c>
      <c r="F12" s="357" t="s">
        <v>3285</v>
      </c>
      <c r="G12" s="365"/>
    </row>
    <row r="13" spans="1:7">
      <c r="A13" s="374">
        <v>46036</v>
      </c>
      <c r="B13" s="357" t="s">
        <v>3286</v>
      </c>
      <c r="C13" s="357" t="s">
        <v>3288</v>
      </c>
      <c r="D13" s="357" t="s">
        <v>3309</v>
      </c>
      <c r="E13" s="357" t="s">
        <v>3310</v>
      </c>
      <c r="F13" s="357" t="s">
        <v>3285</v>
      </c>
      <c r="G13" s="365"/>
    </row>
    <row r="14" spans="1:7">
      <c r="A14" s="374">
        <v>46041</v>
      </c>
      <c r="B14" s="357" t="s">
        <v>3093</v>
      </c>
      <c r="C14" s="357" t="s">
        <v>3312</v>
      </c>
      <c r="D14" s="357" t="s">
        <v>3311</v>
      </c>
      <c r="E14" s="357" t="s">
        <v>3313</v>
      </c>
      <c r="F14" s="357" t="s">
        <v>3285</v>
      </c>
      <c r="G14" s="365"/>
    </row>
    <row r="15" spans="1:7">
      <c r="A15" s="374">
        <v>46042</v>
      </c>
      <c r="B15" s="357"/>
      <c r="C15" s="357"/>
      <c r="D15" s="357" t="s">
        <v>3314</v>
      </c>
      <c r="E15" s="357" t="s">
        <v>3315</v>
      </c>
      <c r="F15" s="357" t="s">
        <v>3285</v>
      </c>
      <c r="G15" s="365"/>
    </row>
    <row r="16" spans="1:7">
      <c r="A16" s="374">
        <v>46042</v>
      </c>
      <c r="B16" s="357"/>
      <c r="C16" s="357"/>
      <c r="D16" s="357" t="s">
        <v>3316</v>
      </c>
      <c r="E16" s="378" t="s">
        <v>3317</v>
      </c>
      <c r="F16" s="357"/>
      <c r="G16" s="365"/>
    </row>
    <row r="17" spans="1:7">
      <c r="A17" s="364"/>
      <c r="B17" s="357"/>
      <c r="C17" s="357"/>
      <c r="D17" s="357" t="s">
        <v>3318</v>
      </c>
      <c r="E17" s="357"/>
      <c r="F17" s="357"/>
      <c r="G17" s="365"/>
    </row>
    <row r="18" spans="1:7">
      <c r="A18" s="364"/>
      <c r="B18" s="357"/>
      <c r="C18" s="357"/>
      <c r="D18" s="357" t="s">
        <v>3319</v>
      </c>
      <c r="E18" s="357"/>
      <c r="F18" s="357"/>
      <c r="G18" s="365"/>
    </row>
    <row r="19" spans="1:7">
      <c r="A19" s="364"/>
      <c r="B19" s="357"/>
      <c r="C19" s="357"/>
      <c r="D19" s="357" t="s">
        <v>3320</v>
      </c>
      <c r="E19" s="357"/>
      <c r="F19" s="357"/>
      <c r="G19" s="365"/>
    </row>
    <row r="20" spans="1:7">
      <c r="A20" s="364"/>
      <c r="B20" s="357"/>
      <c r="C20" s="357"/>
      <c r="D20" s="357" t="s">
        <v>3321</v>
      </c>
      <c r="E20" s="357"/>
      <c r="F20" s="357"/>
      <c r="G20" s="365"/>
    </row>
    <row r="21" spans="1:7">
      <c r="A21" s="364"/>
      <c r="B21" s="357"/>
      <c r="C21" s="357"/>
      <c r="D21" s="357" t="s">
        <v>3322</v>
      </c>
      <c r="E21" s="357"/>
      <c r="F21" s="357"/>
      <c r="G21" s="365"/>
    </row>
    <row r="22" spans="1:7">
      <c r="A22" s="364"/>
      <c r="B22" s="357"/>
      <c r="C22" s="357"/>
      <c r="D22" s="357" t="s">
        <v>3323</v>
      </c>
      <c r="E22" s="357"/>
      <c r="F22" s="357"/>
      <c r="G22" s="365"/>
    </row>
    <row r="23" spans="1:7">
      <c r="A23" s="364"/>
      <c r="B23" s="357"/>
      <c r="C23" s="357"/>
      <c r="D23" s="357" t="s">
        <v>3324</v>
      </c>
      <c r="E23" s="357"/>
      <c r="F23" s="357"/>
      <c r="G23" s="365"/>
    </row>
    <row r="24" spans="1:7">
      <c r="A24" s="364"/>
      <c r="B24" s="357"/>
      <c r="C24" s="357"/>
      <c r="D24" s="357" t="s">
        <v>3325</v>
      </c>
      <c r="E24" s="357"/>
      <c r="F24" s="357"/>
      <c r="G24" s="365"/>
    </row>
    <row r="25" spans="1:7">
      <c r="A25" s="364"/>
      <c r="B25" s="357"/>
      <c r="C25" s="357"/>
      <c r="D25" s="357" t="s">
        <v>3326</v>
      </c>
      <c r="E25" s="357"/>
      <c r="F25" s="357"/>
      <c r="G25" s="365"/>
    </row>
    <row r="26" spans="1:7">
      <c r="A26" s="364"/>
      <c r="B26" s="357"/>
      <c r="C26" s="357"/>
      <c r="D26" s="357" t="s">
        <v>3327</v>
      </c>
      <c r="E26" s="357"/>
      <c r="F26" s="357"/>
      <c r="G26" s="365"/>
    </row>
    <row r="27" spans="1:7">
      <c r="A27" s="364"/>
      <c r="B27" s="357"/>
      <c r="C27" s="357"/>
      <c r="D27" s="357" t="s">
        <v>3328</v>
      </c>
      <c r="E27" s="357"/>
      <c r="F27" s="357"/>
      <c r="G27" s="365"/>
    </row>
    <row r="28" spans="1:7">
      <c r="A28" s="364"/>
      <c r="B28" s="357"/>
      <c r="C28" s="357"/>
      <c r="D28" s="357" t="s">
        <v>3329</v>
      </c>
      <c r="E28" s="357"/>
      <c r="F28" s="357"/>
      <c r="G28" s="365"/>
    </row>
    <row r="29" spans="1:7">
      <c r="A29" s="364"/>
      <c r="B29" s="357"/>
      <c r="C29" s="357"/>
      <c r="D29" s="357" t="s">
        <v>3330</v>
      </c>
      <c r="E29" s="357"/>
      <c r="F29" s="357"/>
      <c r="G29" s="365"/>
    </row>
    <row r="30" spans="1:7">
      <c r="A30" s="364"/>
      <c r="B30" s="357"/>
      <c r="C30" s="357"/>
      <c r="D30" s="357" t="s">
        <v>3331</v>
      </c>
      <c r="E30" s="357"/>
      <c r="F30" s="357"/>
      <c r="G30" s="365"/>
    </row>
    <row r="31" spans="1:7">
      <c r="A31" s="374">
        <v>46044</v>
      </c>
      <c r="B31" s="357"/>
      <c r="C31" s="357"/>
      <c r="D31" s="357" t="s">
        <v>3332</v>
      </c>
      <c r="E31" s="357" t="s">
        <v>3333</v>
      </c>
      <c r="F31" s="357"/>
      <c r="G31" s="365"/>
    </row>
    <row r="32" spans="1:7">
      <c r="A32" s="374">
        <v>46044</v>
      </c>
      <c r="B32" s="357"/>
      <c r="C32" s="357"/>
      <c r="D32" s="357" t="s">
        <v>3334</v>
      </c>
      <c r="E32" s="357"/>
      <c r="F32" s="357"/>
      <c r="G32" s="365"/>
    </row>
    <row r="33" spans="1:7">
      <c r="A33" s="374">
        <v>46044</v>
      </c>
      <c r="B33" s="357"/>
      <c r="C33" s="357"/>
      <c r="D33" s="357" t="s">
        <v>3335</v>
      </c>
      <c r="E33" s="357" t="s">
        <v>3336</v>
      </c>
      <c r="F33" s="357"/>
      <c r="G33" s="365"/>
    </row>
    <row r="34" spans="1:7">
      <c r="A34" s="374">
        <v>46044</v>
      </c>
      <c r="B34" s="357"/>
      <c r="C34" s="357"/>
      <c r="D34" s="357" t="s">
        <v>3337</v>
      </c>
      <c r="E34" s="357" t="s">
        <v>3336</v>
      </c>
      <c r="F34" s="357"/>
      <c r="G34" s="365"/>
    </row>
    <row r="35" spans="1:7">
      <c r="A35" s="364"/>
      <c r="B35" s="357"/>
      <c r="C35" s="357"/>
      <c r="D35" s="357" t="s">
        <v>3338</v>
      </c>
      <c r="E35" s="357"/>
      <c r="F35" s="357"/>
      <c r="G35" s="365"/>
    </row>
    <row r="36" spans="1:7">
      <c r="A36" s="364"/>
      <c r="B36" s="357"/>
      <c r="C36" s="357"/>
      <c r="D36" s="357" t="s">
        <v>3339</v>
      </c>
      <c r="E36" s="357"/>
      <c r="F36" s="357"/>
      <c r="G36" s="365"/>
    </row>
    <row r="37" spans="1:7">
      <c r="A37" s="364"/>
      <c r="B37" s="357"/>
      <c r="C37" s="357"/>
      <c r="D37" s="357" t="s">
        <v>3340</v>
      </c>
      <c r="E37" s="357"/>
      <c r="F37" s="357"/>
      <c r="G37" s="365"/>
    </row>
    <row r="38" spans="1:7">
      <c r="A38" s="364"/>
      <c r="B38" s="357"/>
      <c r="C38" s="357"/>
      <c r="D38" s="357" t="s">
        <v>3341</v>
      </c>
      <c r="E38" s="357"/>
      <c r="F38" s="357"/>
      <c r="G38" s="365"/>
    </row>
    <row r="39" spans="1:7">
      <c r="A39" s="364"/>
      <c r="B39" s="357"/>
      <c r="C39" s="357"/>
      <c r="D39" s="357" t="s">
        <v>3342</v>
      </c>
      <c r="E39" s="357"/>
      <c r="F39" s="357"/>
      <c r="G39" s="365"/>
    </row>
    <row r="40" spans="1:7">
      <c r="A40" s="364"/>
      <c r="B40" s="357"/>
      <c r="C40" s="357"/>
      <c r="D40" s="357" t="s">
        <v>3343</v>
      </c>
      <c r="E40" s="357"/>
      <c r="F40" s="357"/>
      <c r="G40" s="365"/>
    </row>
    <row r="41" spans="1:7">
      <c r="A41" s="364"/>
      <c r="B41" s="357"/>
      <c r="C41" s="357"/>
      <c r="D41" s="357" t="s">
        <v>3344</v>
      </c>
      <c r="E41" s="357"/>
      <c r="F41" s="357"/>
      <c r="G41" s="365"/>
    </row>
    <row r="42" spans="1:7">
      <c r="A42" s="364"/>
      <c r="B42" s="357"/>
      <c r="C42" s="357"/>
      <c r="D42" s="357" t="s">
        <v>3345</v>
      </c>
      <c r="E42" s="357"/>
      <c r="F42" s="357"/>
      <c r="G42" s="365"/>
    </row>
    <row r="43" spans="1:7">
      <c r="A43" s="364"/>
      <c r="B43" s="357"/>
      <c r="C43" s="357"/>
      <c r="D43" s="357" t="s">
        <v>3346</v>
      </c>
      <c r="E43" s="357"/>
      <c r="F43" s="357"/>
      <c r="G43" s="365"/>
    </row>
    <row r="44" spans="1:7">
      <c r="A44" s="364"/>
      <c r="B44" s="357"/>
      <c r="C44" s="357"/>
      <c r="D44" s="357" t="s">
        <v>3347</v>
      </c>
      <c r="E44" s="357"/>
      <c r="F44" s="357"/>
      <c r="G44" s="365"/>
    </row>
    <row r="45" spans="1:7">
      <c r="A45" s="364"/>
      <c r="B45" s="357"/>
      <c r="C45" s="357"/>
      <c r="D45" s="357" t="s">
        <v>3348</v>
      </c>
      <c r="E45" s="357"/>
      <c r="F45" s="357"/>
      <c r="G45" s="365"/>
    </row>
    <row r="46" spans="1:7">
      <c r="A46" s="364"/>
      <c r="B46" s="357"/>
      <c r="C46" s="357"/>
      <c r="D46" s="357" t="s">
        <v>3349</v>
      </c>
      <c r="E46" s="357"/>
      <c r="F46" s="357"/>
      <c r="G46" s="365"/>
    </row>
    <row r="47" spans="1:7">
      <c r="A47" s="364"/>
      <c r="B47" s="357"/>
      <c r="C47" s="357"/>
      <c r="D47" s="357" t="s">
        <v>3350</v>
      </c>
      <c r="E47" s="357"/>
      <c r="F47" s="357"/>
      <c r="G47" s="365"/>
    </row>
    <row r="48" spans="1:7">
      <c r="A48" s="364"/>
      <c r="B48" s="357"/>
      <c r="C48" s="357"/>
      <c r="D48" s="357" t="s">
        <v>3351</v>
      </c>
      <c r="E48" s="357"/>
      <c r="F48" s="357"/>
      <c r="G48" s="365"/>
    </row>
    <row r="49" spans="1:7" ht="18.75">
      <c r="A49" s="364"/>
      <c r="B49" s="357"/>
      <c r="C49" s="357"/>
      <c r="D49" s="388" t="s">
        <v>3352</v>
      </c>
      <c r="E49" s="357"/>
      <c r="F49" s="357"/>
      <c r="G49" s="365"/>
    </row>
    <row r="50" spans="1:7">
      <c r="A50" s="364"/>
      <c r="B50" s="357"/>
      <c r="C50" s="357"/>
      <c r="D50" s="357" t="s">
        <v>3353</v>
      </c>
      <c r="E50" s="357"/>
      <c r="F50" s="357"/>
      <c r="G50" s="365"/>
    </row>
    <row r="51" spans="1:7">
      <c r="A51" s="374">
        <v>46050</v>
      </c>
      <c r="B51" s="357"/>
      <c r="C51" s="357"/>
      <c r="D51" s="357" t="s">
        <v>3354</v>
      </c>
      <c r="E51" s="357"/>
      <c r="F51" s="357"/>
      <c r="G51" s="365"/>
    </row>
    <row r="52" spans="1:7">
      <c r="A52" s="374">
        <v>46050</v>
      </c>
      <c r="B52" s="357"/>
      <c r="C52" s="357"/>
      <c r="D52" s="357" t="s">
        <v>3355</v>
      </c>
      <c r="E52" s="357"/>
      <c r="F52" s="357"/>
      <c r="G52" s="365"/>
    </row>
    <row r="53" spans="1:7">
      <c r="A53" s="374">
        <v>46050</v>
      </c>
      <c r="B53" s="357"/>
      <c r="C53" s="357"/>
      <c r="D53" s="357" t="s">
        <v>3356</v>
      </c>
      <c r="E53" s="357"/>
      <c r="F53" s="357"/>
      <c r="G53" s="365"/>
    </row>
    <row r="54" spans="1:7">
      <c r="A54" s="374">
        <v>46050</v>
      </c>
      <c r="B54" s="357"/>
      <c r="C54" s="357"/>
      <c r="D54" s="357" t="s">
        <v>3357</v>
      </c>
      <c r="E54" s="357"/>
      <c r="F54" s="357"/>
      <c r="G54" s="365"/>
    </row>
    <row r="55" spans="1:7">
      <c r="A55" s="374">
        <v>46050</v>
      </c>
      <c r="B55" s="357"/>
      <c r="C55" s="357"/>
      <c r="D55" s="357" t="s">
        <v>3358</v>
      </c>
      <c r="E55" s="357"/>
      <c r="F55" s="357"/>
      <c r="G55" s="365"/>
    </row>
    <row r="56" spans="1:7">
      <c r="A56" s="374">
        <v>46050</v>
      </c>
      <c r="B56" s="357"/>
      <c r="C56" s="357"/>
      <c r="D56" s="357" t="s">
        <v>3359</v>
      </c>
      <c r="E56" s="357"/>
      <c r="F56" s="357"/>
      <c r="G56" s="365"/>
    </row>
    <row r="57" spans="1:7">
      <c r="A57" s="374">
        <v>46050</v>
      </c>
      <c r="B57" s="357"/>
      <c r="C57" s="357"/>
      <c r="D57" s="357" t="s">
        <v>3360</v>
      </c>
      <c r="E57" s="357"/>
      <c r="F57" s="357"/>
      <c r="G57" s="365"/>
    </row>
    <row r="58" spans="1:7">
      <c r="A58" s="374">
        <v>46050</v>
      </c>
      <c r="B58" s="357"/>
      <c r="C58" s="357"/>
      <c r="D58" s="357" t="s">
        <v>3361</v>
      </c>
      <c r="E58" s="357"/>
      <c r="F58" s="357"/>
      <c r="G58" s="365"/>
    </row>
    <row r="59" spans="1:7">
      <c r="A59" s="374">
        <v>46050</v>
      </c>
      <c r="B59" s="357"/>
      <c r="C59" s="357"/>
      <c r="D59" s="357" t="s">
        <v>3362</v>
      </c>
      <c r="E59" s="357"/>
      <c r="F59" s="357"/>
      <c r="G59" s="365"/>
    </row>
    <row r="60" spans="1:7">
      <c r="A60" s="374">
        <v>46050</v>
      </c>
      <c r="B60" s="357"/>
      <c r="C60" s="357"/>
      <c r="D60" s="357" t="s">
        <v>3363</v>
      </c>
      <c r="E60" s="357"/>
      <c r="F60" s="357"/>
      <c r="G60" s="365"/>
    </row>
    <row r="61" spans="1:7">
      <c r="A61" s="374">
        <v>46051</v>
      </c>
      <c r="B61" s="357"/>
      <c r="C61" s="357"/>
      <c r="D61" s="357" t="s">
        <v>3364</v>
      </c>
      <c r="E61" s="357"/>
      <c r="F61" s="357"/>
      <c r="G61" s="365"/>
    </row>
    <row r="62" spans="1:7">
      <c r="A62" s="374">
        <v>46052</v>
      </c>
      <c r="B62" s="357"/>
      <c r="C62" s="357"/>
      <c r="D62" s="357" t="s">
        <v>3366</v>
      </c>
      <c r="E62" s="357"/>
      <c r="F62" s="357"/>
      <c r="G62" s="365"/>
    </row>
    <row r="63" spans="1:7">
      <c r="A63" s="374">
        <v>46052</v>
      </c>
      <c r="B63" s="357"/>
      <c r="C63" s="357"/>
      <c r="D63" s="357" t="s">
        <v>3365</v>
      </c>
      <c r="E63" s="357"/>
      <c r="F63" s="357"/>
      <c r="G63" s="365"/>
    </row>
    <row r="64" spans="1:7">
      <c r="A64" s="374">
        <v>46052</v>
      </c>
      <c r="B64" s="357"/>
      <c r="C64" s="357"/>
      <c r="D64" s="357" t="s">
        <v>3367</v>
      </c>
      <c r="E64" s="357"/>
      <c r="F64" s="357"/>
      <c r="G64" s="365"/>
    </row>
    <row r="65" spans="1:7">
      <c r="A65" s="374">
        <v>46052</v>
      </c>
      <c r="B65" s="357"/>
      <c r="C65" s="357"/>
      <c r="D65" s="357" t="s">
        <v>3368</v>
      </c>
      <c r="E65" s="357"/>
      <c r="F65" s="357"/>
      <c r="G65" s="365"/>
    </row>
    <row r="66" spans="1:7">
      <c r="A66" s="374">
        <v>46052</v>
      </c>
      <c r="B66" s="357"/>
      <c r="C66" s="357"/>
      <c r="D66" s="357" t="s">
        <v>3369</v>
      </c>
      <c r="E66" s="357"/>
      <c r="F66" s="357"/>
      <c r="G66" s="365"/>
    </row>
    <row r="67" spans="1:7">
      <c r="A67" s="374">
        <v>46052</v>
      </c>
      <c r="B67" s="357"/>
      <c r="C67" s="357"/>
      <c r="D67" s="357" t="s">
        <v>3370</v>
      </c>
      <c r="E67" s="357"/>
      <c r="F67" s="357"/>
      <c r="G67" s="365"/>
    </row>
    <row r="68" spans="1:7">
      <c r="A68" s="374">
        <v>46052</v>
      </c>
      <c r="B68" s="357"/>
      <c r="C68" s="357"/>
      <c r="D68" s="357" t="s">
        <v>3371</v>
      </c>
      <c r="E68" s="357"/>
      <c r="F68" s="357"/>
      <c r="G68" s="365"/>
    </row>
    <row r="69" spans="1:7">
      <c r="A69" s="374">
        <v>46053</v>
      </c>
      <c r="B69" s="357"/>
      <c r="C69" s="357"/>
      <c r="D69" s="357" t="s">
        <v>3372</v>
      </c>
      <c r="E69" s="357"/>
      <c r="F69" s="357"/>
      <c r="G69" s="365"/>
    </row>
    <row r="70" spans="1:7">
      <c r="A70" s="374">
        <v>46053</v>
      </c>
      <c r="B70" s="357"/>
      <c r="C70" s="357"/>
      <c r="D70" s="357" t="s">
        <v>3373</v>
      </c>
      <c r="E70" s="357"/>
      <c r="F70" s="357"/>
      <c r="G70" s="365"/>
    </row>
    <row r="71" spans="1:7">
      <c r="A71" s="374">
        <v>46053</v>
      </c>
      <c r="B71" s="357"/>
      <c r="C71" s="357"/>
      <c r="D71" s="357" t="s">
        <v>3374</v>
      </c>
      <c r="E71" s="357"/>
      <c r="F71" s="357"/>
      <c r="G71" s="365"/>
    </row>
    <row r="72" spans="1:7">
      <c r="A72" s="374">
        <v>46053</v>
      </c>
      <c r="B72" s="357"/>
      <c r="C72" s="357"/>
      <c r="D72" s="357" t="s">
        <v>3375</v>
      </c>
      <c r="E72" s="357"/>
      <c r="F72" s="357"/>
      <c r="G72" s="365"/>
    </row>
    <row r="73" spans="1:7">
      <c r="A73" s="374">
        <v>46053</v>
      </c>
      <c r="B73" s="357"/>
      <c r="C73" s="357"/>
      <c r="D73" s="357" t="s">
        <v>3376</v>
      </c>
      <c r="E73" s="357"/>
      <c r="F73" s="357"/>
      <c r="G73" s="365"/>
    </row>
    <row r="74" spans="1:7">
      <c r="A74" s="374">
        <v>46053</v>
      </c>
      <c r="B74" s="357"/>
      <c r="C74" s="357"/>
      <c r="D74" s="357" t="s">
        <v>3377</v>
      </c>
      <c r="E74" s="357"/>
      <c r="F74" s="357"/>
      <c r="G74" s="365"/>
    </row>
    <row r="75" spans="1:7">
      <c r="A75" s="364"/>
      <c r="B75" s="357"/>
      <c r="C75" s="357"/>
      <c r="D75" s="357"/>
      <c r="E75" s="357"/>
      <c r="F75" s="357"/>
      <c r="G75" s="365"/>
    </row>
    <row r="76" spans="1:7">
      <c r="A76" s="374">
        <v>46070</v>
      </c>
      <c r="B76" s="357" t="s">
        <v>3526</v>
      </c>
      <c r="C76" s="357"/>
      <c r="D76" s="357" t="s">
        <v>3525</v>
      </c>
      <c r="E76" s="357"/>
      <c r="F76" s="357"/>
      <c r="G76" s="365"/>
    </row>
    <row r="77" spans="1:7">
      <c r="A77" s="364"/>
      <c r="B77" s="357"/>
      <c r="C77" s="357"/>
      <c r="D77" s="357" t="s">
        <v>3532</v>
      </c>
      <c r="E77" s="357"/>
      <c r="F77" s="357"/>
      <c r="G77" s="365"/>
    </row>
    <row r="78" spans="1:7">
      <c r="A78" s="364"/>
      <c r="B78" s="357"/>
      <c r="C78" s="357"/>
      <c r="D78" s="357" t="s">
        <v>3538</v>
      </c>
      <c r="E78" s="357"/>
      <c r="F78" s="357"/>
      <c r="G78" s="365"/>
    </row>
    <row r="79" spans="1:7">
      <c r="A79" s="364"/>
      <c r="B79" s="357"/>
      <c r="C79" s="357"/>
      <c r="D79" s="357" t="s">
        <v>3539</v>
      </c>
      <c r="E79" s="357"/>
      <c r="F79" s="357"/>
      <c r="G79" s="365"/>
    </row>
    <row r="80" spans="1:7">
      <c r="A80" s="364"/>
      <c r="B80" s="357"/>
      <c r="C80" s="357"/>
      <c r="D80" s="357" t="s">
        <v>3546</v>
      </c>
      <c r="E80" s="357"/>
      <c r="F80" s="357"/>
      <c r="G80" s="365"/>
    </row>
    <row r="81" spans="1:7">
      <c r="A81" s="364"/>
      <c r="B81" s="357"/>
      <c r="C81" s="357"/>
      <c r="D81" s="357" t="s">
        <v>3547</v>
      </c>
      <c r="E81" s="357"/>
      <c r="F81" s="357"/>
      <c r="G81" s="365"/>
    </row>
    <row r="82" spans="1:7">
      <c r="A82" s="364"/>
      <c r="B82" s="357"/>
      <c r="C82" s="357"/>
      <c r="D82" s="357" t="s">
        <v>3554</v>
      </c>
      <c r="E82" s="357"/>
      <c r="F82" s="357"/>
      <c r="G82" s="365"/>
    </row>
    <row r="83" spans="1:7">
      <c r="A83" s="364"/>
      <c r="B83" s="357"/>
      <c r="C83" s="357"/>
      <c r="D83" s="357" t="s">
        <v>3557</v>
      </c>
      <c r="E83" s="357"/>
      <c r="F83" s="357"/>
      <c r="G83" s="365"/>
    </row>
    <row r="84" spans="1:7">
      <c r="A84" s="364"/>
      <c r="B84" s="357"/>
      <c r="C84" s="357"/>
      <c r="D84" s="357" t="s">
        <v>3561</v>
      </c>
      <c r="E84" s="357"/>
      <c r="F84" s="357"/>
      <c r="G84" s="365"/>
    </row>
    <row r="85" spans="1:7">
      <c r="A85" s="364"/>
      <c r="B85" s="357"/>
      <c r="C85" s="357"/>
      <c r="D85" s="357"/>
      <c r="E85" s="357"/>
      <c r="F85" s="357"/>
      <c r="G85" s="365"/>
    </row>
    <row r="86" spans="1:7">
      <c r="A86" s="374">
        <v>46071</v>
      </c>
      <c r="B86" s="357"/>
      <c r="C86" s="357"/>
      <c r="D86" s="357" t="s">
        <v>3562</v>
      </c>
      <c r="E86" s="357"/>
      <c r="F86" s="357"/>
      <c r="G86" s="365"/>
    </row>
    <row r="87" spans="1:7">
      <c r="A87" s="374">
        <v>46071</v>
      </c>
      <c r="B87" s="357"/>
      <c r="C87" s="357"/>
      <c r="D87" s="357" t="s">
        <v>3563</v>
      </c>
      <c r="E87" s="357"/>
      <c r="F87" s="357"/>
      <c r="G87" s="365"/>
    </row>
    <row r="88" spans="1:7">
      <c r="A88" s="374">
        <v>46071</v>
      </c>
      <c r="B88" s="357"/>
      <c r="C88" s="357"/>
      <c r="D88" s="357" t="s">
        <v>3567</v>
      </c>
      <c r="E88" s="357"/>
      <c r="F88" s="357"/>
      <c r="G88" s="365"/>
    </row>
    <row r="89" spans="1:7">
      <c r="A89" s="374">
        <v>46071</v>
      </c>
      <c r="B89" s="357"/>
      <c r="C89" s="357"/>
      <c r="D89" s="357" t="s">
        <v>3568</v>
      </c>
      <c r="E89" s="357"/>
      <c r="F89" s="357"/>
      <c r="G89" s="365"/>
    </row>
    <row r="90" spans="1:7">
      <c r="A90" s="374">
        <v>46071</v>
      </c>
      <c r="B90" s="357"/>
      <c r="C90" s="357"/>
      <c r="D90" s="357" t="s">
        <v>3569</v>
      </c>
      <c r="E90" s="357"/>
      <c r="F90" s="357"/>
      <c r="G90" s="365"/>
    </row>
    <row r="91" spans="1:7">
      <c r="A91" s="374">
        <v>46071</v>
      </c>
      <c r="B91" s="357"/>
      <c r="C91" s="357"/>
      <c r="D91" s="357" t="s">
        <v>3570</v>
      </c>
      <c r="E91" s="357"/>
      <c r="F91" s="357"/>
      <c r="G91" s="365"/>
    </row>
    <row r="92" spans="1:7" ht="18.75" thickBot="1">
      <c r="A92" s="374">
        <v>46071</v>
      </c>
      <c r="B92" s="400"/>
      <c r="C92" s="400"/>
      <c r="D92" s="366" t="s">
        <v>3571</v>
      </c>
      <c r="E92" s="400"/>
      <c r="F92" s="400"/>
      <c r="G92" s="401"/>
    </row>
    <row r="93" spans="1:7">
      <c r="A93" s="374">
        <v>46071</v>
      </c>
      <c r="B93" s="400"/>
      <c r="C93" s="400"/>
      <c r="D93" s="400" t="s">
        <v>3572</v>
      </c>
      <c r="E93" s="400"/>
      <c r="F93" s="400"/>
      <c r="G93" s="401"/>
    </row>
    <row r="94" spans="1:7">
      <c r="A94" s="374">
        <v>46071</v>
      </c>
      <c r="B94" s="400"/>
      <c r="C94" s="400"/>
      <c r="D94" s="400" t="s">
        <v>3573</v>
      </c>
      <c r="E94" s="400"/>
      <c r="F94" s="400"/>
      <c r="G94" s="401"/>
    </row>
    <row r="95" spans="1:7">
      <c r="A95" s="374">
        <v>46071</v>
      </c>
      <c r="B95" s="400"/>
      <c r="C95" s="400"/>
      <c r="D95" s="400" t="s">
        <v>3575</v>
      </c>
      <c r="E95" s="400"/>
      <c r="F95" s="400"/>
      <c r="G95" s="401"/>
    </row>
    <row r="96" spans="1:7">
      <c r="A96" s="404">
        <v>46072</v>
      </c>
      <c r="B96" s="400"/>
      <c r="C96" s="400"/>
      <c r="D96" s="400" t="s">
        <v>3578</v>
      </c>
      <c r="E96" s="400"/>
      <c r="F96" s="400"/>
      <c r="G96" s="401"/>
    </row>
    <row r="97" spans="1:7">
      <c r="A97" s="404">
        <v>46072</v>
      </c>
      <c r="B97" s="400"/>
      <c r="C97" s="400"/>
      <c r="D97" s="400" t="s">
        <v>3591</v>
      </c>
      <c r="E97" s="400"/>
      <c r="F97" s="400"/>
      <c r="G97" s="401"/>
    </row>
    <row r="98" spans="1:7">
      <c r="A98" s="404">
        <v>46072</v>
      </c>
      <c r="B98" s="400"/>
      <c r="C98" s="400"/>
      <c r="D98" s="400" t="s">
        <v>3607</v>
      </c>
      <c r="E98" s="400"/>
      <c r="F98" s="400"/>
      <c r="G98" s="401"/>
    </row>
    <row r="99" spans="1:7">
      <c r="A99" s="404">
        <v>46072</v>
      </c>
      <c r="B99" s="400"/>
      <c r="C99" s="400"/>
      <c r="D99" s="400" t="s">
        <v>3608</v>
      </c>
      <c r="E99" s="400"/>
      <c r="F99" s="400"/>
      <c r="G99" s="401"/>
    </row>
    <row r="100" spans="1:7">
      <c r="A100" s="404">
        <v>46072</v>
      </c>
      <c r="B100" s="400"/>
      <c r="C100" s="400"/>
      <c r="D100" s="400" t="s">
        <v>3616</v>
      </c>
      <c r="E100" s="400"/>
      <c r="F100" s="400"/>
      <c r="G100" s="401"/>
    </row>
    <row r="101" spans="1:7">
      <c r="A101" s="404">
        <v>46072</v>
      </c>
      <c r="B101" s="400"/>
      <c r="C101" s="400"/>
      <c r="D101" s="400" t="s">
        <v>3621</v>
      </c>
      <c r="E101" s="400"/>
      <c r="F101" s="400"/>
      <c r="G101" s="401"/>
    </row>
    <row r="102" spans="1:7">
      <c r="A102" s="404">
        <v>46072</v>
      </c>
      <c r="B102" s="400"/>
      <c r="C102" s="400"/>
      <c r="D102" s="400" t="s">
        <v>3624</v>
      </c>
      <c r="E102" s="400"/>
      <c r="F102" s="400"/>
      <c r="G102" s="401"/>
    </row>
    <row r="103" spans="1:7">
      <c r="A103" s="404">
        <v>46072</v>
      </c>
      <c r="B103" s="400"/>
      <c r="C103" s="400"/>
      <c r="D103" s="400" t="s">
        <v>3628</v>
      </c>
      <c r="E103" s="400"/>
      <c r="F103" s="400"/>
      <c r="G103" s="401"/>
    </row>
    <row r="104" spans="1:7">
      <c r="A104" s="404">
        <v>46072</v>
      </c>
      <c r="B104" s="400"/>
      <c r="C104" s="400"/>
      <c r="D104" s="400" t="s">
        <v>3635</v>
      </c>
      <c r="E104" s="400"/>
      <c r="F104" s="400"/>
      <c r="G104" s="401"/>
    </row>
    <row r="105" spans="1:7">
      <c r="A105" s="404">
        <v>46072</v>
      </c>
      <c r="B105" s="400"/>
      <c r="C105" s="400"/>
      <c r="D105" s="400" t="s">
        <v>3636</v>
      </c>
      <c r="E105" s="400"/>
      <c r="F105" s="400"/>
      <c r="G105" s="401"/>
    </row>
    <row r="106" spans="1:7">
      <c r="A106" s="404"/>
      <c r="B106" s="400"/>
      <c r="C106" s="400"/>
      <c r="D106" s="400"/>
      <c r="E106" s="400"/>
      <c r="F106" s="400"/>
      <c r="G106" s="401"/>
    </row>
    <row r="107" spans="1:7">
      <c r="A107" s="404">
        <v>46073</v>
      </c>
      <c r="B107" s="400"/>
      <c r="C107" s="400"/>
      <c r="D107" s="400" t="s">
        <v>3641</v>
      </c>
      <c r="E107" s="400"/>
      <c r="F107" s="400"/>
      <c r="G107" s="401"/>
    </row>
    <row r="108" spans="1:7">
      <c r="A108" s="404">
        <v>46073</v>
      </c>
      <c r="B108" s="400"/>
      <c r="C108" s="400"/>
      <c r="D108" s="400" t="s">
        <v>3646</v>
      </c>
      <c r="E108" s="400"/>
      <c r="F108" s="400"/>
      <c r="G108" s="401"/>
    </row>
    <row r="109" spans="1:7">
      <c r="A109" s="404">
        <v>46073</v>
      </c>
      <c r="B109" s="400"/>
      <c r="C109" s="400"/>
      <c r="D109" s="400" t="s">
        <v>3656</v>
      </c>
      <c r="E109" s="400"/>
      <c r="F109" s="400"/>
      <c r="G109" s="401"/>
    </row>
    <row r="110" spans="1:7">
      <c r="A110" s="404">
        <v>46073</v>
      </c>
      <c r="B110" s="400"/>
      <c r="C110" s="400"/>
      <c r="D110" s="400" t="s">
        <v>3658</v>
      </c>
      <c r="E110" s="400"/>
      <c r="F110" s="400"/>
      <c r="G110" s="401"/>
    </row>
    <row r="111" spans="1:7">
      <c r="A111" s="404">
        <v>46073</v>
      </c>
      <c r="B111" s="400"/>
      <c r="C111" s="400"/>
      <c r="D111" s="400" t="s">
        <v>3660</v>
      </c>
      <c r="E111" s="400"/>
      <c r="F111" s="400"/>
      <c r="G111" s="401"/>
    </row>
    <row r="112" spans="1:7">
      <c r="A112" s="404">
        <v>46073</v>
      </c>
      <c r="B112" s="400"/>
      <c r="C112" s="400"/>
      <c r="D112" s="400" t="s">
        <v>3667</v>
      </c>
      <c r="E112" s="400"/>
      <c r="F112" s="400"/>
      <c r="G112" s="401"/>
    </row>
    <row r="113" spans="1:7">
      <c r="A113" s="404">
        <v>46073</v>
      </c>
      <c r="B113" s="400"/>
      <c r="C113" s="400"/>
      <c r="D113" s="400" t="s">
        <v>3679</v>
      </c>
      <c r="E113" s="400"/>
      <c r="F113" s="400"/>
      <c r="G113" s="401"/>
    </row>
    <row r="114" spans="1:7">
      <c r="A114" s="404">
        <v>46073</v>
      </c>
      <c r="B114" s="400"/>
      <c r="C114" s="400"/>
      <c r="D114" s="400" t="s">
        <v>3681</v>
      </c>
      <c r="E114" s="400"/>
      <c r="F114" s="400"/>
      <c r="G114" s="401"/>
    </row>
    <row r="115" spans="1:7">
      <c r="A115" s="404">
        <v>46073</v>
      </c>
      <c r="B115" s="400"/>
      <c r="C115" s="400"/>
      <c r="D115" s="400" t="s">
        <v>3684</v>
      </c>
      <c r="E115" s="400"/>
      <c r="F115" s="400"/>
      <c r="G115" s="401"/>
    </row>
    <row r="116" spans="1:7">
      <c r="A116" s="404">
        <v>46073</v>
      </c>
      <c r="B116" s="400"/>
      <c r="C116" s="400"/>
      <c r="D116" s="400" t="s">
        <v>3687</v>
      </c>
      <c r="E116" s="400"/>
      <c r="F116" s="400"/>
      <c r="G116" s="401"/>
    </row>
    <row r="117" spans="1:7">
      <c r="A117" s="404"/>
      <c r="B117" s="400"/>
      <c r="C117" s="400"/>
      <c r="D117" s="400"/>
      <c r="E117" s="400"/>
      <c r="F117" s="400"/>
      <c r="G117" s="401"/>
    </row>
    <row r="118" spans="1:7">
      <c r="A118" s="404">
        <v>46076</v>
      </c>
      <c r="B118" s="400"/>
      <c r="C118" s="400"/>
      <c r="D118" s="400" t="s">
        <v>3737</v>
      </c>
      <c r="E118" s="400"/>
      <c r="F118" s="400"/>
      <c r="G118" s="401"/>
    </row>
    <row r="119" spans="1:7">
      <c r="A119" s="404">
        <v>46076</v>
      </c>
      <c r="B119" s="400"/>
      <c r="C119" s="400"/>
      <c r="D119" s="400" t="s">
        <v>3748</v>
      </c>
      <c r="E119" s="400"/>
      <c r="F119" s="400"/>
      <c r="G119" s="401"/>
    </row>
    <row r="120" spans="1:7">
      <c r="A120" s="404">
        <v>46076</v>
      </c>
      <c r="B120" s="400"/>
      <c r="C120" s="400"/>
      <c r="D120" s="400" t="s">
        <v>3757</v>
      </c>
      <c r="E120" s="400"/>
      <c r="F120" s="400"/>
      <c r="G120" s="401"/>
    </row>
    <row r="121" spans="1:7">
      <c r="A121" s="404"/>
      <c r="B121" s="400"/>
      <c r="C121" s="400"/>
      <c r="D121" s="400"/>
      <c r="E121" s="400"/>
      <c r="F121" s="400"/>
      <c r="G121" s="401"/>
    </row>
    <row r="122" spans="1:7">
      <c r="A122" s="404">
        <v>46077</v>
      </c>
      <c r="B122" s="400"/>
      <c r="C122" s="400"/>
      <c r="D122" s="400" t="s">
        <v>3791</v>
      </c>
      <c r="E122" s="400"/>
      <c r="F122" s="400"/>
      <c r="G122" s="401"/>
    </row>
    <row r="123" spans="1:7">
      <c r="A123" s="404">
        <v>46077</v>
      </c>
      <c r="B123" s="400"/>
      <c r="C123" s="400"/>
      <c r="D123" s="400" t="s">
        <v>3792</v>
      </c>
      <c r="E123" s="400"/>
      <c r="F123" s="400"/>
      <c r="G123" s="401"/>
    </row>
    <row r="124" spans="1:7">
      <c r="A124" s="404">
        <v>46077</v>
      </c>
      <c r="B124" s="400"/>
      <c r="C124" s="400"/>
      <c r="D124" s="400" t="s">
        <v>3800</v>
      </c>
      <c r="E124" s="400"/>
      <c r="F124" s="400"/>
      <c r="G124" s="401"/>
    </row>
    <row r="125" spans="1:7">
      <c r="A125" s="404">
        <v>46077</v>
      </c>
      <c r="B125" s="400"/>
      <c r="C125" s="400"/>
      <c r="D125" s="400" t="s">
        <v>3801</v>
      </c>
      <c r="E125" s="400"/>
      <c r="F125" s="400"/>
      <c r="G125" s="401"/>
    </row>
    <row r="126" spans="1:7">
      <c r="A126" s="404">
        <v>46077</v>
      </c>
      <c r="B126" s="400"/>
      <c r="C126" s="400"/>
      <c r="D126" s="400" t="s">
        <v>3803</v>
      </c>
      <c r="E126" s="400"/>
      <c r="F126" s="400"/>
      <c r="G126" s="401"/>
    </row>
    <row r="127" spans="1:7">
      <c r="A127" s="404"/>
      <c r="B127" s="400"/>
      <c r="C127" s="400"/>
      <c r="D127" s="400"/>
      <c r="E127" s="400"/>
      <c r="F127" s="400"/>
      <c r="G127" s="401"/>
    </row>
    <row r="128" spans="1:7">
      <c r="A128" s="404">
        <v>46078</v>
      </c>
      <c r="B128" s="400"/>
      <c r="C128" s="400"/>
      <c r="D128" s="400" t="s">
        <v>3819</v>
      </c>
      <c r="E128" s="400"/>
      <c r="F128" s="400"/>
      <c r="G128" s="401"/>
    </row>
    <row r="129" spans="1:7">
      <c r="A129" s="404">
        <v>46078</v>
      </c>
      <c r="B129" s="400"/>
      <c r="C129" s="400"/>
      <c r="D129" s="400" t="s">
        <v>3831</v>
      </c>
      <c r="E129" s="400"/>
      <c r="F129" s="400"/>
      <c r="G129" s="401"/>
    </row>
    <row r="130" spans="1:7">
      <c r="A130" s="404">
        <v>46078</v>
      </c>
      <c r="B130" s="400"/>
      <c r="C130" s="400"/>
      <c r="D130" s="400" t="s">
        <v>3832</v>
      </c>
      <c r="E130" s="400"/>
      <c r="F130" s="400"/>
      <c r="G130" s="401"/>
    </row>
    <row r="131" spans="1:7">
      <c r="A131" s="404">
        <v>46078</v>
      </c>
      <c r="B131" s="400"/>
      <c r="C131" s="400"/>
      <c r="D131" s="400" t="s">
        <v>3834</v>
      </c>
      <c r="E131" s="400"/>
      <c r="F131" s="400"/>
      <c r="G131" s="401"/>
    </row>
    <row r="132" spans="1:7">
      <c r="A132" s="404">
        <v>46078</v>
      </c>
      <c r="B132" s="400"/>
      <c r="C132" s="400"/>
      <c r="D132" s="400" t="s">
        <v>3837</v>
      </c>
      <c r="E132" s="400"/>
      <c r="F132" s="400"/>
      <c r="G132" s="401"/>
    </row>
    <row r="133" spans="1:7">
      <c r="A133" s="404">
        <v>46078</v>
      </c>
      <c r="B133" s="400" t="s">
        <v>3287</v>
      </c>
      <c r="C133" s="400"/>
      <c r="D133" s="400" t="s">
        <v>3841</v>
      </c>
      <c r="E133" s="400"/>
      <c r="F133" s="400"/>
      <c r="G133" s="401"/>
    </row>
    <row r="134" spans="1:7">
      <c r="A134" s="404">
        <v>46078</v>
      </c>
      <c r="B134" s="400"/>
      <c r="C134" s="400"/>
      <c r="D134" s="400" t="s">
        <v>3843</v>
      </c>
      <c r="E134" s="400"/>
      <c r="F134" s="400"/>
      <c r="G134" s="401"/>
    </row>
    <row r="135" spans="1:7">
      <c r="A135" s="404">
        <v>46078</v>
      </c>
      <c r="B135" s="400"/>
      <c r="C135" s="400"/>
      <c r="D135" s="400" t="s">
        <v>3848</v>
      </c>
      <c r="E135" s="400"/>
      <c r="F135" s="400"/>
      <c r="G135" s="401"/>
    </row>
    <row r="136" spans="1:7">
      <c r="A136" s="404">
        <v>46078</v>
      </c>
      <c r="B136" s="400"/>
      <c r="C136" s="400"/>
      <c r="D136" s="400" t="s">
        <v>3849</v>
      </c>
      <c r="E136" s="400"/>
      <c r="F136" s="400"/>
      <c r="G136" s="401"/>
    </row>
    <row r="137" spans="1:7">
      <c r="A137" s="404"/>
      <c r="B137" s="400"/>
      <c r="C137" s="400"/>
      <c r="D137" s="400"/>
      <c r="E137" s="400"/>
      <c r="F137" s="400"/>
      <c r="G137" s="401"/>
    </row>
    <row r="138" spans="1:7">
      <c r="A138" s="404">
        <v>46079</v>
      </c>
      <c r="B138" s="400"/>
      <c r="C138" s="400"/>
      <c r="D138" s="400" t="s">
        <v>3856</v>
      </c>
      <c r="E138" s="400"/>
      <c r="F138" s="400"/>
      <c r="G138" s="401"/>
    </row>
    <row r="139" spans="1:7">
      <c r="A139" s="404">
        <v>46079</v>
      </c>
      <c r="B139" s="400"/>
      <c r="C139" s="400"/>
      <c r="D139" s="400" t="s">
        <v>3861</v>
      </c>
      <c r="E139" s="400"/>
      <c r="F139" s="400"/>
      <c r="G139" s="401"/>
    </row>
    <row r="140" spans="1:7">
      <c r="A140" s="404">
        <v>46079</v>
      </c>
      <c r="B140" s="400"/>
      <c r="C140" s="400"/>
      <c r="D140" s="400" t="s">
        <v>3863</v>
      </c>
      <c r="E140" s="400"/>
      <c r="F140" s="400"/>
      <c r="G140" s="401"/>
    </row>
    <row r="141" spans="1:7">
      <c r="A141" s="404">
        <v>46079</v>
      </c>
      <c r="B141" s="400"/>
      <c r="C141" s="400"/>
      <c r="D141" s="400" t="s">
        <v>3868</v>
      </c>
      <c r="E141" s="400"/>
      <c r="F141" s="400"/>
      <c r="G141" s="401"/>
    </row>
    <row r="142" spans="1:7">
      <c r="A142" s="404">
        <v>46079</v>
      </c>
      <c r="B142" s="400"/>
      <c r="C142" s="400"/>
      <c r="D142" s="400" t="s">
        <v>3965</v>
      </c>
      <c r="E142" s="400"/>
      <c r="F142" s="400"/>
      <c r="G142" s="401"/>
    </row>
    <row r="143" spans="1:7">
      <c r="A143" s="404">
        <v>46079</v>
      </c>
      <c r="B143" s="400"/>
      <c r="C143" s="400"/>
      <c r="D143" s="400" t="s">
        <v>3968</v>
      </c>
      <c r="E143" s="400"/>
      <c r="F143" s="400"/>
      <c r="G143" s="401"/>
    </row>
    <row r="144" spans="1:7">
      <c r="A144" s="404">
        <v>46079</v>
      </c>
      <c r="B144" s="400"/>
      <c r="C144" s="400"/>
      <c r="D144" s="400" t="s">
        <v>3972</v>
      </c>
      <c r="E144" s="400"/>
      <c r="F144" s="400"/>
      <c r="G144" s="401"/>
    </row>
    <row r="145" spans="1:7">
      <c r="A145" s="404">
        <v>46079</v>
      </c>
      <c r="B145" s="400" t="s">
        <v>3974</v>
      </c>
      <c r="C145" s="400" t="s">
        <v>3287</v>
      </c>
      <c r="D145" s="400" t="s">
        <v>3973</v>
      </c>
      <c r="E145" s="400"/>
      <c r="F145" s="400"/>
      <c r="G145" s="401"/>
    </row>
    <row r="146" spans="1:7">
      <c r="A146" s="441">
        <v>46079</v>
      </c>
      <c r="B146" s="357"/>
      <c r="C146" s="357">
        <v>225</v>
      </c>
      <c r="D146" s="357" t="s">
        <v>3983</v>
      </c>
      <c r="E146" s="357"/>
      <c r="F146" s="357"/>
      <c r="G146" s="357"/>
    </row>
    <row r="147" spans="1:7">
      <c r="A147" s="441">
        <v>46079</v>
      </c>
      <c r="B147" s="357"/>
      <c r="C147" s="357"/>
      <c r="D147" s="357" t="s">
        <v>3992</v>
      </c>
      <c r="E147" s="357"/>
      <c r="F147" s="357"/>
      <c r="G147" s="357"/>
    </row>
    <row r="149" spans="1:7">
      <c r="A149" s="441">
        <v>46080</v>
      </c>
      <c r="B149" s="357"/>
      <c r="C149" s="357"/>
      <c r="D149" s="357" t="s">
        <v>3995</v>
      </c>
      <c r="E149" s="357"/>
      <c r="F149" s="357"/>
      <c r="G149" s="357"/>
    </row>
    <row r="150" spans="1:7">
      <c r="A150" s="441">
        <v>46080</v>
      </c>
      <c r="B150" s="357"/>
      <c r="C150" s="357"/>
      <c r="D150" s="357" t="s">
        <v>4005</v>
      </c>
      <c r="E150" s="357"/>
      <c r="F150" s="357"/>
      <c r="G150" s="357"/>
    </row>
    <row r="151" spans="1:7">
      <c r="A151" s="441">
        <v>46080</v>
      </c>
      <c r="B151" s="357"/>
      <c r="C151" s="357"/>
      <c r="D151" s="357" t="s">
        <v>4009</v>
      </c>
      <c r="E151" s="357"/>
      <c r="F151" s="357"/>
      <c r="G151" s="357"/>
    </row>
    <row r="152" spans="1:7">
      <c r="A152" s="441">
        <v>46080</v>
      </c>
      <c r="B152" s="357"/>
      <c r="C152" s="357"/>
      <c r="D152" s="357" t="s">
        <v>4013</v>
      </c>
      <c r="E152" s="357"/>
      <c r="F152" s="357"/>
      <c r="G152" s="357"/>
    </row>
    <row r="153" spans="1:7">
      <c r="A153" s="441">
        <v>46080</v>
      </c>
      <c r="B153" s="357"/>
      <c r="C153" s="357"/>
      <c r="D153" s="357" t="s">
        <v>4015</v>
      </c>
      <c r="E153" s="357"/>
      <c r="F153" s="357"/>
      <c r="G153" s="357"/>
    </row>
    <row r="154" spans="1:7">
      <c r="A154" s="441">
        <v>46080</v>
      </c>
      <c r="B154" s="357"/>
      <c r="C154" s="357"/>
      <c r="D154" s="357" t="s">
        <v>4018</v>
      </c>
      <c r="E154" s="357"/>
      <c r="F154" s="357"/>
      <c r="G154" s="357"/>
    </row>
    <row r="155" spans="1:7">
      <c r="A155" s="441">
        <v>46080</v>
      </c>
      <c r="B155" s="357" t="s">
        <v>3974</v>
      </c>
      <c r="C155" s="357" t="s">
        <v>3287</v>
      </c>
      <c r="D155" s="357" t="s">
        <v>4019</v>
      </c>
      <c r="E155" s="357"/>
      <c r="F155" s="357"/>
      <c r="G155" s="357"/>
    </row>
    <row r="156" spans="1:7">
      <c r="A156" s="441">
        <v>46080</v>
      </c>
      <c r="B156" s="357"/>
      <c r="C156" s="357"/>
      <c r="D156" s="357" t="s">
        <v>4025</v>
      </c>
      <c r="E156" s="357"/>
      <c r="F156" s="357"/>
      <c r="G156" s="357"/>
    </row>
    <row r="157" spans="1:7">
      <c r="A157" s="441">
        <v>46080</v>
      </c>
      <c r="B157" s="357"/>
      <c r="C157" s="357"/>
      <c r="D157" s="357" t="s">
        <v>4026</v>
      </c>
      <c r="E157" s="357"/>
      <c r="F157" s="357"/>
      <c r="G157" s="357"/>
    </row>
    <row r="158" spans="1:7">
      <c r="A158" s="441">
        <v>46080</v>
      </c>
      <c r="B158" s="357"/>
      <c r="C158" s="357"/>
      <c r="D158" s="357" t="s">
        <v>4027</v>
      </c>
      <c r="E158" s="357"/>
      <c r="F158" s="357"/>
      <c r="G158" s="357"/>
    </row>
    <row r="160" spans="1:7" ht="18.75">
      <c r="A160" s="441">
        <v>46081</v>
      </c>
      <c r="B160" s="357"/>
      <c r="C160" s="357"/>
      <c r="D160" s="455" t="s">
        <v>4031</v>
      </c>
      <c r="E160" s="357"/>
      <c r="F160" s="357"/>
      <c r="G160" s="357"/>
    </row>
    <row r="161" spans="1:7">
      <c r="A161" s="441">
        <v>46081</v>
      </c>
      <c r="B161" s="357"/>
      <c r="C161" s="357"/>
      <c r="D161" s="357" t="s">
        <v>4034</v>
      </c>
      <c r="E161" s="357"/>
      <c r="F161" s="357"/>
      <c r="G161" s="357"/>
    </row>
    <row r="162" spans="1:7">
      <c r="A162" s="441">
        <v>46081</v>
      </c>
      <c r="B162" s="357"/>
      <c r="C162" s="357"/>
      <c r="D162" s="357" t="s">
        <v>4042</v>
      </c>
      <c r="E162" s="357"/>
      <c r="F162" s="357"/>
      <c r="G162" s="357"/>
    </row>
    <row r="163" spans="1:7">
      <c r="A163" s="441">
        <v>46081</v>
      </c>
      <c r="B163" s="357"/>
      <c r="C163" s="357"/>
      <c r="D163" s="357" t="s">
        <v>4044</v>
      </c>
      <c r="E163" s="357"/>
      <c r="F163" s="357"/>
      <c r="G163" s="357"/>
    </row>
    <row r="164" spans="1:7">
      <c r="A164" s="441">
        <v>46081</v>
      </c>
      <c r="B164" s="357"/>
      <c r="C164" s="357"/>
      <c r="D164" s="357" t="s">
        <v>4054</v>
      </c>
      <c r="E164" s="357"/>
      <c r="F164" s="357"/>
      <c r="G164" s="357"/>
    </row>
    <row r="165" spans="1:7">
      <c r="A165" s="441">
        <v>46081</v>
      </c>
      <c r="B165" s="357"/>
      <c r="C165" s="357"/>
      <c r="D165" s="357" t="s">
        <v>4055</v>
      </c>
      <c r="E165" s="357"/>
      <c r="F165" s="357"/>
      <c r="G165" s="357"/>
    </row>
    <row r="166" spans="1:7">
      <c r="A166" s="441">
        <v>46081</v>
      </c>
      <c r="B166" s="357"/>
      <c r="C166" s="357"/>
      <c r="D166" s="357" t="s">
        <v>4066</v>
      </c>
      <c r="E166" s="357"/>
      <c r="F166" s="357"/>
      <c r="G166" s="357"/>
    </row>
    <row r="167" spans="1:7">
      <c r="A167" s="441">
        <v>46081</v>
      </c>
      <c r="B167" s="357"/>
      <c r="C167" s="357"/>
      <c r="D167" s="357" t="s">
        <v>4069</v>
      </c>
      <c r="E167" s="357"/>
      <c r="F167" s="357"/>
      <c r="G167" s="357"/>
    </row>
    <row r="168" spans="1:7">
      <c r="A168" s="357"/>
      <c r="B168" s="357"/>
      <c r="C168" s="357"/>
      <c r="D168" s="357"/>
      <c r="E168" s="357"/>
      <c r="F168" s="357"/>
      <c r="G168" s="357"/>
    </row>
    <row r="169" spans="1:7">
      <c r="A169" s="441">
        <v>46083</v>
      </c>
      <c r="B169" s="357"/>
      <c r="C169" s="357"/>
      <c r="D169" s="357" t="s">
        <v>4110</v>
      </c>
      <c r="E169" s="357"/>
      <c r="F169" s="357"/>
      <c r="G169" s="357"/>
    </row>
    <row r="170" spans="1:7">
      <c r="A170" s="441">
        <v>46083</v>
      </c>
      <c r="B170" s="357"/>
      <c r="C170" s="357"/>
      <c r="D170" s="357" t="s">
        <v>4117</v>
      </c>
      <c r="E170" s="357"/>
      <c r="F170" s="357"/>
      <c r="G170" s="357"/>
    </row>
    <row r="171" spans="1:7">
      <c r="A171" s="441">
        <v>46083</v>
      </c>
      <c r="B171" s="357"/>
      <c r="C171" s="357"/>
      <c r="D171" s="357" t="s">
        <v>4118</v>
      </c>
      <c r="E171" s="357"/>
      <c r="F171" s="357"/>
      <c r="G171" s="357"/>
    </row>
    <row r="172" spans="1:7">
      <c r="A172" s="441">
        <v>46083</v>
      </c>
      <c r="B172" s="357"/>
      <c r="C172" s="357"/>
      <c r="D172" s="357" t="s">
        <v>4120</v>
      </c>
      <c r="E172" s="357"/>
      <c r="F172" s="357"/>
      <c r="G172" s="357"/>
    </row>
    <row r="173" spans="1:7">
      <c r="A173" s="441">
        <v>46083</v>
      </c>
      <c r="B173" s="357"/>
      <c r="C173" s="357"/>
      <c r="D173" s="357" t="s">
        <v>4122</v>
      </c>
      <c r="E173" s="357"/>
      <c r="F173" s="357"/>
      <c r="G173" s="357"/>
    </row>
    <row r="174" spans="1:7">
      <c r="A174" s="441">
        <v>46083</v>
      </c>
      <c r="B174" s="357"/>
      <c r="C174" s="357"/>
      <c r="D174" s="357" t="s">
        <v>4123</v>
      </c>
      <c r="E174" s="357"/>
      <c r="F174" s="357"/>
      <c r="G174" s="357"/>
    </row>
    <row r="175" spans="1:7">
      <c r="A175" s="357"/>
      <c r="B175" s="357"/>
      <c r="C175" s="357"/>
      <c r="D175" s="357"/>
      <c r="E175" s="357"/>
      <c r="F175" s="357"/>
      <c r="G175" s="357"/>
    </row>
    <row r="176" spans="1:7">
      <c r="A176" s="357"/>
      <c r="B176" s="357"/>
      <c r="C176" s="357"/>
      <c r="D176" s="357"/>
      <c r="E176" s="357"/>
      <c r="F176" s="357"/>
      <c r="G176" s="357"/>
    </row>
    <row r="177" spans="1:7">
      <c r="A177" s="357"/>
      <c r="B177" s="357"/>
      <c r="C177" s="357"/>
      <c r="D177" s="357"/>
      <c r="E177" s="357"/>
      <c r="F177" s="357"/>
      <c r="G177" s="357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H10" sqref="H10"/>
    </sheetView>
  </sheetViews>
  <sheetFormatPr defaultRowHeight="15"/>
  <cols>
    <col min="1" max="1" width="39.140625" customWidth="1"/>
    <col min="5" max="5" width="36.42578125" bestFit="1" customWidth="1"/>
  </cols>
  <sheetData>
    <row r="1" spans="1:6" ht="18">
      <c r="A1" s="424" t="s">
        <v>3728</v>
      </c>
      <c r="E1" s="426" t="s">
        <v>3731</v>
      </c>
    </row>
    <row r="2" spans="1:6">
      <c r="A2" s="19" t="s">
        <v>2108</v>
      </c>
      <c r="B2" s="2">
        <v>0.53500000000000003</v>
      </c>
      <c r="E2" s="19" t="s">
        <v>3406</v>
      </c>
      <c r="F2" s="2">
        <v>2.444</v>
      </c>
    </row>
    <row r="3" spans="1:6">
      <c r="A3" s="19" t="s">
        <v>3182</v>
      </c>
      <c r="B3" s="2">
        <v>0.69</v>
      </c>
      <c r="E3" s="19" t="s">
        <v>3383</v>
      </c>
      <c r="F3" s="2">
        <v>16.224</v>
      </c>
    </row>
    <row r="4" spans="1:6">
      <c r="A4" s="19" t="s">
        <v>3110</v>
      </c>
      <c r="B4" s="2">
        <v>0.78200000000000003</v>
      </c>
      <c r="E4" s="19" t="s">
        <v>3379</v>
      </c>
      <c r="F4" s="2">
        <v>8.5679999999999996</v>
      </c>
    </row>
    <row r="5" spans="1:6">
      <c r="A5" s="19" t="s">
        <v>3102</v>
      </c>
      <c r="B5" s="2">
        <v>0.65400000000000003</v>
      </c>
      <c r="E5" s="19" t="s">
        <v>3476</v>
      </c>
      <c r="F5" s="2">
        <v>1.0760000000000001</v>
      </c>
    </row>
    <row r="6" spans="1:6">
      <c r="A6" s="19" t="s">
        <v>3166</v>
      </c>
      <c r="B6" s="2">
        <v>1.204</v>
      </c>
      <c r="E6" s="19" t="s">
        <v>3411</v>
      </c>
      <c r="F6" s="2">
        <v>24.966000000000001</v>
      </c>
    </row>
    <row r="7" spans="1:6">
      <c r="A7" s="19" t="s">
        <v>3103</v>
      </c>
      <c r="B7" s="2">
        <v>2.04</v>
      </c>
      <c r="E7" s="19" t="s">
        <v>3405</v>
      </c>
      <c r="F7" s="2">
        <v>23.799999999999994</v>
      </c>
    </row>
    <row r="8" spans="1:6">
      <c r="A8" s="19" t="s">
        <v>3162</v>
      </c>
      <c r="B8" s="2">
        <v>1.488</v>
      </c>
      <c r="E8" s="19" t="s">
        <v>3382</v>
      </c>
      <c r="F8" s="2">
        <v>44.819999999999993</v>
      </c>
    </row>
    <row r="9" spans="1:6">
      <c r="A9" s="19" t="s">
        <v>3095</v>
      </c>
      <c r="B9" s="2">
        <v>0.55800000000000005</v>
      </c>
      <c r="E9" s="19" t="s">
        <v>3389</v>
      </c>
      <c r="F9" s="2">
        <v>2.2199999999999998</v>
      </c>
    </row>
    <row r="10" spans="1:6">
      <c r="A10" s="19" t="s">
        <v>3146</v>
      </c>
      <c r="B10" s="2">
        <v>0.42199999999999999</v>
      </c>
      <c r="E10" s="19" t="s">
        <v>3403</v>
      </c>
      <c r="F10" s="2">
        <v>15.372000000000002</v>
      </c>
    </row>
    <row r="11" spans="1:6">
      <c r="A11" s="19" t="s">
        <v>3101</v>
      </c>
      <c r="B11" s="2">
        <v>0.628</v>
      </c>
      <c r="E11" s="19" t="s">
        <v>3386</v>
      </c>
      <c r="F11" s="2">
        <v>0.92</v>
      </c>
    </row>
    <row r="12" spans="1:6">
      <c r="A12" s="19" t="s">
        <v>3383</v>
      </c>
      <c r="B12" s="2">
        <v>22.308</v>
      </c>
      <c r="E12" s="19" t="s">
        <v>3384</v>
      </c>
      <c r="F12" s="2">
        <v>14.858000000000001</v>
      </c>
    </row>
    <row r="13" spans="1:6">
      <c r="A13" s="19" t="s">
        <v>3441</v>
      </c>
      <c r="B13" s="2">
        <v>0.78600000000000003</v>
      </c>
      <c r="E13" s="19" t="s">
        <v>3412</v>
      </c>
      <c r="F13" s="2">
        <v>9.5620000000000012</v>
      </c>
    </row>
    <row r="14" spans="1:6">
      <c r="A14" s="19" t="s">
        <v>3397</v>
      </c>
      <c r="B14" s="2">
        <v>2.9219999999999997</v>
      </c>
      <c r="E14" s="19" t="s">
        <v>3404</v>
      </c>
      <c r="F14" s="2">
        <v>67.495999999999995</v>
      </c>
    </row>
    <row r="15" spans="1:6">
      <c r="A15" s="19" t="s">
        <v>3391</v>
      </c>
      <c r="B15" s="2">
        <v>1.4119999999999999</v>
      </c>
      <c r="E15" s="19" t="s">
        <v>3378</v>
      </c>
      <c r="F15" s="2">
        <v>16.295999999999999</v>
      </c>
    </row>
    <row r="16" spans="1:6">
      <c r="A16" s="19" t="s">
        <v>3405</v>
      </c>
      <c r="B16" s="2">
        <v>33.32</v>
      </c>
      <c r="E16" s="19" t="s">
        <v>3419</v>
      </c>
      <c r="F16" s="2">
        <v>1.544</v>
      </c>
    </row>
    <row r="17" spans="1:2">
      <c r="A17" s="19" t="s">
        <v>3382</v>
      </c>
      <c r="B17" s="2">
        <v>6.64</v>
      </c>
    </row>
    <row r="18" spans="1:2">
      <c r="A18" s="19" t="s">
        <v>3389</v>
      </c>
      <c r="B18" s="2">
        <v>0.74</v>
      </c>
    </row>
    <row r="19" spans="1:2">
      <c r="A19" s="19" t="s">
        <v>3403</v>
      </c>
      <c r="B19" s="2">
        <v>1.0980000000000001</v>
      </c>
    </row>
    <row r="20" spans="1:2">
      <c r="A20" s="19" t="s">
        <v>3386</v>
      </c>
      <c r="B20" s="2">
        <v>1.3800000000000001</v>
      </c>
    </row>
    <row r="21" spans="1:2">
      <c r="A21" s="19" t="s">
        <v>3412</v>
      </c>
      <c r="B21" s="2">
        <v>2.7320000000000002</v>
      </c>
    </row>
    <row r="22" spans="1:2">
      <c r="A22" s="19" t="s">
        <v>3404</v>
      </c>
      <c r="B22" s="2">
        <v>3.4319999999999995</v>
      </c>
    </row>
    <row r="23" spans="1:2">
      <c r="A23" s="19" t="s">
        <v>3378</v>
      </c>
      <c r="B23" s="2">
        <v>2.3279999999999998</v>
      </c>
    </row>
    <row r="24" spans="1:2">
      <c r="A24" s="19" t="s">
        <v>3392</v>
      </c>
      <c r="B24" s="2">
        <v>0.86399999999999999</v>
      </c>
    </row>
    <row r="25" spans="1:2">
      <c r="A25" s="19" t="s">
        <v>3407</v>
      </c>
      <c r="B25" s="2">
        <v>2.5640000000000001</v>
      </c>
    </row>
    <row r="26" spans="1:2">
      <c r="A26" s="19" t="s">
        <v>3396</v>
      </c>
      <c r="B26" s="2">
        <v>0.93600000000000005</v>
      </c>
    </row>
    <row r="27" spans="1:2">
      <c r="A27" s="19" t="s">
        <v>3450</v>
      </c>
      <c r="B27" s="2">
        <v>0.78400000000000003</v>
      </c>
    </row>
    <row r="28" spans="1:2">
      <c r="A28" s="19" t="s">
        <v>3414</v>
      </c>
      <c r="B28" s="2">
        <v>1.472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26"/>
  <sheetViews>
    <sheetView workbookViewId="0">
      <selection activeCell="B5" sqref="B5:C12"/>
    </sheetView>
  </sheetViews>
  <sheetFormatPr defaultRowHeight="15"/>
  <cols>
    <col min="2" max="2" width="58.140625" bestFit="1" customWidth="1"/>
    <col min="3" max="3" width="17.5703125" customWidth="1"/>
  </cols>
  <sheetData>
    <row r="4" spans="2:3" ht="15.75" thickBot="1"/>
    <row r="5" spans="2:3" ht="18">
      <c r="B5" s="26" t="s">
        <v>3975</v>
      </c>
      <c r="C5" s="27">
        <v>56</v>
      </c>
    </row>
    <row r="6" spans="2:3" ht="18">
      <c r="B6" s="10" t="s">
        <v>3979</v>
      </c>
      <c r="C6" s="30">
        <v>56</v>
      </c>
    </row>
    <row r="7" spans="2:3" ht="18.75" thickBot="1">
      <c r="B7" s="33"/>
      <c r="C7" s="34"/>
    </row>
    <row r="8" spans="2:3" ht="18">
      <c r="B8" s="26" t="s">
        <v>3975</v>
      </c>
      <c r="C8" s="27">
        <v>182</v>
      </c>
    </row>
    <row r="9" spans="2:3" ht="18">
      <c r="B9" s="10" t="s">
        <v>3980</v>
      </c>
      <c r="C9" s="30">
        <v>182</v>
      </c>
    </row>
    <row r="10" spans="2:3" ht="18.75" thickBot="1">
      <c r="B10" s="33"/>
      <c r="C10" s="34"/>
    </row>
    <row r="11" spans="2:3" ht="18">
      <c r="B11" s="26" t="s">
        <v>3975</v>
      </c>
      <c r="C11" s="27">
        <v>2</v>
      </c>
    </row>
    <row r="12" spans="2:3" ht="18">
      <c r="B12" s="10" t="s">
        <v>3981</v>
      </c>
      <c r="C12" s="30">
        <v>2</v>
      </c>
    </row>
    <row r="16" spans="2:3" ht="15.75" thickBot="1"/>
    <row r="17" spans="2:3" ht="18">
      <c r="B17" s="7" t="s">
        <v>3976</v>
      </c>
      <c r="C17" s="8">
        <v>25.312000000000001</v>
      </c>
    </row>
    <row r="18" spans="2:3" ht="18">
      <c r="B18" s="10" t="s">
        <v>3977</v>
      </c>
      <c r="C18" s="11">
        <v>16.071999999999999</v>
      </c>
    </row>
    <row r="19" spans="2:3" ht="18">
      <c r="B19" s="10" t="s">
        <v>3085</v>
      </c>
      <c r="C19" s="11" t="s">
        <v>3085</v>
      </c>
    </row>
    <row r="20" spans="2:3" ht="18.75" thickBot="1">
      <c r="B20" s="13" t="s">
        <v>3085</v>
      </c>
      <c r="C20" s="14" t="s">
        <v>3085</v>
      </c>
    </row>
    <row r="21" spans="2:3" ht="18">
      <c r="B21" s="7" t="s">
        <v>3976</v>
      </c>
      <c r="C21" s="8">
        <v>82.263999999999996</v>
      </c>
    </row>
    <row r="22" spans="2:3" ht="18">
      <c r="B22" s="10" t="s">
        <v>3978</v>
      </c>
      <c r="C22" s="11">
        <v>70.98</v>
      </c>
    </row>
    <row r="23" spans="2:3" ht="18">
      <c r="B23" s="10" t="s">
        <v>3085</v>
      </c>
      <c r="C23" s="10" t="s">
        <v>3085</v>
      </c>
    </row>
    <row r="24" spans="2:3" ht="18.75" thickBot="1">
      <c r="B24" s="13" t="s">
        <v>3085</v>
      </c>
      <c r="C24" s="14" t="s">
        <v>3085</v>
      </c>
    </row>
    <row r="25" spans="2:3" ht="18">
      <c r="B25" s="7" t="s">
        <v>3976</v>
      </c>
      <c r="C25" s="8">
        <v>0.90400000000000003</v>
      </c>
    </row>
    <row r="26" spans="2:3" ht="18">
      <c r="B26" s="10" t="s">
        <v>3982</v>
      </c>
      <c r="C26" s="11">
        <v>0.78</v>
      </c>
    </row>
  </sheetData>
  <pageMargins left="0.7" right="0.7" top="5.98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 ITEM CODE</vt:lpstr>
      <vt:lpstr>MATTRESS DETAILS</vt:lpstr>
      <vt:lpstr>SIDE WALL FOAM WEIGHT DETAILS</vt:lpstr>
      <vt:lpstr>TOP FOAM WEIGHT DETAILS</vt:lpstr>
      <vt:lpstr>REBOUND WEIGHT DETAILS</vt:lpstr>
      <vt:lpstr>OVERALL WEIGHTS</vt:lpstr>
      <vt:lpstr>Sheet5</vt:lpstr>
      <vt:lpstr>Sheet1</vt:lpstr>
      <vt:lpstr>ALL NEW ITEM </vt:lpstr>
      <vt:lpstr>FORMULAS</vt:lpstr>
      <vt:lpstr>MASTER</vt:lpstr>
      <vt:lpstr>ALL ITEM CODE1</vt:lpstr>
      <vt:lpstr>Sheet3</vt:lpstr>
      <vt:lpstr>VARIETY</vt:lpstr>
      <vt:lpstr>INPUT</vt:lpstr>
      <vt:lpstr>STEP-1</vt:lpstr>
      <vt:lpstr>MANUAL MR PIVOT</vt:lpstr>
      <vt:lpstr>MANUAL MR</vt:lpstr>
      <vt:lpstr>Sheet6</vt:lpstr>
      <vt:lpstr>ERP MR PIVOT</vt:lpstr>
      <vt:lpstr>ERP MR</vt:lpstr>
      <vt:lpstr>Sheet9</vt:lpstr>
      <vt:lpstr>MR DETAILS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2026-03-03T04:24:26Z</cp:lastPrinted>
  <dcterms:created xsi:type="dcterms:W3CDTF">2015-06-05T18:17:00Z</dcterms:created>
  <dcterms:modified xsi:type="dcterms:W3CDTF">2026-03-03T04:41:57Z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FE68E622C8414BE38CCDB7D296A99199_12</vt:lpwstr>
  </property>
  <property fmtid="{D5CDD505-2E9C-101B-9397-08002B2CF9AE}" pid="3" name="KSOProductBuildVer">
    <vt:lpwstr>1033-12.2.0.23155</vt:lpwstr>
  </property>
</Properties>
</file>