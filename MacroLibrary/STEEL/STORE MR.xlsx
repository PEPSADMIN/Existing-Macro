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firstSheet="1" activeTab="4"/>
  </bookViews>
  <sheets>
    <sheet name="STORE  CODE" sheetId="1" r:id="rId1"/>
    <sheet name="STATIONEY ITEM CODE" sheetId="2" r:id="rId2"/>
    <sheet name="NON-WOVEN NEW ITEM CODE" sheetId="5" r:id="rId3"/>
    <sheet name="INPUT" sheetId="3" r:id="rId4"/>
    <sheet name="COTTON FELT MR" sheetId="4" r:id="rId5"/>
  </sheets>
  <calcPr calcId="162913"/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 l="1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C4" i="3" l="1"/>
  <c r="C2" i="3" l="1"/>
  <c r="C10" i="3" l="1"/>
  <c r="C11" i="3"/>
  <c r="C12" i="3"/>
  <c r="C13" i="3"/>
  <c r="C14" i="3"/>
  <c r="C15" i="3"/>
  <c r="C16" i="3"/>
  <c r="C17" i="3"/>
  <c r="C18" i="3"/>
  <c r="C3" i="3" l="1"/>
  <c r="C5" i="3"/>
  <c r="C6" i="3"/>
  <c r="C7" i="3"/>
  <c r="C8" i="3"/>
  <c r="C9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D46" i="3" l="1"/>
  <c r="D47" i="3"/>
  <c r="D48" i="3"/>
  <c r="D49" i="3"/>
  <c r="D50" i="3"/>
  <c r="D51" i="3"/>
  <c r="E23" i="4" l="1"/>
  <c r="H23" i="4" s="1"/>
  <c r="E22" i="4"/>
  <c r="H22" i="4" s="1"/>
  <c r="E21" i="4"/>
  <c r="H21" i="4" s="1"/>
  <c r="E20" i="4"/>
  <c r="H20" i="4" s="1"/>
  <c r="E19" i="4"/>
  <c r="H19" i="4" s="1"/>
  <c r="E18" i="4"/>
  <c r="H18" i="4" s="1"/>
  <c r="E17" i="4"/>
  <c r="H17" i="4" s="1"/>
  <c r="E16" i="4"/>
  <c r="H16" i="4" s="1"/>
  <c r="E15" i="4"/>
  <c r="H15" i="4" s="1"/>
  <c r="E14" i="4"/>
  <c r="H14" i="4" s="1"/>
  <c r="E13" i="4"/>
  <c r="H13" i="4" s="1"/>
  <c r="E12" i="4"/>
  <c r="H12" i="4" s="1"/>
  <c r="E11" i="4"/>
  <c r="H11" i="4" s="1"/>
  <c r="E10" i="4"/>
  <c r="H10" i="4" s="1"/>
  <c r="E9" i="4"/>
  <c r="H9" i="4" s="1"/>
  <c r="E8" i="4"/>
  <c r="H8" i="4" s="1"/>
  <c r="E7" i="4"/>
  <c r="H7" i="4" s="1"/>
  <c r="E6" i="4"/>
  <c r="H6" i="4" s="1"/>
  <c r="E5" i="4"/>
  <c r="H5" i="4" s="1"/>
  <c r="E4" i="4"/>
  <c r="H4" i="4" s="1"/>
  <c r="E3" i="4"/>
  <c r="H3" i="4" s="1"/>
  <c r="E2" i="4"/>
  <c r="H2" i="4" s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K33" i="1"/>
  <c r="A33" i="1"/>
  <c r="A32" i="1"/>
  <c r="A31" i="1"/>
  <c r="A30" i="1"/>
  <c r="A28" i="1"/>
  <c r="A27" i="1"/>
  <c r="A26" i="1"/>
  <c r="A25" i="1"/>
  <c r="A24" i="1"/>
  <c r="A23" i="1"/>
  <c r="A22" i="1"/>
  <c r="A21" i="1"/>
  <c r="A20" i="1"/>
  <c r="A19" i="1"/>
  <c r="L18" i="1"/>
  <c r="A18" i="1"/>
  <c r="A17" i="1"/>
  <c r="A16" i="1"/>
  <c r="A15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<sst xmlns="http://schemas.openxmlformats.org/spreadsheetml/2006/main" count="811" uniqueCount="586">
  <si>
    <t xml:space="preserve">STORE MR </t>
  </si>
  <si>
    <t>FROM WAREHOUSE:CBERM</t>
  </si>
  <si>
    <t>TO WAREHOUSE: CBEWIP</t>
  </si>
  <si>
    <t>S.NO</t>
  </si>
  <si>
    <t>CODE</t>
  </si>
  <si>
    <t>ITEM CODE</t>
  </si>
  <si>
    <t>ITEM DESCRIPTION</t>
  </si>
  <si>
    <t>UOM</t>
  </si>
  <si>
    <t>TATA</t>
  </si>
  <si>
    <t>ARADHYA</t>
  </si>
  <si>
    <t>PYARELAL</t>
  </si>
  <si>
    <t>MIN STOCK</t>
  </si>
  <si>
    <t>RML-STW-1.4MM</t>
  </si>
  <si>
    <t>Steel Wire 1.4 mmdia.</t>
  </si>
  <si>
    <t>KGS</t>
  </si>
  <si>
    <t>-</t>
  </si>
  <si>
    <t>RML-STW-1.8MM</t>
  </si>
  <si>
    <t>Steel Wire 1.8 mmdia.</t>
  </si>
  <si>
    <t>RML-STW-1.7MM</t>
  </si>
  <si>
    <t>Steel Wire 1.7 mmdia.</t>
  </si>
  <si>
    <t>RML-STW-1.9MM</t>
  </si>
  <si>
    <t>Steel Wire 1.9 mmdia.</t>
  </si>
  <si>
    <t>RML-STW-2.3MM</t>
  </si>
  <si>
    <t>2.3 MM Spring Steel Wire-Grade II</t>
  </si>
  <si>
    <t>RML-STW-2.1MM</t>
  </si>
  <si>
    <t>2.1 MM Spring Steel Wire-Grade II</t>
  </si>
  <si>
    <t>RML-STW-2.2MM</t>
  </si>
  <si>
    <t>Steel Wire -2.2MM Dia</t>
  </si>
  <si>
    <t>RML-STW-3.6MM</t>
  </si>
  <si>
    <t>Steel Wire 3.6 MM Dia</t>
  </si>
  <si>
    <t>RML-STW-3.8MM</t>
  </si>
  <si>
    <t>3.8 MM Spring Steel Wire-Grade II</t>
  </si>
  <si>
    <t>RML-STW-4.0MM</t>
  </si>
  <si>
    <t>RML-CL85</t>
  </si>
  <si>
    <t>Clips CL-85 (8500 Pcs/Box)</t>
  </si>
  <si>
    <t>BOX</t>
  </si>
  <si>
    <t>12B</t>
  </si>
  <si>
    <t>RML-CL12B</t>
  </si>
  <si>
    <t>Clips CL-12B (13025 Pcs/Box)</t>
  </si>
  <si>
    <t>RML-HR24</t>
  </si>
  <si>
    <t>C-RINGS HR24 (10000 PCS/CTN)</t>
  </si>
  <si>
    <t>GUM</t>
  </si>
  <si>
    <t>RML-POLY-GUM</t>
  </si>
  <si>
    <t>YELLOW-7</t>
  </si>
  <si>
    <t>LTR</t>
  </si>
  <si>
    <t>25KG/CANE</t>
  </si>
  <si>
    <t>GLUE</t>
  </si>
  <si>
    <t>RMI-HGLUE</t>
  </si>
  <si>
    <t>HOTMELT GLUE 25kg bag  (LUNTACK 3310)</t>
  </si>
  <si>
    <t>30KGS/BAG</t>
  </si>
  <si>
    <t>NON WOVEN FABRIC 37 cm 70GSM</t>
  </si>
  <si>
    <t>26KG/ROLL</t>
  </si>
  <si>
    <t>NON WOVEN FABRIC 45 cm 70GSM</t>
  </si>
  <si>
    <t>NON WOVEN FABRIC 45 cm 70GSM GREEN</t>
  </si>
  <si>
    <t>NON WOVEN FABRIC 50 cm 70GSM</t>
  </si>
  <si>
    <t>RM-NWN-POS-58CMX70GSM</t>
  </si>
  <si>
    <t>NON WOVEN FABRIC 58 cm 70GSM</t>
  </si>
  <si>
    <t>28KG/ROLL</t>
  </si>
  <si>
    <t>RML-NWN-80GSMX8"</t>
  </si>
  <si>
    <t>NON WOVEN FABRIC 8" 80GSM</t>
  </si>
  <si>
    <t>50KG/ROLL</t>
  </si>
  <si>
    <t>RML-NWN-70GSMX79"</t>
  </si>
  <si>
    <t>NON WOVEN FABRIC WHITE 70 GSM 79 INCH</t>
  </si>
  <si>
    <t>40KG/ROLL</t>
  </si>
  <si>
    <t>NON WOVEN FABRIC 50 cm 70GSM GREEN</t>
  </si>
  <si>
    <t>25KGS/ROLL</t>
  </si>
  <si>
    <t>NON WOVEN FABRIC 37 cm 70GSM GREEN</t>
  </si>
  <si>
    <t>S</t>
  </si>
  <si>
    <t>RML-STRAP-ROLL</t>
  </si>
  <si>
    <t xml:space="preserve">STRAP ROLL </t>
  </si>
  <si>
    <t>NOS</t>
  </si>
  <si>
    <t xml:space="preserve">2 ROLLS </t>
  </si>
  <si>
    <t>G</t>
  </si>
  <si>
    <t>RML-TAG-GRN</t>
  </si>
  <si>
    <t>GREEN COLOUR TAG</t>
  </si>
  <si>
    <t>250/BUNDLE</t>
  </si>
  <si>
    <t>Y</t>
  </si>
  <si>
    <t>RML-TAG-YELLOW</t>
  </si>
  <si>
    <t>YELLOW COLOUR TAG</t>
  </si>
  <si>
    <t>P</t>
  </si>
  <si>
    <t>RML-TAG-PINK</t>
  </si>
  <si>
    <t>PINK COLOUR TAG</t>
  </si>
  <si>
    <t>W</t>
  </si>
  <si>
    <t>RML-TAG-WHIT</t>
  </si>
  <si>
    <t>WHITE COLOUR TAG</t>
  </si>
  <si>
    <t>T</t>
  </si>
  <si>
    <t>RML-PAK-THRD</t>
  </si>
  <si>
    <t>BAG STITCHING THREAD</t>
  </si>
  <si>
    <t xml:space="preserve"> 6 CONES / PKT</t>
  </si>
  <si>
    <t>H</t>
  </si>
  <si>
    <t>RML-HAND-GLOVES</t>
  </si>
  <si>
    <t>HAND GLOVES</t>
  </si>
  <si>
    <t>PAIRS</t>
  </si>
  <si>
    <t>12 PAIR/PKT</t>
  </si>
  <si>
    <t xml:space="preserve">
RML-HAND-GLOVES-LIQ-RESI</t>
  </si>
  <si>
    <t>HAND GLOVES ( LIQUID RESISTANT )</t>
  </si>
  <si>
    <t>1 PAIRS</t>
  </si>
  <si>
    <t>SG</t>
  </si>
  <si>
    <t>RML-SURGI-GLOVES</t>
  </si>
  <si>
    <t>100PAIRS</t>
  </si>
  <si>
    <t>EP</t>
  </si>
  <si>
    <t>RML-EPE-1880X1750X40MM</t>
  </si>
  <si>
    <t>DOUBLE DEKER EPSHEET</t>
  </si>
  <si>
    <t>1NOS</t>
  </si>
  <si>
    <t>OIL</t>
  </si>
  <si>
    <t>RML-LUB-OIL</t>
  </si>
  <si>
    <t>lubricant Oil</t>
  </si>
  <si>
    <t>209LITRES/ BARREL</t>
  </si>
  <si>
    <t>LAB</t>
  </si>
  <si>
    <t>RML-BC-LBL-80X25</t>
  </si>
  <si>
    <t>BARCODE LABLE</t>
  </si>
  <si>
    <t>3000 LABELS /ROLL</t>
  </si>
  <si>
    <t>RIB</t>
  </si>
  <si>
    <t>RML-BC-RIB-90X300</t>
  </si>
  <si>
    <t>BARCODE RIBBON</t>
  </si>
  <si>
    <t>1 ROLL</t>
  </si>
  <si>
    <t>RML-PLY-BOX-31X21.25X13</t>
  </si>
  <si>
    <t>COTTON BOX</t>
  </si>
  <si>
    <t>MC</t>
  </si>
  <si>
    <t>RML-TEX-CLEANER</t>
  </si>
  <si>
    <t>TEXTILE CLEANER -MC</t>
  </si>
  <si>
    <t>35 LTR/CANE</t>
  </si>
  <si>
    <t>82BLK</t>
  </si>
  <si>
    <t>RML-NWN-80GSMX82BLK</t>
  </si>
  <si>
    <r>
      <rPr>
        <b/>
        <sz val="11"/>
        <color theme="1"/>
        <rFont val="Bookman Old Style"/>
        <family val="1"/>
      </rPr>
      <t xml:space="preserve">NON WOVEN FABRIC 80 GSM x 82 INCH - </t>
    </r>
    <r>
      <rPr>
        <b/>
        <sz val="11"/>
        <color rgb="FF000000"/>
        <rFont val="Calibri"/>
        <family val="2"/>
      </rPr>
      <t>BLACK</t>
    </r>
  </si>
  <si>
    <t>RML-NWN-70GSMX76"</t>
  </si>
  <si>
    <t>NON WOVEN FABRIC WHITE 70 GSM 76 INCH</t>
  </si>
  <si>
    <t xml:space="preserve">NON WOVEN FABRIC 70 GSM x 54 CM - WHITE </t>
  </si>
  <si>
    <t>NON WOVEN FABRIC 34 cm 70GSM</t>
  </si>
  <si>
    <t>RM-NWN-82X70GSM</t>
  </si>
  <si>
    <t>NON WOVEN FABRIC 82" 70GSM</t>
  </si>
  <si>
    <t>RML-EPE1969MMX155MM</t>
  </si>
  <si>
    <t>EXPANDED POLYTHYLENE SHEETS 1969MMX155MMX40MM (DD)</t>
  </si>
  <si>
    <t>RML-EPE1893MMX155MM</t>
  </si>
  <si>
    <t>EXPANDED POLYTHYLENE SHEETS 1893MMX155MMX40MM (DD)</t>
  </si>
  <si>
    <t>RML-EPE1740MMX155MM</t>
  </si>
  <si>
    <t>EXPANDED POLYTHYLENE SHEETS 1740MMX155MMX40MM (DD)</t>
  </si>
  <si>
    <t>RML-EPE1436MMX155MM</t>
  </si>
  <si>
    <t>EXPANDED POLYTHYLENE SHEETS 1436MMX155MMX40MM (DD)</t>
  </si>
  <si>
    <t>60X150</t>
  </si>
  <si>
    <t>72X150</t>
  </si>
  <si>
    <t>72X36</t>
  </si>
  <si>
    <t>RMI-HCTNF-71.50X35.50.</t>
  </si>
  <si>
    <t>COTTON FELT 181.61CM X 90.17CM X 6MM - 700gsm ( 71.50" x 35.50" )</t>
  </si>
  <si>
    <t>72X48</t>
  </si>
  <si>
    <t>RMI-HCTNF-71.50X47.50.</t>
  </si>
  <si>
    <t>COTTON FELT 181.61CM X 120.65CM X 6MM - 700gsm ( 71.50" x 47.50" )</t>
  </si>
  <si>
    <t>72X60</t>
  </si>
  <si>
    <t>RMI-HCTNF-71.50X59.50.</t>
  </si>
  <si>
    <t>COTTON FELT 181.61CM X 151.13CM X 6MM - 700gsm ( 71.50" x 59.50" )</t>
  </si>
  <si>
    <t>72X72</t>
  </si>
  <si>
    <t>RMI-HCTNF-71.50X71.50.</t>
  </si>
  <si>
    <t>COTTON FELT 181.61CM X 181.61CM X 6MM - 700gsm ( 71.50" x 59.50" )</t>
  </si>
  <si>
    <t>75X30</t>
  </si>
  <si>
    <t>RMI-HCTNF-74.50X29.50.</t>
  </si>
  <si>
    <t>COTTON FELT 189.23CM X 74.93CM X 6MM - 700gsm ( 74.50" x 29.50" )</t>
  </si>
  <si>
    <t>75X36</t>
  </si>
  <si>
    <t>RMI-HCTNF-74.50X35.50.</t>
  </si>
  <si>
    <t>COTTON FELT 189.23CM X 90.17CM X 6MM - 700gsm ( 74.50" x 35.50" )</t>
  </si>
  <si>
    <t>75X48</t>
  </si>
  <si>
    <t>RMI-HCTNF-74.50X47.50</t>
  </si>
  <si>
    <t>COTTON FELT 189.23CM X 120.63CM X 6MM - 700gsm ( 74.50" x 47.50" )</t>
  </si>
  <si>
    <t>75X60</t>
  </si>
  <si>
    <t>RMI-HCTNF-74.50x59.50.</t>
  </si>
  <si>
    <t>COTTON FELT 189.23CM X 151.13CM X 6MM - 700gsm ( 74.50" x 59.50" )</t>
  </si>
  <si>
    <t>75X72</t>
  </si>
  <si>
    <t>RMI-HCTNF-74.50x71.50.</t>
  </si>
  <si>
    <t>COTTON FELT 189.23CM X 181.61CM X 6MM - 700gsm ( 74.50" x 71.50" )</t>
  </si>
  <si>
    <t>78X36</t>
  </si>
  <si>
    <t>RMI-HCTNF-77.50X35.50.</t>
  </si>
  <si>
    <t>COTTON FELT 196.85CM X 90.17CM X 6MM - 700gsm ( 77.50" x 35.50" )</t>
  </si>
  <si>
    <t>78X42</t>
  </si>
  <si>
    <t>RMI-HCTNF-77.50X41.50.</t>
  </si>
  <si>
    <t>COTTON FELT 196.85CM X 105.41CM X 6MM - 700gsm ( 77.50" x 47.50" )</t>
  </si>
  <si>
    <t>78X48</t>
  </si>
  <si>
    <t>RMI-HCTNF-77.50X47.50.</t>
  </si>
  <si>
    <t>COTTON FELT 196.85CM X 120.65CM X 6MM - 700gsm ( 77.50" x 47.50" )</t>
  </si>
  <si>
    <t>78X60</t>
  </si>
  <si>
    <t>RMI-HCTNF-77.50x59.50.</t>
  </si>
  <si>
    <t>COTTON FELT 196.85CM X 151.13CM X 6MM - 700gsm ( 77.50" x 59.50" )</t>
  </si>
  <si>
    <t>78X66</t>
  </si>
  <si>
    <t>RMI-HCTNF-77.50X65.50.</t>
  </si>
  <si>
    <t>COTTON FELT 196.85CM X 166.37CM X 6MM - 700gsm ( 77.50" x 65.50" )</t>
  </si>
  <si>
    <t>78X72</t>
  </si>
  <si>
    <t>RMI-HCTNF-77.50x71.50.</t>
  </si>
  <si>
    <t>COTTON FELT 196.85CM X 181.61CM X 6MM - 700gsm ( 77.50" x 71.50" )</t>
  </si>
  <si>
    <t>84X72</t>
  </si>
  <si>
    <t>RMI-HCTNF-83.50X71.50.</t>
  </si>
  <si>
    <t>COTTON FELT 212.10CM X 181.61CM X 6MM - 700gsm ( 77.50" x 71.50" )</t>
  </si>
  <si>
    <t>48X105</t>
  </si>
  <si>
    <t>RML-EPE-1092X105X25</t>
  </si>
  <si>
    <t>EXPANDED POLYTHYLENE SHEETS 1092MMX105MMX25MM</t>
  </si>
  <si>
    <t>60X105</t>
  </si>
  <si>
    <t>RML-EPE-1397X105X25</t>
  </si>
  <si>
    <t>EXPANDED POLYTHYLENE SHEETS 1397MMX105MMX25MM</t>
  </si>
  <si>
    <t>72X105</t>
  </si>
  <si>
    <t>RML-EPE-1702X105X25</t>
  </si>
  <si>
    <t>EXPANDED POLYTHYLENE SHEETS 1702MMX105MMX25MM</t>
  </si>
  <si>
    <t>48X125</t>
  </si>
  <si>
    <t>RML-EPE-1092X125X25</t>
  </si>
  <si>
    <t>EXPANDED POLYTHYLENE SHEETS 1092MMX125MMX25MM</t>
  </si>
  <si>
    <t>60X125</t>
  </si>
  <si>
    <t>RML-EPE-1397X125X25</t>
  </si>
  <si>
    <t>72X125</t>
  </si>
  <si>
    <t>RML-EPE-1702X125X25</t>
  </si>
  <si>
    <t>48X145</t>
  </si>
  <si>
    <t>RML-EPE-1092X145X25</t>
  </si>
  <si>
    <t>EXPANDED POLYTHYLENE SHEETS 1092MMX145MMX25MM</t>
  </si>
  <si>
    <t>60X145</t>
  </si>
  <si>
    <t>RML-EPE-1397X145X25</t>
  </si>
  <si>
    <t>EXPANDED POLYTHYLENE SHEETS 1397MMX145MMX25MM</t>
  </si>
  <si>
    <t>72X145</t>
  </si>
  <si>
    <t>RML-EPE-1702X145X25</t>
  </si>
  <si>
    <t>EXPANDED POLYTHYLENE SHEETS 1702MMX145MMX25MM</t>
  </si>
  <si>
    <t>48X165</t>
  </si>
  <si>
    <t>RML-EPE-1092X165X25</t>
  </si>
  <si>
    <t>EXPANDED POLYTHYLENE SHEETS 1092MMX165MMX25MM</t>
  </si>
  <si>
    <t>60X165</t>
  </si>
  <si>
    <t>RML-EPE-1397X165X25</t>
  </si>
  <si>
    <t>EXPANDED POLYTHYLENE SHEETS 1397MMX165MMX25MM</t>
  </si>
  <si>
    <t>72X165</t>
  </si>
  <si>
    <t>RML-EPE-1702X165X25</t>
  </si>
  <si>
    <t>EXPANDED POLYTHYLENE SHEETS 1702MMX165MMX25MM</t>
  </si>
  <si>
    <t>56.5X155</t>
  </si>
  <si>
    <t>RML-EPE-1436X155X40</t>
  </si>
  <si>
    <t>EXPANDED POLYTHYLENE SHEETS 1436MMX155MMX40MM</t>
  </si>
  <si>
    <t>68.5X155</t>
  </si>
  <si>
    <t>RML-EPE-1740X155X40</t>
  </si>
  <si>
    <t>EXPANDED POLYTHYLENE SHEETS 1740MMX155MMX40MM</t>
  </si>
  <si>
    <t>74.5X155</t>
  </si>
  <si>
    <t>RML-EPE-1893X155X40</t>
  </si>
  <si>
    <t>EXPANDED POLYTHYLENE SHEETS 1893MMX155MMX40MM</t>
  </si>
  <si>
    <t>77.5X155</t>
  </si>
  <si>
    <t>RML-EPE-1969X155X40</t>
  </si>
  <si>
    <t>EXPANDED POLYTHYLENE SHEETS 1969MMX155MMX40MM</t>
  </si>
  <si>
    <t>56.5X135</t>
  </si>
  <si>
    <t>RML-EPE-1436X135X40</t>
  </si>
  <si>
    <t>EXPANDED POLYTHYLENE SHEETS 1436MMX135MMX40MM</t>
  </si>
  <si>
    <t>68.5X135</t>
  </si>
  <si>
    <t>RML-EPE-1740X135X40</t>
  </si>
  <si>
    <t>EXPANDED POLYTHYLENE SHEETS 1740MMX135MMX40MM</t>
  </si>
  <si>
    <t>74.5X135</t>
  </si>
  <si>
    <t>RML-EPE-1893X135X40</t>
  </si>
  <si>
    <t>EXPANDED POLYTHYLENE SHEETS 1893MMX135MMX40MM</t>
  </si>
  <si>
    <t>77.5X135</t>
  </si>
  <si>
    <t>RML-EPE-1969X135X40</t>
  </si>
  <si>
    <t>EXPANDED POLYTHYLENE SHEETS 1969MMX135MMX40MM</t>
  </si>
  <si>
    <t>56.5X115</t>
  </si>
  <si>
    <t>RML-EPE-1436X115X40</t>
  </si>
  <si>
    <t>68.5X115</t>
  </si>
  <si>
    <t>RML-EPE-1740X115X40</t>
  </si>
  <si>
    <t>74.5X115</t>
  </si>
  <si>
    <t>RML-EPE-1893X115X40</t>
  </si>
  <si>
    <t>77.5X115</t>
  </si>
  <si>
    <t>RML-EPE-1969X115X40</t>
  </si>
  <si>
    <t>72X30</t>
  </si>
  <si>
    <t>RMI-HCTNF-71.50X29.50.</t>
  </si>
  <si>
    <t>COTTON FELT 181.61CM X 74.93CM X 6MM - 700gsm ( 71.50" x 29.50" )</t>
  </si>
  <si>
    <t>72X42</t>
  </si>
  <si>
    <t>RMI-HCTNF-71.50X41.50.</t>
  </si>
  <si>
    <t>COTTON FELT 181.61CM X 105.41CM X 6MM - 700gsm ( 71.50" x 41.50" )</t>
  </si>
  <si>
    <t>72X66</t>
  </si>
  <si>
    <t>RMI-HCTNF-71.50X65.50.</t>
  </si>
  <si>
    <t>COTTON FELT 181.61CM X 166.37CM X 6MM - 700gsm ( 71.50" x 65.50" )</t>
  </si>
  <si>
    <t>75X42</t>
  </si>
  <si>
    <t>RMI-HCTNF-74.50X41.50.</t>
  </si>
  <si>
    <t>COTTON FELT 189.23CM X 105.41CM X 6MM - 700gsm ( 74.50" x 41.50" )</t>
  </si>
  <si>
    <t>75X66</t>
  </si>
  <si>
    <t>RMI-HCTNF-74.50X65.50.</t>
  </si>
  <si>
    <t>COTTON FELT 189.23CM X 166.37CM X 6MM - 700gsm ( 74.50" x 65.50" )</t>
  </si>
  <si>
    <t>78X30</t>
  </si>
  <si>
    <t>RMI-HCTNF-77.50X29.50</t>
  </si>
  <si>
    <t>COTTON FELT 196.85CM X 74.93CM X 6MM - 700gsm ( 77.50" x 29.50" )</t>
  </si>
  <si>
    <t>48X110</t>
  </si>
  <si>
    <t>RML-EPE-1040MMX105MMX25MM</t>
  </si>
  <si>
    <t>EXPANDED POLYTHYLENE SHEETS 1040MMX105MMX25MM-(48)</t>
  </si>
  <si>
    <t>Nos</t>
  </si>
  <si>
    <t>60X110</t>
  </si>
  <si>
    <t>RML-EPE-1345MMX105MMX25MM</t>
  </si>
  <si>
    <t>EXPANDED POLYTHYLENE SHEETS 1345MMX105MMX25MM-(60)</t>
  </si>
  <si>
    <t>72X110</t>
  </si>
  <si>
    <t>RML-EPE-1650MMX105MMX25MM</t>
  </si>
  <si>
    <t>EXPANDED POLYTHYLENE SHEETS 1650MMX105MMX25MM-(72)</t>
  </si>
  <si>
    <t>48X130</t>
  </si>
  <si>
    <t>RML-EPE-1040MMX125MMX25MM</t>
  </si>
  <si>
    <t>EXPANDED POLYTHYLENE SHEETS 1040MMX125MMX25MM-(48)</t>
  </si>
  <si>
    <t>60X130</t>
  </si>
  <si>
    <t>RML-EPE-1345MMX125MMX25MM</t>
  </si>
  <si>
    <t>EXPANDED POLYTHYLENE SHEETS 1345MMX125MMX25MM-(60)</t>
  </si>
  <si>
    <t>72X130</t>
  </si>
  <si>
    <t>RML-EPE-1650MMX125MMX25MM</t>
  </si>
  <si>
    <t>EXPANDED POLYTHYLENE SHEETS 1650MMX125MMX25MM-(72)</t>
  </si>
  <si>
    <t>48X150</t>
  </si>
  <si>
    <t>RML-EPE-1040MMX145MMX25MM</t>
  </si>
  <si>
    <t>EXPANDED POLYTHYLENE SHEETS 1040MMX145MMX25MM-(48)</t>
  </si>
  <si>
    <t>RML-EPE-1345MMX145MMX25MM</t>
  </si>
  <si>
    <t>EXPANDED POLYTHYLENE SHEETS 1345MMX145MMX25MM-(60)</t>
  </si>
  <si>
    <t>RML-EPE-1650MMX145MMX25MM</t>
  </si>
  <si>
    <t>EXPANDED POLYTHYLENE SHEETS 1650MMX145MMX25MM-(72)</t>
  </si>
  <si>
    <t>48X170</t>
  </si>
  <si>
    <t>RML-EPE-1040MMX165MMX25MM</t>
  </si>
  <si>
    <t>EXPANDED POLYTHYLENE SHEETS 1040MMX165MMX25MM-(48)</t>
  </si>
  <si>
    <t>60X170</t>
  </si>
  <si>
    <t>RML-EPE-1345MMX165MMX25MM</t>
  </si>
  <si>
    <t>EXPANDED POLYTHYLENE SHEETS 1345MMX165MMX25MM-(60)</t>
  </si>
  <si>
    <t>72X170</t>
  </si>
  <si>
    <t>RML-EPE-1650MMX165MMX25MM</t>
  </si>
  <si>
    <t>EXPANDED POLYTHYLENE SHEETS 1650MMX165MMX25MM-(72)</t>
  </si>
  <si>
    <t>STATIONERY ITEM CODE</t>
  </si>
  <si>
    <t>S.No</t>
  </si>
  <si>
    <t>Item Code</t>
  </si>
  <si>
    <t>Item Variant Desc.</t>
  </si>
  <si>
    <t>STY-A3-BOX-FL</t>
  </si>
  <si>
    <t>A3 BOX FILE</t>
  </si>
  <si>
    <t>STY-A3-SHT</t>
  </si>
  <si>
    <t>A3 SHEET (500 NOS/BOX)</t>
  </si>
  <si>
    <t>STY-A4-BOX-FL</t>
  </si>
  <si>
    <t>A4 BOX FILE</t>
  </si>
  <si>
    <t>STY-A4-L-FOL-GR</t>
  </si>
  <si>
    <t>A4 L FOLDER GREEN</t>
  </si>
  <si>
    <t>STY-A4-L-FOL-WH</t>
  </si>
  <si>
    <t>A4 L FOLDER WHITE</t>
  </si>
  <si>
    <t>STY-A4-L-FOL-YLW</t>
  </si>
  <si>
    <t>A4 L FOLDER YELLOW</t>
  </si>
  <si>
    <t>STY-A4-SHT</t>
  </si>
  <si>
    <t>A4 SHEET (500 NOS/BUNDLE)</t>
  </si>
  <si>
    <t>STY-A5-BOX-FL</t>
  </si>
  <si>
    <t>A5 BOX FILE</t>
  </si>
  <si>
    <t>STY-ATN-NOTE</t>
  </si>
  <si>
    <t>ATTANTANCE NOTE</t>
  </si>
  <si>
    <t>STY-BIN-CLIP-BIG</t>
  </si>
  <si>
    <t>BINDER CLIP BIG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</si>
  <si>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</si>
  <si>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</si>
  <si>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</si>
  <si>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</si>
  <si>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</si>
  <si>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</si>
  <si>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</si>
  <si>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</si>
  <si>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</si>
  <si>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</si>
  <si>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</si>
  <si>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</si>
  <si>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</si>
  <si>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</si>
  <si>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</si>
  <si>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</si>
  <si>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</si>
  <si>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</si>
  <si>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</si>
  <si>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</si>
  <si>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</si>
  <si>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</si>
  <si>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</si>
  <si>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</si>
  <si>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</si>
  <si>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</si>
  <si>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</si>
  <si>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</si>
  <si>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STY-CRBN-SHT</t>
  </si>
  <si>
    <t>CARBON SHEET (100 PER POCKET)</t>
  </si>
  <si>
    <t>STY-ENV-BLU-SMALL</t>
  </si>
  <si>
    <t>PEPS BLUE ENVELOPE - SMALL</t>
  </si>
  <si>
    <t>STY-ERASE-BOX</t>
  </si>
  <si>
    <t>ERASER BOX</t>
  </si>
  <si>
    <t>STY-EX-PAD</t>
  </si>
  <si>
    <t>EXAM PAD</t>
  </si>
  <si>
    <t>STY-FEVSTK</t>
  </si>
  <si>
    <t>FEVISTICK</t>
  </si>
  <si>
    <t>STY-HIG-LHTR</t>
  </si>
  <si>
    <t>HIGHLIGHTER</t>
  </si>
  <si>
    <t>STY-HYP-PR-LIST-WEST</t>
  </si>
  <si>
    <t>HYPNOS MATTRESS PRICE LIST ( WEST &amp; CENTRAL)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</si>
  <si>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</si>
  <si>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</si>
  <si>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</si>
  <si>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</si>
  <si>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</si>
  <si>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</si>
  <si>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</si>
  <si>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</si>
  <si>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</si>
  <si>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</si>
  <si>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STY-LET-PAD-BLR</t>
  </si>
  <si>
    <t>PEPS LETTER PAD BANGLORE (100 NOS)</t>
  </si>
  <si>
    <t>STY-LET-PAD-CBE</t>
  </si>
  <si>
    <t>PEPS LETTER PAD COIMBATORE (100 NOS)</t>
  </si>
  <si>
    <t>STY-LET-PAD-DELHI</t>
  </si>
  <si>
    <t>PEPS LETTER PAD DELHI (100 NOS)</t>
  </si>
  <si>
    <t>STY-LET-PAD-GOA</t>
  </si>
  <si>
    <t>PEPS LETTER PAD GOA (100 NOS)</t>
  </si>
  <si>
    <t>STY-LET-PAD-HUBLI</t>
  </si>
  <si>
    <t>PEPS LETTER PAD HUBLI (100 NOS)</t>
  </si>
  <si>
    <t>STY-LET-PAD-KOL</t>
  </si>
  <si>
    <t>PEPS LETTER PAD KOLKATA (100 NOS)</t>
  </si>
  <si>
    <t>STY-LET-PAD-PUNE</t>
  </si>
  <si>
    <t>PEPS LETTER PAD PUNE (100 NOS)</t>
  </si>
  <si>
    <t>STY-L-FLE</t>
  </si>
  <si>
    <t>LEAF FILE (20 LEAF)</t>
  </si>
  <si>
    <t>STY-NOTE-PAD</t>
  </si>
  <si>
    <t>NOTE PAD</t>
  </si>
  <si>
    <t>STY-PAPE-ENV-SMAL</t>
  </si>
  <si>
    <t>PEPS WHITE PAPER ENVELOPE - SMALL</t>
  </si>
  <si>
    <t>STY-PAPER-WHT</t>
  </si>
  <si>
    <t>PAPER WEIGHT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</si>
  <si>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</si>
  <si>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</si>
  <si>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</si>
  <si>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</si>
  <si>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</si>
  <si>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</si>
  <si>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STY-PER-MARK-GR</t>
  </si>
  <si>
    <t>PERMANENT MARKER GREEN</t>
  </si>
  <si>
    <t>STY-PER-MARK-RD</t>
  </si>
  <si>
    <t>PERMANENT MARKER RED</t>
  </si>
  <si>
    <t>STY-PR-LIST-EAST-10-2020</t>
  </si>
  <si>
    <t>PEPS PRICE LIST EAST</t>
  </si>
  <si>
    <t>STY-PR-LIST-NORTH-10-2020</t>
  </si>
  <si>
    <t>PEPS PRICE LIST NORTH</t>
  </si>
  <si>
    <t>STY-PR-LIST-NRT-EAST-10-2020</t>
  </si>
  <si>
    <t>PEPS PRICE LIST NORTH EAST</t>
  </si>
  <si>
    <t>STY-PR-LIST-SOUTH-10-2020</t>
  </si>
  <si>
    <t>PEPS PRICE LIST- SOUTH</t>
  </si>
  <si>
    <t>STY-PR-LIST-WEST-10-2020</t>
  </si>
  <si>
    <t>PEPS PRICE LIST WEST</t>
  </si>
  <si>
    <t>STY-PUNCH-MC-BIG</t>
  </si>
  <si>
    <t>PUNCHING MACHINE BIG</t>
  </si>
  <si>
    <t>STY-PUNCH-MC-SML</t>
  </si>
  <si>
    <t>PUNCHING MACHINE SMALL</t>
  </si>
  <si>
    <t>STY-RD-PEN-RS3</t>
  </si>
  <si>
    <t>RED PEN RS3</t>
  </si>
  <si>
    <t>STY-RD-PEN-RS5</t>
  </si>
  <si>
    <t>RED PEN RS5</t>
  </si>
  <si>
    <t>STY-RULD-NOT-BOK</t>
  </si>
  <si>
    <t>RULED NOTE BOOK</t>
  </si>
  <si>
    <t>STY-SALES-INV-BLR</t>
  </si>
  <si>
    <t>BANGLORE SALES INVOICE (500 NOS/BOX)</t>
  </si>
  <si>
    <t>STY-SALES-INV-CBE</t>
  </si>
  <si>
    <t>COIMBATORE SALES INVOICE - A4 (2500.NOS/BOX)</t>
  </si>
  <si>
    <t>STY-SALES-INV-DELHI</t>
  </si>
  <si>
    <t>DELHI SALES INVOICE (500 NOS/BOX)</t>
  </si>
  <si>
    <t>STY-SALES-INV-FOAM</t>
  </si>
  <si>
    <t>FOAM A4 SALES INVOICE (1000 NOS/BUN)</t>
  </si>
  <si>
    <t>STY-SALES-INV-GOA</t>
  </si>
  <si>
    <t>GOA SALES INVOICE (500 NOS/BOX)</t>
  </si>
  <si>
    <t>STY-SALES-INV-HUBLI</t>
  </si>
  <si>
    <t>HUBLI SALES INVOICE (500 NOS/BOX)</t>
  </si>
  <si>
    <t>STY-SALES-INV-KOL</t>
  </si>
  <si>
    <t>KOLKATA SALES INVOICE (500 NOS/BOX)</t>
  </si>
  <si>
    <t>STY-SALES-INV-PUNE</t>
  </si>
  <si>
    <t>PUNE SALES INVOICE (500 NOS/BOX)</t>
  </si>
  <si>
    <t>STY-SHRP-BOX</t>
  </si>
  <si>
    <t>SHARPNER BOX</t>
  </si>
  <si>
    <t>STY-STK-FLE</t>
  </si>
  <si>
    <t>STICK FILE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</si>
  <si>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</si>
  <si>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</si>
  <si>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</si>
  <si>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</si>
  <si>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</si>
  <si>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</si>
  <si>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STY-STMP-PAD-BIG-RD</t>
  </si>
  <si>
    <t>STAMP PAD BIG (RED)</t>
  </si>
  <si>
    <t>STY-STMP-PAD-INK</t>
  </si>
  <si>
    <t>STAMP PAD INK</t>
  </si>
  <si>
    <t>STY-STMP-PAD-INK-BL</t>
  </si>
  <si>
    <t>STAMP PAD INK BLUE</t>
  </si>
  <si>
    <t>STY-STMP-PAD-INK-RD</t>
  </si>
  <si>
    <t>STAMP PAD INK RED</t>
  </si>
  <si>
    <t>STY-STMP-PAD-MED-BL</t>
  </si>
  <si>
    <t>STAMP PAD MEDIUM (BLUE)</t>
  </si>
  <si>
    <t>STY-STMP-PAD-SML</t>
  </si>
  <si>
    <t>STAMP PAD SMALL</t>
  </si>
  <si>
    <t>STY-STN-INV-BLR</t>
  </si>
  <si>
    <t>BANGLORE STOCK TRANSFER INVOICE (500 NOS/BOX)</t>
  </si>
  <si>
    <t>STY-STN-INV-CBE</t>
  </si>
  <si>
    <t>COIMBATORE STOCK TRANSFER INVOICE (500 NOS/BOX)</t>
  </si>
  <si>
    <t>STY-STN-INV-DELHI</t>
  </si>
  <si>
    <t>DELHI STOCK TRANSFER INVOICE (500 NOS/BOX)</t>
  </si>
  <si>
    <t>STY-STN-INV-GOA</t>
  </si>
  <si>
    <t>GOA STOCK TRANSFER INVOICE (500 NOS/BOX)</t>
  </si>
  <si>
    <t>STY-STN-INV-HUBLI</t>
  </si>
  <si>
    <t>HUBLI STOCK TRANSFER INVOICE (500 NOS/BOX)</t>
  </si>
  <si>
    <t>STY-STN-INV-KOL</t>
  </si>
  <si>
    <t>KOLKATA STOCK TRANSFER INVOICE (500 NOS/BOX)</t>
  </si>
  <si>
    <t>STY-STN-INV-PUNE</t>
  </si>
  <si>
    <t>PUNE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</si>
  <si>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</si>
  <si>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</si>
  <si>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</si>
  <si>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</si>
  <si>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</si>
  <si>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</si>
  <si>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</si>
  <si>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</si>
  <si>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</si>
  <si>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</si>
  <si>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</si>
  <si>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</si>
  <si>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</si>
  <si>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</si>
  <si>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</si>
  <si>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</si>
  <si>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</si>
  <si>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</si>
  <si>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</si>
  <si>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</si>
  <si>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</si>
  <si>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</si>
  <si>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</si>
  <si>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</si>
  <si>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SPL-GEN-SFT-GOGLS</t>
  </si>
  <si>
    <t>SAFETY GOGGLESS</t>
  </si>
  <si>
    <t>RML-HYP-BROUCHER</t>
  </si>
  <si>
    <t>HYPNOS BROUCHER ( FOAM)</t>
  </si>
  <si>
    <t>STY-GLASS-CLEAN</t>
  </si>
  <si>
    <t>colin</t>
  </si>
  <si>
    <t>STY-WIRE-CUT</t>
  </si>
  <si>
    <t>1.4 CUTTER</t>
  </si>
  <si>
    <t>RML-YEL-MASK</t>
  </si>
  <si>
    <t>YELLOW MASK</t>
  </si>
  <si>
    <t>STY-STEEL-KNIFE</t>
  </si>
  <si>
    <t>KNIFE</t>
  </si>
  <si>
    <t>STY-SCISSOR-10</t>
  </si>
  <si>
    <t>SCISSOR - 10"</t>
  </si>
  <si>
    <t>STY-SCISSOR-12</t>
  </si>
  <si>
    <t>SCISSOR - 12"</t>
  </si>
  <si>
    <t>RML-MEAS-TAPE-3MTR</t>
  </si>
  <si>
    <t>MEASURING TAPE - 3MTR</t>
  </si>
  <si>
    <t>STY-REG-BOK</t>
  </si>
  <si>
    <t>REGISTER BOOK</t>
  </si>
  <si>
    <t>STY-TAILR-MRKR</t>
  </si>
  <si>
    <t>TAILORING CHALK MARKER (MULTI COLOUR)</t>
  </si>
  <si>
    <t>STY-L-FLE-100</t>
  </si>
  <si>
    <t>LEAF FILE ( 100 LEAF)</t>
  </si>
  <si>
    <t>STY-L-FLE-60</t>
  </si>
  <si>
    <t>LEAF FILE ( 60 LEAF)</t>
  </si>
  <si>
    <t>STY-OUT-PAS-LUN-DIN</t>
  </si>
  <si>
    <t>OUTPASS BOOK FOR LUNCH/DINNER</t>
  </si>
  <si>
    <t>STY-OUT-PAS-ON-DTY-OFF</t>
  </si>
  <si>
    <t>OUTPASS-ONDUTY FOR OFFICIAL</t>
  </si>
  <si>
    <t>STY-OUT-PAS-PER-WORK</t>
  </si>
  <si>
    <t>OUTPASS BOOK FOR PERSONAL WORK</t>
  </si>
  <si>
    <t>QTY</t>
  </si>
  <si>
    <t>PER COTTON FELT WEIGHT</t>
  </si>
  <si>
    <t>REQUIRED QTY</t>
  </si>
  <si>
    <t>74.50</t>
  </si>
  <si>
    <t>74.5</t>
  </si>
  <si>
    <t>RMI-HCTNF-74.50x65.50.</t>
  </si>
  <si>
    <t>71.5</t>
  </si>
  <si>
    <t>77.5</t>
  </si>
  <si>
    <t>29.5</t>
  </si>
  <si>
    <t>77.50</t>
  </si>
  <si>
    <t>59.50</t>
  </si>
  <si>
    <t>71.50</t>
  </si>
  <si>
    <t>83.5</t>
  </si>
  <si>
    <t>COTTON FELT SIZE</t>
  </si>
  <si>
    <t>TOTAL WEIGHT</t>
  </si>
  <si>
    <t>RM-NWN-POS-62CMX70GSM</t>
  </si>
  <si>
    <t>NON WOVEN FABRIC 70 GSM x 62 CM - WHITE</t>
  </si>
  <si>
    <t>CBERM</t>
  </si>
  <si>
    <t>RMI-HCTNF-77.50X29.50.</t>
  </si>
  <si>
    <t>RM-NWN-POS-38CMX70GSM</t>
  </si>
  <si>
    <t>RM-NWN-POS-43CMX70GSM</t>
  </si>
  <si>
    <t>RM-NWN-POS-48CMX70GSM</t>
  </si>
  <si>
    <t>48G</t>
  </si>
  <si>
    <t>38G</t>
  </si>
  <si>
    <t>RM-NWN-POS-38CMX70GSM-GRN</t>
  </si>
  <si>
    <t>RM-NWN-POS-48CMX70GSM-GRN</t>
  </si>
  <si>
    <t>43G</t>
  </si>
  <si>
    <t>RM-NWN-POS-43CMX70GSM-GRN</t>
  </si>
  <si>
    <t>RM-NWN-POS-53CMX70GSM</t>
  </si>
  <si>
    <t>RM-NWN-POS-32CMX70GSM</t>
  </si>
  <si>
    <t>SI.No</t>
  </si>
  <si>
    <t>Item Desc</t>
  </si>
  <si>
    <t>Warehouse</t>
  </si>
  <si>
    <t xml:space="preserve">Rate </t>
  </si>
  <si>
    <t>NON WOVEN FABRIC 70 GSM x 32 CM - WHITE</t>
  </si>
  <si>
    <t>NON WOVEN FABRIC 70 GSM x 38 CM - WHITE</t>
  </si>
  <si>
    <t>NON WOVEN FABRIC 70 GSM x 43 CM - WHITE</t>
  </si>
  <si>
    <t>NON WOVEN FABRIC 70 GSM x 48 CM - WHITE</t>
  </si>
  <si>
    <t>NON WOVEN FABRIC 70 GSM x 53 CM - WHITE</t>
  </si>
  <si>
    <t>NON WOVEN FABRIC 70 GSM x 38 CM - GREEN</t>
  </si>
  <si>
    <t>NON WOVEN FABRIC 70 GSM x 48 CM - GREEN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</si>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</sst>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24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9"/>
      <color theme="1"/>
      <name val="Bookman Old Style"/>
      <family val="1"/>
    </font>
    <font>
      <b/>
      <sz val="10"/>
      <color rgb="FF000000"/>
      <name val="Bookman Old Style"/>
      <family val="1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b/>
      <sz val="14"/>
      <color rgb="FF000000"/>
      <name val="Bookman Old Style"/>
      <family val="1"/>
    </font>
    <font>
      <sz val="14"/>
      <color rgb="FF000000"/>
      <name val="Bookman Old Style"/>
      <family val="1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sz val="9"/>
      <color rgb="FF111111"/>
      <name val="Arial"/>
      <family val="2"/>
    </font>
    <font>
      <b/>
      <sz val="14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EF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 applyProtection="1">
      <alignment horizontal="center" vertical="center"/>
    </xf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2" xfId="0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4" fillId="4" borderId="1" xfId="0" applyNumberFormat="1" applyFont="1" applyFill="1" applyBorder="1" applyAlignment="1" applyProtection="1">
      <alignment horizontal="center" vertical="center"/>
    </xf>
    <xf numFmtId="49" fontId="4" fillId="3" borderId="1" xfId="0" applyNumberFormat="1" applyFont="1" applyFill="1" applyBorder="1" applyAlignment="1" applyProtection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right" vertical="center"/>
    </xf>
    <xf numFmtId="0" fontId="12" fillId="3" borderId="8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12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6" borderId="11" xfId="0" applyFont="1" applyFill="1" applyBorder="1" applyAlignment="1">
      <alignment vertical="center"/>
    </xf>
    <xf numFmtId="0" fontId="12" fillId="6" borderId="12" xfId="0" applyFont="1" applyFill="1" applyBorder="1" applyAlignment="1">
      <alignment vertical="center"/>
    </xf>
    <xf numFmtId="0" fontId="0" fillId="7" borderId="0" xfId="0" applyFill="1"/>
    <xf numFmtId="0" fontId="13" fillId="0" borderId="0" xfId="0" applyFont="1"/>
    <xf numFmtId="0" fontId="14" fillId="0" borderId="10" xfId="0" applyFont="1" applyBorder="1"/>
    <xf numFmtId="0" fontId="14" fillId="0" borderId="13" xfId="0" applyFont="1" applyBorder="1"/>
    <xf numFmtId="0" fontId="12" fillId="6" borderId="14" xfId="0" applyFont="1" applyFill="1" applyBorder="1" applyAlignment="1">
      <alignment vertical="center"/>
    </xf>
    <xf numFmtId="0" fontId="12" fillId="6" borderId="15" xfId="0" applyFont="1" applyFill="1" applyBorder="1" applyAlignment="1">
      <alignment vertical="center"/>
    </xf>
    <xf numFmtId="0" fontId="15" fillId="8" borderId="16" xfId="0" applyFont="1" applyFill="1" applyBorder="1" applyAlignment="1">
      <alignment vertical="top" wrapText="1"/>
    </xf>
    <xf numFmtId="0" fontId="16" fillId="3" borderId="8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10" xfId="0" applyNumberFormat="1" applyFont="1" applyFill="1" applyBorder="1" applyAlignment="1">
      <alignment horizontal="center" vertical="center"/>
    </xf>
    <xf numFmtId="0" fontId="17" fillId="0" borderId="0" xfId="0" applyFont="1"/>
    <xf numFmtId="0" fontId="16" fillId="9" borderId="18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7" borderId="23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9" fillId="4" borderId="1" xfId="0" applyNumberFormat="1" applyFont="1" applyFill="1" applyBorder="1" applyAlignment="1" applyProtection="1">
      <alignment horizontal="center" vertical="center"/>
    </xf>
    <xf numFmtId="49" fontId="19" fillId="4" borderId="1" xfId="0" applyNumberFormat="1" applyFont="1" applyFill="1" applyBorder="1" applyAlignment="1" applyProtection="1">
      <alignment horizontal="center" vertical="center"/>
    </xf>
    <xf numFmtId="0" fontId="19" fillId="4" borderId="30" xfId="0" applyNumberFormat="1" applyFont="1" applyFill="1" applyBorder="1" applyAlignment="1" applyProtection="1">
      <alignment horizontal="center" vertical="center"/>
    </xf>
    <xf numFmtId="49" fontId="19" fillId="4" borderId="30" xfId="0" applyNumberFormat="1" applyFont="1" applyFill="1" applyBorder="1" applyAlignment="1" applyProtection="1">
      <alignment horizontal="center" vertical="center"/>
    </xf>
    <xf numFmtId="49" fontId="19" fillId="4" borderId="31" xfId="0" applyNumberFormat="1" applyFont="1" applyFill="1" applyBorder="1" applyAlignment="1" applyProtection="1">
      <alignment horizontal="center" vertical="center"/>
    </xf>
    <xf numFmtId="49" fontId="19" fillId="4" borderId="32" xfId="0" applyNumberFormat="1" applyFont="1" applyFill="1" applyBorder="1" applyAlignment="1" applyProtection="1">
      <alignment horizontal="center" vertical="center"/>
    </xf>
    <xf numFmtId="0" fontId="19" fillId="4" borderId="28" xfId="0" applyNumberFormat="1" applyFont="1" applyFill="1" applyBorder="1" applyAlignment="1" applyProtection="1">
      <alignment horizontal="center" vertical="center"/>
    </xf>
    <xf numFmtId="0" fontId="19" fillId="4" borderId="29" xfId="0" applyNumberFormat="1" applyFont="1" applyFill="1" applyBorder="1" applyAlignment="1" applyProtection="1">
      <alignment horizontal="center" vertical="center"/>
    </xf>
    <xf numFmtId="0" fontId="17" fillId="3" borderId="27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49" fontId="19" fillId="4" borderId="33" xfId="0" applyNumberFormat="1" applyFont="1" applyFill="1" applyBorder="1" applyAlignment="1" applyProtection="1">
      <alignment horizontal="center" vertical="center"/>
    </xf>
    <xf numFmtId="49" fontId="19" fillId="4" borderId="17" xfId="0" applyNumberFormat="1" applyFont="1" applyFill="1" applyBorder="1" applyAlignment="1" applyProtection="1">
      <alignment horizontal="center" vertical="center"/>
    </xf>
    <xf numFmtId="49" fontId="19" fillId="4" borderId="34" xfId="0" applyNumberFormat="1" applyFont="1" applyFill="1" applyBorder="1" applyAlignment="1" applyProtection="1">
      <alignment horizontal="center" vertical="center"/>
    </xf>
    <xf numFmtId="2" fontId="17" fillId="0" borderId="27" xfId="0" applyNumberFormat="1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center" vertical="center"/>
    </xf>
    <xf numFmtId="0" fontId="18" fillId="10" borderId="36" xfId="0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2" fontId="17" fillId="0" borderId="35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2" fontId="17" fillId="0" borderId="15" xfId="0" applyNumberFormat="1" applyFont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38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vertical="center"/>
    </xf>
    <xf numFmtId="0" fontId="12" fillId="10" borderId="14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b/>
        <i val="0"/>
        <strike val="0"/>
        <outline val="0"/>
        <shadow val="0"/>
        <u val="none"/>
        <vertAlign val="baseline"/>
        <sz val="14"/>
        <color theme="1"/>
        <name val="Bookman Old Style"/>
        <scheme val="none"/>
      </font>
      <numFmt numFmtId="0" formatCode="General"/>
      <fill>
        <patternFill patternType="solid">
          <bgColor rgb="FF00B050"/>
        </patternFill>
      </fill>
      <alignment horizontal="center" vertical="center"/>
      <border diagonalUp="0" diagonalDown="0">
        <left style="medium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1"/>
        <name val="Bookman Old Style"/>
        <scheme val="none"/>
      </font>
      <numFmt numFmtId="0" formatCode="General"/>
      <fill>
        <patternFill patternType="solid">
          <bgColor rgb="FFFFFF00"/>
        </patternFill>
      </fill>
      <alignment horizontal="center" vertical="center"/>
      <border diagonalUp="0" diagonalDown="0">
        <left style="medium">
          <color auto="1"/>
        </left>
        <right style="medium">
          <color auto="1"/>
        </right>
        <top/>
        <bottom/>
      </border>
    </dxf>
    <dxf>
      <font>
        <b/>
        <i val="0"/>
        <strike val="0"/>
        <outline val="0"/>
        <shadow val="0"/>
        <u val="none"/>
        <vertAlign val="baseline"/>
        <sz val="14"/>
        <color theme="1"/>
        <name val="Bookman Old Style"/>
        <scheme val="none"/>
      </font>
      <numFmt numFmtId="0" formatCode="General"/>
      <fill>
        <patternFill patternType="solid">
          <bgColor rgb="FFFFFF00"/>
        </patternFill>
      </fill>
      <alignment horizontal="center" vertical="center"/>
      <border diagonalUp="0" diagonalDown="0">
        <left style="medium">
          <color auto="1"/>
        </left>
        <right style="medium">
          <color auto="1"/>
        </right>
        <top/>
        <bottom/>
      </border>
    </dxf>
    <dxf>
      <font>
        <b/>
        <i val="0"/>
        <strike val="0"/>
        <outline val="0"/>
        <shadow val="0"/>
        <u val="none"/>
        <vertAlign val="baseline"/>
        <sz val="14"/>
        <color theme="1"/>
        <name val="Bookman Old Style"/>
        <scheme val="none"/>
      </font>
      <fill>
        <patternFill patternType="solid">
          <bgColor rgb="FFFFFF00"/>
        </patternFill>
      </fill>
      <alignment horizontal="center" vertical="center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  <strike val="0"/>
        <outline val="0"/>
        <shadow val="0"/>
        <u val="none"/>
        <vertAlign val="baseline"/>
        <sz val="14"/>
        <color theme="1"/>
        <name val="Bookman Old Style"/>
        <scheme val="none"/>
      </font>
      <fill>
        <patternFill patternType="solid">
          <bgColor rgb="FFFFFF00"/>
        </patternFill>
      </fill>
      <alignment horizontal="center" vertical="center"/>
      <border diagonalUp="0" diagonalDown="0">
        <left/>
        <right style="medium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strike val="0"/>
        <outline val="0"/>
        <shadow val="0"/>
        <u val="none"/>
        <vertAlign val="baseline"/>
        <sz val="14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F51" totalsRowShown="0" headerRowDxfId="13" dataDxfId="12" tableBorderDxfId="11">
  <autoFilter ref="A1:F51"/>
  <tableColumns count="6">
    <tableColumn id="1" name="S.NO" dataDxfId="10"/>
    <tableColumn id="2" name="CODE" dataDxfId="9"/>
    <tableColumn id="3" name="ITEM CODE" dataDxfId="8">
      <calculatedColumnFormula>IFERROR(VLOOKUP(B2,'STORE  CODE'!$B:$C,2,0),"")</calculatedColumnFormula>
    </tableColumn>
    <tableColumn id="6" name="UOM" dataDxfId="7">
      <calculatedColumnFormula>IFERROR(VLOOKUP(B2,'STORE  CODE'!$B:$E,4,0),"")</calculatedColumnFormula>
    </tableColumn>
    <tableColumn id="4" name="QTY" dataDxfId="6"/>
    <tableColumn id="5" name="Column1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opLeftCell="A64" workbookViewId="0">
      <selection activeCell="D22" sqref="D22"/>
    </sheetView>
  </sheetViews>
  <sheetFormatPr defaultColWidth="9" defaultRowHeight="15.75" x14ac:dyDescent="0.25"/>
  <cols>
    <col min="1" max="1" width="14.7109375" style="19" customWidth="1"/>
    <col min="2" max="2" width="19.28515625" style="19" customWidth="1"/>
    <col min="3" max="3" width="42.7109375" customWidth="1"/>
    <col min="4" max="4" width="88.140625" customWidth="1"/>
    <col min="5" max="5" width="17.42578125" customWidth="1"/>
    <col min="6" max="6" width="23.85546875" style="20" hidden="1" customWidth="1"/>
    <col min="7" max="7" width="17.5703125" hidden="1" customWidth="1"/>
    <col min="8" max="9" width="19.140625" hidden="1" customWidth="1"/>
  </cols>
  <sheetData>
    <row r="1" spans="1:9" ht="30" x14ac:dyDescent="0.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x14ac:dyDescent="0.4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0" x14ac:dyDescent="0.4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40.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5" t="s">
        <v>11</v>
      </c>
    </row>
    <row r="5" spans="1:9" ht="24.95" customHeight="1" x14ac:dyDescent="0.25">
      <c r="A5" s="6">
        <f>ROW()-4</f>
        <v>1</v>
      </c>
      <c r="B5" s="6">
        <v>1.4</v>
      </c>
      <c r="C5" s="7" t="s">
        <v>12</v>
      </c>
      <c r="D5" s="7" t="s">
        <v>13</v>
      </c>
      <c r="E5" s="7" t="s">
        <v>14</v>
      </c>
      <c r="F5" s="8">
        <v>145</v>
      </c>
      <c r="G5" s="9" t="s">
        <v>15</v>
      </c>
      <c r="H5" s="9"/>
      <c r="I5" s="9">
        <v>1200</v>
      </c>
    </row>
    <row r="6" spans="1:9" ht="24.95" customHeight="1" x14ac:dyDescent="0.25">
      <c r="A6" s="6">
        <f t="shared" ref="A6:A53" si="0">ROW()-4</f>
        <v>2</v>
      </c>
      <c r="B6" s="6">
        <v>1.8</v>
      </c>
      <c r="C6" s="7" t="s">
        <v>16</v>
      </c>
      <c r="D6" s="7" t="s">
        <v>17</v>
      </c>
      <c r="E6" s="7" t="s">
        <v>14</v>
      </c>
      <c r="F6" s="8">
        <v>200</v>
      </c>
      <c r="G6" s="9">
        <v>200</v>
      </c>
      <c r="H6" s="9"/>
      <c r="I6" s="9">
        <v>1500</v>
      </c>
    </row>
    <row r="7" spans="1:9" ht="24.95" customHeight="1" x14ac:dyDescent="0.25">
      <c r="A7" s="6">
        <f t="shared" si="0"/>
        <v>3</v>
      </c>
      <c r="B7" s="6">
        <v>1.7</v>
      </c>
      <c r="C7" s="7" t="s">
        <v>18</v>
      </c>
      <c r="D7" s="7" t="s">
        <v>19</v>
      </c>
      <c r="E7" s="7" t="s">
        <v>14</v>
      </c>
      <c r="F7" s="8">
        <v>200</v>
      </c>
      <c r="G7" s="9">
        <v>200</v>
      </c>
      <c r="H7" s="9"/>
      <c r="I7" s="9">
        <v>0</v>
      </c>
    </row>
    <row r="8" spans="1:9" ht="24.95" customHeight="1" x14ac:dyDescent="0.25">
      <c r="A8" s="6">
        <f t="shared" si="0"/>
        <v>4</v>
      </c>
      <c r="B8" s="6">
        <v>1.9</v>
      </c>
      <c r="C8" s="7" t="s">
        <v>20</v>
      </c>
      <c r="D8" s="7" t="s">
        <v>21</v>
      </c>
      <c r="E8" s="7" t="s">
        <v>14</v>
      </c>
      <c r="F8" s="8">
        <v>200</v>
      </c>
      <c r="G8" s="9">
        <v>200</v>
      </c>
      <c r="H8" s="9"/>
      <c r="I8" s="9">
        <v>2000</v>
      </c>
    </row>
    <row r="9" spans="1:9" ht="24.95" customHeight="1" x14ac:dyDescent="0.25">
      <c r="A9" s="6">
        <f t="shared" si="0"/>
        <v>5</v>
      </c>
      <c r="B9" s="6">
        <v>2.2999999999999998</v>
      </c>
      <c r="C9" s="7" t="s">
        <v>22</v>
      </c>
      <c r="D9" s="7" t="s">
        <v>23</v>
      </c>
      <c r="E9" s="7" t="s">
        <v>14</v>
      </c>
      <c r="F9" s="8">
        <v>280</v>
      </c>
      <c r="G9" s="9">
        <v>220</v>
      </c>
      <c r="H9" s="9"/>
      <c r="I9" s="9">
        <v>6000</v>
      </c>
    </row>
    <row r="10" spans="1:9" ht="24.95" customHeight="1" x14ac:dyDescent="0.25">
      <c r="A10" s="6">
        <f t="shared" si="0"/>
        <v>6</v>
      </c>
      <c r="B10" s="6">
        <v>2.1</v>
      </c>
      <c r="C10" s="7" t="s">
        <v>24</v>
      </c>
      <c r="D10" s="7" t="s">
        <v>25</v>
      </c>
      <c r="E10" s="7" t="s">
        <v>14</v>
      </c>
      <c r="F10" s="8">
        <v>200</v>
      </c>
      <c r="G10" s="9">
        <v>200</v>
      </c>
      <c r="H10" s="9"/>
      <c r="I10" s="9">
        <v>0</v>
      </c>
    </row>
    <row r="11" spans="1:9" ht="24.95" customHeight="1" x14ac:dyDescent="0.25">
      <c r="A11" s="6">
        <f t="shared" si="0"/>
        <v>7</v>
      </c>
      <c r="B11" s="6">
        <v>2.2000000000000002</v>
      </c>
      <c r="C11" s="7" t="s">
        <v>26</v>
      </c>
      <c r="D11" s="7" t="s">
        <v>27</v>
      </c>
      <c r="E11" s="7" t="s">
        <v>14</v>
      </c>
      <c r="F11" s="8">
        <v>200</v>
      </c>
      <c r="G11" s="9">
        <v>200</v>
      </c>
      <c r="H11" s="9"/>
      <c r="I11" s="9">
        <v>1000</v>
      </c>
    </row>
    <row r="12" spans="1:9" ht="24.95" customHeight="1" x14ac:dyDescent="0.25">
      <c r="A12" s="6">
        <f t="shared" si="0"/>
        <v>8</v>
      </c>
      <c r="B12" s="6">
        <v>3.6</v>
      </c>
      <c r="C12" s="7" t="s">
        <v>28</v>
      </c>
      <c r="D12" s="7" t="s">
        <v>29</v>
      </c>
      <c r="E12" s="7" t="s">
        <v>14</v>
      </c>
      <c r="F12" s="8">
        <v>380</v>
      </c>
      <c r="G12" s="9">
        <v>190</v>
      </c>
      <c r="H12" s="9"/>
      <c r="I12" s="9">
        <v>1000</v>
      </c>
    </row>
    <row r="13" spans="1:9" ht="24.95" customHeight="1" x14ac:dyDescent="0.25">
      <c r="A13" s="6">
        <f t="shared" si="0"/>
        <v>9</v>
      </c>
      <c r="B13" s="6">
        <v>3.8</v>
      </c>
      <c r="C13" s="7" t="s">
        <v>30</v>
      </c>
      <c r="D13" s="7" t="s">
        <v>31</v>
      </c>
      <c r="E13" s="7" t="s">
        <v>14</v>
      </c>
      <c r="F13" s="8">
        <v>380</v>
      </c>
      <c r="G13" s="9">
        <v>190</v>
      </c>
      <c r="H13" s="9"/>
      <c r="I13" s="9">
        <v>1200</v>
      </c>
    </row>
    <row r="14" spans="1:9" ht="24.95" customHeight="1" x14ac:dyDescent="0.25">
      <c r="A14" s="6"/>
      <c r="B14" s="6">
        <v>4</v>
      </c>
      <c r="C14" s="10" t="s">
        <v>32</v>
      </c>
      <c r="D14" s="10"/>
      <c r="E14" s="7" t="s">
        <v>14</v>
      </c>
      <c r="F14" s="11"/>
      <c r="G14" s="9"/>
      <c r="H14" s="9"/>
      <c r="I14" s="9"/>
    </row>
    <row r="15" spans="1:9" ht="24.95" customHeight="1" x14ac:dyDescent="0.25">
      <c r="A15" s="6">
        <f t="shared" si="0"/>
        <v>11</v>
      </c>
      <c r="B15" s="6">
        <v>85</v>
      </c>
      <c r="C15" s="7" t="s">
        <v>33</v>
      </c>
      <c r="D15" s="7" t="s">
        <v>34</v>
      </c>
      <c r="E15" s="7" t="s">
        <v>35</v>
      </c>
      <c r="F15" s="8">
        <v>8500</v>
      </c>
      <c r="G15" s="9"/>
      <c r="H15" s="9"/>
      <c r="I15" s="9">
        <v>85000</v>
      </c>
    </row>
    <row r="16" spans="1:9" ht="24.95" customHeight="1" x14ac:dyDescent="0.25">
      <c r="A16" s="6">
        <f t="shared" si="0"/>
        <v>12</v>
      </c>
      <c r="B16" s="6" t="s">
        <v>36</v>
      </c>
      <c r="C16" s="7" t="s">
        <v>37</v>
      </c>
      <c r="D16" s="7" t="s">
        <v>38</v>
      </c>
      <c r="E16" s="7" t="s">
        <v>35</v>
      </c>
      <c r="F16" s="8">
        <v>13025</v>
      </c>
      <c r="G16" s="9"/>
      <c r="H16" s="9"/>
      <c r="I16" s="9">
        <v>78150</v>
      </c>
    </row>
    <row r="17" spans="1:12" ht="24.95" customHeight="1" x14ac:dyDescent="0.25">
      <c r="A17" s="6">
        <f t="shared" si="0"/>
        <v>13</v>
      </c>
      <c r="B17" s="6">
        <v>24</v>
      </c>
      <c r="C17" s="7" t="s">
        <v>39</v>
      </c>
      <c r="D17" s="7" t="s">
        <v>40</v>
      </c>
      <c r="E17" s="7" t="s">
        <v>35</v>
      </c>
      <c r="F17" s="8">
        <v>10000</v>
      </c>
      <c r="G17" s="9"/>
      <c r="H17" s="9"/>
      <c r="I17" s="9">
        <v>60000</v>
      </c>
    </row>
    <row r="18" spans="1:12" ht="24.95" customHeight="1" x14ac:dyDescent="0.25">
      <c r="A18" s="6">
        <f t="shared" si="0"/>
        <v>14</v>
      </c>
      <c r="B18" s="6" t="s">
        <v>41</v>
      </c>
      <c r="C18" s="7" t="s">
        <v>42</v>
      </c>
      <c r="D18" s="7" t="s">
        <v>43</v>
      </c>
      <c r="E18" s="7" t="s">
        <v>44</v>
      </c>
      <c r="F18" s="12" t="s">
        <v>45</v>
      </c>
      <c r="G18" s="9"/>
      <c r="H18" s="9"/>
      <c r="I18" s="9">
        <v>120</v>
      </c>
      <c r="L18">
        <f>12*12</f>
        <v>144</v>
      </c>
    </row>
    <row r="19" spans="1:12" ht="24.95" customHeight="1" x14ac:dyDescent="0.25">
      <c r="A19" s="6">
        <f t="shared" si="0"/>
        <v>15</v>
      </c>
      <c r="B19" s="6" t="s">
        <v>46</v>
      </c>
      <c r="C19" s="7" t="s">
        <v>47</v>
      </c>
      <c r="D19" s="7" t="s">
        <v>48</v>
      </c>
      <c r="E19" s="7" t="s">
        <v>14</v>
      </c>
      <c r="F19" s="12" t="s">
        <v>49</v>
      </c>
      <c r="G19" s="9"/>
      <c r="H19" s="9"/>
      <c r="I19" s="9">
        <v>180</v>
      </c>
    </row>
    <row r="20" spans="1:12" ht="24.95" customHeight="1" x14ac:dyDescent="0.25">
      <c r="A20" s="6">
        <f t="shared" si="0"/>
        <v>16</v>
      </c>
      <c r="B20" s="6">
        <v>38</v>
      </c>
      <c r="C20" s="7" t="s">
        <v>563</v>
      </c>
      <c r="D20" s="7" t="s">
        <v>50</v>
      </c>
      <c r="E20" s="7" t="s">
        <v>14</v>
      </c>
      <c r="F20" s="12" t="s">
        <v>51</v>
      </c>
      <c r="G20" s="9"/>
      <c r="H20" s="9"/>
      <c r="I20" s="9">
        <v>350</v>
      </c>
    </row>
    <row r="21" spans="1:12" ht="24.95" customHeight="1" x14ac:dyDescent="0.25">
      <c r="A21" s="6">
        <f t="shared" si="0"/>
        <v>17</v>
      </c>
      <c r="B21" s="6">
        <v>43</v>
      </c>
      <c r="C21" s="7" t="s">
        <v>564</v>
      </c>
      <c r="D21" s="88" t="s">
        <v>52</v>
      </c>
      <c r="E21" s="7" t="s">
        <v>14</v>
      </c>
      <c r="F21" s="12" t="s">
        <v>51</v>
      </c>
      <c r="G21" s="9"/>
      <c r="H21" s="9"/>
      <c r="I21" s="9">
        <v>350</v>
      </c>
    </row>
    <row r="22" spans="1:12" ht="24.95" customHeight="1" x14ac:dyDescent="0.25">
      <c r="A22" s="6">
        <f t="shared" si="0"/>
        <v>18</v>
      </c>
      <c r="B22" s="13" t="s">
        <v>570</v>
      </c>
      <c r="C22" s="13" t="s">
        <v>571</v>
      </c>
      <c r="D22" s="13" t="s">
        <v>53</v>
      </c>
      <c r="E22" s="13" t="s">
        <v>14</v>
      </c>
      <c r="F22" s="14"/>
    </row>
    <row r="23" spans="1:12" ht="24.95" customHeight="1" x14ac:dyDescent="0.25">
      <c r="A23" s="6">
        <f t="shared" si="0"/>
        <v>19</v>
      </c>
      <c r="B23" s="6">
        <v>48</v>
      </c>
      <c r="C23" s="7" t="s">
        <v>565</v>
      </c>
      <c r="D23" s="7" t="s">
        <v>54</v>
      </c>
      <c r="E23" s="7" t="s">
        <v>14</v>
      </c>
      <c r="F23" s="12" t="s">
        <v>51</v>
      </c>
      <c r="G23" s="9"/>
      <c r="H23" s="9"/>
      <c r="I23" s="9">
        <v>350</v>
      </c>
    </row>
    <row r="24" spans="1:12" ht="24.95" customHeight="1" x14ac:dyDescent="0.25">
      <c r="A24" s="6">
        <f t="shared" si="0"/>
        <v>20</v>
      </c>
      <c r="B24" s="6">
        <v>58</v>
      </c>
      <c r="C24" s="7" t="s">
        <v>55</v>
      </c>
      <c r="D24" s="7" t="s">
        <v>56</v>
      </c>
      <c r="E24" s="7" t="s">
        <v>14</v>
      </c>
      <c r="F24" s="12" t="s">
        <v>57</v>
      </c>
      <c r="G24" s="9"/>
      <c r="H24" s="9"/>
      <c r="I24" s="9">
        <v>350</v>
      </c>
    </row>
    <row r="25" spans="1:12" ht="24.95" customHeight="1" x14ac:dyDescent="0.25">
      <c r="A25" s="6">
        <f t="shared" si="0"/>
        <v>21</v>
      </c>
      <c r="B25" s="6">
        <v>8</v>
      </c>
      <c r="C25" s="7" t="s">
        <v>58</v>
      </c>
      <c r="D25" s="7" t="s">
        <v>59</v>
      </c>
      <c r="E25" s="7" t="s">
        <v>14</v>
      </c>
      <c r="F25" s="12" t="s">
        <v>60</v>
      </c>
      <c r="G25" s="9"/>
      <c r="H25" s="9"/>
      <c r="I25" s="9">
        <v>350</v>
      </c>
    </row>
    <row r="26" spans="1:12" ht="24.95" customHeight="1" x14ac:dyDescent="0.25">
      <c r="A26" s="6">
        <f t="shared" si="0"/>
        <v>22</v>
      </c>
      <c r="B26" s="6">
        <v>79</v>
      </c>
      <c r="C26" s="7" t="s">
        <v>61</v>
      </c>
      <c r="D26" s="7" t="s">
        <v>62</v>
      </c>
      <c r="E26" s="7" t="s">
        <v>14</v>
      </c>
      <c r="F26" s="12" t="s">
        <v>63</v>
      </c>
      <c r="G26" s="9"/>
      <c r="H26" s="9"/>
      <c r="I26" s="9">
        <v>200</v>
      </c>
    </row>
    <row r="27" spans="1:12" ht="24.95" customHeight="1" x14ac:dyDescent="0.25">
      <c r="A27" s="6">
        <f t="shared" si="0"/>
        <v>23</v>
      </c>
      <c r="B27" s="6" t="s">
        <v>566</v>
      </c>
      <c r="C27" s="7" t="s">
        <v>569</v>
      </c>
      <c r="D27" s="88" t="s">
        <v>64</v>
      </c>
      <c r="E27" s="7" t="s">
        <v>14</v>
      </c>
      <c r="F27" s="12" t="s">
        <v>65</v>
      </c>
      <c r="G27" s="9"/>
      <c r="H27" s="9"/>
      <c r="I27" s="9"/>
    </row>
    <row r="28" spans="1:12" ht="24.95" customHeight="1" x14ac:dyDescent="0.25">
      <c r="A28" s="6">
        <f t="shared" si="0"/>
        <v>24</v>
      </c>
      <c r="B28" s="6" t="s">
        <v>567</v>
      </c>
      <c r="C28" s="7" t="s">
        <v>568</v>
      </c>
      <c r="D28" s="7" t="s">
        <v>66</v>
      </c>
      <c r="E28" s="7" t="s">
        <v>14</v>
      </c>
      <c r="F28" s="12" t="s">
        <v>65</v>
      </c>
      <c r="G28" s="9"/>
      <c r="H28" s="9"/>
      <c r="I28" s="9"/>
    </row>
    <row r="29" spans="1:12" ht="24.95" customHeight="1" x14ac:dyDescent="0.25">
      <c r="A29" s="6">
        <v>12</v>
      </c>
      <c r="B29" s="17">
        <v>62</v>
      </c>
      <c r="C29" s="13" t="s">
        <v>559</v>
      </c>
      <c r="D29" s="13" t="s">
        <v>560</v>
      </c>
      <c r="E29" s="13" t="s">
        <v>14</v>
      </c>
      <c r="F29" s="14" t="s">
        <v>561</v>
      </c>
    </row>
    <row r="30" spans="1:12" ht="24.95" customHeight="1" x14ac:dyDescent="0.25">
      <c r="A30" s="6">
        <f t="shared" si="0"/>
        <v>26</v>
      </c>
      <c r="B30" s="6" t="s">
        <v>67</v>
      </c>
      <c r="C30" s="7" t="s">
        <v>68</v>
      </c>
      <c r="D30" s="7" t="s">
        <v>69</v>
      </c>
      <c r="E30" s="7" t="s">
        <v>70</v>
      </c>
      <c r="F30" s="12" t="s">
        <v>71</v>
      </c>
      <c r="G30" s="9"/>
      <c r="H30" s="9"/>
      <c r="I30" s="9">
        <v>4</v>
      </c>
    </row>
    <row r="31" spans="1:12" ht="24.95" customHeight="1" x14ac:dyDescent="0.25">
      <c r="A31" s="6">
        <f t="shared" si="0"/>
        <v>27</v>
      </c>
      <c r="B31" s="6" t="s">
        <v>72</v>
      </c>
      <c r="C31" s="7" t="s">
        <v>73</v>
      </c>
      <c r="D31" s="7" t="s">
        <v>74</v>
      </c>
      <c r="E31" s="7" t="s">
        <v>70</v>
      </c>
      <c r="F31" s="12" t="s">
        <v>75</v>
      </c>
      <c r="G31" s="9"/>
      <c r="H31" s="9"/>
      <c r="I31" s="9">
        <v>1000</v>
      </c>
    </row>
    <row r="32" spans="1:12" ht="24.95" customHeight="1" x14ac:dyDescent="0.25">
      <c r="A32" s="6">
        <f t="shared" si="0"/>
        <v>28</v>
      </c>
      <c r="B32" s="6" t="s">
        <v>76</v>
      </c>
      <c r="C32" s="7" t="s">
        <v>77</v>
      </c>
      <c r="D32" s="7" t="s">
        <v>78</v>
      </c>
      <c r="E32" s="7" t="s">
        <v>70</v>
      </c>
      <c r="F32" s="12" t="s">
        <v>75</v>
      </c>
      <c r="G32" s="9"/>
      <c r="H32" s="9"/>
      <c r="I32" s="9">
        <v>500</v>
      </c>
    </row>
    <row r="33" spans="1:11" ht="24.95" customHeight="1" x14ac:dyDescent="0.25">
      <c r="A33" s="6">
        <f t="shared" si="0"/>
        <v>29</v>
      </c>
      <c r="B33" s="6" t="s">
        <v>79</v>
      </c>
      <c r="C33" s="7" t="s">
        <v>80</v>
      </c>
      <c r="D33" s="7" t="s">
        <v>81</v>
      </c>
      <c r="E33" s="7" t="s">
        <v>70</v>
      </c>
      <c r="F33" s="12" t="s">
        <v>75</v>
      </c>
      <c r="G33" s="9"/>
      <c r="H33" s="9"/>
      <c r="I33" s="9">
        <v>500</v>
      </c>
      <c r="K33">
        <f>12*12</f>
        <v>144</v>
      </c>
    </row>
    <row r="34" spans="1:11" ht="24.95" customHeight="1" x14ac:dyDescent="0.25">
      <c r="A34" s="6">
        <f t="shared" si="0"/>
        <v>30</v>
      </c>
      <c r="B34" s="6" t="s">
        <v>82</v>
      </c>
      <c r="C34" s="7" t="s">
        <v>83</v>
      </c>
      <c r="D34" s="7" t="s">
        <v>84</v>
      </c>
      <c r="E34" s="7" t="s">
        <v>70</v>
      </c>
      <c r="F34" s="12" t="s">
        <v>75</v>
      </c>
      <c r="G34" s="9"/>
      <c r="H34" s="9"/>
      <c r="I34" s="9">
        <v>250</v>
      </c>
    </row>
    <row r="35" spans="1:11" ht="24.95" customHeight="1" x14ac:dyDescent="0.25">
      <c r="A35" s="6">
        <f t="shared" si="0"/>
        <v>31</v>
      </c>
      <c r="B35" s="6" t="s">
        <v>85</v>
      </c>
      <c r="C35" s="10" t="s">
        <v>86</v>
      </c>
      <c r="D35" s="7" t="s">
        <v>87</v>
      </c>
      <c r="E35" s="7" t="s">
        <v>70</v>
      </c>
      <c r="F35" s="12" t="s">
        <v>88</v>
      </c>
      <c r="G35" s="9"/>
      <c r="H35" s="9"/>
      <c r="I35" s="9">
        <v>6</v>
      </c>
    </row>
    <row r="36" spans="1:11" ht="24.95" customHeight="1" x14ac:dyDescent="0.25">
      <c r="A36" s="6">
        <f t="shared" si="0"/>
        <v>32</v>
      </c>
      <c r="B36" s="6" t="s">
        <v>89</v>
      </c>
      <c r="C36" s="7" t="s">
        <v>90</v>
      </c>
      <c r="D36" s="7" t="s">
        <v>91</v>
      </c>
      <c r="E36" s="7" t="s">
        <v>92</v>
      </c>
      <c r="F36" s="12" t="s">
        <v>93</v>
      </c>
      <c r="G36" s="9"/>
      <c r="H36" s="9"/>
      <c r="I36" s="9">
        <v>144</v>
      </c>
    </row>
    <row r="37" spans="1:11" ht="24.95" customHeight="1" x14ac:dyDescent="0.25">
      <c r="A37" s="6">
        <f t="shared" si="0"/>
        <v>33</v>
      </c>
      <c r="B37" s="6"/>
      <c r="C37" s="7" t="s">
        <v>94</v>
      </c>
      <c r="D37" s="7" t="s">
        <v>95</v>
      </c>
      <c r="E37" s="7" t="s">
        <v>92</v>
      </c>
      <c r="F37" s="12" t="s">
        <v>96</v>
      </c>
      <c r="G37" s="9"/>
      <c r="H37" s="9"/>
      <c r="I37" s="9">
        <v>0</v>
      </c>
    </row>
    <row r="38" spans="1:11" ht="24.95" customHeight="1" x14ac:dyDescent="0.25">
      <c r="A38" s="6">
        <f t="shared" si="0"/>
        <v>34</v>
      </c>
      <c r="B38" s="6" t="s">
        <v>97</v>
      </c>
      <c r="C38" s="7" t="s">
        <v>98</v>
      </c>
      <c r="D38" s="7"/>
      <c r="E38" s="7" t="s">
        <v>35</v>
      </c>
      <c r="F38" s="12" t="s">
        <v>99</v>
      </c>
      <c r="G38" s="9"/>
      <c r="H38" s="9"/>
      <c r="I38" s="9">
        <v>0</v>
      </c>
    </row>
    <row r="39" spans="1:11" ht="24.95" customHeight="1" x14ac:dyDescent="0.25">
      <c r="A39" s="6">
        <f t="shared" si="0"/>
        <v>35</v>
      </c>
      <c r="B39" s="6" t="s">
        <v>100</v>
      </c>
      <c r="C39" s="7" t="s">
        <v>101</v>
      </c>
      <c r="D39" s="7" t="s">
        <v>102</v>
      </c>
      <c r="E39" s="7" t="s">
        <v>70</v>
      </c>
      <c r="F39" s="12" t="s">
        <v>103</v>
      </c>
      <c r="G39" s="9"/>
      <c r="H39" s="9"/>
      <c r="I39" s="9">
        <v>1</v>
      </c>
    </row>
    <row r="40" spans="1:11" ht="24.95" customHeight="1" x14ac:dyDescent="0.25">
      <c r="A40" s="6">
        <f t="shared" si="0"/>
        <v>36</v>
      </c>
      <c r="B40" s="6" t="s">
        <v>104</v>
      </c>
      <c r="C40" s="13" t="s">
        <v>105</v>
      </c>
      <c r="D40" s="13" t="s">
        <v>106</v>
      </c>
      <c r="E40" s="13" t="s">
        <v>44</v>
      </c>
      <c r="F40" s="15" t="s">
        <v>107</v>
      </c>
      <c r="G40" s="9"/>
      <c r="H40" s="9"/>
      <c r="I40" s="9">
        <v>209</v>
      </c>
    </row>
    <row r="41" spans="1:11" ht="24.95" customHeight="1" x14ac:dyDescent="0.25">
      <c r="A41" s="6">
        <f t="shared" si="0"/>
        <v>37</v>
      </c>
      <c r="B41" s="6" t="s">
        <v>108</v>
      </c>
      <c r="C41" s="13" t="s">
        <v>109</v>
      </c>
      <c r="D41" s="13" t="s">
        <v>110</v>
      </c>
      <c r="E41" s="13" t="s">
        <v>70</v>
      </c>
      <c r="F41" s="15" t="s">
        <v>111</v>
      </c>
      <c r="G41" s="9"/>
      <c r="H41" s="9"/>
      <c r="I41" s="9">
        <v>3000</v>
      </c>
    </row>
    <row r="42" spans="1:11" ht="24.95" customHeight="1" x14ac:dyDescent="0.25">
      <c r="A42" s="6">
        <f t="shared" si="0"/>
        <v>38</v>
      </c>
      <c r="B42" s="6" t="s">
        <v>112</v>
      </c>
      <c r="C42" s="13" t="s">
        <v>113</v>
      </c>
      <c r="D42" s="13" t="s">
        <v>114</v>
      </c>
      <c r="E42" s="13" t="s">
        <v>70</v>
      </c>
      <c r="F42" s="15" t="s">
        <v>115</v>
      </c>
      <c r="G42" s="9"/>
      <c r="H42" s="9"/>
      <c r="I42" s="9">
        <v>1</v>
      </c>
    </row>
    <row r="43" spans="1:11" ht="24.95" customHeight="1" x14ac:dyDescent="0.35">
      <c r="A43" s="6">
        <f t="shared" si="0"/>
        <v>39</v>
      </c>
      <c r="B43" s="6" t="s">
        <v>35</v>
      </c>
      <c r="C43" s="16" t="s">
        <v>116</v>
      </c>
      <c r="D43" s="13" t="s">
        <v>117</v>
      </c>
      <c r="E43" s="13" t="s">
        <v>70</v>
      </c>
      <c r="F43" s="15"/>
      <c r="G43" s="9"/>
      <c r="H43" s="9"/>
      <c r="I43" s="9"/>
    </row>
    <row r="44" spans="1:11" ht="24.95" customHeight="1" x14ac:dyDescent="0.25">
      <c r="A44" s="6">
        <f t="shared" si="0"/>
        <v>40</v>
      </c>
      <c r="B44" s="6" t="s">
        <v>118</v>
      </c>
      <c r="C44" s="13" t="s">
        <v>119</v>
      </c>
      <c r="D44" s="13" t="s">
        <v>120</v>
      </c>
      <c r="E44" s="13" t="s">
        <v>44</v>
      </c>
      <c r="F44" s="15" t="s">
        <v>121</v>
      </c>
      <c r="G44" s="9"/>
      <c r="H44" s="9"/>
      <c r="I44" s="9">
        <v>35</v>
      </c>
    </row>
    <row r="45" spans="1:11" ht="24.95" customHeight="1" x14ac:dyDescent="0.25">
      <c r="A45" s="6">
        <f t="shared" si="0"/>
        <v>41</v>
      </c>
      <c r="B45" s="6" t="s">
        <v>122</v>
      </c>
      <c r="C45" s="13" t="s">
        <v>123</v>
      </c>
      <c r="D45" s="13" t="s">
        <v>124</v>
      </c>
      <c r="E45" s="13" t="s">
        <v>14</v>
      </c>
      <c r="F45" s="15"/>
      <c r="G45" s="9"/>
      <c r="H45" s="9"/>
      <c r="I45" s="9"/>
    </row>
    <row r="46" spans="1:11" ht="24.95" customHeight="1" x14ac:dyDescent="0.25">
      <c r="A46" s="6">
        <f t="shared" si="0"/>
        <v>42</v>
      </c>
      <c r="B46" s="6">
        <v>76</v>
      </c>
      <c r="C46" s="7" t="s">
        <v>125</v>
      </c>
      <c r="D46" s="7" t="s">
        <v>126</v>
      </c>
      <c r="E46" s="7" t="s">
        <v>14</v>
      </c>
      <c r="F46" s="15"/>
      <c r="G46" s="9"/>
      <c r="H46" s="9"/>
      <c r="I46" s="9"/>
    </row>
    <row r="47" spans="1:11" ht="24.95" customHeight="1" x14ac:dyDescent="0.25">
      <c r="A47" s="6">
        <f t="shared" si="0"/>
        <v>43</v>
      </c>
      <c r="B47" s="17">
        <v>53</v>
      </c>
      <c r="C47" s="13" t="s">
        <v>572</v>
      </c>
      <c r="D47" s="13" t="s">
        <v>127</v>
      </c>
      <c r="E47" s="13" t="s">
        <v>14</v>
      </c>
      <c r="F47" s="14"/>
    </row>
    <row r="48" spans="1:11" ht="24.95" customHeight="1" x14ac:dyDescent="0.25">
      <c r="A48" s="6">
        <f t="shared" si="0"/>
        <v>44</v>
      </c>
      <c r="B48" s="17">
        <v>32</v>
      </c>
      <c r="C48" s="13" t="s">
        <v>573</v>
      </c>
      <c r="D48" s="13" t="s">
        <v>128</v>
      </c>
      <c r="E48" s="13" t="s">
        <v>14</v>
      </c>
      <c r="F48" s="14"/>
    </row>
    <row r="49" spans="1:6" ht="24.95" customHeight="1" x14ac:dyDescent="0.25">
      <c r="A49" s="6">
        <f t="shared" si="0"/>
        <v>45</v>
      </c>
      <c r="B49" s="13">
        <v>82</v>
      </c>
      <c r="C49" s="13" t="s">
        <v>129</v>
      </c>
      <c r="D49" s="13" t="s">
        <v>130</v>
      </c>
      <c r="E49" s="13" t="s">
        <v>14</v>
      </c>
      <c r="F49" s="14"/>
    </row>
    <row r="50" spans="1:6" ht="24.95" customHeight="1" x14ac:dyDescent="0.25">
      <c r="A50" s="6">
        <f t="shared" si="0"/>
        <v>46</v>
      </c>
      <c r="B50" s="17">
        <v>77.5</v>
      </c>
      <c r="C50" s="13" t="s">
        <v>131</v>
      </c>
      <c r="D50" s="13" t="s">
        <v>132</v>
      </c>
      <c r="E50" s="13" t="s">
        <v>70</v>
      </c>
      <c r="F50" s="14"/>
    </row>
    <row r="51" spans="1:6" ht="24.95" customHeight="1" x14ac:dyDescent="0.25">
      <c r="A51" s="6">
        <f t="shared" si="0"/>
        <v>47</v>
      </c>
      <c r="B51" s="17">
        <v>74.5</v>
      </c>
      <c r="C51" s="13" t="s">
        <v>133</v>
      </c>
      <c r="D51" s="13" t="s">
        <v>134</v>
      </c>
      <c r="E51" s="13" t="s">
        <v>70</v>
      </c>
      <c r="F51" s="14"/>
    </row>
    <row r="52" spans="1:6" ht="24.95" customHeight="1" x14ac:dyDescent="0.25">
      <c r="A52" s="6">
        <f t="shared" si="0"/>
        <v>48</v>
      </c>
      <c r="B52" s="17">
        <v>68.5</v>
      </c>
      <c r="C52" s="13" t="s">
        <v>135</v>
      </c>
      <c r="D52" s="13" t="s">
        <v>136</v>
      </c>
      <c r="E52" s="13" t="s">
        <v>70</v>
      </c>
      <c r="F52" s="14"/>
    </row>
    <row r="53" spans="1:6" ht="24.95" customHeight="1" x14ac:dyDescent="0.25">
      <c r="A53" s="6">
        <f t="shared" si="0"/>
        <v>49</v>
      </c>
      <c r="B53" s="17">
        <v>56.5</v>
      </c>
      <c r="C53" s="13" t="s">
        <v>137</v>
      </c>
      <c r="D53" s="13" t="s">
        <v>138</v>
      </c>
      <c r="E53" s="13" t="s">
        <v>70</v>
      </c>
      <c r="F53" s="14"/>
    </row>
    <row r="54" spans="1:6" ht="24.95" customHeight="1" x14ac:dyDescent="0.25">
      <c r="A54" s="6">
        <f t="shared" ref="A54:A111" si="1">ROW()-4</f>
        <v>50</v>
      </c>
      <c r="B54" s="17" t="s">
        <v>141</v>
      </c>
      <c r="C54" s="13" t="s">
        <v>142</v>
      </c>
      <c r="D54" s="13" t="s">
        <v>143</v>
      </c>
      <c r="E54" s="13" t="s">
        <v>14</v>
      </c>
      <c r="F54" s="14"/>
    </row>
    <row r="55" spans="1:6" ht="24.95" customHeight="1" x14ac:dyDescent="0.25">
      <c r="A55" s="6">
        <f t="shared" si="1"/>
        <v>51</v>
      </c>
      <c r="B55" s="17" t="s">
        <v>144</v>
      </c>
      <c r="C55" s="13" t="s">
        <v>145</v>
      </c>
      <c r="D55" s="13" t="s">
        <v>146</v>
      </c>
      <c r="E55" s="13" t="s">
        <v>14</v>
      </c>
      <c r="F55" s="14"/>
    </row>
    <row r="56" spans="1:6" ht="24.95" customHeight="1" x14ac:dyDescent="0.25">
      <c r="A56" s="6">
        <f t="shared" si="1"/>
        <v>52</v>
      </c>
      <c r="B56" s="17" t="s">
        <v>147</v>
      </c>
      <c r="C56" s="13" t="s">
        <v>148</v>
      </c>
      <c r="D56" s="13" t="s">
        <v>149</v>
      </c>
      <c r="E56" s="13" t="s">
        <v>14</v>
      </c>
      <c r="F56" s="14"/>
    </row>
    <row r="57" spans="1:6" ht="24.95" customHeight="1" x14ac:dyDescent="0.25">
      <c r="A57" s="6">
        <f t="shared" si="1"/>
        <v>53</v>
      </c>
      <c r="B57" s="17" t="s">
        <v>150</v>
      </c>
      <c r="C57" s="13" t="s">
        <v>151</v>
      </c>
      <c r="D57" s="13" t="s">
        <v>152</v>
      </c>
      <c r="E57" s="13" t="s">
        <v>14</v>
      </c>
      <c r="F57" s="14"/>
    </row>
    <row r="58" spans="1:6" ht="24.95" customHeight="1" x14ac:dyDescent="0.25">
      <c r="A58" s="6">
        <f t="shared" si="1"/>
        <v>54</v>
      </c>
      <c r="B58" s="17" t="s">
        <v>153</v>
      </c>
      <c r="C58" s="13" t="s">
        <v>154</v>
      </c>
      <c r="D58" s="13" t="s">
        <v>155</v>
      </c>
      <c r="E58" s="13" t="s">
        <v>14</v>
      </c>
      <c r="F58" s="14"/>
    </row>
    <row r="59" spans="1:6" ht="24.95" customHeight="1" x14ac:dyDescent="0.25">
      <c r="A59" s="6">
        <f t="shared" si="1"/>
        <v>55</v>
      </c>
      <c r="B59" s="17" t="s">
        <v>156</v>
      </c>
      <c r="C59" s="13" t="s">
        <v>157</v>
      </c>
      <c r="D59" s="13" t="s">
        <v>158</v>
      </c>
      <c r="E59" s="13" t="s">
        <v>14</v>
      </c>
      <c r="F59" s="14"/>
    </row>
    <row r="60" spans="1:6" ht="24.95" customHeight="1" x14ac:dyDescent="0.25">
      <c r="A60" s="6">
        <f t="shared" si="1"/>
        <v>56</v>
      </c>
      <c r="B60" s="13" t="s">
        <v>159</v>
      </c>
      <c r="C60" s="13" t="s">
        <v>160</v>
      </c>
      <c r="D60" s="13" t="s">
        <v>161</v>
      </c>
      <c r="E60" s="13" t="s">
        <v>14</v>
      </c>
      <c r="F60" s="14"/>
    </row>
    <row r="61" spans="1:6" ht="24.95" customHeight="1" x14ac:dyDescent="0.25">
      <c r="A61" s="6">
        <f t="shared" si="1"/>
        <v>57</v>
      </c>
      <c r="B61" s="13" t="s">
        <v>162</v>
      </c>
      <c r="C61" s="13" t="s">
        <v>163</v>
      </c>
      <c r="D61" s="13" t="s">
        <v>164</v>
      </c>
      <c r="E61" s="13" t="s">
        <v>14</v>
      </c>
      <c r="F61" s="14"/>
    </row>
    <row r="62" spans="1:6" ht="24.95" customHeight="1" x14ac:dyDescent="0.25">
      <c r="A62" s="6">
        <f t="shared" si="1"/>
        <v>58</v>
      </c>
      <c r="B62" s="13" t="s">
        <v>165</v>
      </c>
      <c r="C62" s="13" t="s">
        <v>166</v>
      </c>
      <c r="D62" s="13" t="s">
        <v>167</v>
      </c>
      <c r="E62" s="13" t="s">
        <v>14</v>
      </c>
      <c r="F62" s="14"/>
    </row>
    <row r="63" spans="1:6" ht="24.95" customHeight="1" x14ac:dyDescent="0.25">
      <c r="A63" s="6">
        <f t="shared" si="1"/>
        <v>59</v>
      </c>
      <c r="B63" s="17" t="s">
        <v>168</v>
      </c>
      <c r="C63" s="13" t="s">
        <v>169</v>
      </c>
      <c r="D63" s="13" t="s">
        <v>170</v>
      </c>
      <c r="E63" s="13" t="s">
        <v>14</v>
      </c>
      <c r="F63" s="14"/>
    </row>
    <row r="64" spans="1:6" ht="24.95" customHeight="1" x14ac:dyDescent="0.25">
      <c r="A64" s="6">
        <f t="shared" si="1"/>
        <v>60</v>
      </c>
      <c r="B64" s="17" t="s">
        <v>171</v>
      </c>
      <c r="C64" s="13" t="s">
        <v>172</v>
      </c>
      <c r="D64" s="13" t="s">
        <v>173</v>
      </c>
      <c r="E64" s="13" t="s">
        <v>14</v>
      </c>
      <c r="F64" s="14"/>
    </row>
    <row r="65" spans="1:6" ht="24.95" customHeight="1" x14ac:dyDescent="0.25">
      <c r="A65" s="6">
        <f t="shared" si="1"/>
        <v>61</v>
      </c>
      <c r="B65" s="17" t="s">
        <v>174</v>
      </c>
      <c r="C65" s="13" t="s">
        <v>175</v>
      </c>
      <c r="D65" s="13" t="s">
        <v>176</v>
      </c>
      <c r="E65" s="13" t="s">
        <v>14</v>
      </c>
      <c r="F65" s="14"/>
    </row>
    <row r="66" spans="1:6" ht="24.95" customHeight="1" x14ac:dyDescent="0.25">
      <c r="A66" s="6">
        <f t="shared" si="1"/>
        <v>62</v>
      </c>
      <c r="B66" s="13" t="s">
        <v>177</v>
      </c>
      <c r="C66" s="13" t="s">
        <v>178</v>
      </c>
      <c r="D66" s="13" t="s">
        <v>179</v>
      </c>
      <c r="E66" s="13" t="s">
        <v>14</v>
      </c>
      <c r="F66" s="14"/>
    </row>
    <row r="67" spans="1:6" ht="24.95" customHeight="1" x14ac:dyDescent="0.25">
      <c r="A67" s="6">
        <f t="shared" si="1"/>
        <v>63</v>
      </c>
      <c r="B67" s="17" t="s">
        <v>180</v>
      </c>
      <c r="C67" s="13" t="s">
        <v>181</v>
      </c>
      <c r="D67" s="13" t="s">
        <v>182</v>
      </c>
      <c r="E67" s="13" t="s">
        <v>14</v>
      </c>
      <c r="F67" s="14"/>
    </row>
    <row r="68" spans="1:6" ht="24.95" customHeight="1" x14ac:dyDescent="0.25">
      <c r="A68" s="6">
        <f t="shared" si="1"/>
        <v>64</v>
      </c>
      <c r="B68" s="13" t="s">
        <v>183</v>
      </c>
      <c r="C68" s="13" t="s">
        <v>184</v>
      </c>
      <c r="D68" s="13" t="s">
        <v>185</v>
      </c>
      <c r="E68" s="13" t="s">
        <v>14</v>
      </c>
      <c r="F68" s="14"/>
    </row>
    <row r="69" spans="1:6" ht="24.95" customHeight="1" x14ac:dyDescent="0.25">
      <c r="A69" s="6">
        <f t="shared" si="1"/>
        <v>65</v>
      </c>
      <c r="B69" s="13" t="s">
        <v>186</v>
      </c>
      <c r="C69" s="13" t="s">
        <v>187</v>
      </c>
      <c r="D69" s="13" t="s">
        <v>188</v>
      </c>
      <c r="E69" s="13" t="s">
        <v>14</v>
      </c>
      <c r="F69" s="14"/>
    </row>
    <row r="70" spans="1:6" ht="24.95" hidden="1" customHeight="1" x14ac:dyDescent="0.25">
      <c r="A70" s="6">
        <f t="shared" si="1"/>
        <v>66</v>
      </c>
      <c r="B70" s="13" t="s">
        <v>189</v>
      </c>
      <c r="C70" s="13" t="s">
        <v>190</v>
      </c>
      <c r="D70" s="13" t="s">
        <v>191</v>
      </c>
      <c r="E70" s="13" t="s">
        <v>70</v>
      </c>
      <c r="F70" s="14"/>
    </row>
    <row r="71" spans="1:6" ht="24.95" hidden="1" customHeight="1" x14ac:dyDescent="0.25">
      <c r="A71" s="6">
        <f t="shared" si="1"/>
        <v>67</v>
      </c>
      <c r="B71" s="18" t="s">
        <v>192</v>
      </c>
      <c r="C71" s="13" t="s">
        <v>193</v>
      </c>
      <c r="D71" s="13" t="s">
        <v>194</v>
      </c>
      <c r="E71" s="13" t="s">
        <v>70</v>
      </c>
      <c r="F71" s="14"/>
    </row>
    <row r="72" spans="1:6" ht="24.95" hidden="1" customHeight="1" x14ac:dyDescent="0.25">
      <c r="A72" s="6">
        <f t="shared" si="1"/>
        <v>68</v>
      </c>
      <c r="B72" s="18" t="s">
        <v>195</v>
      </c>
      <c r="C72" s="13" t="s">
        <v>196</v>
      </c>
      <c r="D72" s="13" t="s">
        <v>197</v>
      </c>
      <c r="E72" s="13" t="s">
        <v>70</v>
      </c>
      <c r="F72" s="14"/>
    </row>
    <row r="73" spans="1:6" ht="24.95" hidden="1" customHeight="1" x14ac:dyDescent="0.25">
      <c r="A73" s="6">
        <f t="shared" si="1"/>
        <v>69</v>
      </c>
      <c r="B73" s="13" t="s">
        <v>198</v>
      </c>
      <c r="C73" s="13" t="s">
        <v>199</v>
      </c>
      <c r="D73" s="13" t="s">
        <v>200</v>
      </c>
      <c r="E73" s="13" t="s">
        <v>70</v>
      </c>
      <c r="F73" s="14"/>
    </row>
    <row r="74" spans="1:6" ht="24.95" hidden="1" customHeight="1" x14ac:dyDescent="0.25">
      <c r="A74" s="6">
        <f t="shared" si="1"/>
        <v>70</v>
      </c>
      <c r="B74" s="18" t="s">
        <v>201</v>
      </c>
      <c r="C74" s="13" t="s">
        <v>202</v>
      </c>
      <c r="D74" s="13" t="s">
        <v>194</v>
      </c>
      <c r="E74" s="13" t="s">
        <v>70</v>
      </c>
      <c r="F74" s="14"/>
    </row>
    <row r="75" spans="1:6" ht="24.95" hidden="1" customHeight="1" x14ac:dyDescent="0.25">
      <c r="A75" s="6">
        <f t="shared" si="1"/>
        <v>71</v>
      </c>
      <c r="B75" s="18" t="s">
        <v>203</v>
      </c>
      <c r="C75" s="13" t="s">
        <v>204</v>
      </c>
      <c r="D75" s="13" t="s">
        <v>197</v>
      </c>
      <c r="E75" s="13" t="s">
        <v>70</v>
      </c>
      <c r="F75" s="14"/>
    </row>
    <row r="76" spans="1:6" ht="24.95" hidden="1" customHeight="1" x14ac:dyDescent="0.25">
      <c r="A76" s="6">
        <f t="shared" si="1"/>
        <v>72</v>
      </c>
      <c r="B76" s="13" t="s">
        <v>205</v>
      </c>
      <c r="C76" s="13" t="s">
        <v>206</v>
      </c>
      <c r="D76" s="13" t="s">
        <v>207</v>
      </c>
      <c r="E76" s="13" t="s">
        <v>70</v>
      </c>
      <c r="F76" s="14"/>
    </row>
    <row r="77" spans="1:6" ht="24.95" hidden="1" customHeight="1" x14ac:dyDescent="0.25">
      <c r="A77" s="6">
        <f t="shared" si="1"/>
        <v>73</v>
      </c>
      <c r="B77" s="13" t="s">
        <v>208</v>
      </c>
      <c r="C77" s="13" t="s">
        <v>209</v>
      </c>
      <c r="D77" s="13" t="s">
        <v>210</v>
      </c>
      <c r="E77" s="13" t="s">
        <v>70</v>
      </c>
      <c r="F77" s="14"/>
    </row>
    <row r="78" spans="1:6" ht="24.95" hidden="1" customHeight="1" x14ac:dyDescent="0.25">
      <c r="A78" s="6">
        <f t="shared" si="1"/>
        <v>74</v>
      </c>
      <c r="B78" s="13" t="s">
        <v>211</v>
      </c>
      <c r="C78" s="13" t="s">
        <v>212</v>
      </c>
      <c r="D78" s="13" t="s">
        <v>213</v>
      </c>
      <c r="E78" s="13" t="s">
        <v>70</v>
      </c>
      <c r="F78" s="14"/>
    </row>
    <row r="79" spans="1:6" ht="24.95" hidden="1" customHeight="1" x14ac:dyDescent="0.25">
      <c r="A79" s="6">
        <f t="shared" si="1"/>
        <v>75</v>
      </c>
      <c r="B79" s="13" t="s">
        <v>214</v>
      </c>
      <c r="C79" s="13" t="s">
        <v>215</v>
      </c>
      <c r="D79" s="13" t="s">
        <v>216</v>
      </c>
      <c r="E79" s="13" t="s">
        <v>70</v>
      </c>
      <c r="F79" s="14"/>
    </row>
    <row r="80" spans="1:6" ht="24.95" hidden="1" customHeight="1" x14ac:dyDescent="0.25">
      <c r="A80" s="6">
        <f t="shared" si="1"/>
        <v>76</v>
      </c>
      <c r="B80" s="13" t="s">
        <v>217</v>
      </c>
      <c r="C80" s="13" t="s">
        <v>218</v>
      </c>
      <c r="D80" s="13" t="s">
        <v>219</v>
      </c>
      <c r="E80" s="13" t="s">
        <v>70</v>
      </c>
      <c r="F80" s="14"/>
    </row>
    <row r="81" spans="1:6" ht="24.95" hidden="1" customHeight="1" x14ac:dyDescent="0.25">
      <c r="A81" s="6">
        <f t="shared" si="1"/>
        <v>77</v>
      </c>
      <c r="B81" s="13" t="s">
        <v>220</v>
      </c>
      <c r="C81" s="13" t="s">
        <v>221</v>
      </c>
      <c r="D81" s="13" t="s">
        <v>222</v>
      </c>
      <c r="E81" s="13" t="s">
        <v>70</v>
      </c>
      <c r="F81" s="14"/>
    </row>
    <row r="82" spans="1:6" ht="24.95" customHeight="1" x14ac:dyDescent="0.25">
      <c r="A82" s="6">
        <f t="shared" si="1"/>
        <v>78</v>
      </c>
      <c r="B82" s="13" t="s">
        <v>223</v>
      </c>
      <c r="C82" s="13" t="s">
        <v>224</v>
      </c>
      <c r="D82" s="13" t="s">
        <v>225</v>
      </c>
      <c r="E82" s="13" t="s">
        <v>70</v>
      </c>
      <c r="F82" s="14"/>
    </row>
    <row r="83" spans="1:6" ht="24.95" customHeight="1" x14ac:dyDescent="0.25">
      <c r="A83" s="6">
        <f t="shared" si="1"/>
        <v>79</v>
      </c>
      <c r="B83" s="13" t="s">
        <v>226</v>
      </c>
      <c r="C83" s="13" t="s">
        <v>227</v>
      </c>
      <c r="D83" s="13" t="s">
        <v>228</v>
      </c>
      <c r="E83" s="13" t="s">
        <v>70</v>
      </c>
      <c r="F83" s="14"/>
    </row>
    <row r="84" spans="1:6" ht="24.95" customHeight="1" x14ac:dyDescent="0.25">
      <c r="A84" s="6">
        <f t="shared" si="1"/>
        <v>80</v>
      </c>
      <c r="B84" s="13" t="s">
        <v>229</v>
      </c>
      <c r="C84" s="13" t="s">
        <v>230</v>
      </c>
      <c r="D84" s="13" t="s">
        <v>231</v>
      </c>
      <c r="E84" s="13" t="s">
        <v>70</v>
      </c>
      <c r="F84" s="14"/>
    </row>
    <row r="85" spans="1:6" ht="24.95" customHeight="1" x14ac:dyDescent="0.25">
      <c r="A85" s="6">
        <f t="shared" si="1"/>
        <v>81</v>
      </c>
      <c r="B85" s="13" t="s">
        <v>232</v>
      </c>
      <c r="C85" s="13" t="s">
        <v>233</v>
      </c>
      <c r="D85" s="13" t="s">
        <v>234</v>
      </c>
      <c r="E85" s="13" t="s">
        <v>70</v>
      </c>
      <c r="F85" s="14"/>
    </row>
    <row r="86" spans="1:6" ht="24.95" customHeight="1" x14ac:dyDescent="0.25">
      <c r="A86" s="6">
        <f t="shared" si="1"/>
        <v>82</v>
      </c>
      <c r="B86" s="13" t="s">
        <v>235</v>
      </c>
      <c r="C86" s="13" t="s">
        <v>236</v>
      </c>
      <c r="D86" s="13" t="s">
        <v>237</v>
      </c>
      <c r="E86" s="13" t="s">
        <v>70</v>
      </c>
      <c r="F86" s="14"/>
    </row>
    <row r="87" spans="1:6" ht="24.95" customHeight="1" x14ac:dyDescent="0.25">
      <c r="A87" s="6">
        <f t="shared" si="1"/>
        <v>83</v>
      </c>
      <c r="B87" s="13" t="s">
        <v>238</v>
      </c>
      <c r="C87" s="13" t="s">
        <v>239</v>
      </c>
      <c r="D87" s="13" t="s">
        <v>240</v>
      </c>
      <c r="E87" s="13" t="s">
        <v>70</v>
      </c>
      <c r="F87" s="14"/>
    </row>
    <row r="88" spans="1:6" ht="24.95" customHeight="1" x14ac:dyDescent="0.25">
      <c r="A88" s="6">
        <f t="shared" si="1"/>
        <v>84</v>
      </c>
      <c r="B88" s="13" t="s">
        <v>241</v>
      </c>
      <c r="C88" s="13" t="s">
        <v>242</v>
      </c>
      <c r="D88" s="13" t="s">
        <v>243</v>
      </c>
      <c r="E88" s="13" t="s">
        <v>70</v>
      </c>
      <c r="F88" s="14"/>
    </row>
    <row r="89" spans="1:6" ht="24.95" customHeight="1" x14ac:dyDescent="0.25">
      <c r="A89" s="6">
        <f t="shared" si="1"/>
        <v>85</v>
      </c>
      <c r="B89" s="13" t="s">
        <v>244</v>
      </c>
      <c r="C89" s="13" t="s">
        <v>245</v>
      </c>
      <c r="D89" s="13" t="s">
        <v>246</v>
      </c>
      <c r="E89" s="13" t="s">
        <v>70</v>
      </c>
      <c r="F89" s="14"/>
    </row>
    <row r="90" spans="1:6" ht="24.95" customHeight="1" x14ac:dyDescent="0.25">
      <c r="A90" s="6">
        <f t="shared" si="1"/>
        <v>86</v>
      </c>
      <c r="B90" s="13" t="s">
        <v>247</v>
      </c>
      <c r="C90" s="13" t="s">
        <v>248</v>
      </c>
      <c r="D90" s="13" t="s">
        <v>237</v>
      </c>
      <c r="E90" s="13" t="s">
        <v>70</v>
      </c>
      <c r="F90" s="14"/>
    </row>
    <row r="91" spans="1:6" ht="24.95" customHeight="1" x14ac:dyDescent="0.25">
      <c r="A91" s="6">
        <f t="shared" si="1"/>
        <v>87</v>
      </c>
      <c r="B91" s="13" t="s">
        <v>249</v>
      </c>
      <c r="C91" s="13" t="s">
        <v>250</v>
      </c>
      <c r="D91" s="13" t="s">
        <v>240</v>
      </c>
      <c r="E91" s="13" t="s">
        <v>70</v>
      </c>
      <c r="F91" s="14"/>
    </row>
    <row r="92" spans="1:6" ht="24.95" customHeight="1" x14ac:dyDescent="0.25">
      <c r="A92" s="6">
        <f t="shared" si="1"/>
        <v>88</v>
      </c>
      <c r="B92" s="13" t="s">
        <v>251</v>
      </c>
      <c r="C92" s="13" t="s">
        <v>252</v>
      </c>
      <c r="D92" s="13" t="s">
        <v>243</v>
      </c>
      <c r="E92" s="13" t="s">
        <v>70</v>
      </c>
      <c r="F92" s="14"/>
    </row>
    <row r="93" spans="1:6" ht="24.95" customHeight="1" x14ac:dyDescent="0.25">
      <c r="A93" s="6">
        <f t="shared" si="1"/>
        <v>89</v>
      </c>
      <c r="B93" s="13" t="s">
        <v>253</v>
      </c>
      <c r="C93" s="13" t="s">
        <v>254</v>
      </c>
      <c r="D93" s="13" t="s">
        <v>246</v>
      </c>
      <c r="E93" s="13" t="s">
        <v>70</v>
      </c>
      <c r="F93" s="14"/>
    </row>
    <row r="94" spans="1:6" ht="24.95" customHeight="1" x14ac:dyDescent="0.25">
      <c r="A94" s="6">
        <f t="shared" si="1"/>
        <v>90</v>
      </c>
      <c r="B94" s="13" t="s">
        <v>255</v>
      </c>
      <c r="C94" s="13" t="s">
        <v>256</v>
      </c>
      <c r="D94" s="13" t="s">
        <v>257</v>
      </c>
      <c r="E94" s="13" t="s">
        <v>14</v>
      </c>
      <c r="F94" s="14"/>
    </row>
    <row r="95" spans="1:6" ht="24.95" customHeight="1" x14ac:dyDescent="0.25">
      <c r="A95" s="6">
        <f t="shared" si="1"/>
        <v>91</v>
      </c>
      <c r="B95" s="13" t="s">
        <v>258</v>
      </c>
      <c r="C95" s="13" t="s">
        <v>259</v>
      </c>
      <c r="D95" s="13" t="s">
        <v>260</v>
      </c>
      <c r="E95" s="13" t="s">
        <v>14</v>
      </c>
      <c r="F95" s="14"/>
    </row>
    <row r="96" spans="1:6" ht="24.95" customHeight="1" x14ac:dyDescent="0.25">
      <c r="A96" s="6">
        <f t="shared" si="1"/>
        <v>92</v>
      </c>
      <c r="B96" s="13" t="s">
        <v>261</v>
      </c>
      <c r="C96" s="13" t="s">
        <v>262</v>
      </c>
      <c r="D96" s="13" t="s">
        <v>263</v>
      </c>
      <c r="E96" s="13" t="s">
        <v>14</v>
      </c>
      <c r="F96" s="14"/>
    </row>
    <row r="97" spans="1:6" ht="24.95" customHeight="1" x14ac:dyDescent="0.25">
      <c r="A97" s="6">
        <f t="shared" si="1"/>
        <v>93</v>
      </c>
      <c r="B97" s="13" t="s">
        <v>264</v>
      </c>
      <c r="C97" s="13" t="s">
        <v>265</v>
      </c>
      <c r="D97" s="13" t="s">
        <v>266</v>
      </c>
      <c r="E97" s="13" t="s">
        <v>14</v>
      </c>
      <c r="F97" s="14"/>
    </row>
    <row r="98" spans="1:6" ht="24.95" customHeight="1" x14ac:dyDescent="0.25">
      <c r="A98" s="6">
        <f t="shared" si="1"/>
        <v>94</v>
      </c>
      <c r="B98" s="13" t="s">
        <v>267</v>
      </c>
      <c r="C98" s="13" t="s">
        <v>268</v>
      </c>
      <c r="D98" s="13" t="s">
        <v>269</v>
      </c>
      <c r="E98" s="13" t="s">
        <v>14</v>
      </c>
      <c r="F98" s="14"/>
    </row>
    <row r="99" spans="1:6" ht="24.95" customHeight="1" x14ac:dyDescent="0.25">
      <c r="A99" s="6">
        <f t="shared" si="1"/>
        <v>95</v>
      </c>
      <c r="B99" s="13" t="s">
        <v>270</v>
      </c>
      <c r="C99" s="13" t="s">
        <v>562</v>
      </c>
      <c r="D99" s="13" t="s">
        <v>272</v>
      </c>
      <c r="E99" s="13" t="s">
        <v>14</v>
      </c>
      <c r="F99" s="14"/>
    </row>
    <row r="100" spans="1:6" ht="24.95" customHeight="1" x14ac:dyDescent="0.25">
      <c r="A100" s="6">
        <f t="shared" si="1"/>
        <v>96</v>
      </c>
      <c r="B100" s="13" t="s">
        <v>273</v>
      </c>
      <c r="C100" s="13" t="s">
        <v>274</v>
      </c>
      <c r="D100" s="13" t="s">
        <v>275</v>
      </c>
      <c r="E100" s="13" t="s">
        <v>276</v>
      </c>
      <c r="F100" s="14"/>
    </row>
    <row r="101" spans="1:6" ht="24.95" customHeight="1" x14ac:dyDescent="0.25">
      <c r="A101" s="6">
        <f t="shared" si="1"/>
        <v>97</v>
      </c>
      <c r="B101" s="13" t="s">
        <v>277</v>
      </c>
      <c r="C101" s="13" t="s">
        <v>278</v>
      </c>
      <c r="D101" s="13" t="s">
        <v>279</v>
      </c>
      <c r="E101" s="13" t="s">
        <v>276</v>
      </c>
      <c r="F101" s="14"/>
    </row>
    <row r="102" spans="1:6" ht="24.95" customHeight="1" x14ac:dyDescent="0.25">
      <c r="A102" s="6">
        <f t="shared" si="1"/>
        <v>98</v>
      </c>
      <c r="B102" s="13" t="s">
        <v>280</v>
      </c>
      <c r="C102" s="13" t="s">
        <v>281</v>
      </c>
      <c r="D102" s="13" t="s">
        <v>282</v>
      </c>
      <c r="E102" s="13" t="s">
        <v>276</v>
      </c>
      <c r="F102" s="14"/>
    </row>
    <row r="103" spans="1:6" ht="24.95" customHeight="1" x14ac:dyDescent="0.25">
      <c r="A103" s="6">
        <f t="shared" si="1"/>
        <v>99</v>
      </c>
      <c r="B103" s="13" t="s">
        <v>283</v>
      </c>
      <c r="C103" s="13" t="s">
        <v>284</v>
      </c>
      <c r="D103" s="13" t="s">
        <v>285</v>
      </c>
      <c r="E103" s="13" t="s">
        <v>276</v>
      </c>
      <c r="F103" s="14"/>
    </row>
    <row r="104" spans="1:6" ht="24.95" customHeight="1" x14ac:dyDescent="0.25">
      <c r="A104" s="6">
        <f t="shared" si="1"/>
        <v>100</v>
      </c>
      <c r="B104" s="13" t="s">
        <v>286</v>
      </c>
      <c r="C104" s="13" t="s">
        <v>287</v>
      </c>
      <c r="D104" s="13" t="s">
        <v>288</v>
      </c>
      <c r="E104" s="13" t="s">
        <v>276</v>
      </c>
      <c r="F104" s="14"/>
    </row>
    <row r="105" spans="1:6" ht="24.95" customHeight="1" x14ac:dyDescent="0.25">
      <c r="A105" s="6">
        <f t="shared" si="1"/>
        <v>101</v>
      </c>
      <c r="B105" s="13" t="s">
        <v>289</v>
      </c>
      <c r="C105" s="13" t="s">
        <v>290</v>
      </c>
      <c r="D105" s="13" t="s">
        <v>291</v>
      </c>
      <c r="E105" s="13" t="s">
        <v>276</v>
      </c>
      <c r="F105" s="14"/>
    </row>
    <row r="106" spans="1:6" ht="24.95" customHeight="1" x14ac:dyDescent="0.25">
      <c r="A106" s="6">
        <f t="shared" si="1"/>
        <v>102</v>
      </c>
      <c r="B106" s="13" t="s">
        <v>292</v>
      </c>
      <c r="C106" s="13" t="s">
        <v>293</v>
      </c>
      <c r="D106" s="13" t="s">
        <v>294</v>
      </c>
      <c r="E106" s="13" t="s">
        <v>276</v>
      </c>
      <c r="F106" s="14"/>
    </row>
    <row r="107" spans="1:6" ht="24.95" customHeight="1" x14ac:dyDescent="0.25">
      <c r="A107" s="6">
        <f t="shared" si="1"/>
        <v>103</v>
      </c>
      <c r="B107" s="13" t="s">
        <v>139</v>
      </c>
      <c r="C107" s="13" t="s">
        <v>295</v>
      </c>
      <c r="D107" s="13" t="s">
        <v>296</v>
      </c>
      <c r="E107" s="13" t="s">
        <v>276</v>
      </c>
      <c r="F107" s="14"/>
    </row>
    <row r="108" spans="1:6" ht="24.95" customHeight="1" x14ac:dyDescent="0.25">
      <c r="A108" s="6">
        <f t="shared" si="1"/>
        <v>104</v>
      </c>
      <c r="B108" s="13" t="s">
        <v>140</v>
      </c>
      <c r="C108" s="13" t="s">
        <v>297</v>
      </c>
      <c r="D108" s="13" t="s">
        <v>298</v>
      </c>
      <c r="E108" s="13" t="s">
        <v>276</v>
      </c>
      <c r="F108" s="14"/>
    </row>
    <row r="109" spans="1:6" ht="24.95" customHeight="1" x14ac:dyDescent="0.25">
      <c r="A109" s="6">
        <f t="shared" si="1"/>
        <v>105</v>
      </c>
      <c r="B109" s="13" t="s">
        <v>299</v>
      </c>
      <c r="C109" s="13" t="s">
        <v>300</v>
      </c>
      <c r="D109" s="13" t="s">
        <v>301</v>
      </c>
      <c r="E109" s="13" t="s">
        <v>276</v>
      </c>
      <c r="F109" s="14"/>
    </row>
    <row r="110" spans="1:6" ht="24.95" customHeight="1" x14ac:dyDescent="0.25">
      <c r="A110" s="6">
        <f t="shared" si="1"/>
        <v>106</v>
      </c>
      <c r="B110" s="13" t="s">
        <v>302</v>
      </c>
      <c r="C110" s="13" t="s">
        <v>303</v>
      </c>
      <c r="D110" s="13" t="s">
        <v>304</v>
      </c>
      <c r="E110" s="13" t="s">
        <v>276</v>
      </c>
      <c r="F110" s="14"/>
    </row>
    <row r="111" spans="1:6" ht="24.95" customHeight="1" x14ac:dyDescent="0.25">
      <c r="A111" s="6">
        <f t="shared" si="1"/>
        <v>107</v>
      </c>
      <c r="B111" s="13" t="s">
        <v>305</v>
      </c>
      <c r="C111" s="13" t="s">
        <v>306</v>
      </c>
      <c r="D111" s="13" t="s">
        <v>307</v>
      </c>
      <c r="E111" s="13" t="s">
        <v>276</v>
      </c>
      <c r="F111" s="14"/>
    </row>
  </sheetData>
  <conditionalFormatting sqref="B50:B53">
    <cfRule type="duplicateValues" dxfId="21" priority="5"/>
  </conditionalFormatting>
  <conditionalFormatting sqref="B70:B93">
    <cfRule type="duplicateValues" dxfId="20" priority="4"/>
  </conditionalFormatting>
  <conditionalFormatting sqref="B94:B99">
    <cfRule type="duplicateValues" dxfId="19" priority="3"/>
  </conditionalFormatting>
  <conditionalFormatting sqref="B100:B111">
    <cfRule type="duplicateValues" dxfId="18" priority="2"/>
  </conditionalFormatting>
  <conditionalFormatting sqref="B60:B62 B66 B68 B5:B28 B30:B49">
    <cfRule type="duplicateValues" dxfId="17" priority="7"/>
  </conditionalFormatting>
  <conditionalFormatting sqref="B69">
    <cfRule type="duplicateValues" dxfId="16" priority="8"/>
  </conditionalFormatting>
  <conditionalFormatting sqref="B67 B63:B65 B54:B59">
    <cfRule type="duplicateValues" dxfId="15" priority="6"/>
  </conditionalFormatting>
  <conditionalFormatting sqref="B29">
    <cfRule type="duplicateValues" dxfId="14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opLeftCell="A88" workbookViewId="0">
      <selection activeCell="B120" sqref="B120"/>
    </sheetView>
  </sheetViews>
  <sheetFormatPr defaultColWidth="9" defaultRowHeight="15" x14ac:dyDescent="0.25"/>
  <cols>
    <col min="1" max="1" width="9.85546875" bestFit="1" customWidth="1"/>
    <col min="2" max="2" width="47.85546875" bestFit="1" customWidth="1"/>
    <col min="3" max="3" width="84.42578125" bestFit="1" customWidth="1"/>
  </cols>
  <sheetData>
    <row r="1" spans="1:4" ht="32.25" customHeight="1" thickBot="1" x14ac:dyDescent="0.3">
      <c r="A1" s="89" t="s">
        <v>308</v>
      </c>
      <c r="B1" s="90"/>
      <c r="C1" s="91"/>
    </row>
    <row r="2" spans="1:4" ht="18.75" thickBot="1" x14ac:dyDescent="0.3">
      <c r="A2" s="21" t="s">
        <v>309</v>
      </c>
      <c r="B2" s="22" t="s">
        <v>310</v>
      </c>
      <c r="C2" s="23" t="s">
        <v>311</v>
      </c>
    </row>
    <row r="3" spans="1:4" ht="18" x14ac:dyDescent="0.25">
      <c r="A3" s="24">
        <v>7104</v>
      </c>
      <c r="B3" s="25" t="s">
        <v>312</v>
      </c>
      <c r="C3" s="26" t="s">
        <v>313</v>
      </c>
    </row>
    <row r="4" spans="1:4" ht="18" x14ac:dyDescent="0.25">
      <c r="A4" s="27">
        <v>7105</v>
      </c>
      <c r="B4" s="28" t="s">
        <v>314</v>
      </c>
      <c r="C4" s="29" t="s">
        <v>315</v>
      </c>
    </row>
    <row r="5" spans="1:4" ht="18" x14ac:dyDescent="0.25">
      <c r="A5" s="27">
        <v>7106</v>
      </c>
      <c r="B5" s="28" t="s">
        <v>316</v>
      </c>
      <c r="C5" s="29" t="s">
        <v>317</v>
      </c>
    </row>
    <row r="6" spans="1:4" ht="18" x14ac:dyDescent="0.25">
      <c r="A6" s="27">
        <v>7107</v>
      </c>
      <c r="B6" s="28" t="s">
        <v>318</v>
      </c>
      <c r="C6" s="29" t="s">
        <v>319</v>
      </c>
    </row>
    <row r="7" spans="1:4" ht="18" x14ac:dyDescent="0.25">
      <c r="A7" s="27">
        <v>7108</v>
      </c>
      <c r="B7" s="28" t="s">
        <v>320</v>
      </c>
      <c r="C7" s="29" t="s">
        <v>321</v>
      </c>
    </row>
    <row r="8" spans="1:4" ht="18" x14ac:dyDescent="0.25">
      <c r="A8" s="27">
        <v>7109</v>
      </c>
      <c r="B8" s="28" t="s">
        <v>322</v>
      </c>
      <c r="C8" s="29" t="s">
        <v>323</v>
      </c>
    </row>
    <row r="9" spans="1:4" ht="18" x14ac:dyDescent="0.25">
      <c r="A9" s="27">
        <v>7110</v>
      </c>
      <c r="B9" s="86" t="s">
        <v>324</v>
      </c>
      <c r="C9" s="29" t="s">
        <v>325</v>
      </c>
    </row>
    <row r="10" spans="1:4" ht="18" x14ac:dyDescent="0.25">
      <c r="A10" s="27">
        <v>7111</v>
      </c>
      <c r="B10" s="28" t="s">
        <v>326</v>
      </c>
      <c r="C10" s="29" t="s">
        <v>327</v>
      </c>
    </row>
    <row r="11" spans="1:4" ht="18" x14ac:dyDescent="0.25">
      <c r="A11" s="27">
        <v>7112</v>
      </c>
      <c r="B11" s="30" t="s">
        <v>328</v>
      </c>
      <c r="C11" s="31" t="s">
        <v>329</v>
      </c>
    </row>
    <row r="12" spans="1:4" ht="18" x14ac:dyDescent="0.25">
      <c r="A12" s="27">
        <v>7113</v>
      </c>
      <c r="B12" s="28" t="s">
        <v>330</v>
      </c>
      <c r="C12" s="29" t="s">
        <v>331</v>
      </c>
    </row>
    <row r="13" spans="1:4" ht="18" x14ac:dyDescent="0.25">
      <c r="A13" s="27">
        <v>7114</v>
      </c>
      <c r="B13" s="28" t="s">
        <v>332</v>
      </c>
      <c r="C13" s="29" t="s">
        <v>333</v>
      </c>
    </row>
    <row r="14" spans="1:4" ht="18" x14ac:dyDescent="0.25">
      <c r="A14" s="27">
        <v>7115</v>
      </c>
      <c r="B14" s="86" t="s">
        <v>334</v>
      </c>
      <c r="C14" s="29" t="s">
        <v>335</v>
      </c>
    </row>
    <row r="15" spans="1:4" ht="18" x14ac:dyDescent="0.25">
      <c r="A15" s="27">
        <v>7116</v>
      </c>
      <c r="B15" s="86" t="s">
        <v>336</v>
      </c>
      <c r="C15" s="29" t="s">
        <v>337</v>
      </c>
    </row>
    <row r="16" spans="1:4" ht="18" x14ac:dyDescent="0.25">
      <c r="A16" s="27">
        <v>7117</v>
      </c>
      <c r="B16" s="86" t="s">
        <v>338</v>
      </c>
      <c r="C16" s="31" t="s">
        <v>339</v>
      </c>
      <c r="D16" s="32"/>
    </row>
    <row r="17" spans="1:4" ht="18" x14ac:dyDescent="0.25">
      <c r="A17" s="27">
        <v>7118</v>
      </c>
      <c r="B17" s="86" t="s">
        <v>340</v>
      </c>
      <c r="C17" s="31" t="s">
        <v>341</v>
      </c>
      <c r="D17" s="32"/>
    </row>
    <row r="18" spans="1:4" ht="18" x14ac:dyDescent="0.25">
      <c r="A18" s="27">
        <v>7119</v>
      </c>
      <c r="B18" s="28" t="s">
        <v>342</v>
      </c>
      <c r="C18" s="29" t="s">
        <v>343</v>
      </c>
    </row>
    <row r="19" spans="1:4" ht="18" x14ac:dyDescent="0.25">
      <c r="A19" s="27">
        <v>7120</v>
      </c>
      <c r="B19" s="30" t="s">
        <v>344</v>
      </c>
      <c r="C19" s="31" t="s">
        <v>345</v>
      </c>
    </row>
    <row r="20" spans="1:4" ht="18" x14ac:dyDescent="0.25">
      <c r="A20" s="27">
        <v>7121</v>
      </c>
      <c r="B20" s="28" t="s">
        <v>346</v>
      </c>
      <c r="C20" s="29" t="s">
        <v>347</v>
      </c>
    </row>
    <row r="21" spans="1:4" ht="18" x14ac:dyDescent="0.25">
      <c r="A21" s="27">
        <v>7122</v>
      </c>
      <c r="B21" s="28" t="s">
        <v>348</v>
      </c>
      <c r="C21" s="29" t="s">
        <v>349</v>
      </c>
    </row>
    <row r="22" spans="1:4" ht="18" x14ac:dyDescent="0.25">
      <c r="A22" s="27">
        <v>7123</v>
      </c>
      <c r="B22" s="28" t="s">
        <v>350</v>
      </c>
      <c r="C22" s="29" t="s">
        <v>351</v>
      </c>
    </row>
    <row r="23" spans="1:4" ht="18" x14ac:dyDescent="0.25">
      <c r="A23" s="27">
        <v>7124</v>
      </c>
      <c r="B23" s="28" t="s">
        <v>352</v>
      </c>
      <c r="C23" s="29" t="s">
        <v>353</v>
      </c>
    </row>
    <row r="24" spans="1:4" ht="18" x14ac:dyDescent="0.25">
      <c r="A24" s="27">
        <v>7125</v>
      </c>
      <c r="B24" s="28" t="s">
        <v>354</v>
      </c>
      <c r="C24" s="29" t="s">
        <v>355</v>
      </c>
    </row>
    <row r="25" spans="1:4" ht="18" x14ac:dyDescent="0.25">
      <c r="A25" s="27">
        <v>7126</v>
      </c>
      <c r="B25" s="28" t="s">
        <v>356</v>
      </c>
      <c r="C25" s="29" t="s">
        <v>357</v>
      </c>
    </row>
    <row r="26" spans="1:4" ht="18" x14ac:dyDescent="0.25">
      <c r="A26" s="27">
        <v>7127</v>
      </c>
      <c r="B26" s="30" t="s">
        <v>358</v>
      </c>
      <c r="C26" s="31" t="s">
        <v>359</v>
      </c>
    </row>
    <row r="27" spans="1:4" ht="18" x14ac:dyDescent="0.25">
      <c r="A27" s="27">
        <v>7128</v>
      </c>
      <c r="B27" s="30" t="s">
        <v>360</v>
      </c>
      <c r="C27" s="31" t="s">
        <v>361</v>
      </c>
    </row>
    <row r="28" spans="1:4" ht="18" x14ac:dyDescent="0.25">
      <c r="A28" s="27">
        <v>7129</v>
      </c>
      <c r="B28" s="28" t="s">
        <v>362</v>
      </c>
      <c r="C28" s="29" t="s">
        <v>363</v>
      </c>
    </row>
    <row r="29" spans="1:4" ht="18" x14ac:dyDescent="0.25">
      <c r="A29" s="27">
        <v>7130</v>
      </c>
      <c r="B29" s="86" t="s">
        <v>364</v>
      </c>
      <c r="C29" s="31" t="s">
        <v>365</v>
      </c>
    </row>
    <row r="30" spans="1:4" ht="18" x14ac:dyDescent="0.25">
      <c r="A30" s="27">
        <v>7131</v>
      </c>
      <c r="B30" s="86" t="s">
        <v>366</v>
      </c>
      <c r="C30" s="31" t="s">
        <v>367</v>
      </c>
    </row>
    <row r="31" spans="1:4" ht="18" x14ac:dyDescent="0.25">
      <c r="A31" s="27">
        <v>7132</v>
      </c>
      <c r="B31" s="86" t="s">
        <v>368</v>
      </c>
      <c r="C31" s="31" t="s">
        <v>369</v>
      </c>
      <c r="D31" s="32"/>
    </row>
    <row r="32" spans="1:4" ht="18" x14ac:dyDescent="0.25">
      <c r="A32" s="27">
        <v>7133</v>
      </c>
      <c r="B32" s="86" t="s">
        <v>370</v>
      </c>
      <c r="C32" s="31" t="s">
        <v>371</v>
      </c>
      <c r="D32" s="32"/>
    </row>
    <row r="33" spans="1:4" ht="18" x14ac:dyDescent="0.25">
      <c r="A33" s="27">
        <v>7134</v>
      </c>
      <c r="B33" s="28" t="s">
        <v>372</v>
      </c>
      <c r="C33" s="29" t="s">
        <v>373</v>
      </c>
    </row>
    <row r="34" spans="1:4" ht="18" x14ac:dyDescent="0.25">
      <c r="A34" s="27">
        <v>7135</v>
      </c>
      <c r="B34" s="86" t="s">
        <v>374</v>
      </c>
      <c r="C34" s="31" t="s">
        <v>375</v>
      </c>
      <c r="D34" s="32"/>
    </row>
    <row r="35" spans="1:4" ht="18" x14ac:dyDescent="0.25">
      <c r="A35" s="27">
        <v>7136</v>
      </c>
      <c r="B35" s="28" t="s">
        <v>376</v>
      </c>
      <c r="C35" s="29" t="s">
        <v>377</v>
      </c>
    </row>
    <row r="36" spans="1:4" ht="18" x14ac:dyDescent="0.25">
      <c r="A36" s="27">
        <v>7137</v>
      </c>
      <c r="B36" s="28" t="s">
        <v>378</v>
      </c>
      <c r="C36" s="29" t="s">
        <v>379</v>
      </c>
    </row>
    <row r="37" spans="1:4" ht="18" x14ac:dyDescent="0.25">
      <c r="A37" s="27">
        <v>7138</v>
      </c>
      <c r="B37" s="28" t="s">
        <v>380</v>
      </c>
      <c r="C37" s="29" t="s">
        <v>381</v>
      </c>
    </row>
    <row r="38" spans="1:4" ht="18" x14ac:dyDescent="0.25">
      <c r="A38" s="27">
        <v>7139</v>
      </c>
      <c r="B38" s="86" t="s">
        <v>382</v>
      </c>
      <c r="C38" s="31" t="s">
        <v>383</v>
      </c>
      <c r="D38" s="32"/>
    </row>
    <row r="39" spans="1:4" ht="18" x14ac:dyDescent="0.25">
      <c r="A39" s="27">
        <v>7140</v>
      </c>
      <c r="B39" s="28" t="s">
        <v>384</v>
      </c>
      <c r="C39" s="29" t="s">
        <v>385</v>
      </c>
    </row>
    <row r="40" spans="1:4" ht="18" x14ac:dyDescent="0.25">
      <c r="A40" s="27">
        <v>7141</v>
      </c>
      <c r="B40" s="28" t="s">
        <v>386</v>
      </c>
      <c r="C40" s="29" t="s">
        <v>387</v>
      </c>
    </row>
    <row r="41" spans="1:4" ht="18" x14ac:dyDescent="0.25">
      <c r="A41" s="27">
        <v>7142</v>
      </c>
      <c r="B41" s="28" t="s">
        <v>388</v>
      </c>
      <c r="C41" s="29" t="s">
        <v>389</v>
      </c>
    </row>
    <row r="42" spans="1:4" ht="18" x14ac:dyDescent="0.25">
      <c r="A42" s="27">
        <v>7143</v>
      </c>
      <c r="B42" s="28" t="s">
        <v>390</v>
      </c>
      <c r="C42" s="29" t="s">
        <v>391</v>
      </c>
    </row>
    <row r="43" spans="1:4" ht="18" x14ac:dyDescent="0.25">
      <c r="A43" s="27">
        <v>7144</v>
      </c>
      <c r="B43" s="28" t="s">
        <v>392</v>
      </c>
      <c r="C43" s="29" t="s">
        <v>393</v>
      </c>
    </row>
    <row r="44" spans="1:4" ht="18" x14ac:dyDescent="0.25">
      <c r="A44" s="27">
        <v>7145</v>
      </c>
      <c r="B44" s="28" t="s">
        <v>394</v>
      </c>
      <c r="C44" s="29" t="s">
        <v>395</v>
      </c>
    </row>
    <row r="45" spans="1:4" ht="18" x14ac:dyDescent="0.25">
      <c r="A45" s="27">
        <v>7146</v>
      </c>
      <c r="B45" s="28" t="s">
        <v>396</v>
      </c>
      <c r="C45" s="29" t="s">
        <v>397</v>
      </c>
    </row>
    <row r="46" spans="1:4" ht="18" x14ac:dyDescent="0.25">
      <c r="A46" s="27">
        <v>7147</v>
      </c>
      <c r="B46" s="30" t="s">
        <v>398</v>
      </c>
      <c r="C46" s="31" t="s">
        <v>399</v>
      </c>
    </row>
    <row r="47" spans="1:4" ht="18" x14ac:dyDescent="0.25">
      <c r="A47" s="27">
        <v>7148</v>
      </c>
      <c r="B47" s="30" t="s">
        <v>400</v>
      </c>
      <c r="C47" s="31" t="s">
        <v>401</v>
      </c>
    </row>
    <row r="48" spans="1:4" ht="18" x14ac:dyDescent="0.25">
      <c r="A48" s="27">
        <v>7149</v>
      </c>
      <c r="B48" s="28" t="s">
        <v>402</v>
      </c>
      <c r="C48" s="29" t="s">
        <v>403</v>
      </c>
    </row>
    <row r="49" spans="1:4" ht="18" x14ac:dyDescent="0.25">
      <c r="A49" s="27">
        <v>7150</v>
      </c>
      <c r="B49" s="28" t="s">
        <v>404</v>
      </c>
      <c r="C49" s="29" t="s">
        <v>405</v>
      </c>
    </row>
    <row r="50" spans="1:4" ht="18" x14ac:dyDescent="0.25">
      <c r="A50" s="27">
        <v>7151</v>
      </c>
      <c r="B50" s="86" t="s">
        <v>406</v>
      </c>
      <c r="C50" s="31" t="s">
        <v>407</v>
      </c>
      <c r="D50" s="32"/>
    </row>
    <row r="51" spans="1:4" ht="18" x14ac:dyDescent="0.25">
      <c r="A51" s="27">
        <v>7152</v>
      </c>
      <c r="B51" s="86" t="s">
        <v>408</v>
      </c>
      <c r="C51" s="31" t="s">
        <v>409</v>
      </c>
    </row>
    <row r="52" spans="1:4" ht="18" x14ac:dyDescent="0.25">
      <c r="A52" s="27">
        <v>7153</v>
      </c>
      <c r="B52" s="86" t="s">
        <v>410</v>
      </c>
      <c r="C52" s="31" t="s">
        <v>411</v>
      </c>
      <c r="D52" s="32"/>
    </row>
    <row r="53" spans="1:4" ht="18" x14ac:dyDescent="0.25">
      <c r="A53" s="27">
        <v>7154</v>
      </c>
      <c r="B53" s="28" t="s">
        <v>412</v>
      </c>
      <c r="C53" s="29" t="s">
        <v>413</v>
      </c>
    </row>
    <row r="54" spans="1:4" ht="18" x14ac:dyDescent="0.25">
      <c r="A54" s="27">
        <v>7155</v>
      </c>
      <c r="B54" s="28" t="s">
        <v>414</v>
      </c>
      <c r="C54" s="29" t="s">
        <v>415</v>
      </c>
    </row>
    <row r="55" spans="1:4" ht="18" x14ac:dyDescent="0.25">
      <c r="A55" s="27">
        <v>7156</v>
      </c>
      <c r="B55" s="28" t="s">
        <v>416</v>
      </c>
      <c r="C55" s="29" t="s">
        <v>417</v>
      </c>
    </row>
    <row r="56" spans="1:4" ht="18" x14ac:dyDescent="0.25">
      <c r="A56" s="27">
        <v>7157</v>
      </c>
      <c r="B56" s="28" t="s">
        <v>418</v>
      </c>
      <c r="C56" s="29" t="s">
        <v>419</v>
      </c>
    </row>
    <row r="57" spans="1:4" ht="18" x14ac:dyDescent="0.25">
      <c r="A57" s="27">
        <v>7158</v>
      </c>
      <c r="B57" s="28" t="s">
        <v>420</v>
      </c>
      <c r="C57" s="29" t="s">
        <v>421</v>
      </c>
    </row>
    <row r="58" spans="1:4" ht="18" x14ac:dyDescent="0.25">
      <c r="A58" s="27">
        <v>7159</v>
      </c>
      <c r="B58" s="28" t="s">
        <v>422</v>
      </c>
      <c r="C58" s="29" t="s">
        <v>423</v>
      </c>
    </row>
    <row r="59" spans="1:4" ht="18" x14ac:dyDescent="0.25">
      <c r="A59" s="27">
        <v>7160</v>
      </c>
      <c r="B59" s="28" t="s">
        <v>424</v>
      </c>
      <c r="C59" s="29" t="s">
        <v>425</v>
      </c>
    </row>
    <row r="60" spans="1:4" ht="18" x14ac:dyDescent="0.25">
      <c r="A60" s="27">
        <v>7161</v>
      </c>
      <c r="B60" s="28" t="s">
        <v>426</v>
      </c>
      <c r="C60" s="29" t="s">
        <v>427</v>
      </c>
    </row>
    <row r="61" spans="1:4" ht="18" x14ac:dyDescent="0.25">
      <c r="A61" s="27">
        <v>7162</v>
      </c>
      <c r="B61" s="30" t="s">
        <v>428</v>
      </c>
      <c r="C61" s="31" t="s">
        <v>429</v>
      </c>
      <c r="D61" s="32"/>
    </row>
    <row r="62" spans="1:4" ht="18" x14ac:dyDescent="0.25">
      <c r="A62" s="27">
        <v>7163</v>
      </c>
      <c r="B62" s="86" t="s">
        <v>430</v>
      </c>
      <c r="C62" s="29" t="s">
        <v>431</v>
      </c>
    </row>
    <row r="63" spans="1:4" ht="18" x14ac:dyDescent="0.25">
      <c r="A63" s="27">
        <v>7164</v>
      </c>
      <c r="B63" s="28" t="s">
        <v>432</v>
      </c>
      <c r="C63" s="29" t="s">
        <v>433</v>
      </c>
    </row>
    <row r="64" spans="1:4" ht="18" x14ac:dyDescent="0.25">
      <c r="A64" s="27">
        <v>7165</v>
      </c>
      <c r="B64" s="86" t="s">
        <v>434</v>
      </c>
      <c r="C64" s="31" t="s">
        <v>435</v>
      </c>
      <c r="D64" s="32"/>
    </row>
    <row r="65" spans="1:4" ht="18" x14ac:dyDescent="0.25">
      <c r="A65" s="27">
        <v>7166</v>
      </c>
      <c r="B65" s="28" t="s">
        <v>436</v>
      </c>
      <c r="C65" s="29" t="s">
        <v>437</v>
      </c>
    </row>
    <row r="66" spans="1:4" ht="18" x14ac:dyDescent="0.25">
      <c r="A66" s="27">
        <v>7167</v>
      </c>
      <c r="B66" s="28" t="s">
        <v>438</v>
      </c>
      <c r="C66" s="29" t="s">
        <v>439</v>
      </c>
    </row>
    <row r="67" spans="1:4" ht="18" x14ac:dyDescent="0.25">
      <c r="A67" s="27">
        <v>7168</v>
      </c>
      <c r="B67" s="28" t="s">
        <v>440</v>
      </c>
      <c r="C67" s="29" t="s">
        <v>441</v>
      </c>
    </row>
    <row r="68" spans="1:4" ht="18" x14ac:dyDescent="0.25">
      <c r="A68" s="27">
        <v>7169</v>
      </c>
      <c r="B68" s="28" t="s">
        <v>442</v>
      </c>
      <c r="C68" s="29" t="s">
        <v>443</v>
      </c>
    </row>
    <row r="69" spans="1:4" ht="18" x14ac:dyDescent="0.25">
      <c r="A69" s="27">
        <v>7170</v>
      </c>
      <c r="B69" s="28" t="s">
        <v>444</v>
      </c>
      <c r="C69" s="29" t="s">
        <v>445</v>
      </c>
    </row>
    <row r="70" spans="1:4" ht="18" x14ac:dyDescent="0.25">
      <c r="A70" s="27">
        <v>7171</v>
      </c>
      <c r="B70" s="28" t="s">
        <v>446</v>
      </c>
      <c r="C70" s="29" t="s">
        <v>447</v>
      </c>
    </row>
    <row r="71" spans="1:4" ht="18" x14ac:dyDescent="0.25">
      <c r="A71" s="27">
        <v>7172</v>
      </c>
      <c r="B71" s="28" t="s">
        <v>448</v>
      </c>
      <c r="C71" s="29" t="s">
        <v>449</v>
      </c>
    </row>
    <row r="72" spans="1:4" ht="18" x14ac:dyDescent="0.25">
      <c r="A72" s="27">
        <v>7173</v>
      </c>
      <c r="B72" s="28" t="s">
        <v>450</v>
      </c>
      <c r="C72" s="29" t="s">
        <v>451</v>
      </c>
    </row>
    <row r="73" spans="1:4" ht="18" x14ac:dyDescent="0.25">
      <c r="A73" s="27">
        <v>7174</v>
      </c>
      <c r="B73" s="86" t="s">
        <v>452</v>
      </c>
      <c r="C73" s="31" t="s">
        <v>453</v>
      </c>
      <c r="D73" s="32"/>
    </row>
    <row r="74" spans="1:4" ht="18" x14ac:dyDescent="0.25">
      <c r="A74" s="27">
        <v>7175</v>
      </c>
      <c r="B74" s="28" t="s">
        <v>454</v>
      </c>
      <c r="C74" s="29" t="s">
        <v>455</v>
      </c>
    </row>
    <row r="75" spans="1:4" ht="18" x14ac:dyDescent="0.25">
      <c r="A75" s="27">
        <v>7176</v>
      </c>
      <c r="B75" s="30" t="s">
        <v>456</v>
      </c>
      <c r="C75" s="31" t="s">
        <v>457</v>
      </c>
    </row>
    <row r="76" spans="1:4" ht="18" x14ac:dyDescent="0.25">
      <c r="A76" s="27">
        <v>7177</v>
      </c>
      <c r="B76" s="30" t="s">
        <v>458</v>
      </c>
      <c r="C76" s="31" t="s">
        <v>459</v>
      </c>
    </row>
    <row r="77" spans="1:4" ht="18" x14ac:dyDescent="0.25">
      <c r="A77" s="27">
        <v>7178</v>
      </c>
      <c r="B77" s="28" t="s">
        <v>460</v>
      </c>
      <c r="C77" s="29" t="s">
        <v>461</v>
      </c>
    </row>
    <row r="78" spans="1:4" ht="18" x14ac:dyDescent="0.25">
      <c r="A78" s="27">
        <v>7179</v>
      </c>
      <c r="B78" s="28" t="s">
        <v>462</v>
      </c>
      <c r="C78" s="29" t="s">
        <v>463</v>
      </c>
    </row>
    <row r="79" spans="1:4" ht="18" x14ac:dyDescent="0.25">
      <c r="A79" s="27">
        <v>7180</v>
      </c>
      <c r="B79" s="30" t="s">
        <v>464</v>
      </c>
      <c r="C79" s="31" t="s">
        <v>465</v>
      </c>
    </row>
    <row r="80" spans="1:4" ht="18" x14ac:dyDescent="0.25">
      <c r="A80" s="27">
        <v>7181</v>
      </c>
      <c r="B80" s="28" t="s">
        <v>466</v>
      </c>
      <c r="C80" s="29" t="s">
        <v>467</v>
      </c>
    </row>
    <row r="81" spans="1:4" ht="18" x14ac:dyDescent="0.25">
      <c r="A81" s="27">
        <v>7182</v>
      </c>
      <c r="B81" s="28" t="s">
        <v>468</v>
      </c>
      <c r="C81" s="29" t="s">
        <v>469</v>
      </c>
    </row>
    <row r="82" spans="1:4" ht="18" x14ac:dyDescent="0.25">
      <c r="A82" s="27">
        <v>7183</v>
      </c>
      <c r="B82" s="28" t="s">
        <v>470</v>
      </c>
      <c r="C82" s="29" t="s">
        <v>471</v>
      </c>
    </row>
    <row r="83" spans="1:4" ht="18" x14ac:dyDescent="0.25">
      <c r="A83" s="27">
        <v>7184</v>
      </c>
      <c r="B83" s="30" t="s">
        <v>472</v>
      </c>
      <c r="C83" s="31" t="s">
        <v>473</v>
      </c>
    </row>
    <row r="84" spans="1:4" ht="18" x14ac:dyDescent="0.25">
      <c r="A84" s="27">
        <v>7185</v>
      </c>
      <c r="B84" s="28" t="s">
        <v>474</v>
      </c>
      <c r="C84" s="29" t="s">
        <v>475</v>
      </c>
    </row>
    <row r="85" spans="1:4" ht="18" x14ac:dyDescent="0.25">
      <c r="A85" s="27">
        <v>7186</v>
      </c>
      <c r="B85" s="28" t="s">
        <v>476</v>
      </c>
      <c r="C85" s="29" t="s">
        <v>477</v>
      </c>
    </row>
    <row r="86" spans="1:4" ht="18" x14ac:dyDescent="0.25">
      <c r="A86" s="27">
        <v>7187</v>
      </c>
      <c r="B86" s="28" t="s">
        <v>478</v>
      </c>
      <c r="C86" s="29" t="s">
        <v>479</v>
      </c>
    </row>
    <row r="87" spans="1:4" ht="18" x14ac:dyDescent="0.25">
      <c r="A87" s="27">
        <v>7188</v>
      </c>
      <c r="B87" s="28" t="s">
        <v>480</v>
      </c>
      <c r="C87" s="29" t="s">
        <v>481</v>
      </c>
    </row>
    <row r="88" spans="1:4" ht="18" x14ac:dyDescent="0.25">
      <c r="A88" s="27">
        <v>7189</v>
      </c>
      <c r="B88" s="28" t="s">
        <v>482</v>
      </c>
      <c r="C88" s="29" t="s">
        <v>483</v>
      </c>
    </row>
    <row r="89" spans="1:4" ht="18" x14ac:dyDescent="0.25">
      <c r="A89" s="27">
        <v>7190</v>
      </c>
      <c r="B89" s="28" t="s">
        <v>484</v>
      </c>
      <c r="C89" s="29" t="s">
        <v>485</v>
      </c>
    </row>
    <row r="90" spans="1:4" ht="18" x14ac:dyDescent="0.25">
      <c r="A90" s="27">
        <v>7191</v>
      </c>
      <c r="B90" s="28" t="s">
        <v>486</v>
      </c>
      <c r="C90" s="29" t="s">
        <v>487</v>
      </c>
    </row>
    <row r="91" spans="1:4" ht="18" x14ac:dyDescent="0.25">
      <c r="A91" s="27">
        <v>7192</v>
      </c>
      <c r="B91" s="28" t="s">
        <v>488</v>
      </c>
      <c r="C91" s="29" t="s">
        <v>489</v>
      </c>
    </row>
    <row r="92" spans="1:4" ht="18" x14ac:dyDescent="0.25">
      <c r="A92" s="27">
        <v>7193</v>
      </c>
      <c r="B92" s="28" t="s">
        <v>490</v>
      </c>
      <c r="C92" s="29" t="s">
        <v>491</v>
      </c>
    </row>
    <row r="93" spans="1:4" ht="18" x14ac:dyDescent="0.25">
      <c r="A93" s="27">
        <v>7194</v>
      </c>
      <c r="B93" s="86" t="s">
        <v>492</v>
      </c>
      <c r="C93" s="31" t="s">
        <v>493</v>
      </c>
    </row>
    <row r="94" spans="1:4" ht="18" x14ac:dyDescent="0.25">
      <c r="A94" s="27">
        <v>7195</v>
      </c>
      <c r="B94" s="86" t="s">
        <v>494</v>
      </c>
      <c r="C94" s="31" t="s">
        <v>495</v>
      </c>
    </row>
    <row r="95" spans="1:4" ht="18" x14ac:dyDescent="0.25">
      <c r="A95" s="27">
        <v>7196</v>
      </c>
      <c r="B95" s="28" t="s">
        <v>496</v>
      </c>
      <c r="C95" s="29" t="s">
        <v>497</v>
      </c>
    </row>
    <row r="96" spans="1:4" ht="18" x14ac:dyDescent="0.25">
      <c r="A96" s="27">
        <v>7197</v>
      </c>
      <c r="B96" s="86" t="s">
        <v>498</v>
      </c>
      <c r="C96" s="31" t="s">
        <v>499</v>
      </c>
      <c r="D96" s="32"/>
    </row>
    <row r="97" spans="1:4" ht="18" x14ac:dyDescent="0.25">
      <c r="A97" s="27">
        <v>7198</v>
      </c>
      <c r="B97" s="28" t="s">
        <v>500</v>
      </c>
      <c r="C97" s="29" t="s">
        <v>501</v>
      </c>
    </row>
    <row r="98" spans="1:4" ht="18" x14ac:dyDescent="0.25">
      <c r="A98" s="27">
        <v>7199</v>
      </c>
      <c r="B98" s="86" t="s">
        <v>502</v>
      </c>
      <c r="C98" s="31" t="s">
        <v>503</v>
      </c>
      <c r="D98" s="32"/>
    </row>
    <row r="99" spans="1:4" s="33" customFormat="1" ht="24.95" customHeight="1" x14ac:dyDescent="0.25">
      <c r="A99" s="27">
        <v>7200</v>
      </c>
      <c r="B99" s="86" t="s">
        <v>504</v>
      </c>
      <c r="C99" s="31" t="s">
        <v>505</v>
      </c>
    </row>
    <row r="100" spans="1:4" ht="18" x14ac:dyDescent="0.25">
      <c r="A100" s="27">
        <v>7201</v>
      </c>
      <c r="B100" s="28" t="s">
        <v>506</v>
      </c>
      <c r="C100" s="29" t="s">
        <v>507</v>
      </c>
    </row>
    <row r="101" spans="1:4" ht="18" x14ac:dyDescent="0.25">
      <c r="A101" s="27">
        <v>7202</v>
      </c>
      <c r="B101" s="28" t="s">
        <v>508</v>
      </c>
      <c r="C101" s="29" t="s">
        <v>509</v>
      </c>
    </row>
    <row r="102" spans="1:4" ht="18" x14ac:dyDescent="0.25">
      <c r="A102" s="27">
        <v>7203</v>
      </c>
      <c r="B102" s="86" t="s">
        <v>510</v>
      </c>
      <c r="C102" s="31" t="s">
        <v>511</v>
      </c>
      <c r="D102" s="32"/>
    </row>
    <row r="103" spans="1:4" ht="18" x14ac:dyDescent="0.25">
      <c r="A103" s="27">
        <v>9096</v>
      </c>
      <c r="B103" s="86" t="s">
        <v>512</v>
      </c>
      <c r="C103" s="31" t="s">
        <v>513</v>
      </c>
      <c r="D103" s="32"/>
    </row>
    <row r="104" spans="1:4" ht="18" x14ac:dyDescent="0.25">
      <c r="A104" s="27">
        <v>61655</v>
      </c>
      <c r="B104" s="28" t="s">
        <v>514</v>
      </c>
      <c r="C104" s="29" t="s">
        <v>515</v>
      </c>
    </row>
    <row r="105" spans="1:4" ht="18" x14ac:dyDescent="0.25">
      <c r="A105" s="34"/>
      <c r="B105" s="86" t="s">
        <v>516</v>
      </c>
      <c r="C105" s="31" t="s">
        <v>517</v>
      </c>
      <c r="D105" s="32"/>
    </row>
    <row r="106" spans="1:4" ht="18" x14ac:dyDescent="0.25">
      <c r="A106" s="34"/>
      <c r="B106" s="86" t="s">
        <v>518</v>
      </c>
      <c r="C106" s="31" t="s">
        <v>519</v>
      </c>
      <c r="D106" s="32"/>
    </row>
    <row r="107" spans="1:4" ht="18" x14ac:dyDescent="0.25">
      <c r="A107" s="34"/>
      <c r="B107" s="86" t="s">
        <v>520</v>
      </c>
      <c r="C107" s="31" t="s">
        <v>521</v>
      </c>
      <c r="D107" s="32"/>
    </row>
    <row r="108" spans="1:4" ht="18" x14ac:dyDescent="0.25">
      <c r="A108" s="34"/>
      <c r="B108" s="86" t="s">
        <v>522</v>
      </c>
      <c r="C108" s="31" t="s">
        <v>523</v>
      </c>
      <c r="D108" s="32"/>
    </row>
    <row r="109" spans="1:4" ht="18" x14ac:dyDescent="0.25">
      <c r="A109" s="34"/>
      <c r="B109" s="86" t="s">
        <v>524</v>
      </c>
      <c r="C109" s="31" t="s">
        <v>525</v>
      </c>
    </row>
    <row r="110" spans="1:4" ht="18" x14ac:dyDescent="0.25">
      <c r="A110" s="34"/>
      <c r="B110" s="86" t="s">
        <v>526</v>
      </c>
      <c r="C110" s="31" t="s">
        <v>527</v>
      </c>
    </row>
    <row r="111" spans="1:4" ht="18" x14ac:dyDescent="0.25">
      <c r="A111" s="34"/>
      <c r="B111" s="30" t="s">
        <v>360</v>
      </c>
      <c r="C111" s="31" t="s">
        <v>361</v>
      </c>
    </row>
    <row r="112" spans="1:4" ht="18.75" thickBot="1" x14ac:dyDescent="0.3">
      <c r="A112" s="35"/>
      <c r="B112" s="87" t="s">
        <v>528</v>
      </c>
      <c r="C112" s="37" t="s">
        <v>529</v>
      </c>
      <c r="D112" s="32"/>
    </row>
    <row r="113" spans="2:4" ht="18.75" thickBot="1" x14ac:dyDescent="0.3">
      <c r="B113" s="36" t="s">
        <v>530</v>
      </c>
      <c r="C113" s="36" t="s">
        <v>531</v>
      </c>
    </row>
    <row r="114" spans="2:4" ht="18.75" thickBot="1" x14ac:dyDescent="0.3">
      <c r="B114" s="36" t="s">
        <v>532</v>
      </c>
      <c r="C114" s="36" t="s">
        <v>533</v>
      </c>
      <c r="D114" s="38"/>
    </row>
    <row r="115" spans="2:4" ht="18.75" thickBot="1" x14ac:dyDescent="0.3">
      <c r="B115" s="36" t="s">
        <v>398</v>
      </c>
      <c r="C115" s="36" t="s">
        <v>399</v>
      </c>
    </row>
    <row r="116" spans="2:4" ht="18" x14ac:dyDescent="0.25">
      <c r="B116" s="30" t="s">
        <v>534</v>
      </c>
      <c r="C116" s="31" t="s">
        <v>535</v>
      </c>
      <c r="D116" s="32"/>
    </row>
    <row r="117" spans="2:4" ht="18.75" thickBot="1" x14ac:dyDescent="0.3">
      <c r="B117" s="36" t="s">
        <v>536</v>
      </c>
      <c r="C117" s="37" t="s">
        <v>537</v>
      </c>
      <c r="D117" s="32"/>
    </row>
    <row r="118" spans="2:4" ht="18" x14ac:dyDescent="0.25">
      <c r="B118" s="86" t="s">
        <v>538</v>
      </c>
      <c r="C118" s="31" t="s">
        <v>539</v>
      </c>
      <c r="D118" s="32"/>
    </row>
    <row r="119" spans="2:4" ht="18" x14ac:dyDescent="0.25">
      <c r="B119" s="30" t="s">
        <v>540</v>
      </c>
      <c r="C119" s="31" t="s">
        <v>541</v>
      </c>
    </row>
    <row r="120" spans="2:4" ht="18" x14ac:dyDescent="0.25">
      <c r="B120" s="86" t="s">
        <v>542</v>
      </c>
      <c r="C120" s="31" t="s">
        <v>543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4" sqref="B4"/>
    </sheetView>
  </sheetViews>
  <sheetFormatPr defaultRowHeight="15" x14ac:dyDescent="0.25"/>
  <cols>
    <col min="2" max="2" width="39.140625" customWidth="1"/>
    <col min="3" max="3" width="45.42578125" customWidth="1"/>
  </cols>
  <sheetData>
    <row r="1" spans="1:6" ht="26.25" thickBot="1" x14ac:dyDescent="0.3">
      <c r="A1" s="80" t="s">
        <v>574</v>
      </c>
      <c r="B1" s="85" t="s">
        <v>310</v>
      </c>
      <c r="C1" s="85" t="s">
        <v>575</v>
      </c>
      <c r="D1" s="85" t="s">
        <v>7</v>
      </c>
      <c r="E1" s="81" t="s">
        <v>576</v>
      </c>
      <c r="F1" s="81" t="s">
        <v>577</v>
      </c>
    </row>
    <row r="2" spans="1:6" ht="15.75" thickBot="1" x14ac:dyDescent="0.3">
      <c r="A2" s="82">
        <v>1</v>
      </c>
      <c r="B2" s="84" t="s">
        <v>573</v>
      </c>
      <c r="C2" s="84" t="s">
        <v>578</v>
      </c>
      <c r="D2" s="84" t="s">
        <v>14</v>
      </c>
      <c r="E2" s="84" t="s">
        <v>561</v>
      </c>
      <c r="F2" s="84">
        <v>120.5</v>
      </c>
    </row>
    <row r="3" spans="1:6" ht="15.75" thickBot="1" x14ac:dyDescent="0.3">
      <c r="A3" s="82">
        <v>2</v>
      </c>
      <c r="B3" s="84" t="s">
        <v>563</v>
      </c>
      <c r="C3" s="84" t="s">
        <v>579</v>
      </c>
      <c r="D3" s="84" t="s">
        <v>14</v>
      </c>
      <c r="E3" s="84" t="s">
        <v>561</v>
      </c>
      <c r="F3" s="84">
        <v>120.5</v>
      </c>
    </row>
    <row r="4" spans="1:6" ht="15.75" thickBot="1" x14ac:dyDescent="0.3">
      <c r="A4" s="82">
        <v>1</v>
      </c>
      <c r="B4" s="83" t="s">
        <v>568</v>
      </c>
      <c r="C4" s="83" t="s">
        <v>583</v>
      </c>
      <c r="D4" s="84" t="s">
        <v>14</v>
      </c>
      <c r="E4" s="84" t="s">
        <v>561</v>
      </c>
      <c r="F4" s="84">
        <v>120.5</v>
      </c>
    </row>
    <row r="5" spans="1:6" ht="15.75" thickBot="1" x14ac:dyDescent="0.3">
      <c r="A5" s="82">
        <v>3</v>
      </c>
      <c r="B5" s="84" t="s">
        <v>564</v>
      </c>
      <c r="C5" s="84" t="s">
        <v>580</v>
      </c>
      <c r="D5" s="84" t="s">
        <v>14</v>
      </c>
      <c r="E5" s="84" t="s">
        <v>561</v>
      </c>
      <c r="F5" s="84">
        <v>120.5</v>
      </c>
    </row>
    <row r="6" spans="1:6" ht="15.75" thickBot="1" x14ac:dyDescent="0.3">
      <c r="A6" s="82">
        <v>4</v>
      </c>
      <c r="B6" s="84" t="s">
        <v>565</v>
      </c>
      <c r="C6" s="84" t="s">
        <v>581</v>
      </c>
      <c r="D6" s="84" t="s">
        <v>14</v>
      </c>
      <c r="E6" s="84" t="s">
        <v>561</v>
      </c>
      <c r="F6" s="84">
        <v>120.5</v>
      </c>
    </row>
    <row r="7" spans="1:6" ht="15.75" thickBot="1" x14ac:dyDescent="0.3">
      <c r="A7" s="82">
        <v>2</v>
      </c>
      <c r="B7" s="83" t="s">
        <v>569</v>
      </c>
      <c r="C7" s="83" t="s">
        <v>584</v>
      </c>
      <c r="D7" s="84" t="s">
        <v>14</v>
      </c>
      <c r="E7" s="84" t="s">
        <v>561</v>
      </c>
      <c r="F7" s="84">
        <v>120.5</v>
      </c>
    </row>
    <row r="8" spans="1:6" ht="15.75" thickBot="1" x14ac:dyDescent="0.3">
      <c r="A8" s="82">
        <v>5</v>
      </c>
      <c r="B8" s="84" t="s">
        <v>572</v>
      </c>
      <c r="C8" s="84" t="s">
        <v>582</v>
      </c>
      <c r="D8" s="84" t="s">
        <v>14</v>
      </c>
      <c r="E8" s="84" t="s">
        <v>561</v>
      </c>
      <c r="F8" s="84">
        <v>120.5</v>
      </c>
    </row>
    <row r="9" spans="1:6" ht="15.75" thickBot="1" x14ac:dyDescent="0.3">
      <c r="A9" s="82">
        <v>6</v>
      </c>
      <c r="B9" s="84" t="s">
        <v>559</v>
      </c>
      <c r="C9" s="84" t="s">
        <v>560</v>
      </c>
      <c r="D9" s="84" t="s">
        <v>14</v>
      </c>
      <c r="E9" s="84" t="s">
        <v>561</v>
      </c>
      <c r="F9" s="84">
        <v>120.5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7" zoomScaleNormal="100" workbookViewId="0">
      <selection activeCell="E17" sqref="E17"/>
    </sheetView>
  </sheetViews>
  <sheetFormatPr defaultRowHeight="18.75" x14ac:dyDescent="0.3"/>
  <cols>
    <col min="1" max="1" width="10.28515625" style="42" customWidth="1"/>
    <col min="2" max="2" width="18.42578125" style="42" customWidth="1"/>
    <col min="3" max="3" width="67.85546875" style="42" customWidth="1"/>
    <col min="4" max="4" width="10.28515625" style="42" customWidth="1"/>
    <col min="5" max="5" width="15" style="42" customWidth="1"/>
  </cols>
  <sheetData>
    <row r="1" spans="1:6" ht="27" customHeight="1" thickBot="1" x14ac:dyDescent="0.35">
      <c r="A1" s="43" t="s">
        <v>3</v>
      </c>
      <c r="B1" s="44" t="s">
        <v>4</v>
      </c>
      <c r="C1" s="44" t="s">
        <v>5</v>
      </c>
      <c r="D1" s="44" t="s">
        <v>7</v>
      </c>
      <c r="E1" s="45" t="s">
        <v>544</v>
      </c>
      <c r="F1" s="42" t="s">
        <v>585</v>
      </c>
    </row>
    <row r="2" spans="1:6" ht="24.95" customHeight="1" x14ac:dyDescent="0.3">
      <c r="A2" s="46">
        <v>1</v>
      </c>
      <c r="B2" s="79">
        <v>1.4</v>
      </c>
      <c r="C2" s="50" t="str">
        <f>IFERROR(VLOOKUP(B2,'STORE  CODE'!$B:$C,2,0),"")</f>
        <v>RML-STW-1.4MM</v>
      </c>
      <c r="D2" s="39" t="str">
        <f>IFERROR(VLOOKUP(B2,'STORE  CODE'!$B:$E,4,0),"")</f>
        <v>KGS</v>
      </c>
      <c r="E2" s="47">
        <v>1000</v>
      </c>
      <c r="F2" s="42"/>
    </row>
    <row r="3" spans="1:6" ht="24.95" customHeight="1" x14ac:dyDescent="0.3">
      <c r="A3" s="48">
        <v>2</v>
      </c>
      <c r="B3" s="77">
        <v>1.8</v>
      </c>
      <c r="C3" s="50" t="str">
        <f>IFERROR(VLOOKUP(B3,'STORE  CODE'!$B:$C,2,0),"")</f>
        <v>RML-STW-1.8MM</v>
      </c>
      <c r="D3" s="39" t="str">
        <f>IFERROR(VLOOKUP(B3,'STORE  CODE'!$B:$E,4,0),"")</f>
        <v>KGS</v>
      </c>
      <c r="E3" s="47">
        <v>20000</v>
      </c>
      <c r="F3" s="42"/>
    </row>
    <row r="4" spans="1:6" ht="24.95" customHeight="1" x14ac:dyDescent="0.3">
      <c r="A4" s="46">
        <v>3</v>
      </c>
      <c r="B4" s="77">
        <v>2.2000000000000002</v>
      </c>
      <c r="C4" s="50" t="str">
        <f>IFERROR(VLOOKUP(B4,'STORE  CODE'!$B:$C,2,0),"")</f>
        <v>RML-STW-2.2MM</v>
      </c>
      <c r="D4" s="39" t="str">
        <f>IFERROR(VLOOKUP(B4,'STORE  CODE'!$B:$E,4,0),"")</f>
        <v>KGS</v>
      </c>
      <c r="E4" s="47">
        <v>12600</v>
      </c>
      <c r="F4" s="42"/>
    </row>
    <row r="5" spans="1:6" ht="24.95" customHeight="1" x14ac:dyDescent="0.3">
      <c r="A5" s="48">
        <v>4</v>
      </c>
      <c r="B5" s="77">
        <v>4</v>
      </c>
      <c r="C5" s="50" t="str">
        <f>IFERROR(VLOOKUP(B5,'STORE  CODE'!$B:$C,2,0),"")</f>
        <v>RML-STW-4.0MM</v>
      </c>
      <c r="D5" s="39" t="str">
        <f>IFERROR(VLOOKUP(B5,'STORE  CODE'!$B:$E,4,0),"")</f>
        <v>KGS</v>
      </c>
      <c r="E5" s="47">
        <v>500</v>
      </c>
      <c r="F5" s="42"/>
    </row>
    <row r="6" spans="1:6" ht="24.95" customHeight="1" x14ac:dyDescent="0.3">
      <c r="A6" s="46">
        <v>5</v>
      </c>
      <c r="B6" s="77" t="s">
        <v>277</v>
      </c>
      <c r="C6" s="50" t="str">
        <f>IFERROR(VLOOKUP(B6,'STORE  CODE'!$B:$C,2,0),"")</f>
        <v>RML-EPE-1345MMX105MMX25MM</v>
      </c>
      <c r="D6" s="39" t="str">
        <f>IFERROR(VLOOKUP(B6,'STORE  CODE'!$B:$E,4,0),"")</f>
        <v>Nos</v>
      </c>
      <c r="E6" s="47">
        <v>100</v>
      </c>
      <c r="F6" s="42"/>
    </row>
    <row r="7" spans="1:6" ht="24.95" customHeight="1" x14ac:dyDescent="0.3">
      <c r="A7" s="48">
        <v>6</v>
      </c>
      <c r="B7" s="77" t="s">
        <v>280</v>
      </c>
      <c r="C7" s="50" t="str">
        <f>IFERROR(VLOOKUP(B7,'STORE  CODE'!$B:$C,2,0),"")</f>
        <v>RML-EPE-1650MMX105MMX25MM</v>
      </c>
      <c r="D7" s="39" t="str">
        <f>IFERROR(VLOOKUP(B7,'STORE  CODE'!$B:$E,4,0),"")</f>
        <v>Nos</v>
      </c>
      <c r="E7" s="47">
        <v>100</v>
      </c>
      <c r="F7" s="42"/>
    </row>
    <row r="8" spans="1:6" ht="24.95" customHeight="1" x14ac:dyDescent="0.3">
      <c r="A8" s="46">
        <v>7</v>
      </c>
      <c r="B8" s="77" t="s">
        <v>286</v>
      </c>
      <c r="C8" s="50" t="str">
        <f>IFERROR(VLOOKUP(B8,'STORE  CODE'!$B:$C,2,0),"")</f>
        <v>RML-EPE-1345MMX125MMX25MM</v>
      </c>
      <c r="D8" s="39" t="str">
        <f>IFERROR(VLOOKUP(B8,'STORE  CODE'!$B:$E,4,0),"")</f>
        <v>Nos</v>
      </c>
      <c r="E8" s="47">
        <v>300</v>
      </c>
      <c r="F8" s="42"/>
    </row>
    <row r="9" spans="1:6" ht="24.95" customHeight="1" x14ac:dyDescent="0.3">
      <c r="A9" s="48">
        <v>8</v>
      </c>
      <c r="B9" s="77" t="s">
        <v>289</v>
      </c>
      <c r="C9" s="50" t="str">
        <f>IFERROR(VLOOKUP(B9,'STORE  CODE'!$B:$C,2,0),"")</f>
        <v>RML-EPE-1650MMX125MMX25MM</v>
      </c>
      <c r="D9" s="39" t="str">
        <f>IFERROR(VLOOKUP(B9,'STORE  CODE'!$B:$E,4,0),"")</f>
        <v>Nos</v>
      </c>
      <c r="E9" s="47">
        <v>100</v>
      </c>
      <c r="F9" s="42"/>
    </row>
    <row r="10" spans="1:6" ht="24.95" customHeight="1" x14ac:dyDescent="0.3">
      <c r="A10" s="46">
        <v>9</v>
      </c>
      <c r="B10" s="77">
        <v>85</v>
      </c>
      <c r="C10" s="50" t="str">
        <f>IFERROR(VLOOKUP(B10,'STORE  CODE'!$B:$C,2,0),"")</f>
        <v>RML-CL85</v>
      </c>
      <c r="D10" s="39" t="str">
        <f>IFERROR(VLOOKUP(B10,'STORE  CODE'!$B:$E,4,0),"")</f>
        <v>BOX</v>
      </c>
      <c r="E10" s="47">
        <v>15</v>
      </c>
      <c r="F10" s="42"/>
    </row>
    <row r="11" spans="1:6" ht="24.95" customHeight="1" x14ac:dyDescent="0.3">
      <c r="A11" s="48">
        <v>10</v>
      </c>
      <c r="B11" s="77">
        <v>24</v>
      </c>
      <c r="C11" s="50" t="str">
        <f>IFERROR(VLOOKUP(B11,'STORE  CODE'!$B:$C,2,0),"")</f>
        <v>RML-HR24</v>
      </c>
      <c r="D11" s="39" t="str">
        <f>IFERROR(VLOOKUP(B11,'STORE  CODE'!$B:$E,4,0),"")</f>
        <v>BOX</v>
      </c>
      <c r="E11" s="47">
        <v>8</v>
      </c>
      <c r="F11" s="42"/>
    </row>
    <row r="12" spans="1:6" ht="24.95" customHeight="1" x14ac:dyDescent="0.3">
      <c r="A12" s="46">
        <v>11</v>
      </c>
      <c r="B12" s="77" t="s">
        <v>46</v>
      </c>
      <c r="C12" s="50" t="str">
        <f>IFERROR(VLOOKUP(B12,'STORE  CODE'!$B:$C,2,0),"")</f>
        <v>RMI-HGLUE</v>
      </c>
      <c r="D12" s="39" t="str">
        <f>IFERROR(VLOOKUP(B12,'STORE  CODE'!$B:$E,4,0),"")</f>
        <v>KGS</v>
      </c>
      <c r="E12" s="47">
        <v>400</v>
      </c>
      <c r="F12" s="42"/>
    </row>
    <row r="13" spans="1:6" ht="24.95" customHeight="1" x14ac:dyDescent="0.3">
      <c r="A13" s="48">
        <v>12</v>
      </c>
      <c r="B13" s="77" t="s">
        <v>41</v>
      </c>
      <c r="C13" s="50" t="str">
        <f>IFERROR(VLOOKUP(B13,'STORE  CODE'!$B:$C,2,0),"")</f>
        <v>RML-POLY-GUM</v>
      </c>
      <c r="D13" s="39" t="str">
        <f>IFERROR(VLOOKUP(B13,'STORE  CODE'!$B:$E,4,0),"")</f>
        <v>LTR</v>
      </c>
      <c r="E13" s="47">
        <v>400</v>
      </c>
      <c r="F13" s="42"/>
    </row>
    <row r="14" spans="1:6" ht="24.95" customHeight="1" x14ac:dyDescent="0.3">
      <c r="A14" s="46">
        <v>13</v>
      </c>
      <c r="B14" s="77">
        <v>79</v>
      </c>
      <c r="C14" s="50" t="str">
        <f>IFERROR(VLOOKUP(B14,'STORE  CODE'!$B:$C,2,0),"")</f>
        <v>RML-NWN-70GSMX79"</v>
      </c>
      <c r="D14" s="39" t="str">
        <f>IFERROR(VLOOKUP(B14,'STORE  CODE'!$B:$E,4,0),"")</f>
        <v>KGS</v>
      </c>
      <c r="E14" s="47">
        <v>240</v>
      </c>
      <c r="F14" s="42">
        <v>80</v>
      </c>
    </row>
    <row r="15" spans="1:6" ht="24.95" customHeight="1" x14ac:dyDescent="0.3">
      <c r="A15" s="48">
        <v>14</v>
      </c>
      <c r="B15" s="77">
        <v>43</v>
      </c>
      <c r="C15" s="50" t="str">
        <f>IFERROR(VLOOKUP(B15,'STORE  CODE'!$B:$C,2,0),"")</f>
        <v>RM-NWN-POS-43CMX70GSM</v>
      </c>
      <c r="D15" s="39" t="str">
        <f>IFERROR(VLOOKUP(B15,'STORE  CODE'!$B:$E,4,0),"")</f>
        <v>KGS</v>
      </c>
      <c r="E15" s="47">
        <v>200</v>
      </c>
      <c r="F15" s="42">
        <v>1000</v>
      </c>
    </row>
    <row r="16" spans="1:6" ht="24.95" customHeight="1" x14ac:dyDescent="0.3">
      <c r="A16" s="46">
        <v>15</v>
      </c>
      <c r="B16" s="77" t="s">
        <v>566</v>
      </c>
      <c r="C16" s="50" t="str">
        <f>IFERROR(VLOOKUP(B16,'STORE  CODE'!$B:$C,2,0),"")</f>
        <v>RM-NWN-POS-48CMX70GSM-GRN</v>
      </c>
      <c r="D16" s="39" t="str">
        <f>IFERROR(VLOOKUP(B16,'STORE  CODE'!$B:$E,4,0),"")</f>
        <v>KGS</v>
      </c>
      <c r="E16" s="47"/>
      <c r="F16" s="42">
        <v>500</v>
      </c>
    </row>
    <row r="17" spans="1:6" ht="24.95" customHeight="1" x14ac:dyDescent="0.3">
      <c r="A17" s="48">
        <v>16</v>
      </c>
      <c r="B17" s="77">
        <v>38</v>
      </c>
      <c r="C17" s="50" t="str">
        <f>IFERROR(VLOOKUP(B17,'STORE  CODE'!$B:$C,2,0),"")</f>
        <v>RM-NWN-POS-38CMX70GSM</v>
      </c>
      <c r="D17" s="39" t="str">
        <f>IFERROR(VLOOKUP(B17,'STORE  CODE'!$B:$E,4,0),"")</f>
        <v>KGS</v>
      </c>
      <c r="E17" s="47"/>
      <c r="F17" s="42"/>
    </row>
    <row r="18" spans="1:6" ht="24.95" customHeight="1" x14ac:dyDescent="0.3">
      <c r="A18" s="46">
        <v>17</v>
      </c>
      <c r="B18" s="77"/>
      <c r="C18" s="50" t="str">
        <f>IFERROR(VLOOKUP(B18,'STORE  CODE'!$B:$C,2,0),"")</f>
        <v/>
      </c>
      <c r="D18" s="39" t="str">
        <f>IFERROR(VLOOKUP(B18,'STORE  CODE'!$B:$E,4,0),"")</f>
        <v/>
      </c>
      <c r="E18" s="47"/>
      <c r="F18" s="42"/>
    </row>
    <row r="19" spans="1:6" ht="24.95" customHeight="1" x14ac:dyDescent="0.3">
      <c r="A19" s="48">
        <v>18</v>
      </c>
      <c r="B19" s="77"/>
      <c r="C19" s="50" t="str">
        <f>IFERROR(VLOOKUP(B19,'STORE  CODE'!$B:$C,2,0),"")</f>
        <v/>
      </c>
      <c r="D19" s="39" t="str">
        <f>IFERROR(VLOOKUP(B19,'STORE  CODE'!$B:$E,4,0),"")</f>
        <v/>
      </c>
      <c r="E19" s="47"/>
      <c r="F19" s="42"/>
    </row>
    <row r="20" spans="1:6" ht="24.95" customHeight="1" x14ac:dyDescent="0.3">
      <c r="A20" s="46">
        <v>19</v>
      </c>
      <c r="B20" s="77"/>
      <c r="C20" s="50" t="str">
        <f>IFERROR(VLOOKUP(B20,'STORE  CODE'!$B:$C,2,0),"")</f>
        <v/>
      </c>
      <c r="D20" s="39" t="str">
        <f>IFERROR(VLOOKUP(B20,'STORE  CODE'!$B:$E,4,0),"")</f>
        <v/>
      </c>
      <c r="E20" s="47"/>
      <c r="F20" s="42"/>
    </row>
    <row r="21" spans="1:6" ht="24.95" customHeight="1" x14ac:dyDescent="0.3">
      <c r="A21" s="48">
        <v>20</v>
      </c>
      <c r="B21" s="77"/>
      <c r="C21" s="50" t="str">
        <f>IFERROR(VLOOKUP(B21,'STORE  CODE'!$B:$C,2,0),"")</f>
        <v/>
      </c>
      <c r="D21" s="39" t="str">
        <f>IFERROR(VLOOKUP(B21,'STORE  CODE'!$B:$E,4,0),"")</f>
        <v/>
      </c>
      <c r="E21" s="47"/>
      <c r="F21" s="42"/>
    </row>
    <row r="22" spans="1:6" ht="24.95" customHeight="1" x14ac:dyDescent="0.3">
      <c r="A22" s="46">
        <v>21</v>
      </c>
      <c r="B22" s="77"/>
      <c r="C22" s="50" t="str">
        <f>IFERROR(VLOOKUP(B22,'STORE  CODE'!$B:$C,2,0),"")</f>
        <v/>
      </c>
      <c r="D22" s="39" t="str">
        <f>IFERROR(VLOOKUP(B22,'STORE  CODE'!$B:$E,4,0),"")</f>
        <v/>
      </c>
      <c r="E22" s="47"/>
      <c r="F22" s="42"/>
    </row>
    <row r="23" spans="1:6" ht="24.95" customHeight="1" x14ac:dyDescent="0.3">
      <c r="A23" s="48">
        <v>22</v>
      </c>
      <c r="B23" s="77"/>
      <c r="C23" s="50" t="str">
        <f>IFERROR(VLOOKUP(B23,'STORE  CODE'!$B:$C,2,0),"")</f>
        <v/>
      </c>
      <c r="D23" s="39" t="str">
        <f>IFERROR(VLOOKUP(B23,'STORE  CODE'!$B:$E,4,0),"")</f>
        <v/>
      </c>
      <c r="E23" s="47"/>
      <c r="F23" s="42"/>
    </row>
    <row r="24" spans="1:6" ht="24.95" customHeight="1" x14ac:dyDescent="0.3">
      <c r="A24" s="46">
        <v>23</v>
      </c>
      <c r="B24" s="40"/>
      <c r="C24" s="50" t="str">
        <f>IFERROR(VLOOKUP(B24,'STORE  CODE'!$B:$C,2,0),"")</f>
        <v/>
      </c>
      <c r="D24" s="39" t="str">
        <f>IFERROR(VLOOKUP(B24,'STORE  CODE'!$B:$E,4,0),"")</f>
        <v/>
      </c>
      <c r="E24" s="47"/>
      <c r="F24" s="42"/>
    </row>
    <row r="25" spans="1:6" ht="24.95" customHeight="1" x14ac:dyDescent="0.3">
      <c r="A25" s="48">
        <v>24</v>
      </c>
      <c r="B25" s="77"/>
      <c r="C25" s="50" t="str">
        <f>IFERROR(VLOOKUP(B25,'STORE  CODE'!$B:$C,2,0),"")</f>
        <v/>
      </c>
      <c r="D25" s="39" t="str">
        <f>IFERROR(VLOOKUP(B25,'STORE  CODE'!$B:$E,4,0),"")</f>
        <v/>
      </c>
      <c r="E25" s="47"/>
      <c r="F25" s="42"/>
    </row>
    <row r="26" spans="1:6" ht="24.95" customHeight="1" x14ac:dyDescent="0.3">
      <c r="A26" s="46">
        <v>25</v>
      </c>
      <c r="B26" s="40"/>
      <c r="C26" s="50" t="str">
        <f>IFERROR(VLOOKUP(B26,'STORE  CODE'!$B:$C,2,0),"")</f>
        <v/>
      </c>
      <c r="D26" s="39" t="str">
        <f>IFERROR(VLOOKUP(B26,'STORE  CODE'!$B:$E,4,0),"")</f>
        <v/>
      </c>
      <c r="E26" s="47"/>
      <c r="F26" s="42"/>
    </row>
    <row r="27" spans="1:6" ht="24.95" customHeight="1" x14ac:dyDescent="0.3">
      <c r="A27" s="48">
        <v>26</v>
      </c>
      <c r="B27" s="40"/>
      <c r="C27" s="50" t="str">
        <f>IFERROR(VLOOKUP(B27,'STORE  CODE'!$B:$C,2,0),"")</f>
        <v/>
      </c>
      <c r="D27" s="39" t="str">
        <f>IFERROR(VLOOKUP(B27,'STORE  CODE'!$B:$E,4,0),"")</f>
        <v/>
      </c>
      <c r="E27" s="47"/>
      <c r="F27" s="42"/>
    </row>
    <row r="28" spans="1:6" ht="24.95" customHeight="1" x14ac:dyDescent="0.3">
      <c r="A28" s="46">
        <v>27</v>
      </c>
      <c r="B28" s="77"/>
      <c r="C28" s="50" t="str">
        <f>IFERROR(VLOOKUP(B28,'STORE  CODE'!$B:$C,2,0),"")</f>
        <v/>
      </c>
      <c r="D28" s="39" t="str">
        <f>IFERROR(VLOOKUP(B28,'STORE  CODE'!$B:$E,4,0),"")</f>
        <v/>
      </c>
      <c r="E28" s="47"/>
      <c r="F28" s="42"/>
    </row>
    <row r="29" spans="1:6" ht="24.95" customHeight="1" x14ac:dyDescent="0.3">
      <c r="A29" s="48">
        <v>28</v>
      </c>
      <c r="B29" s="77"/>
      <c r="C29" s="50" t="str">
        <f>IFERROR(VLOOKUP(B29,'STORE  CODE'!$B:$C,2,0),"")</f>
        <v/>
      </c>
      <c r="D29" s="39" t="str">
        <f>IFERROR(VLOOKUP(B29,'STORE  CODE'!$B:$E,4,0),"")</f>
        <v/>
      </c>
      <c r="E29" s="47"/>
      <c r="F29" s="42"/>
    </row>
    <row r="30" spans="1:6" ht="24.95" customHeight="1" x14ac:dyDescent="0.3">
      <c r="A30" s="46">
        <v>29</v>
      </c>
      <c r="B30" s="77"/>
      <c r="C30" s="50" t="str">
        <f>IFERROR(VLOOKUP(B30,'STORE  CODE'!$B:$C,2,0),"")</f>
        <v/>
      </c>
      <c r="D30" s="39" t="str">
        <f>IFERROR(VLOOKUP(B30,'STORE  CODE'!$B:$E,4,0),"")</f>
        <v/>
      </c>
      <c r="E30" s="47"/>
      <c r="F30" s="42"/>
    </row>
    <row r="31" spans="1:6" ht="24.95" customHeight="1" x14ac:dyDescent="0.3">
      <c r="A31" s="48">
        <v>30</v>
      </c>
      <c r="B31" s="77"/>
      <c r="C31" s="50" t="str">
        <f>IFERROR(VLOOKUP(B31,'STORE  CODE'!$B:$C,2,0),"")</f>
        <v/>
      </c>
      <c r="D31" s="39" t="str">
        <f>IFERROR(VLOOKUP(B31,'STORE  CODE'!$B:$E,4,0),"")</f>
        <v/>
      </c>
      <c r="E31" s="47"/>
      <c r="F31" s="42"/>
    </row>
    <row r="32" spans="1:6" ht="24.95" customHeight="1" x14ac:dyDescent="0.3">
      <c r="A32" s="46">
        <v>31</v>
      </c>
      <c r="B32" s="77"/>
      <c r="C32" s="50" t="str">
        <f>IFERROR(VLOOKUP(B32,'STORE  CODE'!$B:$C,2,0),"")</f>
        <v/>
      </c>
      <c r="D32" s="39" t="str">
        <f>IFERROR(VLOOKUP(B32,'STORE  CODE'!$B:$E,4,0),"")</f>
        <v/>
      </c>
      <c r="E32" s="47"/>
      <c r="F32" s="42"/>
    </row>
    <row r="33" spans="1:6" ht="24.95" customHeight="1" x14ac:dyDescent="0.3">
      <c r="A33" s="48">
        <v>32</v>
      </c>
      <c r="B33" s="77"/>
      <c r="C33" s="50" t="str">
        <f>IFERROR(VLOOKUP(B33,'STORE  CODE'!$B:$C,2,0),"")</f>
        <v/>
      </c>
      <c r="D33" s="39" t="str">
        <f>IFERROR(VLOOKUP(B33,'STORE  CODE'!$B:$E,4,0),"")</f>
        <v/>
      </c>
      <c r="E33" s="47"/>
      <c r="F33" s="42"/>
    </row>
    <row r="34" spans="1:6" ht="24.95" customHeight="1" x14ac:dyDescent="0.3">
      <c r="A34" s="46">
        <v>33</v>
      </c>
      <c r="B34" s="40"/>
      <c r="C34" s="50" t="str">
        <f>IFERROR(VLOOKUP(B34,'STORE  CODE'!$B:$C,2,0),"")</f>
        <v/>
      </c>
      <c r="D34" s="39" t="str">
        <f>IFERROR(VLOOKUP(B34,'STORE  CODE'!$B:$E,4,0),"")</f>
        <v/>
      </c>
      <c r="E34" s="47"/>
      <c r="F34" s="42"/>
    </row>
    <row r="35" spans="1:6" ht="24.95" customHeight="1" x14ac:dyDescent="0.3">
      <c r="A35" s="48">
        <v>34</v>
      </c>
      <c r="B35" s="40"/>
      <c r="C35" s="50" t="str">
        <f>IFERROR(VLOOKUP(B35,'STORE  CODE'!$B:$C,2,0),"")</f>
        <v/>
      </c>
      <c r="D35" s="39" t="str">
        <f>IFERROR(VLOOKUP(B35,'STORE  CODE'!$B:$E,4,0),"")</f>
        <v/>
      </c>
      <c r="E35" s="47"/>
      <c r="F35" s="42"/>
    </row>
    <row r="36" spans="1:6" ht="24.95" customHeight="1" x14ac:dyDescent="0.3">
      <c r="A36" s="46">
        <v>35</v>
      </c>
      <c r="B36" s="40"/>
      <c r="C36" s="50" t="str">
        <f>IFERROR(VLOOKUP(B36,'STORE  CODE'!$B:$C,2,0),"")</f>
        <v/>
      </c>
      <c r="D36" s="39" t="str">
        <f>IFERROR(VLOOKUP(B36,'STORE  CODE'!$B:$E,4,0),"")</f>
        <v/>
      </c>
      <c r="E36" s="47"/>
      <c r="F36" s="42"/>
    </row>
    <row r="37" spans="1:6" ht="24.95" customHeight="1" x14ac:dyDescent="0.3">
      <c r="A37" s="48">
        <v>36</v>
      </c>
      <c r="B37" s="40"/>
      <c r="C37" s="50" t="str">
        <f>IFERROR(VLOOKUP(B37,'STORE  CODE'!$B:$C,2,0),"")</f>
        <v/>
      </c>
      <c r="D37" s="39" t="str">
        <f>IFERROR(VLOOKUP(B37,'STORE  CODE'!$B:$E,4,0),"")</f>
        <v/>
      </c>
      <c r="E37" s="47"/>
      <c r="F37" s="42"/>
    </row>
    <row r="38" spans="1:6" ht="24.95" customHeight="1" x14ac:dyDescent="0.3">
      <c r="A38" s="46">
        <v>37</v>
      </c>
      <c r="B38" s="40"/>
      <c r="C38" s="50" t="str">
        <f>IFERROR(VLOOKUP(B38,'STORE  CODE'!$B:$C,2,0),"")</f>
        <v/>
      </c>
      <c r="D38" s="39" t="str">
        <f>IFERROR(VLOOKUP(B38,'STORE  CODE'!$B:$E,4,0),"")</f>
        <v/>
      </c>
      <c r="E38" s="47"/>
      <c r="F38" s="42"/>
    </row>
    <row r="39" spans="1:6" ht="24.95" customHeight="1" x14ac:dyDescent="0.3">
      <c r="A39" s="48">
        <v>38</v>
      </c>
      <c r="B39" s="40"/>
      <c r="C39" s="50" t="str">
        <f>IFERROR(VLOOKUP(B39,'STORE  CODE'!$B:$C,2,0),"")</f>
        <v/>
      </c>
      <c r="D39" s="39" t="str">
        <f>IFERROR(VLOOKUP(B39,'STORE  CODE'!$B:$E,4,0),"")</f>
        <v/>
      </c>
      <c r="E39" s="47"/>
      <c r="F39" s="42"/>
    </row>
    <row r="40" spans="1:6" ht="24.95" customHeight="1" x14ac:dyDescent="0.3">
      <c r="A40" s="46">
        <v>39</v>
      </c>
      <c r="B40" s="40"/>
      <c r="C40" s="50" t="str">
        <f>IFERROR(VLOOKUP(B40,'STORE  CODE'!$B:$C,2,0),"")</f>
        <v/>
      </c>
      <c r="D40" s="39" t="str">
        <f>IFERROR(VLOOKUP(B40,'STORE  CODE'!$B:$E,4,0),"")</f>
        <v/>
      </c>
      <c r="E40" s="47"/>
      <c r="F40" s="42"/>
    </row>
    <row r="41" spans="1:6" ht="24.95" customHeight="1" x14ac:dyDescent="0.3">
      <c r="A41" s="48">
        <v>40</v>
      </c>
      <c r="B41" s="40"/>
      <c r="C41" s="50" t="str">
        <f>IFERROR(VLOOKUP(B41,'STORE  CODE'!$B:$C,2,0),"")</f>
        <v/>
      </c>
      <c r="D41" s="39" t="str">
        <f>IFERROR(VLOOKUP(B41,'STORE  CODE'!$B:$E,4,0),"")</f>
        <v/>
      </c>
      <c r="E41" s="47"/>
      <c r="F41" s="42"/>
    </row>
    <row r="42" spans="1:6" ht="24.95" customHeight="1" x14ac:dyDescent="0.3">
      <c r="A42" s="46">
        <v>41</v>
      </c>
      <c r="B42" s="40"/>
      <c r="C42" s="50" t="str">
        <f>IFERROR(VLOOKUP(B42,'STORE  CODE'!$B:$C,2,0),"")</f>
        <v/>
      </c>
      <c r="D42" s="39" t="str">
        <f>IFERROR(VLOOKUP(B42,'STORE  CODE'!$B:$E,4,0),"")</f>
        <v/>
      </c>
      <c r="E42" s="47"/>
      <c r="F42" s="42"/>
    </row>
    <row r="43" spans="1:6" ht="24.95" customHeight="1" x14ac:dyDescent="0.3">
      <c r="A43" s="48">
        <v>42</v>
      </c>
      <c r="B43" s="40"/>
      <c r="C43" s="50" t="str">
        <f>IFERROR(VLOOKUP(B43,'STORE  CODE'!$B:$C,2,0),"")</f>
        <v/>
      </c>
      <c r="D43" s="39" t="str">
        <f>IFERROR(VLOOKUP(B43,'STORE  CODE'!$B:$E,4,0),"")</f>
        <v/>
      </c>
      <c r="E43" s="47"/>
      <c r="F43" s="42"/>
    </row>
    <row r="44" spans="1:6" ht="24.95" customHeight="1" x14ac:dyDescent="0.3">
      <c r="A44" s="46">
        <v>43</v>
      </c>
      <c r="B44" s="40"/>
      <c r="C44" s="50" t="str">
        <f>IFERROR(VLOOKUP(B44,'STORE  CODE'!$B:$C,2,0),"")</f>
        <v/>
      </c>
      <c r="D44" s="39" t="str">
        <f>IFERROR(VLOOKUP(B44,'STORE  CODE'!$B:$E,4,0),"")</f>
        <v/>
      </c>
      <c r="E44" s="41"/>
      <c r="F44" s="42"/>
    </row>
    <row r="45" spans="1:6" ht="24.95" customHeight="1" x14ac:dyDescent="0.3">
      <c r="A45" s="48">
        <v>44</v>
      </c>
      <c r="B45" s="40"/>
      <c r="C45" s="50" t="str">
        <f>IFERROR(VLOOKUP(B45,'STORE  CODE'!$B:$C,2,0),"")</f>
        <v/>
      </c>
      <c r="D45" s="39" t="str">
        <f>IFERROR(VLOOKUP(B45,'STORE  CODE'!$B:$E,4,0),"")</f>
        <v/>
      </c>
      <c r="E45" s="41"/>
      <c r="F45" s="42"/>
    </row>
    <row r="46" spans="1:6" ht="24.95" customHeight="1" x14ac:dyDescent="0.3">
      <c r="A46" s="46">
        <v>45</v>
      </c>
      <c r="B46" s="40"/>
      <c r="C46" s="50" t="str">
        <f>IFERROR(VLOOKUP(B46,'STORE  CODE'!$B:$C,2,0),"")</f>
        <v/>
      </c>
      <c r="D46" s="39" t="str">
        <f>IFERROR(VLOOKUP(B46,'STORE  CODE'!$B:$E,4,0),"")</f>
        <v/>
      </c>
      <c r="E46" s="41"/>
      <c r="F46" s="42"/>
    </row>
    <row r="47" spans="1:6" ht="24.95" customHeight="1" x14ac:dyDescent="0.3">
      <c r="A47" s="48">
        <v>46</v>
      </c>
      <c r="B47" s="40"/>
      <c r="C47" s="50" t="str">
        <f>IFERROR(VLOOKUP(B47,'STORE  CODE'!$B:$C,2,0),"")</f>
        <v/>
      </c>
      <c r="D47" s="39" t="str">
        <f>IFERROR(VLOOKUP(B47,'STORE  CODE'!$B:$E,4,0),"")</f>
        <v/>
      </c>
      <c r="E47" s="41"/>
      <c r="F47" s="42"/>
    </row>
    <row r="48" spans="1:6" ht="24.95" customHeight="1" x14ac:dyDescent="0.3">
      <c r="A48" s="46">
        <v>47</v>
      </c>
      <c r="B48" s="40"/>
      <c r="C48" s="50" t="str">
        <f>IFERROR(VLOOKUP(B48,'STORE  CODE'!$B:$C,2,0),"")</f>
        <v/>
      </c>
      <c r="D48" s="39" t="str">
        <f>IFERROR(VLOOKUP(B48,'STORE  CODE'!$B:$E,4,0),"")</f>
        <v/>
      </c>
      <c r="E48" s="41"/>
      <c r="F48" s="42"/>
    </row>
    <row r="49" spans="1:6" ht="24.95" customHeight="1" x14ac:dyDescent="0.3">
      <c r="A49" s="48">
        <v>48</v>
      </c>
      <c r="B49" s="40"/>
      <c r="C49" s="50" t="str">
        <f>IFERROR(VLOOKUP(B49,'STORE  CODE'!$B:$C,2,0),"")</f>
        <v/>
      </c>
      <c r="D49" s="39" t="str">
        <f>IFERROR(VLOOKUP(B49,'STORE  CODE'!$B:$E,4,0),"")</f>
        <v/>
      </c>
      <c r="E49" s="41"/>
      <c r="F49" s="42"/>
    </row>
    <row r="50" spans="1:6" ht="24.95" customHeight="1" x14ac:dyDescent="0.3">
      <c r="A50" s="48">
        <v>48</v>
      </c>
      <c r="B50" s="78"/>
      <c r="C50" s="50" t="str">
        <f>IFERROR(VLOOKUP(B50,'STORE  CODE'!$B:$C,2,0),"")</f>
        <v/>
      </c>
      <c r="D50" s="39" t="str">
        <f>IFERROR(VLOOKUP(B50,'STORE  CODE'!$B:$E,4,0),"")</f>
        <v/>
      </c>
      <c r="E50" s="49"/>
      <c r="F50" s="42"/>
    </row>
    <row r="51" spans="1:6" ht="24.95" customHeight="1" thickBot="1" x14ac:dyDescent="0.35">
      <c r="A51" s="48">
        <v>48</v>
      </c>
      <c r="B51" s="51"/>
      <c r="C51" s="50" t="str">
        <f>IFERROR(VLOOKUP(B51,'STORE  CODE'!$B:$C,2,0),"")</f>
        <v/>
      </c>
      <c r="D51" s="39" t="str">
        <f>IFERROR(VLOOKUP(B51,'STORE  CODE'!$B:$E,4,0),"")</f>
        <v/>
      </c>
      <c r="E51" s="49"/>
      <c r="F51" s="4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H26" sqref="H26"/>
    </sheetView>
  </sheetViews>
  <sheetFormatPr defaultColWidth="9" defaultRowHeight="15" x14ac:dyDescent="0.25"/>
  <cols>
    <col min="1" max="1" width="11.140625" bestFit="1" customWidth="1"/>
    <col min="2" max="3" width="9.85546875" bestFit="1" customWidth="1"/>
    <col min="4" max="4" width="40" bestFit="1" customWidth="1"/>
    <col min="5" max="5" width="17.140625" customWidth="1"/>
    <col min="6" max="7" width="13" customWidth="1"/>
    <col min="8" max="8" width="12.85546875" customWidth="1"/>
  </cols>
  <sheetData>
    <row r="1" spans="1:8" ht="39.75" customHeight="1" thickBot="1" x14ac:dyDescent="0.3">
      <c r="A1" s="92" t="s">
        <v>557</v>
      </c>
      <c r="B1" s="93"/>
      <c r="C1" s="93"/>
      <c r="D1" s="93"/>
      <c r="E1" s="69" t="s">
        <v>545</v>
      </c>
      <c r="F1" s="69" t="s">
        <v>546</v>
      </c>
      <c r="G1" s="70" t="s">
        <v>7</v>
      </c>
      <c r="H1" s="70" t="s">
        <v>558</v>
      </c>
    </row>
    <row r="2" spans="1:8" ht="31.5" customHeight="1" x14ac:dyDescent="0.25">
      <c r="A2" s="58" t="s">
        <v>255</v>
      </c>
      <c r="B2" s="59">
        <v>71.5</v>
      </c>
      <c r="C2" s="59">
        <v>29.5</v>
      </c>
      <c r="D2" s="63" t="s">
        <v>256</v>
      </c>
      <c r="E2" s="66">
        <f>700*(B2)*(C2)*0.0254*0.0254/1000</f>
        <v>0.95256261099999984</v>
      </c>
      <c r="F2" s="60"/>
      <c r="G2" s="71" t="s">
        <v>14</v>
      </c>
      <c r="H2" s="74">
        <f>F2*E2</f>
        <v>0</v>
      </c>
    </row>
    <row r="3" spans="1:8" ht="18.75" x14ac:dyDescent="0.25">
      <c r="A3" s="54" t="s">
        <v>141</v>
      </c>
      <c r="B3" s="52">
        <v>71.5</v>
      </c>
      <c r="C3" s="52">
        <v>35.5</v>
      </c>
      <c r="D3" s="64" t="s">
        <v>142</v>
      </c>
      <c r="E3" s="67">
        <f>700*(B3)*(C3)*0.0254*0.0254/1000</f>
        <v>1.146304159</v>
      </c>
      <c r="F3" s="61">
        <v>100</v>
      </c>
      <c r="G3" s="72" t="s">
        <v>14</v>
      </c>
      <c r="H3" s="75">
        <f>F3*E3</f>
        <v>114.6304159</v>
      </c>
    </row>
    <row r="4" spans="1:8" ht="18.75" x14ac:dyDescent="0.25">
      <c r="A4" s="54" t="s">
        <v>258</v>
      </c>
      <c r="B4" s="52">
        <v>71.5</v>
      </c>
      <c r="C4" s="52">
        <v>41.5</v>
      </c>
      <c r="D4" s="64" t="s">
        <v>259</v>
      </c>
      <c r="E4" s="67">
        <f>700*(B4)*(C4)*0.0254*0.0254/1000</f>
        <v>1.3400457069999998</v>
      </c>
      <c r="F4" s="61"/>
      <c r="G4" s="72" t="s">
        <v>14</v>
      </c>
      <c r="H4" s="75">
        <f>F4*E4</f>
        <v>0</v>
      </c>
    </row>
    <row r="5" spans="1:8" ht="17.25" customHeight="1" x14ac:dyDescent="0.25">
      <c r="A5" s="54" t="s">
        <v>144</v>
      </c>
      <c r="B5" s="52">
        <v>71.5</v>
      </c>
      <c r="C5" s="52">
        <v>47.5</v>
      </c>
      <c r="D5" s="64" t="s">
        <v>145</v>
      </c>
      <c r="E5" s="67">
        <f t="shared" ref="E5:E23" si="0">700*(B5)*(C5)*0.0254*0.0254/1000</f>
        <v>1.533787255</v>
      </c>
      <c r="F5" s="61">
        <v>300</v>
      </c>
      <c r="G5" s="72" t="s">
        <v>14</v>
      </c>
      <c r="H5" s="75">
        <f t="shared" ref="H5:H23" si="1">F5*E5</f>
        <v>460.13617650000003</v>
      </c>
    </row>
    <row r="6" spans="1:8" ht="18.75" x14ac:dyDescent="0.25">
      <c r="A6" s="54" t="s">
        <v>147</v>
      </c>
      <c r="B6" s="52">
        <v>71.5</v>
      </c>
      <c r="C6" s="52">
        <v>59.5</v>
      </c>
      <c r="D6" s="64" t="s">
        <v>148</v>
      </c>
      <c r="E6" s="67">
        <f t="shared" si="0"/>
        <v>1.921270351</v>
      </c>
      <c r="F6" s="61"/>
      <c r="G6" s="72" t="s">
        <v>14</v>
      </c>
      <c r="H6" s="75">
        <f t="shared" si="1"/>
        <v>0</v>
      </c>
    </row>
    <row r="7" spans="1:8" ht="18.75" x14ac:dyDescent="0.25">
      <c r="A7" s="54" t="s">
        <v>261</v>
      </c>
      <c r="B7" s="52">
        <v>71.5</v>
      </c>
      <c r="C7" s="52">
        <v>65.5</v>
      </c>
      <c r="D7" s="64" t="s">
        <v>262</v>
      </c>
      <c r="E7" s="67">
        <f t="shared" si="0"/>
        <v>2.1150118989999998</v>
      </c>
      <c r="F7" s="61"/>
      <c r="G7" s="72" t="s">
        <v>14</v>
      </c>
      <c r="H7" s="75">
        <f t="shared" si="1"/>
        <v>0</v>
      </c>
    </row>
    <row r="8" spans="1:8" ht="18.75" x14ac:dyDescent="0.25">
      <c r="A8" s="54" t="s">
        <v>150</v>
      </c>
      <c r="B8" s="52">
        <v>71.5</v>
      </c>
      <c r="C8" s="52">
        <v>71.5</v>
      </c>
      <c r="D8" s="64" t="s">
        <v>151</v>
      </c>
      <c r="E8" s="67">
        <f t="shared" si="0"/>
        <v>2.3087534469999995</v>
      </c>
      <c r="F8" s="61"/>
      <c r="G8" s="72" t="s">
        <v>14</v>
      </c>
      <c r="H8" s="75">
        <f t="shared" si="1"/>
        <v>0</v>
      </c>
    </row>
    <row r="9" spans="1:8" ht="18.75" x14ac:dyDescent="0.25">
      <c r="A9" s="54" t="s">
        <v>153</v>
      </c>
      <c r="B9" s="52">
        <v>74.5</v>
      </c>
      <c r="C9" s="52">
        <v>29.5</v>
      </c>
      <c r="D9" s="64" t="s">
        <v>154</v>
      </c>
      <c r="E9" s="67">
        <f t="shared" si="0"/>
        <v>0.99253027299999985</v>
      </c>
      <c r="F9" s="61"/>
      <c r="G9" s="72" t="s">
        <v>14</v>
      </c>
      <c r="H9" s="75">
        <f t="shared" si="1"/>
        <v>0</v>
      </c>
    </row>
    <row r="10" spans="1:8" ht="18.75" x14ac:dyDescent="0.25">
      <c r="A10" s="54" t="s">
        <v>156</v>
      </c>
      <c r="B10" s="52">
        <v>74.5</v>
      </c>
      <c r="C10" s="52">
        <v>35.5</v>
      </c>
      <c r="D10" s="64" t="s">
        <v>157</v>
      </c>
      <c r="E10" s="67">
        <f t="shared" si="0"/>
        <v>1.1944008369999999</v>
      </c>
      <c r="F10" s="61">
        <v>100</v>
      </c>
      <c r="G10" s="72" t="s">
        <v>14</v>
      </c>
      <c r="H10" s="75">
        <f t="shared" si="1"/>
        <v>119.44008369999999</v>
      </c>
    </row>
    <row r="11" spans="1:8" ht="18.75" x14ac:dyDescent="0.25">
      <c r="A11" s="54" t="s">
        <v>264</v>
      </c>
      <c r="B11" s="52">
        <v>74.5</v>
      </c>
      <c r="C11" s="52">
        <v>41.5</v>
      </c>
      <c r="D11" s="64" t="s">
        <v>265</v>
      </c>
      <c r="E11" s="67">
        <f t="shared" si="0"/>
        <v>1.3962714009999997</v>
      </c>
      <c r="F11" s="61"/>
      <c r="G11" s="72" t="s">
        <v>14</v>
      </c>
      <c r="H11" s="75">
        <f t="shared" si="1"/>
        <v>0</v>
      </c>
    </row>
    <row r="12" spans="1:8" ht="18.75" x14ac:dyDescent="0.25">
      <c r="A12" s="55" t="s">
        <v>159</v>
      </c>
      <c r="B12" s="53" t="s">
        <v>547</v>
      </c>
      <c r="C12" s="52">
        <v>47.5</v>
      </c>
      <c r="D12" s="64" t="s">
        <v>160</v>
      </c>
      <c r="E12" s="67">
        <f t="shared" si="0"/>
        <v>1.5981419649999997</v>
      </c>
      <c r="F12" s="61">
        <v>400</v>
      </c>
      <c r="G12" s="72" t="s">
        <v>14</v>
      </c>
      <c r="H12" s="75">
        <f t="shared" si="1"/>
        <v>639.25678599999992</v>
      </c>
    </row>
    <row r="13" spans="1:8" ht="18.75" x14ac:dyDescent="0.25">
      <c r="A13" s="55" t="s">
        <v>162</v>
      </c>
      <c r="B13" s="53" t="s">
        <v>547</v>
      </c>
      <c r="C13" s="52">
        <v>59.5</v>
      </c>
      <c r="D13" s="64" t="s">
        <v>163</v>
      </c>
      <c r="E13" s="67">
        <f t="shared" si="0"/>
        <v>2.001883093</v>
      </c>
      <c r="F13" s="61">
        <v>1000</v>
      </c>
      <c r="G13" s="72" t="s">
        <v>14</v>
      </c>
      <c r="H13" s="75">
        <f t="shared" si="1"/>
        <v>2001.8830929999999</v>
      </c>
    </row>
    <row r="14" spans="1:8" ht="18.75" x14ac:dyDescent="0.25">
      <c r="A14" s="55" t="s">
        <v>267</v>
      </c>
      <c r="B14" s="53" t="s">
        <v>548</v>
      </c>
      <c r="C14" s="52">
        <v>65.5</v>
      </c>
      <c r="D14" s="64" t="s">
        <v>549</v>
      </c>
      <c r="E14" s="67">
        <f t="shared" si="0"/>
        <v>2.2037536569999996</v>
      </c>
      <c r="F14" s="61"/>
      <c r="G14" s="72" t="s">
        <v>14</v>
      </c>
      <c r="H14" s="75">
        <f t="shared" si="1"/>
        <v>0</v>
      </c>
    </row>
    <row r="15" spans="1:8" ht="18.75" x14ac:dyDescent="0.25">
      <c r="A15" s="55" t="s">
        <v>165</v>
      </c>
      <c r="B15" s="53" t="s">
        <v>548</v>
      </c>
      <c r="C15" s="53" t="s">
        <v>550</v>
      </c>
      <c r="D15" s="64" t="s">
        <v>166</v>
      </c>
      <c r="E15" s="67">
        <f t="shared" si="0"/>
        <v>2.4056242209999996</v>
      </c>
      <c r="F15" s="61">
        <v>100</v>
      </c>
      <c r="G15" s="72" t="s">
        <v>14</v>
      </c>
      <c r="H15" s="75">
        <f t="shared" si="1"/>
        <v>240.56242209999996</v>
      </c>
    </row>
    <row r="16" spans="1:8" ht="18.75" x14ac:dyDescent="0.25">
      <c r="A16" s="55" t="s">
        <v>270</v>
      </c>
      <c r="B16" s="53" t="s">
        <v>551</v>
      </c>
      <c r="C16" s="53" t="s">
        <v>552</v>
      </c>
      <c r="D16" s="64" t="s">
        <v>271</v>
      </c>
      <c r="E16" s="67">
        <f t="shared" si="0"/>
        <v>1.0324979350000001</v>
      </c>
      <c r="F16" s="61"/>
      <c r="G16" s="72" t="s">
        <v>14</v>
      </c>
      <c r="H16" s="75">
        <f t="shared" si="1"/>
        <v>0</v>
      </c>
    </row>
    <row r="17" spans="1:8" ht="18.75" x14ac:dyDescent="0.25">
      <c r="A17" s="54" t="s">
        <v>168</v>
      </c>
      <c r="B17" s="52">
        <v>77.5</v>
      </c>
      <c r="C17" s="52">
        <v>35.5</v>
      </c>
      <c r="D17" s="64" t="s">
        <v>169</v>
      </c>
      <c r="E17" s="67">
        <f t="shared" si="0"/>
        <v>1.2424975149999999</v>
      </c>
      <c r="F17" s="61"/>
      <c r="G17" s="72" t="s">
        <v>14</v>
      </c>
      <c r="H17" s="75">
        <f t="shared" si="1"/>
        <v>0</v>
      </c>
    </row>
    <row r="18" spans="1:8" ht="18.75" x14ac:dyDescent="0.25">
      <c r="A18" s="54" t="s">
        <v>171</v>
      </c>
      <c r="B18" s="52">
        <v>77.5</v>
      </c>
      <c r="C18" s="52">
        <v>41.5</v>
      </c>
      <c r="D18" s="64" t="s">
        <v>172</v>
      </c>
      <c r="E18" s="67">
        <f t="shared" si="0"/>
        <v>1.4524970949999998</v>
      </c>
      <c r="F18" s="61"/>
      <c r="G18" s="72" t="s">
        <v>14</v>
      </c>
      <c r="H18" s="75">
        <f t="shared" si="1"/>
        <v>0</v>
      </c>
    </row>
    <row r="19" spans="1:8" ht="18.75" x14ac:dyDescent="0.25">
      <c r="A19" s="54" t="s">
        <v>174</v>
      </c>
      <c r="B19" s="52">
        <v>77.5</v>
      </c>
      <c r="C19" s="52">
        <v>47.5</v>
      </c>
      <c r="D19" s="64" t="s">
        <v>175</v>
      </c>
      <c r="E19" s="67">
        <f t="shared" si="0"/>
        <v>1.6624966749999999</v>
      </c>
      <c r="F19" s="61"/>
      <c r="G19" s="72" t="s">
        <v>14</v>
      </c>
      <c r="H19" s="75">
        <f t="shared" si="1"/>
        <v>0</v>
      </c>
    </row>
    <row r="20" spans="1:8" ht="18.75" x14ac:dyDescent="0.25">
      <c r="A20" s="55" t="s">
        <v>177</v>
      </c>
      <c r="B20" s="53" t="s">
        <v>553</v>
      </c>
      <c r="C20" s="53" t="s">
        <v>554</v>
      </c>
      <c r="D20" s="64" t="s">
        <v>178</v>
      </c>
      <c r="E20" s="67">
        <f t="shared" si="0"/>
        <v>2.0824958349999996</v>
      </c>
      <c r="F20" s="61">
        <v>250</v>
      </c>
      <c r="G20" s="72" t="s">
        <v>14</v>
      </c>
      <c r="H20" s="75">
        <f t="shared" si="1"/>
        <v>520.62395874999993</v>
      </c>
    </row>
    <row r="21" spans="1:8" ht="18.75" x14ac:dyDescent="0.25">
      <c r="A21" s="54" t="s">
        <v>180</v>
      </c>
      <c r="B21" s="52">
        <v>77.5</v>
      </c>
      <c r="C21" s="52">
        <v>65.5</v>
      </c>
      <c r="D21" s="64" t="s">
        <v>181</v>
      </c>
      <c r="E21" s="67">
        <f t="shared" si="0"/>
        <v>2.2924954149999999</v>
      </c>
      <c r="F21" s="61"/>
      <c r="G21" s="72" t="s">
        <v>14</v>
      </c>
      <c r="H21" s="75">
        <f t="shared" si="1"/>
        <v>0</v>
      </c>
    </row>
    <row r="22" spans="1:8" ht="18.75" x14ac:dyDescent="0.25">
      <c r="A22" s="55" t="s">
        <v>183</v>
      </c>
      <c r="B22" s="53" t="s">
        <v>553</v>
      </c>
      <c r="C22" s="53" t="s">
        <v>555</v>
      </c>
      <c r="D22" s="64" t="s">
        <v>184</v>
      </c>
      <c r="E22" s="67">
        <f t="shared" si="0"/>
        <v>2.5024949950000002</v>
      </c>
      <c r="F22" s="61">
        <v>200</v>
      </c>
      <c r="G22" s="72" t="s">
        <v>14</v>
      </c>
      <c r="H22" s="75">
        <f t="shared" si="1"/>
        <v>500.49899900000003</v>
      </c>
    </row>
    <row r="23" spans="1:8" ht="19.5" thickBot="1" x14ac:dyDescent="0.3">
      <c r="A23" s="56" t="s">
        <v>186</v>
      </c>
      <c r="B23" s="57" t="s">
        <v>556</v>
      </c>
      <c r="C23" s="57" t="s">
        <v>550</v>
      </c>
      <c r="D23" s="65" t="s">
        <v>187</v>
      </c>
      <c r="E23" s="68">
        <f t="shared" si="0"/>
        <v>2.6962365429999999</v>
      </c>
      <c r="F23" s="62"/>
      <c r="G23" s="73" t="s">
        <v>14</v>
      </c>
      <c r="H23" s="76">
        <f t="shared" si="1"/>
        <v>0</v>
      </c>
    </row>
  </sheetData>
  <mergeCells count="1">
    <mergeCell ref="A1:D1"/>
  </mergeCells>
  <conditionalFormatting sqref="A2:C2">
    <cfRule type="duplicateValues" dxfId="4" priority="1"/>
  </conditionalFormatting>
  <conditionalFormatting sqref="A23:C23">
    <cfRule type="duplicateValues" dxfId="3" priority="5"/>
  </conditionalFormatting>
  <conditionalFormatting sqref="C12:C14">
    <cfRule type="duplicateValues" dxfId="2" priority="2"/>
  </conditionalFormatting>
  <conditionalFormatting sqref="A21:C21 A17:C19 A3:C11">
    <cfRule type="duplicateValues" dxfId="1" priority="3"/>
  </conditionalFormatting>
  <conditionalFormatting sqref="A15:C16 A20:C20 A22:C22 A12:B14">
    <cfRule type="duplicateValues" dxfId="0" priority="4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 CODE</vt:lpstr>
      <vt:lpstr>STATIONEY ITEM CODE</vt:lpstr>
      <vt:lpstr>NON-WOVEN NEW ITEM CODE</vt:lpstr>
      <vt:lpstr>INPUT</vt:lpstr>
      <vt:lpstr>COTTON FELT 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2026-03-01T06:19:25Z</dcterms:modified>
</cp:coreProperties>
</file>