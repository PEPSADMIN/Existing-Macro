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0490" windowHeight="6855" activeTab="1"/>
  </bookViews>
  <sheets>
    <sheet name="BUNDLE STOCK " sheetId="13" r:id="rId1"/>
    <sheet name="ITEM CODE" sheetId="2" r:id="rId2"/>
    <sheet name="OVERALL" sheetId="14" r:id="rId3"/>
    <sheet name="SPRING" sheetId="16" r:id="rId4"/>
    <sheet name="SPRING COUNT" sheetId="9" r:id="rId5"/>
    <sheet name="SPRING WEIGHT" sheetId="8" r:id="rId6"/>
  </sheets>
  <definedNames>
    <definedName name="_xlnm._FilterDatabase" localSheetId="1" hidden="1">'ITEM CODE'!$A$1:$I$18</definedName>
  </definedNames>
  <calcPr calcId="162913"/>
</workbook>
</file>

<file path=xl/calcChain.xml><?xml version="1.0" encoding="utf-8"?>
<calcChain xmlns="http://schemas.openxmlformats.org/spreadsheetml/2006/main">
  <c r="B233" i="13" l="1"/>
  <c r="B45" i="13"/>
  <c r="B515" i="13" l="1"/>
  <c r="B468" i="13"/>
  <c r="D703" i="13" l="1"/>
  <c r="D516" i="13"/>
  <c r="D469" i="13"/>
  <c r="D328" i="13"/>
  <c r="D281" i="13"/>
  <c r="D187" i="13"/>
  <c r="D140" i="13"/>
  <c r="D93" i="13"/>
  <c r="G13" i="8" l="1"/>
  <c r="B948" i="13" l="1"/>
  <c r="D948" i="13"/>
  <c r="D894" i="13"/>
  <c r="B894" i="13"/>
  <c r="D895" i="13"/>
  <c r="D841" i="13"/>
  <c r="D795" i="13"/>
  <c r="E19" i="14" s="1"/>
  <c r="B702" i="13"/>
  <c r="D656" i="13"/>
  <c r="B656" i="13"/>
  <c r="D562" i="13"/>
  <c r="B562" i="13"/>
  <c r="D515" i="13"/>
  <c r="D468" i="13"/>
  <c r="D421" i="13"/>
  <c r="B421" i="13"/>
  <c r="D374" i="13"/>
  <c r="B374" i="13"/>
  <c r="B327" i="13"/>
  <c r="D280" i="13"/>
  <c r="B280" i="13"/>
  <c r="D233" i="13"/>
  <c r="D235" i="13" s="1"/>
  <c r="D186" i="13"/>
  <c r="B186" i="13"/>
  <c r="D139" i="13"/>
  <c r="B139" i="13"/>
  <c r="D949" i="13"/>
  <c r="D896" i="13" l="1"/>
  <c r="D564" i="13"/>
  <c r="D141" i="13"/>
  <c r="D188" i="13"/>
  <c r="D282" i="13"/>
  <c r="D950" i="13"/>
  <c r="F22" i="14" s="1"/>
  <c r="E22" i="14"/>
  <c r="B44" i="16" l="1"/>
  <c r="D44" i="16"/>
  <c r="G44" i="16"/>
  <c r="B748" i="13" l="1"/>
  <c r="B794" i="13" l="1"/>
  <c r="E21" i="14" l="1"/>
  <c r="E20" i="14"/>
  <c r="D840" i="13"/>
  <c r="B840" i="13"/>
  <c r="D794" i="13"/>
  <c r="D749" i="13"/>
  <c r="E18" i="14" s="1"/>
  <c r="D748" i="13"/>
  <c r="E17" i="14"/>
  <c r="D702" i="13"/>
  <c r="D657" i="13"/>
  <c r="E16" i="14" s="1"/>
  <c r="D610" i="13"/>
  <c r="E15" i="14" s="1"/>
  <c r="D609" i="13"/>
  <c r="B609" i="13"/>
  <c r="D563" i="13"/>
  <c r="E14" i="14" s="1"/>
  <c r="E13" i="14"/>
  <c r="E12" i="14"/>
  <c r="D422" i="13"/>
  <c r="E11" i="14" s="1"/>
  <c r="D375" i="13"/>
  <c r="E10" i="14" s="1"/>
  <c r="E9" i="14"/>
  <c r="D327" i="13"/>
  <c r="D329" i="13" s="1"/>
  <c r="E8" i="14"/>
  <c r="D234" i="13"/>
  <c r="E7" i="14" s="1"/>
  <c r="E6" i="14"/>
  <c r="E5" i="14"/>
  <c r="E4" i="14"/>
  <c r="D92" i="13"/>
  <c r="B92" i="13"/>
  <c r="D46" i="13"/>
  <c r="D45" i="13"/>
  <c r="D47" i="13" s="1"/>
  <c r="D611" i="13" l="1"/>
  <c r="F15" i="14" s="1"/>
  <c r="D750" i="13"/>
  <c r="F18" i="14" s="1"/>
  <c r="D704" i="13"/>
  <c r="F17" i="14" s="1"/>
  <c r="D796" i="13"/>
  <c r="F19" i="14" s="1"/>
  <c r="F21" i="14"/>
  <c r="D517" i="13"/>
  <c r="F13" i="14" s="1"/>
  <c r="D423" i="13"/>
  <c r="F11" i="14" s="1"/>
  <c r="F9" i="14"/>
  <c r="F7" i="14"/>
  <c r="F5" i="14"/>
  <c r="E3" i="14"/>
  <c r="E23" i="14" s="1"/>
  <c r="D94" i="13"/>
  <c r="F4" i="14" s="1"/>
  <c r="F6" i="14"/>
  <c r="F8" i="14"/>
  <c r="D376" i="13"/>
  <c r="F10" i="14" s="1"/>
  <c r="D470" i="13"/>
  <c r="F12" i="14" s="1"/>
  <c r="F14" i="14"/>
  <c r="D658" i="13"/>
  <c r="F16" i="14" s="1"/>
  <c r="D842" i="13"/>
  <c r="F20" i="14" s="1"/>
  <c r="F3" i="14" l="1"/>
  <c r="F23" i="14" l="1"/>
  <c r="I8" i="8"/>
  <c r="K8" i="8" s="1"/>
  <c r="I7" i="8"/>
  <c r="K7" i="8" s="1"/>
  <c r="I6" i="8"/>
  <c r="K6" i="8" s="1"/>
  <c r="I5" i="8"/>
  <c r="K5" i="8" s="1"/>
  <c r="I4" i="8"/>
  <c r="K4" i="8" s="1"/>
  <c r="I3" i="8"/>
  <c r="K3" i="8" s="1"/>
</calcChain>
</file>

<file path=xl/sharedStrings.xml><?xml version="1.0" encoding="utf-8"?>
<sst xmlns="http://schemas.openxmlformats.org/spreadsheetml/2006/main" count="332" uniqueCount="127">
  <si>
    <t>SNO</t>
  </si>
  <si>
    <t>WEIGHT</t>
  </si>
  <si>
    <t>TOTAL</t>
  </si>
  <si>
    <t>TOTAL BUNDLES</t>
  </si>
  <si>
    <t>TOTAL WEIGHT</t>
  </si>
  <si>
    <t>NOS</t>
  </si>
  <si>
    <t>KGS</t>
  </si>
  <si>
    <t>BNSPR130</t>
  </si>
  <si>
    <t>BNSPR130-2.2MM</t>
  </si>
  <si>
    <t>BNSPR150</t>
  </si>
  <si>
    <t>BNSPR150-2.2MM</t>
  </si>
  <si>
    <t>BNSPR90</t>
  </si>
  <si>
    <t>Item Code</t>
  </si>
  <si>
    <t>Item Variant Desc.</t>
  </si>
  <si>
    <t>Stock UOM</t>
  </si>
  <si>
    <t>STEEL</t>
  </si>
  <si>
    <t>TADE EDGE</t>
  </si>
  <si>
    <t>QUILTING</t>
  </si>
  <si>
    <t>HYPNOS</t>
  </si>
  <si>
    <t>TOTAL QTY</t>
  </si>
  <si>
    <t>PKSPR140-1.9MM</t>
  </si>
  <si>
    <t>Semifinished Pocketed Springs 140 Steel Wire 1.9MM</t>
  </si>
  <si>
    <t>PKSPR160-1.8MM</t>
  </si>
  <si>
    <t>Semifinished Pocketed Springs 160 Steel Wire 1.8MM</t>
  </si>
  <si>
    <t>Semi Finised Bonnel Springs 100</t>
  </si>
  <si>
    <t>Semifinised Bonnell Springs 100 Steel wire 2.2mm</t>
  </si>
  <si>
    <t>Semi Finised Bonnel Springs 130</t>
  </si>
  <si>
    <t>Semifinised Bonnell Springs 130 Steel wire 2.2mm</t>
  </si>
  <si>
    <t>Semi Finised Bonnel Springs 150</t>
  </si>
  <si>
    <t>Semifinised Bonnell Springs 150 Steel wire 2.2mm</t>
  </si>
  <si>
    <t>Semifinised Bonnell Springs 160 Steel wire 2.2mm</t>
  </si>
  <si>
    <t>Semifinised Bonnell Springs 180 Steel wire 2.2mm</t>
  </si>
  <si>
    <t>Semi Finised Bonnel Springs 90</t>
  </si>
  <si>
    <t>PKSPR110-1.9MM</t>
  </si>
  <si>
    <t>Semifinished Pocketed Springs 110 Steel Wire 1.9MM</t>
  </si>
  <si>
    <t>PKSPR90-1.7MM</t>
  </si>
  <si>
    <t>PER SPRING WEIGHT (BONNELL)</t>
  </si>
  <si>
    <t>PER SPRING WEIGHT (POCKETED)</t>
  </si>
  <si>
    <t>SIZE OF SPRING</t>
  </si>
  <si>
    <t>WEIGHT OF SPRING</t>
  </si>
  <si>
    <t>WEIGHT OF SPRING+NON WOVEN</t>
  </si>
  <si>
    <t>2.3(THICK)</t>
  </si>
  <si>
    <t>100 MM</t>
  </si>
  <si>
    <t>0.029 GMS</t>
  </si>
  <si>
    <t>1.9 MM(THICK)</t>
  </si>
  <si>
    <t>110 MM</t>
  </si>
  <si>
    <t xml:space="preserve">0.023 GMS </t>
  </si>
  <si>
    <t>0.003 GMS(NWN)</t>
  </si>
  <si>
    <t>130 MM</t>
  </si>
  <si>
    <t>0.036 GMS</t>
  </si>
  <si>
    <t>140 MM</t>
  </si>
  <si>
    <t>0.025 GMS</t>
  </si>
  <si>
    <t>150 MM</t>
  </si>
  <si>
    <t>0.042 GMS</t>
  </si>
  <si>
    <t>160 MM</t>
  </si>
  <si>
    <t>0.028 GMS</t>
  </si>
  <si>
    <t>0.005 GMS(NWN)</t>
  </si>
  <si>
    <t>2.2(THICK)</t>
  </si>
  <si>
    <t>0.027 GMS</t>
  </si>
  <si>
    <t>1.8 MM(THICK)</t>
  </si>
  <si>
    <t>110MM</t>
  </si>
  <si>
    <t>0.021 GMS</t>
  </si>
  <si>
    <t>0.033 GMS</t>
  </si>
  <si>
    <t>0.026 GMS</t>
  </si>
  <si>
    <t>0.038 GMS</t>
  </si>
  <si>
    <t>200 MM</t>
  </si>
  <si>
    <t/>
  </si>
  <si>
    <t>SPRING WEIGHT</t>
  </si>
  <si>
    <t>ITEM CODE</t>
  </si>
  <si>
    <t>PKSPR200-1.8MM</t>
  </si>
  <si>
    <t>Semifinished Pocketed Springs 200 Steel Wire 1.8MM</t>
  </si>
  <si>
    <t>spring weight</t>
  </si>
  <si>
    <t>total spring weight</t>
  </si>
  <si>
    <t>no.of spring</t>
  </si>
  <si>
    <t>spring size</t>
  </si>
  <si>
    <t>PKSPR160-1.9MM</t>
  </si>
  <si>
    <t>PKSPR110-1.8MM</t>
  </si>
  <si>
    <t>Semifinished Pocketed Springs 90 Steel Wire 1.7MM</t>
  </si>
  <si>
    <t>Semifinished Pocketed Springs 160 Steel Wire 1.9MM</t>
  </si>
  <si>
    <t>Semifinished Pocketed Springs 110 Steel Wire 1.8MM</t>
  </si>
  <si>
    <t>S.NO</t>
  </si>
  <si>
    <t>RACK.NO</t>
  </si>
  <si>
    <t>NO.OF BUNDLE</t>
  </si>
  <si>
    <t>0.018</t>
  </si>
  <si>
    <t>0.026</t>
  </si>
  <si>
    <t>0.032</t>
  </si>
  <si>
    <t>0.024</t>
  </si>
  <si>
    <t>0.030</t>
  </si>
  <si>
    <t>0.033</t>
  </si>
  <si>
    <t>0.034</t>
  </si>
  <si>
    <t>WIRE DIA=2.3   MM  SPRING SIZE=   130   MM    RACK NO:FT-81SIDE</t>
  </si>
  <si>
    <t>WIRE DIA=2.3   MM  SPRING SIZE=   100   MM    RACK NO:12</t>
  </si>
  <si>
    <t>Semifinished Pocketed Springs 120 Steel Wire 1.8MM</t>
  </si>
  <si>
    <t>PKSPR120-1.8MM-TNDR</t>
  </si>
  <si>
    <t>WIRE DIA= 2.3  MM  SPRING SIZE= 150     MM    RACK NO:8</t>
  </si>
  <si>
    <t>UPPER SIDE</t>
  </si>
  <si>
    <t>SIDE</t>
  </si>
  <si>
    <t>LOWER SIDE</t>
  </si>
  <si>
    <t>UPPER SIDE &amp; LOWER SIDE</t>
  </si>
  <si>
    <t>WIRE DIA=   2.3MM  SPRING SIZE= 170 MM    RACK NO:6</t>
  </si>
  <si>
    <t>WIRE DIA=  2.2  MM  SPRING SIZE=170      MM    RACK NO:6</t>
  </si>
  <si>
    <t>WIRE DIA=   2.1MM  SPRING SIZE= 150     MM    RACK NO:7</t>
  </si>
  <si>
    <t>.</t>
  </si>
  <si>
    <t>WIRE DIA= 2.2  MM  SPRING SIZE=150      MM    RACK NO:7</t>
  </si>
  <si>
    <t>BNSPR110</t>
  </si>
  <si>
    <t>BNSPR110-2.2MM</t>
  </si>
  <si>
    <t>BNSPR170-2.2MM</t>
  </si>
  <si>
    <t>BNSPR170</t>
  </si>
  <si>
    <t>PKSPR130-1.8MM</t>
  </si>
  <si>
    <t>PKSPR150-1.8MM-GRN</t>
  </si>
  <si>
    <t>PKSPR170-1.8MM</t>
  </si>
  <si>
    <t>PKSPR110-1.8MM-GRN</t>
  </si>
  <si>
    <t>PKSPR80-1.8MM</t>
  </si>
  <si>
    <t xml:space="preserve">WIRE DIA=2.1 MM  SPRING SIZE= 150MM     MM    RACK NO:1  </t>
  </si>
  <si>
    <t>WIRE DIA=2.2 MM  SPRING SIZE= 160MM    RACK NO:1</t>
  </si>
  <si>
    <t>WIRE DIA=2.2 MM  SPRING SIZE=  130MM    RACK NO:2</t>
  </si>
  <si>
    <t>WIRE DIA=2.2MM  SPRING SIZE=170 MM    RACK NO:5</t>
  </si>
  <si>
    <t>WIRE DIA= 2.3 MM  SPRING SIZE=150MM    RACK NO:4</t>
  </si>
  <si>
    <t>WIRE DIA=   2.2MM  SPRING SIZE= 110MM    RACK NO:4</t>
  </si>
  <si>
    <t>WIRE DIA= 2.3MM  SPRING SIZE= 170MM    RACK NO:4</t>
  </si>
  <si>
    <t>WIRE DIA=2.3MM  SPRING SIZE=75 MM    RACK NO:5</t>
  </si>
  <si>
    <t>WIRE DIA=2.1MM  SPRING SIZE= 130MM    RACK NO:4</t>
  </si>
  <si>
    <t>WIRE DIA=2.2MM  SPRING SIZE= 110     MM    RACK NO:6</t>
  </si>
  <si>
    <t>WIRE DIA=2.3MM  SPRING SIZE=110 MM    RACK NO:7</t>
  </si>
  <si>
    <t>WIRE DIA=2.3   MM  SPRING SIZE=   130   MM    RACK NO:7</t>
  </si>
  <si>
    <t>WIRE DIA= 2.   MM  SPRING SIZE=180      MM    RACK NO:05</t>
  </si>
  <si>
    <t>BUNDLE CLOSING STOCK DEC-2025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</si>
</sst>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0.000"/>
    <numFmt numFmtId="165" formatCode="_(* #,##0_);_(* \(#,##0\);_(* &quot;-&quot;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  <font>
      <b/>
      <sz val="14"/>
      <color theme="1"/>
      <name val="Cambria"/>
      <family val="1"/>
      <scheme val="major"/>
    </font>
    <font>
      <sz val="14"/>
      <color theme="1"/>
      <name val="Cambria"/>
      <family val="1"/>
      <scheme val="major"/>
    </font>
    <font>
      <b/>
      <sz val="11"/>
      <color theme="0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b/>
      <sz val="12"/>
      <color theme="1"/>
      <name val="Bookman Old Style"/>
      <family val="1"/>
    </font>
    <font>
      <b/>
      <sz val="16"/>
      <color theme="1"/>
      <name val="Bookman Old Style"/>
      <family val="1"/>
    </font>
    <font>
      <b/>
      <sz val="22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theme="4" tint="0.59999389629810485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1">
    <xf numFmtId="0" fontId="0" fillId="0" borderId="0" xfId="0"/>
    <xf numFmtId="0" fontId="2" fillId="2" borderId="0" xfId="0" applyFont="1" applyFill="1" applyAlignment="1">
      <alignment horizontal="center" vertical="center"/>
    </xf>
    <xf numFmtId="49" fontId="2" fillId="4" borderId="4" xfId="0" applyNumberFormat="1" applyFont="1" applyFill="1" applyBorder="1" applyAlignment="1">
      <alignment horizontal="center" vertical="center"/>
    </xf>
    <xf numFmtId="49" fontId="2" fillId="3" borderId="4" xfId="0" applyNumberFormat="1" applyFont="1" applyFill="1" applyBorder="1" applyAlignment="1">
      <alignment horizontal="center" vertical="center"/>
    </xf>
    <xf numFmtId="49" fontId="5" fillId="5" borderId="4" xfId="0" applyNumberFormat="1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2" borderId="0" xfId="0" applyFill="1" applyBorder="1"/>
    <xf numFmtId="0" fontId="0" fillId="0" borderId="4" xfId="0" applyBorder="1" applyAlignment="1">
      <alignment horizontal="center" vertical="center" wrapText="1"/>
    </xf>
    <xf numFmtId="1" fontId="0" fillId="0" borderId="4" xfId="0" applyNumberFormat="1" applyBorder="1" applyAlignment="1">
      <alignment horizontal="center" vertical="center"/>
    </xf>
    <xf numFmtId="1" fontId="10" fillId="2" borderId="4" xfId="0" applyNumberFormat="1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1" fontId="10" fillId="2" borderId="6" xfId="0" applyNumberFormat="1" applyFont="1" applyFill="1" applyBorder="1" applyAlignment="1">
      <alignment horizontal="center" vertical="center"/>
    </xf>
    <xf numFmtId="164" fontId="11" fillId="2" borderId="9" xfId="0" applyNumberFormat="1" applyFont="1" applyFill="1" applyBorder="1" applyAlignment="1">
      <alignment horizontal="center" vertical="center"/>
    </xf>
    <xf numFmtId="0" fontId="9" fillId="9" borderId="10" xfId="0" applyFont="1" applyFill="1" applyBorder="1" applyAlignment="1">
      <alignment horizontal="center" vertical="center"/>
    </xf>
    <xf numFmtId="0" fontId="9" fillId="9" borderId="11" xfId="0" applyFont="1" applyFill="1" applyBorder="1" applyAlignment="1">
      <alignment horizontal="center" vertical="center"/>
    </xf>
    <xf numFmtId="0" fontId="9" fillId="9" borderId="12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/>
    </xf>
    <xf numFmtId="0" fontId="3" fillId="7" borderId="23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 wrapText="1"/>
    </xf>
    <xf numFmtId="164" fontId="3" fillId="7" borderId="16" xfId="0" applyNumberFormat="1" applyFont="1" applyFill="1" applyBorder="1" applyAlignment="1">
      <alignment horizontal="center" vertical="center"/>
    </xf>
    <xf numFmtId="164" fontId="4" fillId="2" borderId="25" xfId="1" applyNumberFormat="1" applyFont="1" applyFill="1" applyBorder="1" applyAlignment="1">
      <alignment horizontal="center" vertical="center"/>
    </xf>
    <xf numFmtId="164" fontId="4" fillId="2" borderId="26" xfId="1" applyNumberFormat="1" applyFont="1" applyFill="1" applyBorder="1" applyAlignment="1">
      <alignment horizontal="center" vertical="center"/>
    </xf>
    <xf numFmtId="164" fontId="4" fillId="2" borderId="26" xfId="0" applyNumberFormat="1" applyFont="1" applyFill="1" applyBorder="1" applyAlignment="1">
      <alignment horizontal="center" vertical="center"/>
    </xf>
    <xf numFmtId="164" fontId="3" fillId="7" borderId="27" xfId="0" applyNumberFormat="1" applyFont="1" applyFill="1" applyBorder="1" applyAlignment="1">
      <alignment horizontal="center" vertical="center"/>
    </xf>
    <xf numFmtId="164" fontId="4" fillId="2" borderId="18" xfId="1" applyNumberFormat="1" applyFont="1" applyFill="1" applyBorder="1" applyAlignment="1">
      <alignment horizontal="center" vertical="center"/>
    </xf>
    <xf numFmtId="164" fontId="4" fillId="2" borderId="28" xfId="1" applyNumberFormat="1" applyFont="1" applyFill="1" applyBorder="1" applyAlignment="1">
      <alignment horizontal="center" vertical="center"/>
    </xf>
    <xf numFmtId="164" fontId="4" fillId="2" borderId="28" xfId="0" applyNumberFormat="1" applyFont="1" applyFill="1" applyBorder="1" applyAlignment="1">
      <alignment horizontal="center" vertical="center"/>
    </xf>
    <xf numFmtId="0" fontId="3" fillId="7" borderId="16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9" xfId="0" applyFont="1" applyFill="1" applyBorder="1" applyAlignment="1">
      <alignment horizontal="center" vertical="center"/>
    </xf>
    <xf numFmtId="164" fontId="4" fillId="2" borderId="30" xfId="0" applyNumberFormat="1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164" fontId="4" fillId="2" borderId="31" xfId="0" applyNumberFormat="1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2" fillId="2" borderId="37" xfId="0" applyFont="1" applyFill="1" applyBorder="1" applyAlignment="1">
      <alignment horizontal="center" vertical="center"/>
    </xf>
    <xf numFmtId="164" fontId="3" fillId="2" borderId="38" xfId="0" applyNumberFormat="1" applyFont="1" applyFill="1" applyBorder="1" applyAlignment="1">
      <alignment horizontal="center" vertical="center"/>
    </xf>
    <xf numFmtId="164" fontId="3" fillId="2" borderId="22" xfId="0" applyNumberFormat="1" applyFont="1" applyFill="1" applyBorder="1" applyAlignment="1">
      <alignment horizontal="center" vertical="center"/>
    </xf>
    <xf numFmtId="164" fontId="3" fillId="2" borderId="39" xfId="0" applyNumberFormat="1" applyFont="1" applyFill="1" applyBorder="1" applyAlignment="1">
      <alignment horizontal="center" vertical="center"/>
    </xf>
    <xf numFmtId="164" fontId="3" fillId="2" borderId="34" xfId="0" applyNumberFormat="1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0" fontId="2" fillId="4" borderId="4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49" fontId="5" fillId="5" borderId="4" xfId="0" applyNumberFormat="1" applyFont="1" applyFill="1" applyBorder="1" applyAlignment="1">
      <alignment horizontal="center" vertical="center" wrapText="1"/>
    </xf>
    <xf numFmtId="0" fontId="15" fillId="2" borderId="0" xfId="0" applyFont="1" applyFill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5" fontId="0" fillId="0" borderId="0" xfId="1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12" fillId="2" borderId="43" xfId="0" applyFont="1" applyFill="1" applyBorder="1" applyAlignment="1">
      <alignment horizontal="center" vertical="center"/>
    </xf>
    <xf numFmtId="164" fontId="12" fillId="2" borderId="7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1" fontId="12" fillId="2" borderId="7" xfId="0" applyNumberFormat="1" applyFont="1" applyFill="1" applyBorder="1" applyAlignment="1">
      <alignment horizontal="center" vertical="center"/>
    </xf>
    <xf numFmtId="164" fontId="12" fillId="2" borderId="44" xfId="0" applyNumberFormat="1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164" fontId="10" fillId="2" borderId="4" xfId="0" applyNumberFormat="1" applyFont="1" applyFill="1" applyBorder="1" applyAlignment="1">
      <alignment horizontal="center" vertical="center"/>
    </xf>
    <xf numFmtId="0" fontId="10" fillId="0" borderId="4" xfId="0" applyFont="1" applyBorder="1" applyAlignment="1"/>
    <xf numFmtId="49" fontId="10" fillId="4" borderId="4" xfId="0" applyNumberFormat="1" applyFont="1" applyFill="1" applyBorder="1" applyAlignment="1"/>
    <xf numFmtId="49" fontId="9" fillId="5" borderId="5" xfId="0" applyNumberFormat="1" applyFont="1" applyFill="1" applyBorder="1" applyAlignment="1">
      <alignment horizontal="center" vertical="center" wrapText="1"/>
    </xf>
    <xf numFmtId="0" fontId="6" fillId="0" borderId="4" xfId="0" applyFont="1" applyBorder="1" applyAlignment="1"/>
    <xf numFmtId="0" fontId="3" fillId="2" borderId="1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7" borderId="13" xfId="0" applyFont="1" applyFill="1" applyBorder="1" applyAlignment="1">
      <alignment horizontal="center" vertical="center"/>
    </xf>
    <xf numFmtId="0" fontId="3" fillId="7" borderId="14" xfId="0" applyFont="1" applyFill="1" applyBorder="1" applyAlignment="1">
      <alignment horizontal="center" vertical="center"/>
    </xf>
    <xf numFmtId="0" fontId="3" fillId="7" borderId="15" xfId="0" applyFont="1" applyFill="1" applyBorder="1" applyAlignment="1">
      <alignment horizontal="center" vertical="center"/>
    </xf>
    <xf numFmtId="0" fontId="14" fillId="2" borderId="13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15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13" fillId="2" borderId="15" xfId="0" applyFont="1" applyFill="1" applyBorder="1" applyAlignment="1">
      <alignment horizontal="center" vertical="center"/>
    </xf>
    <xf numFmtId="0" fontId="7" fillId="0" borderId="14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6" fillId="0" borderId="5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scheme val="none"/>
      </font>
      <numFmt numFmtId="164" formatCode="0.0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scheme val="none"/>
      </font>
      <numFmt numFmtId="164" formatCode="0.0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/>
      </border>
    </dxf>
    <dxf>
      <border outline="0">
        <top style="thin">
          <color rgb="FF000000"/>
        </top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Bookman Old Style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4" name="Table245" displayName="Table245" ref="A2:F23" totalsRowShown="0" headerRowDxfId="12" headerRowBorderDxfId="11" tableBorderDxfId="10" totalsRowBorderDxfId="9">
  <autoFilter ref="A2:F23"/>
  <tableColumns count="6">
    <tableColumn id="1" name="S.NO" dataDxfId="8"/>
    <tableColumn id="2" name="RACK.NO" dataDxfId="7"/>
    <tableColumn id="6" name="SIDE"/>
    <tableColumn id="3" name="ITEM CODE" dataDxfId="6"/>
    <tableColumn id="4" name="NO.OF BUNDLE" dataDxfId="5">
      <calculatedColumnFormula>+#REF!</calculatedColumnFormula>
    </tableColumn>
    <tableColumn id="5" name="WEIGHT" dataDxfId="4">
      <calculatedColumnFormula>+#REF!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E952"/>
  <sheetViews>
    <sheetView zoomScale="85" zoomScaleNormal="85" workbookViewId="0">
      <selection activeCell="D94" sqref="D94"/>
    </sheetView>
  </sheetViews>
  <sheetFormatPr defaultColWidth="9.140625" defaultRowHeight="14.25" x14ac:dyDescent="0.25"/>
  <cols>
    <col min="1" max="1" width="18.7109375" style="1" customWidth="1"/>
    <col min="2" max="2" width="24.140625" style="6" customWidth="1"/>
    <col min="3" max="3" width="16.7109375" style="1" customWidth="1"/>
    <col min="4" max="4" width="29.7109375" style="6" customWidth="1"/>
    <col min="5" max="5" width="13.5703125" style="1" customWidth="1"/>
    <col min="6" max="7" width="9.140625" style="1"/>
    <col min="8" max="8" width="27.85546875" style="1" customWidth="1"/>
    <col min="9" max="14" width="9.140625" style="1"/>
    <col min="15" max="15" width="16.140625" style="1" customWidth="1"/>
    <col min="16" max="17" width="9.140625" style="1"/>
    <col min="18" max="18" width="21.5703125" style="1" bestFit="1" customWidth="1"/>
    <col min="19" max="16384" width="9.140625" style="1"/>
  </cols>
  <sheetData>
    <row r="1" spans="1:4" ht="20.25" customHeight="1" thickBot="1" x14ac:dyDescent="0.3">
      <c r="A1" s="83">
        <v>1</v>
      </c>
      <c r="B1" s="84"/>
      <c r="C1" s="84"/>
      <c r="D1" s="85"/>
    </row>
    <row r="2" spans="1:4" ht="17.25" customHeight="1" thickBot="1" x14ac:dyDescent="0.3">
      <c r="A2" s="80" t="s">
        <v>113</v>
      </c>
      <c r="B2" s="81"/>
      <c r="C2" s="81"/>
      <c r="D2" s="82"/>
    </row>
    <row r="3" spans="1:4" ht="17.25" customHeight="1" thickBot="1" x14ac:dyDescent="0.3">
      <c r="A3" s="80" t="s">
        <v>95</v>
      </c>
      <c r="B3" s="81"/>
      <c r="C3" s="81"/>
      <c r="D3" s="82"/>
    </row>
    <row r="4" spans="1:4" ht="17.25" customHeight="1" thickBot="1" x14ac:dyDescent="0.3">
      <c r="A4" s="26" t="s">
        <v>0</v>
      </c>
      <c r="B4" s="30" t="s">
        <v>1</v>
      </c>
      <c r="C4" s="38" t="s">
        <v>0</v>
      </c>
      <c r="D4" s="34" t="s">
        <v>1</v>
      </c>
    </row>
    <row r="5" spans="1:4" ht="18" x14ac:dyDescent="0.25">
      <c r="A5" s="27">
        <v>1</v>
      </c>
      <c r="B5" s="31"/>
      <c r="C5" s="39">
        <v>41</v>
      </c>
      <c r="D5" s="35"/>
    </row>
    <row r="6" spans="1:4" ht="18" x14ac:dyDescent="0.25">
      <c r="A6" s="28">
        <v>2</v>
      </c>
      <c r="B6" s="32"/>
      <c r="C6" s="40">
        <v>42</v>
      </c>
      <c r="D6" s="36"/>
    </row>
    <row r="7" spans="1:4" ht="18" x14ac:dyDescent="0.25">
      <c r="A7" s="28">
        <v>3</v>
      </c>
      <c r="B7" s="32"/>
      <c r="C7" s="40">
        <v>43</v>
      </c>
      <c r="D7" s="36"/>
    </row>
    <row r="8" spans="1:4" ht="18" x14ac:dyDescent="0.25">
      <c r="A8" s="28">
        <v>4</v>
      </c>
      <c r="B8" s="32"/>
      <c r="C8" s="40">
        <v>44</v>
      </c>
      <c r="D8" s="36"/>
    </row>
    <row r="9" spans="1:4" ht="18" x14ac:dyDescent="0.25">
      <c r="A9" s="28">
        <v>5</v>
      </c>
      <c r="B9" s="32"/>
      <c r="C9" s="40">
        <v>45</v>
      </c>
      <c r="D9" s="36"/>
    </row>
    <row r="10" spans="1:4" ht="18" x14ac:dyDescent="0.25">
      <c r="A10" s="28">
        <v>6</v>
      </c>
      <c r="B10" s="32"/>
      <c r="C10" s="40">
        <v>46</v>
      </c>
      <c r="D10" s="36"/>
    </row>
    <row r="11" spans="1:4" ht="18" x14ac:dyDescent="0.25">
      <c r="A11" s="28">
        <v>7</v>
      </c>
      <c r="B11" s="32"/>
      <c r="C11" s="40">
        <v>47</v>
      </c>
      <c r="D11" s="36"/>
    </row>
    <row r="12" spans="1:4" ht="18" x14ac:dyDescent="0.25">
      <c r="A12" s="28">
        <v>8</v>
      </c>
      <c r="B12" s="32"/>
      <c r="C12" s="40">
        <v>48</v>
      </c>
      <c r="D12" s="36"/>
    </row>
    <row r="13" spans="1:4" ht="18" x14ac:dyDescent="0.25">
      <c r="A13" s="28">
        <v>9</v>
      </c>
      <c r="B13" s="32"/>
      <c r="C13" s="40">
        <v>49</v>
      </c>
      <c r="D13" s="36"/>
    </row>
    <row r="14" spans="1:4" ht="18" x14ac:dyDescent="0.25">
      <c r="A14" s="28">
        <v>10</v>
      </c>
      <c r="B14" s="32"/>
      <c r="C14" s="40">
        <v>50</v>
      </c>
      <c r="D14" s="36"/>
    </row>
    <row r="15" spans="1:4" ht="18" x14ac:dyDescent="0.25">
      <c r="A15" s="28">
        <v>11</v>
      </c>
      <c r="B15" s="32"/>
      <c r="C15" s="40">
        <v>51</v>
      </c>
      <c r="D15" s="36"/>
    </row>
    <row r="16" spans="1:4" ht="18" x14ac:dyDescent="0.25">
      <c r="A16" s="28">
        <v>12</v>
      </c>
      <c r="B16" s="32"/>
      <c r="C16" s="40">
        <v>52</v>
      </c>
      <c r="D16" s="36"/>
    </row>
    <row r="17" spans="1:4" ht="18" x14ac:dyDescent="0.25">
      <c r="A17" s="28">
        <v>13</v>
      </c>
      <c r="B17" s="32"/>
      <c r="C17" s="40">
        <v>53</v>
      </c>
      <c r="D17" s="36"/>
    </row>
    <row r="18" spans="1:4" ht="18" x14ac:dyDescent="0.25">
      <c r="A18" s="28">
        <v>14</v>
      </c>
      <c r="B18" s="32"/>
      <c r="C18" s="40">
        <v>54</v>
      </c>
      <c r="D18" s="36"/>
    </row>
    <row r="19" spans="1:4" ht="18" x14ac:dyDescent="0.25">
      <c r="A19" s="28">
        <v>15</v>
      </c>
      <c r="B19" s="32"/>
      <c r="C19" s="40">
        <v>55</v>
      </c>
      <c r="D19" s="36"/>
    </row>
    <row r="20" spans="1:4" ht="18" x14ac:dyDescent="0.25">
      <c r="A20" s="28">
        <v>16</v>
      </c>
      <c r="B20" s="32"/>
      <c r="C20" s="40">
        <v>56</v>
      </c>
      <c r="D20" s="36"/>
    </row>
    <row r="21" spans="1:4" ht="18" x14ac:dyDescent="0.25">
      <c r="A21" s="28">
        <v>17</v>
      </c>
      <c r="B21" s="32"/>
      <c r="C21" s="40">
        <v>57</v>
      </c>
      <c r="D21" s="36"/>
    </row>
    <row r="22" spans="1:4" ht="18" x14ac:dyDescent="0.25">
      <c r="A22" s="28">
        <v>18</v>
      </c>
      <c r="B22" s="32"/>
      <c r="C22" s="40">
        <v>58</v>
      </c>
      <c r="D22" s="36"/>
    </row>
    <row r="23" spans="1:4" ht="18" x14ac:dyDescent="0.25">
      <c r="A23" s="28">
        <v>19</v>
      </c>
      <c r="B23" s="32"/>
      <c r="C23" s="40">
        <v>59</v>
      </c>
      <c r="D23" s="36"/>
    </row>
    <row r="24" spans="1:4" ht="18" x14ac:dyDescent="0.25">
      <c r="A24" s="28">
        <v>20</v>
      </c>
      <c r="B24" s="32"/>
      <c r="C24" s="40">
        <v>60</v>
      </c>
      <c r="D24" s="36"/>
    </row>
    <row r="25" spans="1:4" ht="18" x14ac:dyDescent="0.25">
      <c r="A25" s="28">
        <v>21</v>
      </c>
      <c r="B25" s="32"/>
      <c r="C25" s="40">
        <v>61</v>
      </c>
      <c r="D25" s="36"/>
    </row>
    <row r="26" spans="1:4" ht="18" x14ac:dyDescent="0.25">
      <c r="A26" s="28">
        <v>22</v>
      </c>
      <c r="B26" s="32"/>
      <c r="C26" s="40">
        <v>62</v>
      </c>
      <c r="D26" s="36"/>
    </row>
    <row r="27" spans="1:4" ht="18" x14ac:dyDescent="0.25">
      <c r="A27" s="28">
        <v>23</v>
      </c>
      <c r="B27" s="32"/>
      <c r="C27" s="40">
        <v>63</v>
      </c>
      <c r="D27" s="36"/>
    </row>
    <row r="28" spans="1:4" ht="18" x14ac:dyDescent="0.25">
      <c r="A28" s="28">
        <v>24</v>
      </c>
      <c r="B28" s="32"/>
      <c r="C28" s="40">
        <v>64</v>
      </c>
      <c r="D28" s="36"/>
    </row>
    <row r="29" spans="1:4" ht="18" x14ac:dyDescent="0.25">
      <c r="A29" s="28">
        <v>25</v>
      </c>
      <c r="B29" s="32"/>
      <c r="C29" s="40">
        <v>65</v>
      </c>
      <c r="D29" s="36"/>
    </row>
    <row r="30" spans="1:4" ht="18" x14ac:dyDescent="0.25">
      <c r="A30" s="28">
        <v>26</v>
      </c>
      <c r="B30" s="32"/>
      <c r="C30" s="40">
        <v>66</v>
      </c>
      <c r="D30" s="36"/>
    </row>
    <row r="31" spans="1:4" ht="18" x14ac:dyDescent="0.25">
      <c r="A31" s="28">
        <v>27</v>
      </c>
      <c r="B31" s="32"/>
      <c r="C31" s="40">
        <v>67</v>
      </c>
      <c r="D31" s="36"/>
    </row>
    <row r="32" spans="1:4" ht="18" x14ac:dyDescent="0.25">
      <c r="A32" s="28">
        <v>28</v>
      </c>
      <c r="B32" s="32"/>
      <c r="C32" s="40">
        <v>68</v>
      </c>
      <c r="D32" s="36"/>
    </row>
    <row r="33" spans="1:4" ht="18" x14ac:dyDescent="0.25">
      <c r="A33" s="28">
        <v>29</v>
      </c>
      <c r="B33" s="32"/>
      <c r="C33" s="40">
        <v>69</v>
      </c>
      <c r="D33" s="36"/>
    </row>
    <row r="34" spans="1:4" ht="18" x14ac:dyDescent="0.25">
      <c r="A34" s="28">
        <v>30</v>
      </c>
      <c r="B34" s="32"/>
      <c r="C34" s="40">
        <v>70</v>
      </c>
      <c r="D34" s="36"/>
    </row>
    <row r="35" spans="1:4" ht="18" x14ac:dyDescent="0.25">
      <c r="A35" s="28">
        <v>31</v>
      </c>
      <c r="B35" s="32"/>
      <c r="C35" s="40">
        <v>71</v>
      </c>
      <c r="D35" s="36"/>
    </row>
    <row r="36" spans="1:4" ht="18" x14ac:dyDescent="0.25">
      <c r="A36" s="28">
        <v>32</v>
      </c>
      <c r="B36" s="32"/>
      <c r="C36" s="40">
        <v>72</v>
      </c>
      <c r="D36" s="36"/>
    </row>
    <row r="37" spans="1:4" ht="18" x14ac:dyDescent="0.25">
      <c r="A37" s="28">
        <v>33</v>
      </c>
      <c r="B37" s="32"/>
      <c r="C37" s="40">
        <v>73</v>
      </c>
      <c r="D37" s="36"/>
    </row>
    <row r="38" spans="1:4" ht="18" x14ac:dyDescent="0.25">
      <c r="A38" s="28">
        <v>34</v>
      </c>
      <c r="B38" s="33"/>
      <c r="C38" s="40">
        <v>74</v>
      </c>
      <c r="D38" s="36"/>
    </row>
    <row r="39" spans="1:4" ht="18" x14ac:dyDescent="0.25">
      <c r="A39" s="29">
        <v>35</v>
      </c>
      <c r="B39" s="33"/>
      <c r="C39" s="40">
        <v>75</v>
      </c>
      <c r="D39" s="36"/>
    </row>
    <row r="40" spans="1:4" ht="18" x14ac:dyDescent="0.25">
      <c r="A40" s="28">
        <v>36</v>
      </c>
      <c r="B40" s="33"/>
      <c r="C40" s="40">
        <v>76</v>
      </c>
      <c r="D40" s="36"/>
    </row>
    <row r="41" spans="1:4" ht="18" x14ac:dyDescent="0.25">
      <c r="A41" s="28">
        <v>37</v>
      </c>
      <c r="B41" s="33"/>
      <c r="C41" s="40">
        <v>77</v>
      </c>
      <c r="D41" s="37"/>
    </row>
    <row r="42" spans="1:4" ht="18" x14ac:dyDescent="0.25">
      <c r="A42" s="28">
        <v>38</v>
      </c>
      <c r="B42" s="33"/>
      <c r="C42" s="40">
        <v>78</v>
      </c>
      <c r="D42" s="37"/>
    </row>
    <row r="43" spans="1:4" ht="18" x14ac:dyDescent="0.25">
      <c r="A43" s="28">
        <v>39</v>
      </c>
      <c r="B43" s="33"/>
      <c r="C43" s="40">
        <v>79</v>
      </c>
      <c r="D43" s="37"/>
    </row>
    <row r="44" spans="1:4" ht="18.75" thickBot="1" x14ac:dyDescent="0.3">
      <c r="A44" s="41">
        <v>40</v>
      </c>
      <c r="B44" s="42"/>
      <c r="C44" s="43">
        <v>80</v>
      </c>
      <c r="D44" s="44"/>
    </row>
    <row r="45" spans="1:4" ht="18.75" thickBot="1" x14ac:dyDescent="0.3">
      <c r="A45" s="45" t="s">
        <v>2</v>
      </c>
      <c r="B45" s="51">
        <f>SUM(B5:B44)</f>
        <v>0</v>
      </c>
      <c r="C45" s="52" t="s">
        <v>2</v>
      </c>
      <c r="D45" s="48">
        <f>SUM(D5:D44)</f>
        <v>0</v>
      </c>
    </row>
    <row r="46" spans="1:4" ht="18" x14ac:dyDescent="0.25">
      <c r="A46" s="46"/>
      <c r="B46" s="86" t="s">
        <v>3</v>
      </c>
      <c r="C46" s="87"/>
      <c r="D46" s="49">
        <f>COUNT(B5:B44)+COUNT(D5:D44)</f>
        <v>0</v>
      </c>
    </row>
    <row r="47" spans="1:4" ht="18.75" thickBot="1" x14ac:dyDescent="0.3">
      <c r="A47" s="47"/>
      <c r="B47" s="78" t="s">
        <v>4</v>
      </c>
      <c r="C47" s="79"/>
      <c r="D47" s="50">
        <f>+D45+B45</f>
        <v>0</v>
      </c>
    </row>
    <row r="48" spans="1:4" ht="48.6" customHeight="1" thickBot="1" x14ac:dyDescent="0.3">
      <c r="A48" s="83">
        <v>2</v>
      </c>
      <c r="B48" s="84"/>
      <c r="C48" s="84"/>
      <c r="D48" s="85"/>
    </row>
    <row r="49" spans="1:4" ht="18.75" thickBot="1" x14ac:dyDescent="0.3">
      <c r="A49" s="80" t="s">
        <v>114</v>
      </c>
      <c r="B49" s="81"/>
      <c r="C49" s="81"/>
      <c r="D49" s="82"/>
    </row>
    <row r="50" spans="1:4" ht="18.75" thickBot="1" x14ac:dyDescent="0.3">
      <c r="A50" s="80" t="s">
        <v>97</v>
      </c>
      <c r="B50" s="81"/>
      <c r="C50" s="81"/>
      <c r="D50" s="82"/>
    </row>
    <row r="51" spans="1:4" ht="18.75" thickBot="1" x14ac:dyDescent="0.3">
      <c r="A51" s="26" t="s">
        <v>0</v>
      </c>
      <c r="B51" s="30" t="s">
        <v>1</v>
      </c>
      <c r="C51" s="38" t="s">
        <v>0</v>
      </c>
      <c r="D51" s="34" t="s">
        <v>1</v>
      </c>
    </row>
    <row r="52" spans="1:4" ht="18" x14ac:dyDescent="0.25">
      <c r="A52" s="27">
        <v>1</v>
      </c>
      <c r="B52" s="31"/>
      <c r="C52" s="39">
        <v>41</v>
      </c>
      <c r="D52" s="35"/>
    </row>
    <row r="53" spans="1:4" ht="18" x14ac:dyDescent="0.25">
      <c r="A53" s="28">
        <v>2</v>
      </c>
      <c r="B53" s="32"/>
      <c r="C53" s="40">
        <v>42</v>
      </c>
      <c r="D53" s="36"/>
    </row>
    <row r="54" spans="1:4" ht="18" x14ac:dyDescent="0.25">
      <c r="A54" s="28">
        <v>3</v>
      </c>
      <c r="B54" s="32"/>
      <c r="C54" s="40">
        <v>43</v>
      </c>
      <c r="D54" s="36"/>
    </row>
    <row r="55" spans="1:4" ht="18" x14ac:dyDescent="0.25">
      <c r="A55" s="28">
        <v>4</v>
      </c>
      <c r="B55" s="32"/>
      <c r="C55" s="40">
        <v>44</v>
      </c>
      <c r="D55" s="36"/>
    </row>
    <row r="56" spans="1:4" ht="18" x14ac:dyDescent="0.25">
      <c r="A56" s="28">
        <v>5</v>
      </c>
      <c r="B56" s="32"/>
      <c r="C56" s="40">
        <v>45</v>
      </c>
      <c r="D56" s="36"/>
    </row>
    <row r="57" spans="1:4" ht="18" x14ac:dyDescent="0.25">
      <c r="A57" s="28">
        <v>6</v>
      </c>
      <c r="B57" s="32"/>
      <c r="C57" s="40">
        <v>46</v>
      </c>
      <c r="D57" s="36"/>
    </row>
    <row r="58" spans="1:4" ht="18" x14ac:dyDescent="0.25">
      <c r="A58" s="28">
        <v>7</v>
      </c>
      <c r="B58" s="32"/>
      <c r="C58" s="40">
        <v>47</v>
      </c>
      <c r="D58" s="36"/>
    </row>
    <row r="59" spans="1:4" ht="18" x14ac:dyDescent="0.25">
      <c r="A59" s="28">
        <v>8</v>
      </c>
      <c r="B59" s="32"/>
      <c r="C59" s="40">
        <v>48</v>
      </c>
      <c r="D59" s="36"/>
    </row>
    <row r="60" spans="1:4" ht="18" x14ac:dyDescent="0.25">
      <c r="A60" s="28">
        <v>9</v>
      </c>
      <c r="B60" s="32"/>
      <c r="C60" s="40">
        <v>49</v>
      </c>
      <c r="D60" s="36"/>
    </row>
    <row r="61" spans="1:4" ht="18" x14ac:dyDescent="0.25">
      <c r="A61" s="28">
        <v>10</v>
      </c>
      <c r="B61" s="32"/>
      <c r="C61" s="40">
        <v>50</v>
      </c>
      <c r="D61" s="36"/>
    </row>
    <row r="62" spans="1:4" ht="18" x14ac:dyDescent="0.25">
      <c r="A62" s="28">
        <v>11</v>
      </c>
      <c r="B62" s="32"/>
      <c r="C62" s="40">
        <v>51</v>
      </c>
      <c r="D62" s="36"/>
    </row>
    <row r="63" spans="1:4" ht="18" x14ac:dyDescent="0.25">
      <c r="A63" s="28">
        <v>12</v>
      </c>
      <c r="B63" s="32"/>
      <c r="C63" s="40">
        <v>52</v>
      </c>
      <c r="D63" s="36"/>
    </row>
    <row r="64" spans="1:4" ht="18" x14ac:dyDescent="0.25">
      <c r="A64" s="28">
        <v>13</v>
      </c>
      <c r="B64" s="32"/>
      <c r="C64" s="40">
        <v>53</v>
      </c>
      <c r="D64" s="36"/>
    </row>
    <row r="65" spans="1:4" ht="18" x14ac:dyDescent="0.25">
      <c r="A65" s="28">
        <v>14</v>
      </c>
      <c r="B65" s="32"/>
      <c r="C65" s="40">
        <v>54</v>
      </c>
      <c r="D65" s="36"/>
    </row>
    <row r="66" spans="1:4" ht="18" x14ac:dyDescent="0.25">
      <c r="A66" s="28">
        <v>15</v>
      </c>
      <c r="B66" s="32"/>
      <c r="C66" s="40">
        <v>55</v>
      </c>
      <c r="D66" s="36"/>
    </row>
    <row r="67" spans="1:4" ht="18" x14ac:dyDescent="0.25">
      <c r="A67" s="28">
        <v>16</v>
      </c>
      <c r="B67" s="32"/>
      <c r="C67" s="40">
        <v>56</v>
      </c>
      <c r="D67" s="36"/>
    </row>
    <row r="68" spans="1:4" ht="18" x14ac:dyDescent="0.25">
      <c r="A68" s="28">
        <v>17</v>
      </c>
      <c r="B68" s="32"/>
      <c r="C68" s="40">
        <v>57</v>
      </c>
      <c r="D68" s="36"/>
    </row>
    <row r="69" spans="1:4" ht="18" x14ac:dyDescent="0.25">
      <c r="A69" s="28">
        <v>18</v>
      </c>
      <c r="B69" s="32"/>
      <c r="C69" s="40">
        <v>58</v>
      </c>
      <c r="D69" s="36"/>
    </row>
    <row r="70" spans="1:4" ht="18" x14ac:dyDescent="0.25">
      <c r="A70" s="28">
        <v>19</v>
      </c>
      <c r="B70" s="32"/>
      <c r="C70" s="40">
        <v>59</v>
      </c>
      <c r="D70" s="36"/>
    </row>
    <row r="71" spans="1:4" ht="18" x14ac:dyDescent="0.25">
      <c r="A71" s="28">
        <v>20</v>
      </c>
      <c r="B71" s="32"/>
      <c r="C71" s="40">
        <v>60</v>
      </c>
      <c r="D71" s="36"/>
    </row>
    <row r="72" spans="1:4" ht="18" x14ac:dyDescent="0.25">
      <c r="A72" s="28">
        <v>21</v>
      </c>
      <c r="B72" s="32"/>
      <c r="C72" s="40">
        <v>61</v>
      </c>
      <c r="D72" s="36"/>
    </row>
    <row r="73" spans="1:4" ht="18" x14ac:dyDescent="0.25">
      <c r="A73" s="28">
        <v>22</v>
      </c>
      <c r="B73" s="32"/>
      <c r="C73" s="40">
        <v>62</v>
      </c>
      <c r="D73" s="36"/>
    </row>
    <row r="74" spans="1:4" ht="18" x14ac:dyDescent="0.25">
      <c r="A74" s="28">
        <v>23</v>
      </c>
      <c r="B74" s="32"/>
      <c r="C74" s="40">
        <v>63</v>
      </c>
      <c r="D74" s="36"/>
    </row>
    <row r="75" spans="1:4" ht="18" x14ac:dyDescent="0.25">
      <c r="A75" s="28">
        <v>24</v>
      </c>
      <c r="B75" s="32"/>
      <c r="C75" s="40">
        <v>64</v>
      </c>
      <c r="D75" s="36"/>
    </row>
    <row r="76" spans="1:4" ht="18" x14ac:dyDescent="0.25">
      <c r="A76" s="28">
        <v>25</v>
      </c>
      <c r="B76" s="32"/>
      <c r="C76" s="40">
        <v>65</v>
      </c>
      <c r="D76" s="36"/>
    </row>
    <row r="77" spans="1:4" ht="18" x14ac:dyDescent="0.25">
      <c r="A77" s="28">
        <v>26</v>
      </c>
      <c r="B77" s="32"/>
      <c r="C77" s="40">
        <v>66</v>
      </c>
      <c r="D77" s="36"/>
    </row>
    <row r="78" spans="1:4" ht="18" x14ac:dyDescent="0.25">
      <c r="A78" s="28">
        <v>27</v>
      </c>
      <c r="B78" s="32"/>
      <c r="C78" s="40">
        <v>67</v>
      </c>
      <c r="D78" s="36"/>
    </row>
    <row r="79" spans="1:4" ht="18" x14ac:dyDescent="0.25">
      <c r="A79" s="28">
        <v>28</v>
      </c>
      <c r="B79" s="32"/>
      <c r="C79" s="40">
        <v>68</v>
      </c>
      <c r="D79" s="36"/>
    </row>
    <row r="80" spans="1:4" ht="18" x14ac:dyDescent="0.25">
      <c r="A80" s="28">
        <v>29</v>
      </c>
      <c r="B80" s="32"/>
      <c r="C80" s="40">
        <v>69</v>
      </c>
      <c r="D80" s="36"/>
    </row>
    <row r="81" spans="1:4" ht="18" x14ac:dyDescent="0.25">
      <c r="A81" s="28">
        <v>30</v>
      </c>
      <c r="B81" s="32"/>
      <c r="C81" s="40">
        <v>70</v>
      </c>
      <c r="D81" s="36"/>
    </row>
    <row r="82" spans="1:4" ht="18" x14ac:dyDescent="0.25">
      <c r="A82" s="28">
        <v>31</v>
      </c>
      <c r="B82" s="32"/>
      <c r="C82" s="40">
        <v>71</v>
      </c>
      <c r="D82" s="36"/>
    </row>
    <row r="83" spans="1:4" ht="18" x14ac:dyDescent="0.25">
      <c r="A83" s="28">
        <v>32</v>
      </c>
      <c r="B83" s="32"/>
      <c r="C83" s="40">
        <v>72</v>
      </c>
      <c r="D83" s="36"/>
    </row>
    <row r="84" spans="1:4" ht="18" x14ac:dyDescent="0.25">
      <c r="A84" s="28">
        <v>33</v>
      </c>
      <c r="B84" s="32"/>
      <c r="C84" s="40">
        <v>73</v>
      </c>
      <c r="D84" s="36"/>
    </row>
    <row r="85" spans="1:4" ht="18" x14ac:dyDescent="0.25">
      <c r="A85" s="28">
        <v>34</v>
      </c>
      <c r="B85" s="33"/>
      <c r="C85" s="40">
        <v>74</v>
      </c>
      <c r="D85" s="36"/>
    </row>
    <row r="86" spans="1:4" ht="18" x14ac:dyDescent="0.25">
      <c r="A86" s="29">
        <v>35</v>
      </c>
      <c r="B86" s="33"/>
      <c r="C86" s="40">
        <v>75</v>
      </c>
      <c r="D86" s="36"/>
    </row>
    <row r="87" spans="1:4" ht="18" x14ac:dyDescent="0.25">
      <c r="A87" s="28">
        <v>36</v>
      </c>
      <c r="B87" s="33"/>
      <c r="C87" s="40">
        <v>76</v>
      </c>
      <c r="D87" s="36"/>
    </row>
    <row r="88" spans="1:4" ht="18" x14ac:dyDescent="0.25">
      <c r="A88" s="28">
        <v>37</v>
      </c>
      <c r="B88" s="33"/>
      <c r="C88" s="40">
        <v>77</v>
      </c>
      <c r="D88" s="37"/>
    </row>
    <row r="89" spans="1:4" ht="18" x14ac:dyDescent="0.25">
      <c r="A89" s="28">
        <v>38</v>
      </c>
      <c r="B89" s="33"/>
      <c r="C89" s="40">
        <v>78</v>
      </c>
      <c r="D89" s="37"/>
    </row>
    <row r="90" spans="1:4" ht="18" x14ac:dyDescent="0.25">
      <c r="A90" s="28">
        <v>39</v>
      </c>
      <c r="B90" s="33"/>
      <c r="C90" s="40">
        <v>79</v>
      </c>
      <c r="D90" s="37"/>
    </row>
    <row r="91" spans="1:4" ht="18.75" thickBot="1" x14ac:dyDescent="0.3">
      <c r="A91" s="41">
        <v>40</v>
      </c>
      <c r="B91" s="42"/>
      <c r="C91" s="43">
        <v>80</v>
      </c>
      <c r="D91" s="44"/>
    </row>
    <row r="92" spans="1:4" ht="18.75" thickBot="1" x14ac:dyDescent="0.3">
      <c r="A92" s="45" t="s">
        <v>2</v>
      </c>
      <c r="B92" s="51">
        <f>SUM(B52:B91)</f>
        <v>0</v>
      </c>
      <c r="C92" s="52" t="s">
        <v>2</v>
      </c>
      <c r="D92" s="48">
        <f>SUM(D52:D91)</f>
        <v>0</v>
      </c>
    </row>
    <row r="93" spans="1:4" ht="18" x14ac:dyDescent="0.25">
      <c r="A93" s="46"/>
      <c r="B93" s="86" t="s">
        <v>3</v>
      </c>
      <c r="C93" s="87"/>
      <c r="D93" s="49">
        <f>COUNT(B52:B91)+COUNT(D52:D91)</f>
        <v>0</v>
      </c>
    </row>
    <row r="94" spans="1:4" ht="18.75" thickBot="1" x14ac:dyDescent="0.3">
      <c r="A94" s="47"/>
      <c r="B94" s="78" t="s">
        <v>4</v>
      </c>
      <c r="C94" s="79"/>
      <c r="D94" s="50">
        <f>+D92+B92</f>
        <v>0</v>
      </c>
    </row>
    <row r="95" spans="1:4" ht="31.15" customHeight="1" thickBot="1" x14ac:dyDescent="0.3">
      <c r="A95" s="83">
        <v>3</v>
      </c>
      <c r="B95" s="84"/>
      <c r="C95" s="84"/>
      <c r="D95" s="85"/>
    </row>
    <row r="96" spans="1:4" ht="18.75" thickBot="1" x14ac:dyDescent="0.3">
      <c r="A96" s="80" t="s">
        <v>115</v>
      </c>
      <c r="B96" s="81"/>
      <c r="C96" s="81"/>
      <c r="D96" s="82"/>
    </row>
    <row r="97" spans="1:4" ht="18.75" thickBot="1" x14ac:dyDescent="0.3">
      <c r="A97" s="80" t="s">
        <v>97</v>
      </c>
      <c r="B97" s="81"/>
      <c r="C97" s="81"/>
      <c r="D97" s="82"/>
    </row>
    <row r="98" spans="1:4" ht="18.75" thickBot="1" x14ac:dyDescent="0.3">
      <c r="A98" s="26" t="s">
        <v>0</v>
      </c>
      <c r="B98" s="30" t="s">
        <v>1</v>
      </c>
      <c r="C98" s="38" t="s">
        <v>0</v>
      </c>
      <c r="D98" s="34" t="s">
        <v>1</v>
      </c>
    </row>
    <row r="99" spans="1:4" ht="18" x14ac:dyDescent="0.25">
      <c r="A99" s="27">
        <v>1</v>
      </c>
      <c r="B99" s="31"/>
      <c r="C99" s="39">
        <v>41</v>
      </c>
      <c r="D99" s="35"/>
    </row>
    <row r="100" spans="1:4" ht="18" x14ac:dyDescent="0.25">
      <c r="A100" s="28">
        <v>2</v>
      </c>
      <c r="B100" s="32"/>
      <c r="C100" s="40">
        <v>42</v>
      </c>
      <c r="D100" s="36"/>
    </row>
    <row r="101" spans="1:4" ht="18" x14ac:dyDescent="0.25">
      <c r="A101" s="28">
        <v>3</v>
      </c>
      <c r="B101" s="32"/>
      <c r="C101" s="40">
        <v>43</v>
      </c>
      <c r="D101" s="36"/>
    </row>
    <row r="102" spans="1:4" ht="18" x14ac:dyDescent="0.25">
      <c r="A102" s="28">
        <v>4</v>
      </c>
      <c r="B102" s="32"/>
      <c r="C102" s="40">
        <v>44</v>
      </c>
      <c r="D102" s="36"/>
    </row>
    <row r="103" spans="1:4" ht="18" x14ac:dyDescent="0.25">
      <c r="A103" s="28">
        <v>5</v>
      </c>
      <c r="B103" s="32"/>
      <c r="C103" s="40">
        <v>45</v>
      </c>
      <c r="D103" s="36"/>
    </row>
    <row r="104" spans="1:4" ht="18" x14ac:dyDescent="0.25">
      <c r="A104" s="28">
        <v>6</v>
      </c>
      <c r="B104" s="32"/>
      <c r="C104" s="40">
        <v>46</v>
      </c>
      <c r="D104" s="36"/>
    </row>
    <row r="105" spans="1:4" ht="18" x14ac:dyDescent="0.25">
      <c r="A105" s="28">
        <v>7</v>
      </c>
      <c r="B105" s="32"/>
      <c r="C105" s="40">
        <v>47</v>
      </c>
      <c r="D105" s="36"/>
    </row>
    <row r="106" spans="1:4" ht="18" x14ac:dyDescent="0.25">
      <c r="A106" s="28">
        <v>8</v>
      </c>
      <c r="B106" s="32"/>
      <c r="C106" s="40">
        <v>48</v>
      </c>
      <c r="D106" s="36"/>
    </row>
    <row r="107" spans="1:4" ht="18" x14ac:dyDescent="0.25">
      <c r="A107" s="28">
        <v>9</v>
      </c>
      <c r="B107" s="32"/>
      <c r="C107" s="40">
        <v>49</v>
      </c>
      <c r="D107" s="36"/>
    </row>
    <row r="108" spans="1:4" ht="18" x14ac:dyDescent="0.25">
      <c r="A108" s="28">
        <v>10</v>
      </c>
      <c r="B108" s="32"/>
      <c r="C108" s="40">
        <v>50</v>
      </c>
      <c r="D108" s="36"/>
    </row>
    <row r="109" spans="1:4" ht="18" x14ac:dyDescent="0.25">
      <c r="A109" s="28">
        <v>11</v>
      </c>
      <c r="B109" s="32"/>
      <c r="C109" s="40">
        <v>51</v>
      </c>
      <c r="D109" s="36"/>
    </row>
    <row r="110" spans="1:4" ht="18" x14ac:dyDescent="0.25">
      <c r="A110" s="28">
        <v>12</v>
      </c>
      <c r="B110" s="32"/>
      <c r="C110" s="40">
        <v>52</v>
      </c>
      <c r="D110" s="36"/>
    </row>
    <row r="111" spans="1:4" ht="18" x14ac:dyDescent="0.25">
      <c r="A111" s="28">
        <v>13</v>
      </c>
      <c r="B111" s="32"/>
      <c r="C111" s="40">
        <v>53</v>
      </c>
      <c r="D111" s="36"/>
    </row>
    <row r="112" spans="1:4" ht="18" x14ac:dyDescent="0.25">
      <c r="A112" s="28">
        <v>14</v>
      </c>
      <c r="B112" s="32"/>
      <c r="C112" s="40">
        <v>54</v>
      </c>
      <c r="D112" s="36"/>
    </row>
    <row r="113" spans="1:4" ht="18" x14ac:dyDescent="0.25">
      <c r="A113" s="28">
        <v>15</v>
      </c>
      <c r="B113" s="32"/>
      <c r="C113" s="40">
        <v>55</v>
      </c>
      <c r="D113" s="36"/>
    </row>
    <row r="114" spans="1:4" ht="18" x14ac:dyDescent="0.25">
      <c r="A114" s="28">
        <v>16</v>
      </c>
      <c r="B114" s="32"/>
      <c r="C114" s="40">
        <v>56</v>
      </c>
      <c r="D114" s="36"/>
    </row>
    <row r="115" spans="1:4" ht="18" x14ac:dyDescent="0.25">
      <c r="A115" s="28">
        <v>17</v>
      </c>
      <c r="B115" s="32"/>
      <c r="C115" s="40">
        <v>57</v>
      </c>
      <c r="D115" s="36"/>
    </row>
    <row r="116" spans="1:4" ht="18" x14ac:dyDescent="0.25">
      <c r="A116" s="28">
        <v>18</v>
      </c>
      <c r="B116" s="32"/>
      <c r="C116" s="40">
        <v>58</v>
      </c>
      <c r="D116" s="36"/>
    </row>
    <row r="117" spans="1:4" ht="18" x14ac:dyDescent="0.25">
      <c r="A117" s="28">
        <v>19</v>
      </c>
      <c r="B117" s="32"/>
      <c r="C117" s="40">
        <v>59</v>
      </c>
      <c r="D117" s="36"/>
    </row>
    <row r="118" spans="1:4" ht="18" x14ac:dyDescent="0.25">
      <c r="A118" s="28">
        <v>20</v>
      </c>
      <c r="B118" s="32"/>
      <c r="C118" s="40">
        <v>60</v>
      </c>
      <c r="D118" s="36"/>
    </row>
    <row r="119" spans="1:4" ht="18" x14ac:dyDescent="0.25">
      <c r="A119" s="28">
        <v>21</v>
      </c>
      <c r="B119" s="32"/>
      <c r="C119" s="40">
        <v>61</v>
      </c>
      <c r="D119" s="36"/>
    </row>
    <row r="120" spans="1:4" ht="18" x14ac:dyDescent="0.25">
      <c r="A120" s="28">
        <v>22</v>
      </c>
      <c r="B120" s="32"/>
      <c r="C120" s="40">
        <v>62</v>
      </c>
      <c r="D120" s="36"/>
    </row>
    <row r="121" spans="1:4" ht="18" x14ac:dyDescent="0.25">
      <c r="A121" s="28">
        <v>23</v>
      </c>
      <c r="B121" s="32"/>
      <c r="C121" s="40">
        <v>63</v>
      </c>
      <c r="D121" s="36"/>
    </row>
    <row r="122" spans="1:4" ht="18" x14ac:dyDescent="0.25">
      <c r="A122" s="28">
        <v>24</v>
      </c>
      <c r="B122" s="32"/>
      <c r="C122" s="40">
        <v>64</v>
      </c>
      <c r="D122" s="36"/>
    </row>
    <row r="123" spans="1:4" ht="18" x14ac:dyDescent="0.25">
      <c r="A123" s="28">
        <v>25</v>
      </c>
      <c r="B123" s="32"/>
      <c r="C123" s="40">
        <v>65</v>
      </c>
      <c r="D123" s="36"/>
    </row>
    <row r="124" spans="1:4" ht="18" x14ac:dyDescent="0.25">
      <c r="A124" s="28">
        <v>26</v>
      </c>
      <c r="B124" s="32"/>
      <c r="C124" s="40">
        <v>66</v>
      </c>
      <c r="D124" s="36"/>
    </row>
    <row r="125" spans="1:4" ht="18" x14ac:dyDescent="0.25">
      <c r="A125" s="28">
        <v>27</v>
      </c>
      <c r="B125" s="32"/>
      <c r="C125" s="40">
        <v>67</v>
      </c>
      <c r="D125" s="36"/>
    </row>
    <row r="126" spans="1:4" ht="18" x14ac:dyDescent="0.25">
      <c r="A126" s="28">
        <v>28</v>
      </c>
      <c r="B126" s="32"/>
      <c r="C126" s="40">
        <v>68</v>
      </c>
      <c r="D126" s="36"/>
    </row>
    <row r="127" spans="1:4" ht="18" x14ac:dyDescent="0.25">
      <c r="A127" s="28">
        <v>29</v>
      </c>
      <c r="B127" s="32"/>
      <c r="C127" s="40">
        <v>69</v>
      </c>
      <c r="D127" s="36"/>
    </row>
    <row r="128" spans="1:4" ht="18" x14ac:dyDescent="0.25">
      <c r="A128" s="28">
        <v>30</v>
      </c>
      <c r="B128" s="32"/>
      <c r="C128" s="40">
        <v>70</v>
      </c>
      <c r="D128" s="36"/>
    </row>
    <row r="129" spans="1:4" ht="18" x14ac:dyDescent="0.25">
      <c r="A129" s="28">
        <v>31</v>
      </c>
      <c r="B129" s="32"/>
      <c r="C129" s="40">
        <v>71</v>
      </c>
      <c r="D129" s="36"/>
    </row>
    <row r="130" spans="1:4" ht="18" x14ac:dyDescent="0.25">
      <c r="A130" s="28">
        <v>32</v>
      </c>
      <c r="B130" s="32"/>
      <c r="C130" s="40">
        <v>72</v>
      </c>
      <c r="D130" s="36"/>
    </row>
    <row r="131" spans="1:4" ht="18" x14ac:dyDescent="0.25">
      <c r="A131" s="28">
        <v>33</v>
      </c>
      <c r="B131" s="32"/>
      <c r="C131" s="40">
        <v>73</v>
      </c>
      <c r="D131" s="36"/>
    </row>
    <row r="132" spans="1:4" ht="18" x14ac:dyDescent="0.25">
      <c r="A132" s="28">
        <v>34</v>
      </c>
      <c r="B132" s="33"/>
      <c r="C132" s="40">
        <v>74</v>
      </c>
      <c r="D132" s="36"/>
    </row>
    <row r="133" spans="1:4" ht="18" x14ac:dyDescent="0.25">
      <c r="A133" s="29">
        <v>35</v>
      </c>
      <c r="B133" s="33"/>
      <c r="C133" s="40">
        <v>75</v>
      </c>
      <c r="D133" s="36"/>
    </row>
    <row r="134" spans="1:4" ht="18" x14ac:dyDescent="0.25">
      <c r="A134" s="28">
        <v>36</v>
      </c>
      <c r="B134" s="33"/>
      <c r="C134" s="40">
        <v>76</v>
      </c>
      <c r="D134" s="36"/>
    </row>
    <row r="135" spans="1:4" ht="18" x14ac:dyDescent="0.25">
      <c r="A135" s="28">
        <v>37</v>
      </c>
      <c r="B135" s="33"/>
      <c r="C135" s="40">
        <v>77</v>
      </c>
      <c r="D135" s="37"/>
    </row>
    <row r="136" spans="1:4" ht="18" x14ac:dyDescent="0.25">
      <c r="A136" s="28">
        <v>38</v>
      </c>
      <c r="B136" s="33"/>
      <c r="C136" s="40">
        <v>78</v>
      </c>
      <c r="D136" s="37"/>
    </row>
    <row r="137" spans="1:4" ht="18" x14ac:dyDescent="0.25">
      <c r="A137" s="28">
        <v>39</v>
      </c>
      <c r="B137" s="33"/>
      <c r="C137" s="40">
        <v>79</v>
      </c>
      <c r="D137" s="37"/>
    </row>
    <row r="138" spans="1:4" ht="18.75" thickBot="1" x14ac:dyDescent="0.3">
      <c r="A138" s="41">
        <v>40</v>
      </c>
      <c r="B138" s="42"/>
      <c r="C138" s="43">
        <v>80</v>
      </c>
      <c r="D138" s="44"/>
    </row>
    <row r="139" spans="1:4" ht="18.75" thickBot="1" x14ac:dyDescent="0.3">
      <c r="A139" s="45" t="s">
        <v>2</v>
      </c>
      <c r="B139" s="51">
        <f>SUM(B99:B138)</f>
        <v>0</v>
      </c>
      <c r="C139" s="52" t="s">
        <v>2</v>
      </c>
      <c r="D139" s="48">
        <f>SUM(D99:D138)</f>
        <v>0</v>
      </c>
    </row>
    <row r="140" spans="1:4" ht="18" x14ac:dyDescent="0.25">
      <c r="A140" s="46"/>
      <c r="B140" s="86" t="s">
        <v>3</v>
      </c>
      <c r="C140" s="87"/>
      <c r="D140" s="49">
        <f>COUNT(B99:B138)+COUNT(D99:D138)</f>
        <v>0</v>
      </c>
    </row>
    <row r="141" spans="1:4" ht="18.75" thickBot="1" x14ac:dyDescent="0.3">
      <c r="A141" s="47"/>
      <c r="B141" s="78" t="s">
        <v>4</v>
      </c>
      <c r="C141" s="79"/>
      <c r="D141" s="50">
        <f>+D139+B139</f>
        <v>0</v>
      </c>
    </row>
    <row r="142" spans="1:4" ht="27.75" thickBot="1" x14ac:dyDescent="0.3">
      <c r="A142" s="83">
        <v>4</v>
      </c>
      <c r="B142" s="84"/>
      <c r="C142" s="84"/>
      <c r="D142" s="85"/>
    </row>
    <row r="143" spans="1:4" ht="18.75" thickBot="1" x14ac:dyDescent="0.3">
      <c r="A143" s="80" t="s">
        <v>116</v>
      </c>
      <c r="B143" s="81"/>
      <c r="C143" s="81"/>
      <c r="D143" s="82"/>
    </row>
    <row r="144" spans="1:4" ht="18.75" thickBot="1" x14ac:dyDescent="0.3">
      <c r="A144" s="80" t="s">
        <v>97</v>
      </c>
      <c r="B144" s="81"/>
      <c r="C144" s="81"/>
      <c r="D144" s="82"/>
    </row>
    <row r="145" spans="1:4" ht="18.75" thickBot="1" x14ac:dyDescent="0.3">
      <c r="A145" s="26" t="s">
        <v>0</v>
      </c>
      <c r="B145" s="30" t="s">
        <v>1</v>
      </c>
      <c r="C145" s="38" t="s">
        <v>0</v>
      </c>
      <c r="D145" s="34" t="s">
        <v>1</v>
      </c>
    </row>
    <row r="146" spans="1:4" ht="18" x14ac:dyDescent="0.25">
      <c r="A146" s="27">
        <v>1</v>
      </c>
      <c r="B146" s="31"/>
      <c r="C146" s="39">
        <v>41</v>
      </c>
      <c r="D146" s="35"/>
    </row>
    <row r="147" spans="1:4" ht="18" x14ac:dyDescent="0.25">
      <c r="A147" s="28">
        <v>2</v>
      </c>
      <c r="B147" s="32"/>
      <c r="C147" s="40">
        <v>42</v>
      </c>
      <c r="D147" s="36"/>
    </row>
    <row r="148" spans="1:4" ht="18" x14ac:dyDescent="0.25">
      <c r="A148" s="28">
        <v>3</v>
      </c>
      <c r="B148" s="32"/>
      <c r="C148" s="40">
        <v>43</v>
      </c>
      <c r="D148" s="36"/>
    </row>
    <row r="149" spans="1:4" ht="18" x14ac:dyDescent="0.25">
      <c r="A149" s="28">
        <v>4</v>
      </c>
      <c r="B149" s="32"/>
      <c r="C149" s="40">
        <v>44</v>
      </c>
      <c r="D149" s="36"/>
    </row>
    <row r="150" spans="1:4" ht="18" x14ac:dyDescent="0.25">
      <c r="A150" s="28">
        <v>5</v>
      </c>
      <c r="B150" s="32"/>
      <c r="C150" s="40">
        <v>45</v>
      </c>
      <c r="D150" s="36"/>
    </row>
    <row r="151" spans="1:4" ht="18" x14ac:dyDescent="0.25">
      <c r="A151" s="28">
        <v>6</v>
      </c>
      <c r="B151" s="32"/>
      <c r="C151" s="40">
        <v>46</v>
      </c>
      <c r="D151" s="36"/>
    </row>
    <row r="152" spans="1:4" ht="18" x14ac:dyDescent="0.25">
      <c r="A152" s="28">
        <v>7</v>
      </c>
      <c r="B152" s="32"/>
      <c r="C152" s="40">
        <v>47</v>
      </c>
      <c r="D152" s="36"/>
    </row>
    <row r="153" spans="1:4" ht="18" x14ac:dyDescent="0.25">
      <c r="A153" s="28">
        <v>8</v>
      </c>
      <c r="B153" s="32"/>
      <c r="C153" s="40">
        <v>48</v>
      </c>
      <c r="D153" s="36"/>
    </row>
    <row r="154" spans="1:4" ht="18" x14ac:dyDescent="0.25">
      <c r="A154" s="28">
        <v>9</v>
      </c>
      <c r="B154" s="32"/>
      <c r="C154" s="40">
        <v>49</v>
      </c>
      <c r="D154" s="36"/>
    </row>
    <row r="155" spans="1:4" ht="18" x14ac:dyDescent="0.25">
      <c r="A155" s="28">
        <v>10</v>
      </c>
      <c r="B155" s="32"/>
      <c r="C155" s="40">
        <v>50</v>
      </c>
      <c r="D155" s="36"/>
    </row>
    <row r="156" spans="1:4" ht="18" x14ac:dyDescent="0.25">
      <c r="A156" s="28">
        <v>11</v>
      </c>
      <c r="B156" s="32"/>
      <c r="C156" s="40">
        <v>51</v>
      </c>
      <c r="D156" s="36"/>
    </row>
    <row r="157" spans="1:4" ht="18" x14ac:dyDescent="0.25">
      <c r="A157" s="28">
        <v>12</v>
      </c>
      <c r="B157" s="32"/>
      <c r="C157" s="40">
        <v>52</v>
      </c>
      <c r="D157" s="36"/>
    </row>
    <row r="158" spans="1:4" ht="18" x14ac:dyDescent="0.25">
      <c r="A158" s="28">
        <v>13</v>
      </c>
      <c r="B158" s="32"/>
      <c r="C158" s="40">
        <v>53</v>
      </c>
      <c r="D158" s="36"/>
    </row>
    <row r="159" spans="1:4" ht="18" x14ac:dyDescent="0.25">
      <c r="A159" s="28">
        <v>14</v>
      </c>
      <c r="B159" s="32"/>
      <c r="C159" s="40">
        <v>54</v>
      </c>
      <c r="D159" s="36"/>
    </row>
    <row r="160" spans="1:4" ht="18" x14ac:dyDescent="0.25">
      <c r="A160" s="28">
        <v>15</v>
      </c>
      <c r="B160" s="32"/>
      <c r="C160" s="40">
        <v>55</v>
      </c>
      <c r="D160" s="36"/>
    </row>
    <row r="161" spans="1:4" ht="18" x14ac:dyDescent="0.25">
      <c r="A161" s="28">
        <v>16</v>
      </c>
      <c r="B161" s="32"/>
      <c r="C161" s="40">
        <v>56</v>
      </c>
      <c r="D161" s="36"/>
    </row>
    <row r="162" spans="1:4" ht="18" x14ac:dyDescent="0.25">
      <c r="A162" s="28">
        <v>17</v>
      </c>
      <c r="B162" s="32"/>
      <c r="C162" s="40">
        <v>57</v>
      </c>
      <c r="D162" s="36"/>
    </row>
    <row r="163" spans="1:4" ht="18" x14ac:dyDescent="0.25">
      <c r="A163" s="28">
        <v>18</v>
      </c>
      <c r="B163" s="32"/>
      <c r="C163" s="40">
        <v>58</v>
      </c>
      <c r="D163" s="36"/>
    </row>
    <row r="164" spans="1:4" ht="18" x14ac:dyDescent="0.25">
      <c r="A164" s="28">
        <v>19</v>
      </c>
      <c r="B164" s="32"/>
      <c r="C164" s="40">
        <v>59</v>
      </c>
      <c r="D164" s="36"/>
    </row>
    <row r="165" spans="1:4" ht="18" x14ac:dyDescent="0.25">
      <c r="A165" s="28">
        <v>20</v>
      </c>
      <c r="B165" s="32"/>
      <c r="C165" s="40">
        <v>60</v>
      </c>
      <c r="D165" s="36"/>
    </row>
    <row r="166" spans="1:4" ht="18" x14ac:dyDescent="0.25">
      <c r="A166" s="28">
        <v>21</v>
      </c>
      <c r="B166" s="32"/>
      <c r="C166" s="40">
        <v>61</v>
      </c>
      <c r="D166" s="36"/>
    </row>
    <row r="167" spans="1:4" ht="18" x14ac:dyDescent="0.25">
      <c r="A167" s="28">
        <v>22</v>
      </c>
      <c r="B167" s="32"/>
      <c r="C167" s="40">
        <v>62</v>
      </c>
      <c r="D167" s="36"/>
    </row>
    <row r="168" spans="1:4" ht="18" x14ac:dyDescent="0.25">
      <c r="A168" s="28">
        <v>23</v>
      </c>
      <c r="B168" s="32"/>
      <c r="C168" s="40">
        <v>63</v>
      </c>
      <c r="D168" s="36"/>
    </row>
    <row r="169" spans="1:4" ht="18" x14ac:dyDescent="0.25">
      <c r="A169" s="28">
        <v>24</v>
      </c>
      <c r="B169" s="32"/>
      <c r="C169" s="40">
        <v>64</v>
      </c>
      <c r="D169" s="36"/>
    </row>
    <row r="170" spans="1:4" ht="18" x14ac:dyDescent="0.25">
      <c r="A170" s="28">
        <v>25</v>
      </c>
      <c r="B170" s="32"/>
      <c r="C170" s="40">
        <v>65</v>
      </c>
      <c r="D170" s="36"/>
    </row>
    <row r="171" spans="1:4" ht="18" x14ac:dyDescent="0.25">
      <c r="A171" s="28">
        <v>26</v>
      </c>
      <c r="B171" s="32"/>
      <c r="C171" s="40">
        <v>66</v>
      </c>
      <c r="D171" s="36"/>
    </row>
    <row r="172" spans="1:4" ht="18" x14ac:dyDescent="0.25">
      <c r="A172" s="28">
        <v>27</v>
      </c>
      <c r="B172" s="32"/>
      <c r="C172" s="40">
        <v>67</v>
      </c>
      <c r="D172" s="36"/>
    </row>
    <row r="173" spans="1:4" ht="18" x14ac:dyDescent="0.25">
      <c r="A173" s="28">
        <v>28</v>
      </c>
      <c r="B173" s="32"/>
      <c r="C173" s="40">
        <v>68</v>
      </c>
      <c r="D173" s="36"/>
    </row>
    <row r="174" spans="1:4" ht="18" x14ac:dyDescent="0.25">
      <c r="A174" s="28">
        <v>29</v>
      </c>
      <c r="B174" s="32"/>
      <c r="C174" s="40">
        <v>69</v>
      </c>
      <c r="D174" s="36"/>
    </row>
    <row r="175" spans="1:4" ht="18" x14ac:dyDescent="0.25">
      <c r="A175" s="28">
        <v>30</v>
      </c>
      <c r="B175" s="32"/>
      <c r="C175" s="40">
        <v>70</v>
      </c>
      <c r="D175" s="36"/>
    </row>
    <row r="176" spans="1:4" ht="18.75" thickBot="1" x14ac:dyDescent="0.3">
      <c r="A176" s="28">
        <v>31</v>
      </c>
      <c r="B176" s="32"/>
      <c r="C176" s="40">
        <v>71</v>
      </c>
      <c r="D176" s="36"/>
    </row>
    <row r="177" spans="1:4" ht="18" hidden="1" x14ac:dyDescent="0.25">
      <c r="A177" s="28">
        <v>32</v>
      </c>
      <c r="B177" s="32"/>
      <c r="C177" s="40">
        <v>72</v>
      </c>
      <c r="D177" s="36"/>
    </row>
    <row r="178" spans="1:4" ht="18" hidden="1" x14ac:dyDescent="0.25">
      <c r="A178" s="28">
        <v>33</v>
      </c>
      <c r="B178" s="32"/>
      <c r="C178" s="40">
        <v>73</v>
      </c>
      <c r="D178" s="36"/>
    </row>
    <row r="179" spans="1:4" ht="18" hidden="1" x14ac:dyDescent="0.25">
      <c r="A179" s="28">
        <v>34</v>
      </c>
      <c r="B179" s="33"/>
      <c r="C179" s="40">
        <v>74</v>
      </c>
      <c r="D179" s="36"/>
    </row>
    <row r="180" spans="1:4" ht="18" hidden="1" x14ac:dyDescent="0.25">
      <c r="A180" s="29">
        <v>35</v>
      </c>
      <c r="B180" s="33"/>
      <c r="C180" s="40">
        <v>75</v>
      </c>
      <c r="D180" s="36"/>
    </row>
    <row r="181" spans="1:4" ht="18" hidden="1" x14ac:dyDescent="0.25">
      <c r="A181" s="28">
        <v>36</v>
      </c>
      <c r="B181" s="33"/>
      <c r="C181" s="40">
        <v>76</v>
      </c>
      <c r="D181" s="36"/>
    </row>
    <row r="182" spans="1:4" ht="18" hidden="1" x14ac:dyDescent="0.25">
      <c r="A182" s="28">
        <v>37</v>
      </c>
      <c r="B182" s="33"/>
      <c r="C182" s="40">
        <v>77</v>
      </c>
      <c r="D182" s="37"/>
    </row>
    <row r="183" spans="1:4" ht="18" hidden="1" x14ac:dyDescent="0.25">
      <c r="A183" s="28">
        <v>38</v>
      </c>
      <c r="B183" s="33"/>
      <c r="C183" s="40">
        <v>78</v>
      </c>
      <c r="D183" s="37"/>
    </row>
    <row r="184" spans="1:4" ht="18" hidden="1" x14ac:dyDescent="0.25">
      <c r="A184" s="28">
        <v>39</v>
      </c>
      <c r="B184" s="33"/>
      <c r="C184" s="40">
        <v>79</v>
      </c>
      <c r="D184" s="37"/>
    </row>
    <row r="185" spans="1:4" ht="18.75" hidden="1" thickBot="1" x14ac:dyDescent="0.3">
      <c r="A185" s="41">
        <v>40</v>
      </c>
      <c r="B185" s="42"/>
      <c r="C185" s="43">
        <v>80</v>
      </c>
      <c r="D185" s="44"/>
    </row>
    <row r="186" spans="1:4" ht="18.75" thickBot="1" x14ac:dyDescent="0.3">
      <c r="A186" s="45" t="s">
        <v>2</v>
      </c>
      <c r="B186" s="51">
        <f>SUM(B146:B185)</f>
        <v>0</v>
      </c>
      <c r="C186" s="52" t="s">
        <v>2</v>
      </c>
      <c r="D186" s="48">
        <f>SUM(D146:D185)</f>
        <v>0</v>
      </c>
    </row>
    <row r="187" spans="1:4" ht="18" x14ac:dyDescent="0.25">
      <c r="A187" s="46"/>
      <c r="B187" s="86" t="s">
        <v>3</v>
      </c>
      <c r="C187" s="87"/>
      <c r="D187" s="49">
        <f>COUNT(B146:B185)+COUNT(D146:D185)</f>
        <v>0</v>
      </c>
    </row>
    <row r="188" spans="1:4" ht="18.75" thickBot="1" x14ac:dyDescent="0.3">
      <c r="A188" s="47"/>
      <c r="B188" s="78" t="s">
        <v>4</v>
      </c>
      <c r="C188" s="79"/>
      <c r="D188" s="50">
        <f>+D186+B186</f>
        <v>0</v>
      </c>
    </row>
    <row r="189" spans="1:4" ht="27.75" thickBot="1" x14ac:dyDescent="0.3">
      <c r="A189" s="83">
        <v>5</v>
      </c>
      <c r="B189" s="84"/>
      <c r="C189" s="84"/>
      <c r="D189" s="85"/>
    </row>
    <row r="190" spans="1:4" ht="18.75" thickBot="1" x14ac:dyDescent="0.3">
      <c r="A190" s="80" t="s">
        <v>117</v>
      </c>
      <c r="B190" s="81"/>
      <c r="C190" s="81"/>
      <c r="D190" s="82"/>
    </row>
    <row r="191" spans="1:4" ht="18.75" thickBot="1" x14ac:dyDescent="0.3">
      <c r="A191" s="80" t="s">
        <v>95</v>
      </c>
      <c r="B191" s="81"/>
      <c r="C191" s="81"/>
      <c r="D191" s="82"/>
    </row>
    <row r="192" spans="1:4" ht="18.75" thickBot="1" x14ac:dyDescent="0.3">
      <c r="A192" s="26" t="s">
        <v>0</v>
      </c>
      <c r="B192" s="30" t="s">
        <v>1</v>
      </c>
      <c r="C192" s="38" t="s">
        <v>0</v>
      </c>
      <c r="D192" s="34" t="s">
        <v>1</v>
      </c>
    </row>
    <row r="193" spans="1:4" ht="18" x14ac:dyDescent="0.25">
      <c r="A193" s="27">
        <v>1</v>
      </c>
      <c r="B193" s="31"/>
      <c r="C193" s="39">
        <v>41</v>
      </c>
      <c r="D193" s="35"/>
    </row>
    <row r="194" spans="1:4" ht="18" x14ac:dyDescent="0.25">
      <c r="A194" s="28">
        <v>2</v>
      </c>
      <c r="B194" s="32"/>
      <c r="C194" s="40">
        <v>42</v>
      </c>
      <c r="D194" s="36"/>
    </row>
    <row r="195" spans="1:4" ht="18" x14ac:dyDescent="0.25">
      <c r="A195" s="28">
        <v>3</v>
      </c>
      <c r="B195" s="32"/>
      <c r="C195" s="40">
        <v>43</v>
      </c>
      <c r="D195" s="36"/>
    </row>
    <row r="196" spans="1:4" ht="18" x14ac:dyDescent="0.25">
      <c r="A196" s="28">
        <v>4</v>
      </c>
      <c r="B196" s="32"/>
      <c r="C196" s="40">
        <v>44</v>
      </c>
      <c r="D196" s="36"/>
    </row>
    <row r="197" spans="1:4" ht="18" x14ac:dyDescent="0.25">
      <c r="A197" s="28">
        <v>5</v>
      </c>
      <c r="B197" s="32"/>
      <c r="C197" s="40">
        <v>45</v>
      </c>
      <c r="D197" s="36"/>
    </row>
    <row r="198" spans="1:4" ht="18" x14ac:dyDescent="0.25">
      <c r="A198" s="28">
        <v>6</v>
      </c>
      <c r="B198" s="32"/>
      <c r="C198" s="40">
        <v>46</v>
      </c>
      <c r="D198" s="36"/>
    </row>
    <row r="199" spans="1:4" ht="18" x14ac:dyDescent="0.25">
      <c r="A199" s="28">
        <v>7</v>
      </c>
      <c r="B199" s="32"/>
      <c r="C199" s="40">
        <v>47</v>
      </c>
      <c r="D199" s="36"/>
    </row>
    <row r="200" spans="1:4" ht="18" x14ac:dyDescent="0.25">
      <c r="A200" s="28">
        <v>8</v>
      </c>
      <c r="B200" s="32"/>
      <c r="C200" s="40">
        <v>48</v>
      </c>
      <c r="D200" s="36"/>
    </row>
    <row r="201" spans="1:4" ht="18" x14ac:dyDescent="0.25">
      <c r="A201" s="28">
        <v>9</v>
      </c>
      <c r="B201" s="32"/>
      <c r="C201" s="40">
        <v>49</v>
      </c>
      <c r="D201" s="36"/>
    </row>
    <row r="202" spans="1:4" ht="18" x14ac:dyDescent="0.25">
      <c r="A202" s="28">
        <v>10</v>
      </c>
      <c r="B202" s="32"/>
      <c r="C202" s="40">
        <v>50</v>
      </c>
      <c r="D202" s="36"/>
    </row>
    <row r="203" spans="1:4" ht="18" x14ac:dyDescent="0.25">
      <c r="A203" s="28">
        <v>11</v>
      </c>
      <c r="B203" s="32"/>
      <c r="C203" s="40">
        <v>51</v>
      </c>
      <c r="D203" s="36"/>
    </row>
    <row r="204" spans="1:4" ht="18" x14ac:dyDescent="0.25">
      <c r="A204" s="28">
        <v>12</v>
      </c>
      <c r="B204" s="32"/>
      <c r="C204" s="40">
        <v>52</v>
      </c>
      <c r="D204" s="36"/>
    </row>
    <row r="205" spans="1:4" ht="18.75" thickBot="1" x14ac:dyDescent="0.3">
      <c r="A205" s="28">
        <v>13</v>
      </c>
      <c r="B205" s="32"/>
      <c r="C205" s="40">
        <v>53</v>
      </c>
      <c r="D205" s="36"/>
    </row>
    <row r="206" spans="1:4" ht="18" hidden="1" x14ac:dyDescent="0.25">
      <c r="A206" s="28">
        <v>14</v>
      </c>
      <c r="B206" s="32"/>
      <c r="C206" s="40">
        <v>54</v>
      </c>
      <c r="D206" s="36"/>
    </row>
    <row r="207" spans="1:4" ht="18" hidden="1" x14ac:dyDescent="0.25">
      <c r="A207" s="28">
        <v>15</v>
      </c>
      <c r="B207" s="32"/>
      <c r="C207" s="40">
        <v>55</v>
      </c>
      <c r="D207" s="36"/>
    </row>
    <row r="208" spans="1:4" ht="18" hidden="1" x14ac:dyDescent="0.25">
      <c r="A208" s="28">
        <v>16</v>
      </c>
      <c r="B208" s="32"/>
      <c r="C208" s="40">
        <v>56</v>
      </c>
      <c r="D208" s="36"/>
    </row>
    <row r="209" spans="1:4" ht="18" hidden="1" x14ac:dyDescent="0.25">
      <c r="A209" s="28">
        <v>17</v>
      </c>
      <c r="B209" s="32"/>
      <c r="C209" s="40">
        <v>57</v>
      </c>
      <c r="D209" s="36"/>
    </row>
    <row r="210" spans="1:4" ht="18" hidden="1" x14ac:dyDescent="0.25">
      <c r="A210" s="28">
        <v>18</v>
      </c>
      <c r="B210" s="32"/>
      <c r="C210" s="40">
        <v>58</v>
      </c>
      <c r="D210" s="36"/>
    </row>
    <row r="211" spans="1:4" ht="18" hidden="1" x14ac:dyDescent="0.25">
      <c r="A211" s="28">
        <v>19</v>
      </c>
      <c r="B211" s="32"/>
      <c r="C211" s="40">
        <v>59</v>
      </c>
      <c r="D211" s="36"/>
    </row>
    <row r="212" spans="1:4" ht="18" hidden="1" x14ac:dyDescent="0.25">
      <c r="A212" s="28">
        <v>20</v>
      </c>
      <c r="B212" s="32"/>
      <c r="C212" s="40">
        <v>60</v>
      </c>
      <c r="D212" s="36"/>
    </row>
    <row r="213" spans="1:4" ht="18" hidden="1" x14ac:dyDescent="0.25">
      <c r="A213" s="28">
        <v>21</v>
      </c>
      <c r="B213" s="32"/>
      <c r="C213" s="40">
        <v>61</v>
      </c>
      <c r="D213" s="36"/>
    </row>
    <row r="214" spans="1:4" ht="18" hidden="1" x14ac:dyDescent="0.25">
      <c r="A214" s="28">
        <v>22</v>
      </c>
      <c r="B214" s="32"/>
      <c r="C214" s="40">
        <v>62</v>
      </c>
      <c r="D214" s="36"/>
    </row>
    <row r="215" spans="1:4" ht="18" hidden="1" x14ac:dyDescent="0.25">
      <c r="A215" s="28">
        <v>23</v>
      </c>
      <c r="B215" s="32"/>
      <c r="C215" s="40">
        <v>63</v>
      </c>
      <c r="D215" s="36"/>
    </row>
    <row r="216" spans="1:4" ht="18" hidden="1" x14ac:dyDescent="0.25">
      <c r="A216" s="28">
        <v>24</v>
      </c>
      <c r="B216" s="32"/>
      <c r="C216" s="40">
        <v>64</v>
      </c>
      <c r="D216" s="36"/>
    </row>
    <row r="217" spans="1:4" ht="18" hidden="1" x14ac:dyDescent="0.25">
      <c r="A217" s="28">
        <v>25</v>
      </c>
      <c r="B217" s="32"/>
      <c r="C217" s="40">
        <v>65</v>
      </c>
      <c r="D217" s="36"/>
    </row>
    <row r="218" spans="1:4" ht="18" hidden="1" x14ac:dyDescent="0.25">
      <c r="A218" s="28">
        <v>26</v>
      </c>
      <c r="B218" s="32"/>
      <c r="C218" s="40">
        <v>66</v>
      </c>
      <c r="D218" s="36"/>
    </row>
    <row r="219" spans="1:4" ht="18" hidden="1" x14ac:dyDescent="0.25">
      <c r="A219" s="28">
        <v>27</v>
      </c>
      <c r="B219" s="32"/>
      <c r="C219" s="40">
        <v>67</v>
      </c>
      <c r="D219" s="36"/>
    </row>
    <row r="220" spans="1:4" ht="18" hidden="1" x14ac:dyDescent="0.25">
      <c r="A220" s="28">
        <v>28</v>
      </c>
      <c r="B220" s="32"/>
      <c r="C220" s="40">
        <v>68</v>
      </c>
      <c r="D220" s="36"/>
    </row>
    <row r="221" spans="1:4" ht="18" hidden="1" x14ac:dyDescent="0.25">
      <c r="A221" s="28">
        <v>29</v>
      </c>
      <c r="B221" s="32"/>
      <c r="C221" s="40">
        <v>69</v>
      </c>
      <c r="D221" s="36"/>
    </row>
    <row r="222" spans="1:4" ht="18" hidden="1" x14ac:dyDescent="0.25">
      <c r="A222" s="28">
        <v>30</v>
      </c>
      <c r="B222" s="32"/>
      <c r="C222" s="40">
        <v>70</v>
      </c>
      <c r="D222" s="36"/>
    </row>
    <row r="223" spans="1:4" ht="18" hidden="1" x14ac:dyDescent="0.25">
      <c r="A223" s="28">
        <v>31</v>
      </c>
      <c r="B223" s="32"/>
      <c r="C223" s="40">
        <v>71</v>
      </c>
      <c r="D223" s="36"/>
    </row>
    <row r="224" spans="1:4" ht="18" hidden="1" x14ac:dyDescent="0.25">
      <c r="A224" s="28">
        <v>32</v>
      </c>
      <c r="B224" s="32"/>
      <c r="C224" s="40">
        <v>72</v>
      </c>
      <c r="D224" s="36"/>
    </row>
    <row r="225" spans="1:4" ht="18" hidden="1" x14ac:dyDescent="0.25">
      <c r="A225" s="28">
        <v>33</v>
      </c>
      <c r="B225" s="32"/>
      <c r="C225" s="40">
        <v>73</v>
      </c>
      <c r="D225" s="36"/>
    </row>
    <row r="226" spans="1:4" ht="18" hidden="1" x14ac:dyDescent="0.25">
      <c r="A226" s="28">
        <v>34</v>
      </c>
      <c r="B226" s="33"/>
      <c r="C226" s="40">
        <v>74</v>
      </c>
      <c r="D226" s="36"/>
    </row>
    <row r="227" spans="1:4" ht="18" hidden="1" x14ac:dyDescent="0.25">
      <c r="A227" s="29">
        <v>35</v>
      </c>
      <c r="B227" s="33"/>
      <c r="C227" s="40">
        <v>75</v>
      </c>
      <c r="D227" s="36"/>
    </row>
    <row r="228" spans="1:4" ht="18" hidden="1" x14ac:dyDescent="0.25">
      <c r="A228" s="28">
        <v>36</v>
      </c>
      <c r="B228" s="33"/>
      <c r="C228" s="40">
        <v>76</v>
      </c>
      <c r="D228" s="36"/>
    </row>
    <row r="229" spans="1:4" ht="18" hidden="1" x14ac:dyDescent="0.25">
      <c r="A229" s="28">
        <v>37</v>
      </c>
      <c r="B229" s="33"/>
      <c r="C229" s="40">
        <v>77</v>
      </c>
      <c r="D229" s="37"/>
    </row>
    <row r="230" spans="1:4" ht="18" hidden="1" x14ac:dyDescent="0.25">
      <c r="A230" s="28">
        <v>38</v>
      </c>
      <c r="B230" s="33"/>
      <c r="C230" s="40">
        <v>78</v>
      </c>
      <c r="D230" s="37"/>
    </row>
    <row r="231" spans="1:4" ht="18" hidden="1" x14ac:dyDescent="0.25">
      <c r="A231" s="28">
        <v>39</v>
      </c>
      <c r="B231" s="33"/>
      <c r="C231" s="40">
        <v>79</v>
      </c>
      <c r="D231" s="37"/>
    </row>
    <row r="232" spans="1:4" ht="18.75" hidden="1" thickBot="1" x14ac:dyDescent="0.3">
      <c r="A232" s="41">
        <v>40</v>
      </c>
      <c r="B232" s="42"/>
      <c r="C232" s="43">
        <v>80</v>
      </c>
      <c r="D232" s="44"/>
    </row>
    <row r="233" spans="1:4" ht="18.75" thickBot="1" x14ac:dyDescent="0.3">
      <c r="A233" s="45" t="s">
        <v>2</v>
      </c>
      <c r="B233" s="51">
        <f>SUM(B193:B232)</f>
        <v>0</v>
      </c>
      <c r="C233" s="52" t="s">
        <v>2</v>
      </c>
      <c r="D233" s="48">
        <f>SUM(D193:D232)</f>
        <v>0</v>
      </c>
    </row>
    <row r="234" spans="1:4" ht="18" x14ac:dyDescent="0.25">
      <c r="A234" s="46"/>
      <c r="B234" s="86" t="s">
        <v>3</v>
      </c>
      <c r="C234" s="87"/>
      <c r="D234" s="49">
        <f>COUNT(B193:B232)+COUNT(D193:D232)</f>
        <v>0</v>
      </c>
    </row>
    <row r="235" spans="1:4" ht="18.75" thickBot="1" x14ac:dyDescent="0.3">
      <c r="A235" s="47"/>
      <c r="B235" s="78" t="s">
        <v>4</v>
      </c>
      <c r="C235" s="79"/>
      <c r="D235" s="50">
        <f>+D233+B233</f>
        <v>0</v>
      </c>
    </row>
    <row r="236" spans="1:4" ht="27.75" thickBot="1" x14ac:dyDescent="0.3">
      <c r="A236" s="83">
        <v>6</v>
      </c>
      <c r="B236" s="84"/>
      <c r="C236" s="84"/>
      <c r="D236" s="85"/>
    </row>
    <row r="237" spans="1:4" ht="18.75" thickBot="1" x14ac:dyDescent="0.3">
      <c r="A237" s="80" t="s">
        <v>118</v>
      </c>
      <c r="B237" s="81"/>
      <c r="C237" s="81"/>
      <c r="D237" s="82"/>
    </row>
    <row r="238" spans="1:4" ht="18.75" thickBot="1" x14ac:dyDescent="0.3">
      <c r="A238" s="80" t="s">
        <v>95</v>
      </c>
      <c r="B238" s="81"/>
      <c r="C238" s="81"/>
      <c r="D238" s="82"/>
    </row>
    <row r="239" spans="1:4" ht="18.75" thickBot="1" x14ac:dyDescent="0.3">
      <c r="A239" s="26" t="s">
        <v>0</v>
      </c>
      <c r="B239" s="30" t="s">
        <v>1</v>
      </c>
      <c r="C239" s="38" t="s">
        <v>0</v>
      </c>
      <c r="D239" s="34" t="s">
        <v>1</v>
      </c>
    </row>
    <row r="240" spans="1:4" ht="18" x14ac:dyDescent="0.25">
      <c r="A240" s="27">
        <v>1</v>
      </c>
      <c r="B240" s="31"/>
      <c r="C240" s="39">
        <v>41</v>
      </c>
      <c r="D240" s="35"/>
    </row>
    <row r="241" spans="1:4" ht="18" x14ac:dyDescent="0.25">
      <c r="A241" s="28">
        <v>2</v>
      </c>
      <c r="B241" s="32"/>
      <c r="C241" s="40">
        <v>42</v>
      </c>
      <c r="D241" s="36"/>
    </row>
    <row r="242" spans="1:4" ht="18" x14ac:dyDescent="0.25">
      <c r="A242" s="28">
        <v>3</v>
      </c>
      <c r="B242" s="32"/>
      <c r="C242" s="40">
        <v>43</v>
      </c>
      <c r="D242" s="36"/>
    </row>
    <row r="243" spans="1:4" ht="18" x14ac:dyDescent="0.25">
      <c r="A243" s="28">
        <v>4</v>
      </c>
      <c r="B243" s="32"/>
      <c r="C243" s="40">
        <v>44</v>
      </c>
      <c r="D243" s="36"/>
    </row>
    <row r="244" spans="1:4" ht="18" x14ac:dyDescent="0.25">
      <c r="A244" s="28">
        <v>5</v>
      </c>
      <c r="B244" s="32"/>
      <c r="C244" s="40">
        <v>45</v>
      </c>
      <c r="D244" s="36"/>
    </row>
    <row r="245" spans="1:4" ht="18" x14ac:dyDescent="0.25">
      <c r="A245" s="28">
        <v>6</v>
      </c>
      <c r="B245" s="32"/>
      <c r="C245" s="40">
        <v>46</v>
      </c>
      <c r="D245" s="36"/>
    </row>
    <row r="246" spans="1:4" ht="18" x14ac:dyDescent="0.25">
      <c r="A246" s="28">
        <v>7</v>
      </c>
      <c r="B246" s="32"/>
      <c r="C246" s="40">
        <v>47</v>
      </c>
      <c r="D246" s="36"/>
    </row>
    <row r="247" spans="1:4" ht="18" x14ac:dyDescent="0.25">
      <c r="A247" s="28">
        <v>8</v>
      </c>
      <c r="B247" s="32"/>
      <c r="C247" s="40">
        <v>48</v>
      </c>
      <c r="D247" s="36"/>
    </row>
    <row r="248" spans="1:4" ht="18" x14ac:dyDescent="0.25">
      <c r="A248" s="28">
        <v>9</v>
      </c>
      <c r="B248" s="32"/>
      <c r="C248" s="40">
        <v>49</v>
      </c>
      <c r="D248" s="36"/>
    </row>
    <row r="249" spans="1:4" ht="18" x14ac:dyDescent="0.25">
      <c r="A249" s="28">
        <v>10</v>
      </c>
      <c r="B249" s="32"/>
      <c r="C249" s="40">
        <v>50</v>
      </c>
      <c r="D249" s="36"/>
    </row>
    <row r="250" spans="1:4" ht="18" x14ac:dyDescent="0.25">
      <c r="A250" s="28">
        <v>11</v>
      </c>
      <c r="B250" s="32"/>
      <c r="C250" s="40">
        <v>51</v>
      </c>
      <c r="D250" s="36"/>
    </row>
    <row r="251" spans="1:4" ht="18" x14ac:dyDescent="0.25">
      <c r="A251" s="28">
        <v>12</v>
      </c>
      <c r="B251" s="32"/>
      <c r="C251" s="40">
        <v>52</v>
      </c>
      <c r="D251" s="36"/>
    </row>
    <row r="252" spans="1:4" ht="21" customHeight="1" x14ac:dyDescent="0.25">
      <c r="A252" s="28">
        <v>13</v>
      </c>
      <c r="B252" s="32"/>
      <c r="C252" s="40">
        <v>53</v>
      </c>
      <c r="D252" s="36"/>
    </row>
    <row r="253" spans="1:4" ht="18" x14ac:dyDescent="0.25">
      <c r="A253" s="28">
        <v>14</v>
      </c>
      <c r="B253" s="32"/>
      <c r="C253" s="40">
        <v>54</v>
      </c>
      <c r="D253" s="36"/>
    </row>
    <row r="254" spans="1:4" ht="18" x14ac:dyDescent="0.25">
      <c r="A254" s="28">
        <v>15</v>
      </c>
      <c r="B254" s="32"/>
      <c r="C254" s="40">
        <v>55</v>
      </c>
      <c r="D254" s="36"/>
    </row>
    <row r="255" spans="1:4" ht="18" x14ac:dyDescent="0.25">
      <c r="A255" s="28">
        <v>16</v>
      </c>
      <c r="B255" s="32"/>
      <c r="C255" s="40">
        <v>56</v>
      </c>
      <c r="D255" s="36"/>
    </row>
    <row r="256" spans="1:4" ht="18" x14ac:dyDescent="0.25">
      <c r="A256" s="28">
        <v>17</v>
      </c>
      <c r="B256" s="32"/>
      <c r="C256" s="40">
        <v>57</v>
      </c>
      <c r="D256" s="36"/>
    </row>
    <row r="257" spans="1:4" ht="18" x14ac:dyDescent="0.25">
      <c r="A257" s="28">
        <v>18</v>
      </c>
      <c r="B257" s="32"/>
      <c r="C257" s="40">
        <v>58</v>
      </c>
      <c r="D257" s="36"/>
    </row>
    <row r="258" spans="1:4" ht="18" x14ac:dyDescent="0.25">
      <c r="A258" s="28">
        <v>19</v>
      </c>
      <c r="B258" s="32"/>
      <c r="C258" s="40">
        <v>59</v>
      </c>
      <c r="D258" s="36"/>
    </row>
    <row r="259" spans="1:4" ht="18" x14ac:dyDescent="0.25">
      <c r="A259" s="28">
        <v>20</v>
      </c>
      <c r="B259" s="32"/>
      <c r="C259" s="40">
        <v>60</v>
      </c>
      <c r="D259" s="36"/>
    </row>
    <row r="260" spans="1:4" ht="18" x14ac:dyDescent="0.25">
      <c r="A260" s="28">
        <v>21</v>
      </c>
      <c r="B260" s="32"/>
      <c r="C260" s="40">
        <v>61</v>
      </c>
      <c r="D260" s="36"/>
    </row>
    <row r="261" spans="1:4" ht="18" x14ac:dyDescent="0.25">
      <c r="A261" s="28">
        <v>22</v>
      </c>
      <c r="B261" s="32"/>
      <c r="C261" s="40">
        <v>62</v>
      </c>
      <c r="D261" s="36"/>
    </row>
    <row r="262" spans="1:4" ht="18" x14ac:dyDescent="0.25">
      <c r="A262" s="28">
        <v>23</v>
      </c>
      <c r="B262" s="32"/>
      <c r="C262" s="40">
        <v>63</v>
      </c>
      <c r="D262" s="36"/>
    </row>
    <row r="263" spans="1:4" ht="18" x14ac:dyDescent="0.25">
      <c r="A263" s="28">
        <v>24</v>
      </c>
      <c r="B263" s="32"/>
      <c r="C263" s="40">
        <v>64</v>
      </c>
      <c r="D263" s="36"/>
    </row>
    <row r="264" spans="1:4" ht="18" x14ac:dyDescent="0.25">
      <c r="A264" s="28">
        <v>25</v>
      </c>
      <c r="B264" s="32"/>
      <c r="C264" s="40">
        <v>65</v>
      </c>
      <c r="D264" s="36"/>
    </row>
    <row r="265" spans="1:4" ht="18" x14ac:dyDescent="0.25">
      <c r="A265" s="28">
        <v>26</v>
      </c>
      <c r="B265" s="32"/>
      <c r="C265" s="40">
        <v>66</v>
      </c>
      <c r="D265" s="36"/>
    </row>
    <row r="266" spans="1:4" ht="18" x14ac:dyDescent="0.25">
      <c r="A266" s="28">
        <v>27</v>
      </c>
      <c r="B266" s="32"/>
      <c r="C266" s="40">
        <v>67</v>
      </c>
      <c r="D266" s="36"/>
    </row>
    <row r="267" spans="1:4" ht="18" x14ac:dyDescent="0.25">
      <c r="A267" s="28">
        <v>28</v>
      </c>
      <c r="B267" s="32"/>
      <c r="C267" s="40">
        <v>68</v>
      </c>
      <c r="D267" s="36"/>
    </row>
    <row r="268" spans="1:4" ht="18" x14ac:dyDescent="0.25">
      <c r="A268" s="28">
        <v>29</v>
      </c>
      <c r="B268" s="32"/>
      <c r="C268" s="40">
        <v>69</v>
      </c>
      <c r="D268" s="36"/>
    </row>
    <row r="269" spans="1:4" ht="18" x14ac:dyDescent="0.25">
      <c r="A269" s="28">
        <v>30</v>
      </c>
      <c r="B269" s="32"/>
      <c r="C269" s="40">
        <v>70</v>
      </c>
      <c r="D269" s="36"/>
    </row>
    <row r="270" spans="1:4" ht="18" x14ac:dyDescent="0.25">
      <c r="A270" s="28">
        <v>31</v>
      </c>
      <c r="B270" s="32"/>
      <c r="C270" s="40">
        <v>71</v>
      </c>
      <c r="D270" s="36"/>
    </row>
    <row r="271" spans="1:4" ht="18" x14ac:dyDescent="0.25">
      <c r="A271" s="28">
        <v>32</v>
      </c>
      <c r="B271" s="32"/>
      <c r="C271" s="40">
        <v>72</v>
      </c>
      <c r="D271" s="36"/>
    </row>
    <row r="272" spans="1:4" ht="18" x14ac:dyDescent="0.25">
      <c r="A272" s="28">
        <v>33</v>
      </c>
      <c r="B272" s="32"/>
      <c r="C272" s="40">
        <v>73</v>
      </c>
      <c r="D272" s="36"/>
    </row>
    <row r="273" spans="1:4" ht="18" x14ac:dyDescent="0.25">
      <c r="A273" s="28">
        <v>34</v>
      </c>
      <c r="B273" s="33"/>
      <c r="C273" s="40">
        <v>74</v>
      </c>
      <c r="D273" s="36"/>
    </row>
    <row r="274" spans="1:4" ht="18" x14ac:dyDescent="0.25">
      <c r="A274" s="29">
        <v>35</v>
      </c>
      <c r="B274" s="33"/>
      <c r="C274" s="40">
        <v>75</v>
      </c>
      <c r="D274" s="36"/>
    </row>
    <row r="275" spans="1:4" ht="18" x14ac:dyDescent="0.25">
      <c r="A275" s="28">
        <v>36</v>
      </c>
      <c r="B275" s="33"/>
      <c r="C275" s="40">
        <v>76</v>
      </c>
      <c r="D275" s="36"/>
    </row>
    <row r="276" spans="1:4" ht="18" x14ac:dyDescent="0.25">
      <c r="A276" s="28">
        <v>37</v>
      </c>
      <c r="B276" s="33"/>
      <c r="C276" s="40">
        <v>77</v>
      </c>
      <c r="D276" s="37"/>
    </row>
    <row r="277" spans="1:4" ht="18" x14ac:dyDescent="0.25">
      <c r="A277" s="28">
        <v>38</v>
      </c>
      <c r="B277" s="33"/>
      <c r="C277" s="40">
        <v>78</v>
      </c>
      <c r="D277" s="37"/>
    </row>
    <row r="278" spans="1:4" ht="18" x14ac:dyDescent="0.25">
      <c r="A278" s="28">
        <v>39</v>
      </c>
      <c r="B278" s="33"/>
      <c r="C278" s="40">
        <v>79</v>
      </c>
      <c r="D278" s="37"/>
    </row>
    <row r="279" spans="1:4" ht="18.75" thickBot="1" x14ac:dyDescent="0.3">
      <c r="A279" s="41">
        <v>40</v>
      </c>
      <c r="B279" s="42"/>
      <c r="C279" s="43">
        <v>80</v>
      </c>
      <c r="D279" s="44"/>
    </row>
    <row r="280" spans="1:4" ht="18.75" thickBot="1" x14ac:dyDescent="0.3">
      <c r="A280" s="45" t="s">
        <v>2</v>
      </c>
      <c r="B280" s="51">
        <f>SUM(B240:B279)</f>
        <v>0</v>
      </c>
      <c r="C280" s="52" t="s">
        <v>2</v>
      </c>
      <c r="D280" s="48">
        <f>SUM(D240:D279)</f>
        <v>0</v>
      </c>
    </row>
    <row r="281" spans="1:4" ht="18" x14ac:dyDescent="0.25">
      <c r="A281" s="46"/>
      <c r="B281" s="86" t="s">
        <v>3</v>
      </c>
      <c r="C281" s="87"/>
      <c r="D281" s="49">
        <f>COUNT(B240:B279)+COUNT(D240:D279)</f>
        <v>0</v>
      </c>
    </row>
    <row r="282" spans="1:4" ht="18.75" thickBot="1" x14ac:dyDescent="0.3">
      <c r="A282" s="47"/>
      <c r="B282" s="78" t="s">
        <v>4</v>
      </c>
      <c r="C282" s="79"/>
      <c r="D282" s="50">
        <f>+D280+B280</f>
        <v>0</v>
      </c>
    </row>
    <row r="283" spans="1:4" ht="27.75" thickBot="1" x14ac:dyDescent="0.3">
      <c r="A283" s="83">
        <v>7</v>
      </c>
      <c r="B283" s="84"/>
      <c r="C283" s="84"/>
      <c r="D283" s="85"/>
    </row>
    <row r="284" spans="1:4" ht="18.75" thickBot="1" x14ac:dyDescent="0.3">
      <c r="A284" s="80" t="s">
        <v>119</v>
      </c>
      <c r="B284" s="81"/>
      <c r="C284" s="81"/>
      <c r="D284" s="82"/>
    </row>
    <row r="285" spans="1:4" ht="18.75" thickBot="1" x14ac:dyDescent="0.3">
      <c r="A285" s="80" t="s">
        <v>95</v>
      </c>
      <c r="B285" s="81"/>
      <c r="C285" s="81"/>
      <c r="D285" s="82"/>
    </row>
    <row r="286" spans="1:4" ht="18.75" thickBot="1" x14ac:dyDescent="0.3">
      <c r="A286" s="26" t="s">
        <v>80</v>
      </c>
      <c r="B286" s="30" t="s">
        <v>1</v>
      </c>
      <c r="C286" s="38" t="s">
        <v>0</v>
      </c>
      <c r="D286" s="34" t="s">
        <v>1</v>
      </c>
    </row>
    <row r="287" spans="1:4" ht="18" x14ac:dyDescent="0.25">
      <c r="A287" s="27">
        <v>1</v>
      </c>
      <c r="B287" s="31"/>
      <c r="C287" s="39">
        <v>41</v>
      </c>
      <c r="D287" s="35"/>
    </row>
    <row r="288" spans="1:4" ht="18" x14ac:dyDescent="0.25">
      <c r="A288" s="28">
        <v>2</v>
      </c>
      <c r="B288" s="32"/>
      <c r="C288" s="40">
        <v>42</v>
      </c>
      <c r="D288" s="36"/>
    </row>
    <row r="289" spans="1:4" ht="18" x14ac:dyDescent="0.25">
      <c r="A289" s="28">
        <v>3</v>
      </c>
      <c r="B289" s="32"/>
      <c r="C289" s="40">
        <v>43</v>
      </c>
      <c r="D289" s="36"/>
    </row>
    <row r="290" spans="1:4" ht="18" x14ac:dyDescent="0.25">
      <c r="A290" s="28">
        <v>4</v>
      </c>
      <c r="B290" s="32"/>
      <c r="C290" s="40">
        <v>44</v>
      </c>
      <c r="D290" s="36"/>
    </row>
    <row r="291" spans="1:4" ht="18" x14ac:dyDescent="0.25">
      <c r="A291" s="28">
        <v>5</v>
      </c>
      <c r="B291" s="32"/>
      <c r="C291" s="40">
        <v>45</v>
      </c>
      <c r="D291" s="36"/>
    </row>
    <row r="292" spans="1:4" ht="18" x14ac:dyDescent="0.25">
      <c r="A292" s="28">
        <v>6</v>
      </c>
      <c r="B292" s="32"/>
      <c r="C292" s="40">
        <v>46</v>
      </c>
      <c r="D292" s="36"/>
    </row>
    <row r="293" spans="1:4" ht="18" x14ac:dyDescent="0.25">
      <c r="A293" s="28">
        <v>7</v>
      </c>
      <c r="B293" s="32"/>
      <c r="C293" s="40">
        <v>47</v>
      </c>
      <c r="D293" s="36"/>
    </row>
    <row r="294" spans="1:4" ht="18" x14ac:dyDescent="0.25">
      <c r="A294" s="28">
        <v>8</v>
      </c>
      <c r="B294" s="32"/>
      <c r="C294" s="40">
        <v>48</v>
      </c>
      <c r="D294" s="36"/>
    </row>
    <row r="295" spans="1:4" ht="18" x14ac:dyDescent="0.25">
      <c r="A295" s="28">
        <v>9</v>
      </c>
      <c r="B295" s="32"/>
      <c r="C295" s="40">
        <v>49</v>
      </c>
      <c r="D295" s="36"/>
    </row>
    <row r="296" spans="1:4" ht="18" x14ac:dyDescent="0.25">
      <c r="A296" s="28">
        <v>10</v>
      </c>
      <c r="B296" s="32"/>
      <c r="C296" s="40">
        <v>50</v>
      </c>
      <c r="D296" s="36"/>
    </row>
    <row r="297" spans="1:4" ht="18" x14ac:dyDescent="0.25">
      <c r="A297" s="28">
        <v>11</v>
      </c>
      <c r="B297" s="32"/>
      <c r="C297" s="40">
        <v>51</v>
      </c>
      <c r="D297" s="36"/>
    </row>
    <row r="298" spans="1:4" ht="18" x14ac:dyDescent="0.25">
      <c r="A298" s="28">
        <v>12</v>
      </c>
      <c r="B298" s="32"/>
      <c r="C298" s="40">
        <v>52</v>
      </c>
      <c r="D298" s="36"/>
    </row>
    <row r="299" spans="1:4" ht="18" x14ac:dyDescent="0.25">
      <c r="A299" s="28">
        <v>13</v>
      </c>
      <c r="B299" s="32"/>
      <c r="C299" s="40">
        <v>53</v>
      </c>
      <c r="D299" s="36"/>
    </row>
    <row r="300" spans="1:4" ht="18" x14ac:dyDescent="0.25">
      <c r="A300" s="28">
        <v>14</v>
      </c>
      <c r="B300" s="32"/>
      <c r="C300" s="40">
        <v>54</v>
      </c>
      <c r="D300" s="36"/>
    </row>
    <row r="301" spans="1:4" ht="18" x14ac:dyDescent="0.25">
      <c r="A301" s="28">
        <v>15</v>
      </c>
      <c r="B301" s="32"/>
      <c r="C301" s="40">
        <v>55</v>
      </c>
      <c r="D301" s="36"/>
    </row>
    <row r="302" spans="1:4" ht="18" x14ac:dyDescent="0.25">
      <c r="A302" s="28">
        <v>16</v>
      </c>
      <c r="B302" s="32"/>
      <c r="C302" s="40">
        <v>56</v>
      </c>
      <c r="D302" s="36"/>
    </row>
    <row r="303" spans="1:4" ht="18" x14ac:dyDescent="0.25">
      <c r="A303" s="28">
        <v>17</v>
      </c>
      <c r="B303" s="32"/>
      <c r="C303" s="40">
        <v>57</v>
      </c>
      <c r="D303" s="36"/>
    </row>
    <row r="304" spans="1:4" ht="18" x14ac:dyDescent="0.25">
      <c r="A304" s="28">
        <v>18</v>
      </c>
      <c r="B304" s="32"/>
      <c r="C304" s="40">
        <v>58</v>
      </c>
      <c r="D304" s="36"/>
    </row>
    <row r="305" spans="1:4" ht="18" x14ac:dyDescent="0.25">
      <c r="A305" s="28">
        <v>19</v>
      </c>
      <c r="B305" s="32"/>
      <c r="C305" s="40">
        <v>59</v>
      </c>
      <c r="D305" s="36"/>
    </row>
    <row r="306" spans="1:4" ht="18" x14ac:dyDescent="0.25">
      <c r="A306" s="28">
        <v>20</v>
      </c>
      <c r="B306" s="32"/>
      <c r="C306" s="40">
        <v>60</v>
      </c>
      <c r="D306" s="36"/>
    </row>
    <row r="307" spans="1:4" ht="18" x14ac:dyDescent="0.25">
      <c r="A307" s="28">
        <v>21</v>
      </c>
      <c r="B307" s="32"/>
      <c r="C307" s="40">
        <v>61</v>
      </c>
      <c r="D307" s="36"/>
    </row>
    <row r="308" spans="1:4" ht="18" x14ac:dyDescent="0.25">
      <c r="A308" s="28">
        <v>22</v>
      </c>
      <c r="B308" s="32"/>
      <c r="C308" s="40">
        <v>62</v>
      </c>
      <c r="D308" s="36"/>
    </row>
    <row r="309" spans="1:4" ht="18" x14ac:dyDescent="0.25">
      <c r="A309" s="28">
        <v>23</v>
      </c>
      <c r="B309" s="32"/>
      <c r="C309" s="40">
        <v>63</v>
      </c>
      <c r="D309" s="36"/>
    </row>
    <row r="310" spans="1:4" ht="18" x14ac:dyDescent="0.25">
      <c r="A310" s="28">
        <v>24</v>
      </c>
      <c r="B310" s="32"/>
      <c r="C310" s="40">
        <v>64</v>
      </c>
      <c r="D310" s="36"/>
    </row>
    <row r="311" spans="1:4" ht="18" x14ac:dyDescent="0.25">
      <c r="A311" s="28">
        <v>25</v>
      </c>
      <c r="B311" s="32"/>
      <c r="C311" s="40">
        <v>65</v>
      </c>
      <c r="D311" s="36"/>
    </row>
    <row r="312" spans="1:4" ht="18" x14ac:dyDescent="0.25">
      <c r="A312" s="28">
        <v>26</v>
      </c>
      <c r="B312" s="32"/>
      <c r="C312" s="40">
        <v>66</v>
      </c>
      <c r="D312" s="36"/>
    </row>
    <row r="313" spans="1:4" ht="18" x14ac:dyDescent="0.25">
      <c r="A313" s="28">
        <v>27</v>
      </c>
      <c r="B313" s="32"/>
      <c r="C313" s="40">
        <v>67</v>
      </c>
      <c r="D313" s="36"/>
    </row>
    <row r="314" spans="1:4" ht="18" x14ac:dyDescent="0.25">
      <c r="A314" s="28">
        <v>28</v>
      </c>
      <c r="B314" s="32"/>
      <c r="C314" s="40">
        <v>68</v>
      </c>
      <c r="D314" s="36"/>
    </row>
    <row r="315" spans="1:4" ht="18" x14ac:dyDescent="0.25">
      <c r="A315" s="28">
        <v>29</v>
      </c>
      <c r="B315" s="32"/>
      <c r="C315" s="40">
        <v>69</v>
      </c>
      <c r="D315" s="36"/>
    </row>
    <row r="316" spans="1:4" ht="18" x14ac:dyDescent="0.25">
      <c r="A316" s="28">
        <v>30</v>
      </c>
      <c r="B316" s="32"/>
      <c r="C316" s="40">
        <v>70</v>
      </c>
      <c r="D316" s="36"/>
    </row>
    <row r="317" spans="1:4" ht="18" x14ac:dyDescent="0.25">
      <c r="A317" s="28">
        <v>31</v>
      </c>
      <c r="B317" s="32"/>
      <c r="C317" s="40">
        <v>71</v>
      </c>
      <c r="D317" s="36"/>
    </row>
    <row r="318" spans="1:4" ht="18" x14ac:dyDescent="0.25">
      <c r="A318" s="28">
        <v>32</v>
      </c>
      <c r="B318" s="32"/>
      <c r="C318" s="40">
        <v>72</v>
      </c>
      <c r="D318" s="36"/>
    </row>
    <row r="319" spans="1:4" ht="18" x14ac:dyDescent="0.25">
      <c r="A319" s="28">
        <v>33</v>
      </c>
      <c r="B319" s="32"/>
      <c r="C319" s="40">
        <v>73</v>
      </c>
      <c r="D319" s="36"/>
    </row>
    <row r="320" spans="1:4" ht="18" x14ac:dyDescent="0.25">
      <c r="A320" s="28">
        <v>34</v>
      </c>
      <c r="B320" s="33"/>
      <c r="C320" s="40">
        <v>74</v>
      </c>
      <c r="D320" s="36"/>
    </row>
    <row r="321" spans="1:4" ht="18" x14ac:dyDescent="0.25">
      <c r="A321" s="29">
        <v>35</v>
      </c>
      <c r="B321" s="33"/>
      <c r="C321" s="40">
        <v>75</v>
      </c>
      <c r="D321" s="36"/>
    </row>
    <row r="322" spans="1:4" ht="18" x14ac:dyDescent="0.25">
      <c r="A322" s="28">
        <v>36</v>
      </c>
      <c r="B322" s="33"/>
      <c r="C322" s="40">
        <v>76</v>
      </c>
      <c r="D322" s="36"/>
    </row>
    <row r="323" spans="1:4" ht="18" x14ac:dyDescent="0.25">
      <c r="A323" s="28">
        <v>37</v>
      </c>
      <c r="B323" s="33"/>
      <c r="C323" s="40">
        <v>77</v>
      </c>
      <c r="D323" s="37"/>
    </row>
    <row r="324" spans="1:4" ht="18" x14ac:dyDescent="0.25">
      <c r="A324" s="28">
        <v>38</v>
      </c>
      <c r="B324" s="33"/>
      <c r="C324" s="40">
        <v>78</v>
      </c>
      <c r="D324" s="37"/>
    </row>
    <row r="325" spans="1:4" ht="18" x14ac:dyDescent="0.25">
      <c r="A325" s="28">
        <v>39</v>
      </c>
      <c r="B325" s="33"/>
      <c r="C325" s="40">
        <v>79</v>
      </c>
      <c r="D325" s="37"/>
    </row>
    <row r="326" spans="1:4" ht="18.75" thickBot="1" x14ac:dyDescent="0.3">
      <c r="A326" s="41">
        <v>40</v>
      </c>
      <c r="B326" s="42"/>
      <c r="C326" s="43">
        <v>80</v>
      </c>
      <c r="D326" s="44"/>
    </row>
    <row r="327" spans="1:4" ht="18.75" thickBot="1" x14ac:dyDescent="0.3">
      <c r="A327" s="45" t="s">
        <v>2</v>
      </c>
      <c r="B327" s="48">
        <f>SUM(B287:B326)</f>
        <v>0</v>
      </c>
      <c r="C327" s="52" t="s">
        <v>2</v>
      </c>
      <c r="D327" s="48">
        <f>SUM(D287:D326)</f>
        <v>0</v>
      </c>
    </row>
    <row r="328" spans="1:4" ht="18" x14ac:dyDescent="0.25">
      <c r="A328" s="46"/>
      <c r="B328" s="86" t="s">
        <v>3</v>
      </c>
      <c r="C328" s="87"/>
      <c r="D328" s="49">
        <f>COUNT(B287:B326)+COUNT(D287:D326)</f>
        <v>0</v>
      </c>
    </row>
    <row r="329" spans="1:4" ht="18.75" thickBot="1" x14ac:dyDescent="0.3">
      <c r="A329" s="47"/>
      <c r="B329" s="78" t="s">
        <v>4</v>
      </c>
      <c r="C329" s="79"/>
      <c r="D329" s="50">
        <f>+D327+B327</f>
        <v>0</v>
      </c>
    </row>
    <row r="330" spans="1:4" ht="27.75" thickBot="1" x14ac:dyDescent="0.3">
      <c r="A330" s="83">
        <v>8</v>
      </c>
      <c r="B330" s="84"/>
      <c r="C330" s="84"/>
      <c r="D330" s="85"/>
    </row>
    <row r="331" spans="1:4" ht="18.75" thickBot="1" x14ac:dyDescent="0.3">
      <c r="A331" s="80" t="s">
        <v>120</v>
      </c>
      <c r="B331" s="81"/>
      <c r="C331" s="81"/>
      <c r="D331" s="82"/>
    </row>
    <row r="332" spans="1:4" ht="18.75" thickBot="1" x14ac:dyDescent="0.3">
      <c r="A332" s="80" t="s">
        <v>97</v>
      </c>
      <c r="B332" s="81"/>
      <c r="C332" s="81"/>
      <c r="D332" s="82"/>
    </row>
    <row r="333" spans="1:4" ht="18.75" thickBot="1" x14ac:dyDescent="0.3">
      <c r="A333" s="26" t="s">
        <v>0</v>
      </c>
      <c r="B333" s="30" t="s">
        <v>1</v>
      </c>
      <c r="C333" s="38" t="s">
        <v>0</v>
      </c>
      <c r="D333" s="34" t="s">
        <v>1</v>
      </c>
    </row>
    <row r="334" spans="1:4" ht="18" x14ac:dyDescent="0.25">
      <c r="A334" s="27">
        <v>1</v>
      </c>
      <c r="B334" s="31"/>
      <c r="C334" s="39">
        <v>41</v>
      </c>
      <c r="D334" s="35"/>
    </row>
    <row r="335" spans="1:4" ht="18" x14ac:dyDescent="0.25">
      <c r="A335" s="28">
        <v>2</v>
      </c>
      <c r="B335" s="32"/>
      <c r="C335" s="40">
        <v>42</v>
      </c>
      <c r="D335" s="36"/>
    </row>
    <row r="336" spans="1:4" ht="18" x14ac:dyDescent="0.25">
      <c r="A336" s="28">
        <v>3</v>
      </c>
      <c r="B336" s="32"/>
      <c r="C336" s="40">
        <v>43</v>
      </c>
      <c r="D336" s="36"/>
    </row>
    <row r="337" spans="1:4" ht="18" x14ac:dyDescent="0.25">
      <c r="A337" s="28">
        <v>4</v>
      </c>
      <c r="B337" s="32"/>
      <c r="C337" s="40">
        <v>44</v>
      </c>
      <c r="D337" s="36"/>
    </row>
    <row r="338" spans="1:4" ht="18" x14ac:dyDescent="0.25">
      <c r="A338" s="28">
        <v>5</v>
      </c>
      <c r="B338" s="32"/>
      <c r="C338" s="40">
        <v>45</v>
      </c>
      <c r="D338" s="36"/>
    </row>
    <row r="339" spans="1:4" ht="18" x14ac:dyDescent="0.25">
      <c r="A339" s="28">
        <v>6</v>
      </c>
      <c r="B339" s="32"/>
      <c r="C339" s="40">
        <v>46</v>
      </c>
      <c r="D339" s="36"/>
    </row>
    <row r="340" spans="1:4" ht="18" x14ac:dyDescent="0.25">
      <c r="A340" s="28">
        <v>7</v>
      </c>
      <c r="B340" s="32"/>
      <c r="C340" s="40">
        <v>47</v>
      </c>
      <c r="D340" s="36"/>
    </row>
    <row r="341" spans="1:4" ht="18" x14ac:dyDescent="0.25">
      <c r="A341" s="28">
        <v>8</v>
      </c>
      <c r="B341" s="32"/>
      <c r="C341" s="40">
        <v>48</v>
      </c>
      <c r="D341" s="36"/>
    </row>
    <row r="342" spans="1:4" ht="18" x14ac:dyDescent="0.25">
      <c r="A342" s="28">
        <v>9</v>
      </c>
      <c r="B342" s="32"/>
      <c r="C342" s="40">
        <v>49</v>
      </c>
      <c r="D342" s="36"/>
    </row>
    <row r="343" spans="1:4" ht="18" x14ac:dyDescent="0.25">
      <c r="A343" s="28">
        <v>10</v>
      </c>
      <c r="B343" s="32"/>
      <c r="C343" s="40">
        <v>50</v>
      </c>
      <c r="D343" s="36"/>
    </row>
    <row r="344" spans="1:4" ht="18" x14ac:dyDescent="0.25">
      <c r="A344" s="28">
        <v>11</v>
      </c>
      <c r="B344" s="32"/>
      <c r="C344" s="40">
        <v>51</v>
      </c>
      <c r="D344" s="36"/>
    </row>
    <row r="345" spans="1:4" ht="18" x14ac:dyDescent="0.25">
      <c r="A345" s="28">
        <v>12</v>
      </c>
      <c r="B345" s="32"/>
      <c r="C345" s="40">
        <v>52</v>
      </c>
      <c r="D345" s="36"/>
    </row>
    <row r="346" spans="1:4" ht="18" x14ac:dyDescent="0.25">
      <c r="A346" s="28">
        <v>13</v>
      </c>
      <c r="B346" s="32"/>
      <c r="C346" s="40">
        <v>53</v>
      </c>
      <c r="D346" s="36"/>
    </row>
    <row r="347" spans="1:4" ht="18" x14ac:dyDescent="0.25">
      <c r="A347" s="28">
        <v>14</v>
      </c>
      <c r="B347" s="32"/>
      <c r="C347" s="40">
        <v>54</v>
      </c>
      <c r="D347" s="36"/>
    </row>
    <row r="348" spans="1:4" ht="18" x14ac:dyDescent="0.25">
      <c r="A348" s="28">
        <v>15</v>
      </c>
      <c r="B348" s="32"/>
      <c r="C348" s="40">
        <v>55</v>
      </c>
      <c r="D348" s="36"/>
    </row>
    <row r="349" spans="1:4" ht="18" x14ac:dyDescent="0.25">
      <c r="A349" s="28">
        <v>16</v>
      </c>
      <c r="B349" s="32"/>
      <c r="C349" s="40">
        <v>56</v>
      </c>
      <c r="D349" s="36"/>
    </row>
    <row r="350" spans="1:4" ht="18" x14ac:dyDescent="0.25">
      <c r="A350" s="28">
        <v>17</v>
      </c>
      <c r="B350" s="32"/>
      <c r="C350" s="40">
        <v>57</v>
      </c>
      <c r="D350" s="36"/>
    </row>
    <row r="351" spans="1:4" ht="18" x14ac:dyDescent="0.25">
      <c r="A351" s="28">
        <v>18</v>
      </c>
      <c r="B351" s="32"/>
      <c r="C351" s="40">
        <v>58</v>
      </c>
      <c r="D351" s="36"/>
    </row>
    <row r="352" spans="1:4" ht="18" x14ac:dyDescent="0.25">
      <c r="A352" s="28">
        <v>19</v>
      </c>
      <c r="B352" s="32"/>
      <c r="C352" s="40">
        <v>59</v>
      </c>
      <c r="D352" s="36"/>
    </row>
    <row r="353" spans="1:4" ht="18" x14ac:dyDescent="0.25">
      <c r="A353" s="28">
        <v>20</v>
      </c>
      <c r="B353" s="32"/>
      <c r="C353" s="40">
        <v>60</v>
      </c>
      <c r="D353" s="36"/>
    </row>
    <row r="354" spans="1:4" ht="18" x14ac:dyDescent="0.25">
      <c r="A354" s="28">
        <v>21</v>
      </c>
      <c r="B354" s="32"/>
      <c r="C354" s="40">
        <v>61</v>
      </c>
      <c r="D354" s="36"/>
    </row>
    <row r="355" spans="1:4" ht="18" x14ac:dyDescent="0.25">
      <c r="A355" s="28">
        <v>22</v>
      </c>
      <c r="B355" s="32"/>
      <c r="C355" s="40">
        <v>62</v>
      </c>
      <c r="D355" s="36"/>
    </row>
    <row r="356" spans="1:4" ht="18" x14ac:dyDescent="0.25">
      <c r="A356" s="28">
        <v>23</v>
      </c>
      <c r="B356" s="32"/>
      <c r="C356" s="40">
        <v>63</v>
      </c>
      <c r="D356" s="36"/>
    </row>
    <row r="357" spans="1:4" ht="18" x14ac:dyDescent="0.25">
      <c r="A357" s="28">
        <v>24</v>
      </c>
      <c r="B357" s="32"/>
      <c r="C357" s="40">
        <v>64</v>
      </c>
      <c r="D357" s="36"/>
    </row>
    <row r="358" spans="1:4" ht="18" x14ac:dyDescent="0.25">
      <c r="A358" s="28">
        <v>25</v>
      </c>
      <c r="B358" s="32"/>
      <c r="C358" s="40">
        <v>65</v>
      </c>
      <c r="D358" s="36"/>
    </row>
    <row r="359" spans="1:4" ht="18" x14ac:dyDescent="0.25">
      <c r="A359" s="28">
        <v>26</v>
      </c>
      <c r="B359" s="32"/>
      <c r="C359" s="40">
        <v>66</v>
      </c>
      <c r="D359" s="36"/>
    </row>
    <row r="360" spans="1:4" ht="18" x14ac:dyDescent="0.25">
      <c r="A360" s="28">
        <v>27</v>
      </c>
      <c r="B360" s="32"/>
      <c r="C360" s="40">
        <v>67</v>
      </c>
      <c r="D360" s="36"/>
    </row>
    <row r="361" spans="1:4" ht="18" x14ac:dyDescent="0.25">
      <c r="A361" s="28">
        <v>28</v>
      </c>
      <c r="B361" s="32"/>
      <c r="C361" s="40">
        <v>68</v>
      </c>
      <c r="D361" s="36"/>
    </row>
    <row r="362" spans="1:4" ht="18" x14ac:dyDescent="0.25">
      <c r="A362" s="28">
        <v>29</v>
      </c>
      <c r="B362" s="32"/>
      <c r="C362" s="40">
        <v>69</v>
      </c>
      <c r="D362" s="36"/>
    </row>
    <row r="363" spans="1:4" ht="18" x14ac:dyDescent="0.25">
      <c r="A363" s="28">
        <v>30</v>
      </c>
      <c r="B363" s="32"/>
      <c r="C363" s="40">
        <v>70</v>
      </c>
      <c r="D363" s="36"/>
    </row>
    <row r="364" spans="1:4" ht="18" x14ac:dyDescent="0.25">
      <c r="A364" s="28">
        <v>31</v>
      </c>
      <c r="B364" s="32"/>
      <c r="C364" s="40">
        <v>71</v>
      </c>
      <c r="D364" s="36"/>
    </row>
    <row r="365" spans="1:4" ht="18" x14ac:dyDescent="0.25">
      <c r="A365" s="28">
        <v>32</v>
      </c>
      <c r="B365" s="32"/>
      <c r="C365" s="40">
        <v>72</v>
      </c>
      <c r="D365" s="36"/>
    </row>
    <row r="366" spans="1:4" ht="18" x14ac:dyDescent="0.25">
      <c r="A366" s="28">
        <v>33</v>
      </c>
      <c r="B366" s="32"/>
      <c r="C366" s="40">
        <v>73</v>
      </c>
      <c r="D366" s="36"/>
    </row>
    <row r="367" spans="1:4" ht="18" x14ac:dyDescent="0.25">
      <c r="A367" s="28">
        <v>34</v>
      </c>
      <c r="B367" s="33"/>
      <c r="C367" s="40">
        <v>74</v>
      </c>
      <c r="D367" s="36"/>
    </row>
    <row r="368" spans="1:4" ht="18" x14ac:dyDescent="0.25">
      <c r="A368" s="29">
        <v>35</v>
      </c>
      <c r="B368" s="33"/>
      <c r="C368" s="40">
        <v>75</v>
      </c>
      <c r="D368" s="36"/>
    </row>
    <row r="369" spans="1:4" ht="18" x14ac:dyDescent="0.25">
      <c r="A369" s="28">
        <v>36</v>
      </c>
      <c r="B369" s="33"/>
      <c r="C369" s="40">
        <v>76</v>
      </c>
      <c r="D369" s="36"/>
    </row>
    <row r="370" spans="1:4" ht="18" x14ac:dyDescent="0.25">
      <c r="A370" s="28">
        <v>37</v>
      </c>
      <c r="B370" s="33"/>
      <c r="C370" s="40">
        <v>77</v>
      </c>
      <c r="D370" s="37"/>
    </row>
    <row r="371" spans="1:4" ht="18" x14ac:dyDescent="0.25">
      <c r="A371" s="28">
        <v>38</v>
      </c>
      <c r="B371" s="33"/>
      <c r="C371" s="40">
        <v>78</v>
      </c>
      <c r="D371" s="37"/>
    </row>
    <row r="372" spans="1:4" ht="18" x14ac:dyDescent="0.25">
      <c r="A372" s="28">
        <v>39</v>
      </c>
      <c r="B372" s="33"/>
      <c r="C372" s="40">
        <v>79</v>
      </c>
      <c r="D372" s="37"/>
    </row>
    <row r="373" spans="1:4" ht="18.75" thickBot="1" x14ac:dyDescent="0.3">
      <c r="A373" s="41">
        <v>40</v>
      </c>
      <c r="B373" s="42"/>
      <c r="C373" s="43">
        <v>80</v>
      </c>
      <c r="D373" s="44"/>
    </row>
    <row r="374" spans="1:4" ht="18.75" thickBot="1" x14ac:dyDescent="0.3">
      <c r="A374" s="45" t="s">
        <v>2</v>
      </c>
      <c r="B374" s="51">
        <f>SUM(B334:B373)</f>
        <v>0</v>
      </c>
      <c r="C374" s="52" t="s">
        <v>2</v>
      </c>
      <c r="D374" s="48">
        <f>SUM(D334:D373)</f>
        <v>0</v>
      </c>
    </row>
    <row r="375" spans="1:4" ht="18" x14ac:dyDescent="0.25">
      <c r="A375" s="46"/>
      <c r="B375" s="86" t="s">
        <v>3</v>
      </c>
      <c r="C375" s="87"/>
      <c r="D375" s="49">
        <f>COUNT(B334:B373)+COUNT(D334:D373)</f>
        <v>0</v>
      </c>
    </row>
    <row r="376" spans="1:4" ht="18.75" thickBot="1" x14ac:dyDescent="0.3">
      <c r="A376" s="47"/>
      <c r="B376" s="78" t="s">
        <v>4</v>
      </c>
      <c r="C376" s="79"/>
      <c r="D376" s="50">
        <f>+D374+B374</f>
        <v>0</v>
      </c>
    </row>
    <row r="377" spans="1:4" ht="27.75" thickBot="1" x14ac:dyDescent="0.3">
      <c r="A377" s="83">
        <v>9</v>
      </c>
      <c r="B377" s="84"/>
      <c r="C377" s="84"/>
      <c r="D377" s="85"/>
    </row>
    <row r="378" spans="1:4" ht="18.75" thickBot="1" x14ac:dyDescent="0.3">
      <c r="A378" s="80" t="s">
        <v>121</v>
      </c>
      <c r="B378" s="81"/>
      <c r="C378" s="81"/>
      <c r="D378" s="82"/>
    </row>
    <row r="379" spans="1:4" ht="18.75" thickBot="1" x14ac:dyDescent="0.3">
      <c r="A379" s="80" t="s">
        <v>98</v>
      </c>
      <c r="B379" s="81"/>
      <c r="C379" s="81"/>
      <c r="D379" s="82"/>
    </row>
    <row r="380" spans="1:4" ht="18.75" thickBot="1" x14ac:dyDescent="0.3">
      <c r="A380" s="26" t="s">
        <v>0</v>
      </c>
      <c r="B380" s="30" t="s">
        <v>1</v>
      </c>
      <c r="C380" s="38" t="s">
        <v>0</v>
      </c>
      <c r="D380" s="34" t="s">
        <v>1</v>
      </c>
    </row>
    <row r="381" spans="1:4" ht="18" x14ac:dyDescent="0.25">
      <c r="A381" s="27">
        <v>1</v>
      </c>
      <c r="B381" s="32"/>
      <c r="C381" s="39">
        <v>41</v>
      </c>
      <c r="D381" s="35"/>
    </row>
    <row r="382" spans="1:4" ht="18" x14ac:dyDescent="0.25">
      <c r="A382" s="28">
        <v>2</v>
      </c>
      <c r="B382" s="32"/>
      <c r="C382" s="40">
        <v>42</v>
      </c>
      <c r="D382" s="36"/>
    </row>
    <row r="383" spans="1:4" ht="18" x14ac:dyDescent="0.25">
      <c r="A383" s="28">
        <v>3</v>
      </c>
      <c r="B383" s="32"/>
      <c r="C383" s="40">
        <v>43</v>
      </c>
      <c r="D383" s="36"/>
    </row>
    <row r="384" spans="1:4" ht="18" x14ac:dyDescent="0.25">
      <c r="A384" s="28">
        <v>4</v>
      </c>
      <c r="B384" s="32"/>
      <c r="C384" s="40">
        <v>44</v>
      </c>
      <c r="D384" s="36"/>
    </row>
    <row r="385" spans="1:4" ht="18" x14ac:dyDescent="0.25">
      <c r="A385" s="28">
        <v>5</v>
      </c>
      <c r="B385" s="32"/>
      <c r="C385" s="40">
        <v>45</v>
      </c>
      <c r="D385" s="36"/>
    </row>
    <row r="386" spans="1:4" ht="18" x14ac:dyDescent="0.25">
      <c r="A386" s="28">
        <v>6</v>
      </c>
      <c r="B386" s="32"/>
      <c r="C386" s="40">
        <v>46</v>
      </c>
      <c r="D386" s="36"/>
    </row>
    <row r="387" spans="1:4" ht="18" x14ac:dyDescent="0.25">
      <c r="A387" s="28">
        <v>7</v>
      </c>
      <c r="B387" s="32"/>
      <c r="C387" s="40">
        <v>47</v>
      </c>
      <c r="D387" s="36"/>
    </row>
    <row r="388" spans="1:4" ht="18" x14ac:dyDescent="0.25">
      <c r="A388" s="28">
        <v>8</v>
      </c>
      <c r="B388" s="32"/>
      <c r="C388" s="40">
        <v>48</v>
      </c>
      <c r="D388" s="36"/>
    </row>
    <row r="389" spans="1:4" ht="18" x14ac:dyDescent="0.25">
      <c r="A389" s="28">
        <v>9</v>
      </c>
      <c r="B389" s="32"/>
      <c r="C389" s="40">
        <v>49</v>
      </c>
      <c r="D389" s="36"/>
    </row>
    <row r="390" spans="1:4" ht="18" x14ac:dyDescent="0.25">
      <c r="A390" s="28">
        <v>10</v>
      </c>
      <c r="B390" s="32"/>
      <c r="C390" s="40">
        <v>50</v>
      </c>
      <c r="D390" s="36"/>
    </row>
    <row r="391" spans="1:4" ht="18" x14ac:dyDescent="0.25">
      <c r="A391" s="28">
        <v>11</v>
      </c>
      <c r="B391" s="32"/>
      <c r="C391" s="40">
        <v>51</v>
      </c>
      <c r="D391" s="36"/>
    </row>
    <row r="392" spans="1:4" ht="18" x14ac:dyDescent="0.25">
      <c r="A392" s="28">
        <v>12</v>
      </c>
      <c r="B392" s="32"/>
      <c r="C392" s="40">
        <v>52</v>
      </c>
      <c r="D392" s="36"/>
    </row>
    <row r="393" spans="1:4" ht="18" x14ac:dyDescent="0.25">
      <c r="A393" s="28">
        <v>13</v>
      </c>
      <c r="B393" s="32"/>
      <c r="C393" s="40">
        <v>53</v>
      </c>
      <c r="D393" s="36"/>
    </row>
    <row r="394" spans="1:4" ht="18" x14ac:dyDescent="0.25">
      <c r="A394" s="28">
        <v>14</v>
      </c>
      <c r="B394" s="32"/>
      <c r="C394" s="40">
        <v>54</v>
      </c>
      <c r="D394" s="36"/>
    </row>
    <row r="395" spans="1:4" ht="18" x14ac:dyDescent="0.25">
      <c r="A395" s="28">
        <v>15</v>
      </c>
      <c r="B395" s="32"/>
      <c r="C395" s="40">
        <v>55</v>
      </c>
      <c r="D395" s="36"/>
    </row>
    <row r="396" spans="1:4" ht="18" x14ac:dyDescent="0.25">
      <c r="A396" s="28">
        <v>16</v>
      </c>
      <c r="B396" s="32"/>
      <c r="C396" s="40">
        <v>56</v>
      </c>
      <c r="D396" s="36"/>
    </row>
    <row r="397" spans="1:4" ht="18" x14ac:dyDescent="0.25">
      <c r="A397" s="28">
        <v>17</v>
      </c>
      <c r="B397" s="32"/>
      <c r="C397" s="40">
        <v>57</v>
      </c>
      <c r="D397" s="36"/>
    </row>
    <row r="398" spans="1:4" ht="18" x14ac:dyDescent="0.25">
      <c r="A398" s="28">
        <v>18</v>
      </c>
      <c r="B398" s="32"/>
      <c r="C398" s="40">
        <v>58</v>
      </c>
      <c r="D398" s="36"/>
    </row>
    <row r="399" spans="1:4" ht="18" x14ac:dyDescent="0.25">
      <c r="A399" s="28">
        <v>19</v>
      </c>
      <c r="B399" s="32"/>
      <c r="C399" s="40">
        <v>59</v>
      </c>
      <c r="D399" s="36"/>
    </row>
    <row r="400" spans="1:4" ht="18" x14ac:dyDescent="0.25">
      <c r="A400" s="28">
        <v>20</v>
      </c>
      <c r="B400" s="32"/>
      <c r="C400" s="40">
        <v>60</v>
      </c>
      <c r="D400" s="36"/>
    </row>
    <row r="401" spans="1:4" ht="18" x14ac:dyDescent="0.25">
      <c r="A401" s="28">
        <v>21</v>
      </c>
      <c r="B401" s="32"/>
      <c r="C401" s="40">
        <v>61</v>
      </c>
      <c r="D401" s="36"/>
    </row>
    <row r="402" spans="1:4" ht="18" x14ac:dyDescent="0.25">
      <c r="A402" s="28">
        <v>22</v>
      </c>
      <c r="B402" s="32"/>
      <c r="C402" s="40">
        <v>62</v>
      </c>
      <c r="D402" s="36"/>
    </row>
    <row r="403" spans="1:4" ht="18" x14ac:dyDescent="0.25">
      <c r="A403" s="28">
        <v>23</v>
      </c>
      <c r="B403" s="32"/>
      <c r="C403" s="40">
        <v>63</v>
      </c>
      <c r="D403" s="36"/>
    </row>
    <row r="404" spans="1:4" ht="18" x14ac:dyDescent="0.25">
      <c r="A404" s="28">
        <v>24</v>
      </c>
      <c r="B404" s="32"/>
      <c r="C404" s="40">
        <v>64</v>
      </c>
      <c r="D404" s="36"/>
    </row>
    <row r="405" spans="1:4" ht="18" x14ac:dyDescent="0.25">
      <c r="A405" s="28">
        <v>25</v>
      </c>
      <c r="B405" s="32"/>
      <c r="C405" s="40">
        <v>65</v>
      </c>
      <c r="D405" s="36"/>
    </row>
    <row r="406" spans="1:4" ht="18" x14ac:dyDescent="0.25">
      <c r="A406" s="28">
        <v>26</v>
      </c>
      <c r="B406" s="32"/>
      <c r="C406" s="40">
        <v>66</v>
      </c>
      <c r="D406" s="36"/>
    </row>
    <row r="407" spans="1:4" ht="18" x14ac:dyDescent="0.25">
      <c r="A407" s="28">
        <v>27</v>
      </c>
      <c r="B407" s="32"/>
      <c r="C407" s="40">
        <v>67</v>
      </c>
      <c r="D407" s="36"/>
    </row>
    <row r="408" spans="1:4" ht="18" x14ac:dyDescent="0.25">
      <c r="A408" s="28">
        <v>28</v>
      </c>
      <c r="B408" s="32"/>
      <c r="C408" s="40">
        <v>68</v>
      </c>
      <c r="D408" s="36"/>
    </row>
    <row r="409" spans="1:4" ht="18" x14ac:dyDescent="0.25">
      <c r="A409" s="28">
        <v>29</v>
      </c>
      <c r="B409" s="32"/>
      <c r="C409" s="40">
        <v>69</v>
      </c>
      <c r="D409" s="36"/>
    </row>
    <row r="410" spans="1:4" ht="18" x14ac:dyDescent="0.25">
      <c r="A410" s="28">
        <v>30</v>
      </c>
      <c r="B410" s="32"/>
      <c r="C410" s="40">
        <v>70</v>
      </c>
      <c r="D410" s="36"/>
    </row>
    <row r="411" spans="1:4" ht="18" x14ac:dyDescent="0.25">
      <c r="A411" s="28">
        <v>31</v>
      </c>
      <c r="B411" s="32"/>
      <c r="C411" s="40">
        <v>71</v>
      </c>
      <c r="D411" s="36"/>
    </row>
    <row r="412" spans="1:4" ht="18" x14ac:dyDescent="0.25">
      <c r="A412" s="28">
        <v>32</v>
      </c>
      <c r="B412" s="32"/>
      <c r="C412" s="40">
        <v>72</v>
      </c>
      <c r="D412" s="36"/>
    </row>
    <row r="413" spans="1:4" ht="18" x14ac:dyDescent="0.25">
      <c r="A413" s="28">
        <v>33</v>
      </c>
      <c r="B413" s="32"/>
      <c r="C413" s="40">
        <v>73</v>
      </c>
      <c r="D413" s="36"/>
    </row>
    <row r="414" spans="1:4" ht="18" x14ac:dyDescent="0.25">
      <c r="A414" s="28">
        <v>34</v>
      </c>
      <c r="B414" s="33"/>
      <c r="C414" s="40">
        <v>74</v>
      </c>
      <c r="D414" s="36"/>
    </row>
    <row r="415" spans="1:4" ht="18" x14ac:dyDescent="0.25">
      <c r="A415" s="29">
        <v>35</v>
      </c>
      <c r="B415" s="33"/>
      <c r="C415" s="40">
        <v>75</v>
      </c>
      <c r="D415" s="36"/>
    </row>
    <row r="416" spans="1:4" ht="18" x14ac:dyDescent="0.25">
      <c r="A416" s="28">
        <v>36</v>
      </c>
      <c r="B416" s="33"/>
      <c r="C416" s="40">
        <v>76</v>
      </c>
      <c r="D416" s="36"/>
    </row>
    <row r="417" spans="1:4" ht="18" x14ac:dyDescent="0.25">
      <c r="A417" s="28">
        <v>37</v>
      </c>
      <c r="B417" s="33"/>
      <c r="C417" s="40">
        <v>77</v>
      </c>
      <c r="D417" s="37"/>
    </row>
    <row r="418" spans="1:4" ht="18" x14ac:dyDescent="0.25">
      <c r="A418" s="28">
        <v>38</v>
      </c>
      <c r="B418" s="33"/>
      <c r="C418" s="40">
        <v>78</v>
      </c>
      <c r="D418" s="37"/>
    </row>
    <row r="419" spans="1:4" ht="18" x14ac:dyDescent="0.25">
      <c r="A419" s="28">
        <v>39</v>
      </c>
      <c r="B419" s="33"/>
      <c r="C419" s="40">
        <v>79</v>
      </c>
      <c r="D419" s="37"/>
    </row>
    <row r="420" spans="1:4" ht="18.75" thickBot="1" x14ac:dyDescent="0.3">
      <c r="A420" s="41">
        <v>40</v>
      </c>
      <c r="B420" s="42"/>
      <c r="C420" s="43">
        <v>80</v>
      </c>
      <c r="D420" s="44"/>
    </row>
    <row r="421" spans="1:4" ht="18.75" thickBot="1" x14ac:dyDescent="0.3">
      <c r="A421" s="45" t="s">
        <v>2</v>
      </c>
      <c r="B421" s="51">
        <f>SUM(B381:B420)</f>
        <v>0</v>
      </c>
      <c r="C421" s="52" t="s">
        <v>2</v>
      </c>
      <c r="D421" s="48">
        <f>SUM(D381:D420)</f>
        <v>0</v>
      </c>
    </row>
    <row r="422" spans="1:4" ht="18" x14ac:dyDescent="0.25">
      <c r="A422" s="46"/>
      <c r="B422" s="86" t="s">
        <v>3</v>
      </c>
      <c r="C422" s="87"/>
      <c r="D422" s="49">
        <f>COUNT(B381:B420)+COUNT(D381:D420)</f>
        <v>0</v>
      </c>
    </row>
    <row r="423" spans="1:4" ht="18.75" thickBot="1" x14ac:dyDescent="0.3">
      <c r="A423" s="47"/>
      <c r="B423" s="78" t="s">
        <v>4</v>
      </c>
      <c r="C423" s="79"/>
      <c r="D423" s="50">
        <f>+D421+B421</f>
        <v>0</v>
      </c>
    </row>
    <row r="424" spans="1:4" ht="27.75" thickBot="1" x14ac:dyDescent="0.3">
      <c r="A424" s="83">
        <v>10</v>
      </c>
      <c r="B424" s="84"/>
      <c r="C424" s="84"/>
      <c r="D424" s="85"/>
    </row>
    <row r="425" spans="1:4" ht="18.75" thickBot="1" x14ac:dyDescent="0.3">
      <c r="A425" s="80" t="s">
        <v>122</v>
      </c>
      <c r="B425" s="81"/>
      <c r="C425" s="81"/>
      <c r="D425" s="82"/>
    </row>
    <row r="426" spans="1:4" ht="18.75" thickBot="1" x14ac:dyDescent="0.3">
      <c r="A426" s="80" t="s">
        <v>97</v>
      </c>
      <c r="B426" s="81"/>
      <c r="C426" s="81"/>
      <c r="D426" s="82"/>
    </row>
    <row r="427" spans="1:4" ht="18.75" thickBot="1" x14ac:dyDescent="0.3">
      <c r="A427" s="26" t="s">
        <v>0</v>
      </c>
      <c r="B427" s="30" t="s">
        <v>1</v>
      </c>
      <c r="C427" s="38" t="s">
        <v>0</v>
      </c>
      <c r="D427" s="34" t="s">
        <v>1</v>
      </c>
    </row>
    <row r="428" spans="1:4" ht="18" x14ac:dyDescent="0.25">
      <c r="A428" s="27">
        <v>1</v>
      </c>
      <c r="B428" s="31"/>
      <c r="C428" s="39">
        <v>41</v>
      </c>
      <c r="D428" s="35"/>
    </row>
    <row r="429" spans="1:4" ht="18" x14ac:dyDescent="0.25">
      <c r="A429" s="28">
        <v>2</v>
      </c>
      <c r="B429" s="32"/>
      <c r="C429" s="40">
        <v>42</v>
      </c>
      <c r="D429" s="36"/>
    </row>
    <row r="430" spans="1:4" ht="18" x14ac:dyDescent="0.25">
      <c r="A430" s="28">
        <v>3</v>
      </c>
      <c r="B430" s="32"/>
      <c r="C430" s="40">
        <v>43</v>
      </c>
      <c r="D430" s="36"/>
    </row>
    <row r="431" spans="1:4" ht="18" x14ac:dyDescent="0.25">
      <c r="A431" s="28">
        <v>4</v>
      </c>
      <c r="B431" s="32"/>
      <c r="C431" s="40">
        <v>44</v>
      </c>
      <c r="D431" s="36"/>
    </row>
    <row r="432" spans="1:4" ht="18" x14ac:dyDescent="0.25">
      <c r="A432" s="28">
        <v>5</v>
      </c>
      <c r="B432" s="32"/>
      <c r="C432" s="40">
        <v>45</v>
      </c>
      <c r="D432" s="36"/>
    </row>
    <row r="433" spans="1:4" ht="18" x14ac:dyDescent="0.25">
      <c r="A433" s="28">
        <v>6</v>
      </c>
      <c r="B433" s="32"/>
      <c r="C433" s="40">
        <v>46</v>
      </c>
      <c r="D433" s="36"/>
    </row>
    <row r="434" spans="1:4" ht="18" x14ac:dyDescent="0.25">
      <c r="A434" s="28">
        <v>7</v>
      </c>
      <c r="B434" s="32"/>
      <c r="C434" s="40">
        <v>47</v>
      </c>
      <c r="D434" s="36"/>
    </row>
    <row r="435" spans="1:4" ht="18" x14ac:dyDescent="0.25">
      <c r="A435" s="28">
        <v>8</v>
      </c>
      <c r="B435" s="32"/>
      <c r="C435" s="40">
        <v>48</v>
      </c>
      <c r="D435" s="36"/>
    </row>
    <row r="436" spans="1:4" ht="18" x14ac:dyDescent="0.25">
      <c r="A436" s="28">
        <v>9</v>
      </c>
      <c r="B436" s="32"/>
      <c r="C436" s="40">
        <v>49</v>
      </c>
      <c r="D436" s="36"/>
    </row>
    <row r="437" spans="1:4" ht="18" x14ac:dyDescent="0.25">
      <c r="A437" s="28">
        <v>10</v>
      </c>
      <c r="B437" s="32"/>
      <c r="C437" s="40">
        <v>50</v>
      </c>
      <c r="D437" s="36"/>
    </row>
    <row r="438" spans="1:4" ht="18" x14ac:dyDescent="0.25">
      <c r="A438" s="28">
        <v>11</v>
      </c>
      <c r="B438" s="32"/>
      <c r="C438" s="40">
        <v>51</v>
      </c>
      <c r="D438" s="36"/>
    </row>
    <row r="439" spans="1:4" ht="18" x14ac:dyDescent="0.25">
      <c r="A439" s="28">
        <v>12</v>
      </c>
      <c r="B439" s="32"/>
      <c r="C439" s="40">
        <v>52</v>
      </c>
      <c r="D439" s="36"/>
    </row>
    <row r="440" spans="1:4" ht="18" x14ac:dyDescent="0.25">
      <c r="A440" s="28">
        <v>13</v>
      </c>
      <c r="B440" s="32"/>
      <c r="C440" s="40">
        <v>53</v>
      </c>
      <c r="D440" s="36"/>
    </row>
    <row r="441" spans="1:4" ht="18" x14ac:dyDescent="0.25">
      <c r="A441" s="28">
        <v>14</v>
      </c>
      <c r="B441" s="32"/>
      <c r="C441" s="40">
        <v>54</v>
      </c>
      <c r="D441" s="36"/>
    </row>
    <row r="442" spans="1:4" ht="18" x14ac:dyDescent="0.25">
      <c r="A442" s="28">
        <v>15</v>
      </c>
      <c r="B442" s="32"/>
      <c r="C442" s="40">
        <v>55</v>
      </c>
      <c r="D442" s="36"/>
    </row>
    <row r="443" spans="1:4" ht="18" x14ac:dyDescent="0.25">
      <c r="A443" s="28">
        <v>16</v>
      </c>
      <c r="B443" s="32"/>
      <c r="C443" s="40">
        <v>56</v>
      </c>
      <c r="D443" s="36"/>
    </row>
    <row r="444" spans="1:4" ht="18" x14ac:dyDescent="0.25">
      <c r="A444" s="28">
        <v>17</v>
      </c>
      <c r="B444" s="32"/>
      <c r="C444" s="40">
        <v>57</v>
      </c>
      <c r="D444" s="36"/>
    </row>
    <row r="445" spans="1:4" ht="18" x14ac:dyDescent="0.25">
      <c r="A445" s="28">
        <v>18</v>
      </c>
      <c r="B445" s="32"/>
      <c r="C445" s="40">
        <v>58</v>
      </c>
      <c r="D445" s="36"/>
    </row>
    <row r="446" spans="1:4" ht="18" x14ac:dyDescent="0.25">
      <c r="A446" s="28">
        <v>19</v>
      </c>
      <c r="B446" s="32"/>
      <c r="C446" s="40">
        <v>59</v>
      </c>
      <c r="D446" s="36"/>
    </row>
    <row r="447" spans="1:4" ht="18" x14ac:dyDescent="0.25">
      <c r="A447" s="28">
        <v>20</v>
      </c>
      <c r="B447" s="32"/>
      <c r="C447" s="40">
        <v>60</v>
      </c>
      <c r="D447" s="36"/>
    </row>
    <row r="448" spans="1:4" ht="18" x14ac:dyDescent="0.25">
      <c r="A448" s="28">
        <v>21</v>
      </c>
      <c r="B448" s="32"/>
      <c r="C448" s="40">
        <v>61</v>
      </c>
      <c r="D448" s="36"/>
    </row>
    <row r="449" spans="1:4" ht="18" x14ac:dyDescent="0.25">
      <c r="A449" s="28">
        <v>22</v>
      </c>
      <c r="B449" s="32"/>
      <c r="C449" s="40">
        <v>62</v>
      </c>
      <c r="D449" s="36"/>
    </row>
    <row r="450" spans="1:4" ht="18" x14ac:dyDescent="0.25">
      <c r="A450" s="28">
        <v>23</v>
      </c>
      <c r="B450" s="32"/>
      <c r="C450" s="40">
        <v>63</v>
      </c>
      <c r="D450" s="36"/>
    </row>
    <row r="451" spans="1:4" ht="18" x14ac:dyDescent="0.25">
      <c r="A451" s="28">
        <v>24</v>
      </c>
      <c r="B451" s="32"/>
      <c r="C451" s="40">
        <v>64</v>
      </c>
      <c r="D451" s="36"/>
    </row>
    <row r="452" spans="1:4" ht="18" x14ac:dyDescent="0.25">
      <c r="A452" s="28">
        <v>25</v>
      </c>
      <c r="B452" s="32"/>
      <c r="C452" s="40">
        <v>65</v>
      </c>
      <c r="D452" s="36"/>
    </row>
    <row r="453" spans="1:4" ht="18" x14ac:dyDescent="0.25">
      <c r="A453" s="28">
        <v>26</v>
      </c>
      <c r="B453" s="32"/>
      <c r="C453" s="40">
        <v>66</v>
      </c>
      <c r="D453" s="36"/>
    </row>
    <row r="454" spans="1:4" ht="18" x14ac:dyDescent="0.25">
      <c r="A454" s="28">
        <v>27</v>
      </c>
      <c r="B454" s="32"/>
      <c r="C454" s="40">
        <v>67</v>
      </c>
      <c r="D454" s="36"/>
    </row>
    <row r="455" spans="1:4" ht="18" x14ac:dyDescent="0.25">
      <c r="A455" s="28">
        <v>28</v>
      </c>
      <c r="B455" s="32"/>
      <c r="C455" s="40">
        <v>68</v>
      </c>
      <c r="D455" s="36"/>
    </row>
    <row r="456" spans="1:4" ht="18" x14ac:dyDescent="0.25">
      <c r="A456" s="28">
        <v>29</v>
      </c>
      <c r="B456" s="32"/>
      <c r="C456" s="40">
        <v>69</v>
      </c>
      <c r="D456" s="36"/>
    </row>
    <row r="457" spans="1:4" ht="18" x14ac:dyDescent="0.25">
      <c r="A457" s="28">
        <v>30</v>
      </c>
      <c r="B457" s="32"/>
      <c r="C457" s="40">
        <v>70</v>
      </c>
      <c r="D457" s="36"/>
    </row>
    <row r="458" spans="1:4" ht="18" x14ac:dyDescent="0.25">
      <c r="A458" s="28">
        <v>31</v>
      </c>
      <c r="B458" s="32"/>
      <c r="C458" s="40">
        <v>71</v>
      </c>
      <c r="D458" s="36"/>
    </row>
    <row r="459" spans="1:4" ht="18" x14ac:dyDescent="0.25">
      <c r="A459" s="28">
        <v>32</v>
      </c>
      <c r="B459" s="32"/>
      <c r="C459" s="40">
        <v>72</v>
      </c>
      <c r="D459" s="36"/>
    </row>
    <row r="460" spans="1:4" ht="18" x14ac:dyDescent="0.25">
      <c r="A460" s="28">
        <v>33</v>
      </c>
      <c r="B460" s="32"/>
      <c r="C460" s="40">
        <v>73</v>
      </c>
      <c r="D460" s="36"/>
    </row>
    <row r="461" spans="1:4" ht="18" x14ac:dyDescent="0.25">
      <c r="A461" s="28">
        <v>34</v>
      </c>
      <c r="B461" s="33"/>
      <c r="C461" s="40">
        <v>74</v>
      </c>
      <c r="D461" s="36"/>
    </row>
    <row r="462" spans="1:4" ht="18" x14ac:dyDescent="0.25">
      <c r="A462" s="29">
        <v>35</v>
      </c>
      <c r="B462" s="33"/>
      <c r="C462" s="40">
        <v>75</v>
      </c>
      <c r="D462" s="36"/>
    </row>
    <row r="463" spans="1:4" ht="18" x14ac:dyDescent="0.25">
      <c r="A463" s="28">
        <v>36</v>
      </c>
      <c r="B463" s="33"/>
      <c r="C463" s="40">
        <v>76</v>
      </c>
      <c r="D463" s="36"/>
    </row>
    <row r="464" spans="1:4" ht="18" x14ac:dyDescent="0.25">
      <c r="A464" s="28">
        <v>37</v>
      </c>
      <c r="B464" s="33"/>
      <c r="C464" s="40">
        <v>77</v>
      </c>
      <c r="D464" s="37"/>
    </row>
    <row r="465" spans="1:5" ht="18" x14ac:dyDescent="0.25">
      <c r="A465" s="28">
        <v>38</v>
      </c>
      <c r="B465" s="33"/>
      <c r="C465" s="40">
        <v>78</v>
      </c>
      <c r="D465" s="37"/>
    </row>
    <row r="466" spans="1:5" ht="18" x14ac:dyDescent="0.25">
      <c r="A466" s="28">
        <v>39</v>
      </c>
      <c r="B466" s="33"/>
      <c r="C466" s="40">
        <v>79</v>
      </c>
      <c r="D466" s="37"/>
    </row>
    <row r="467" spans="1:5" ht="18.75" thickBot="1" x14ac:dyDescent="0.3">
      <c r="A467" s="41">
        <v>40</v>
      </c>
      <c r="B467" s="42"/>
      <c r="C467" s="43">
        <v>80</v>
      </c>
      <c r="D467" s="44"/>
    </row>
    <row r="468" spans="1:5" ht="18.75" thickBot="1" x14ac:dyDescent="0.3">
      <c r="A468" s="45" t="s">
        <v>2</v>
      </c>
      <c r="B468" s="51">
        <f>SUM(B428:B467)</f>
        <v>0</v>
      </c>
      <c r="C468" s="52" t="s">
        <v>2</v>
      </c>
      <c r="D468" s="48">
        <f>SUM(D428:D467)</f>
        <v>0</v>
      </c>
    </row>
    <row r="469" spans="1:5" ht="18" x14ac:dyDescent="0.25">
      <c r="A469" s="46"/>
      <c r="B469" s="86" t="s">
        <v>3</v>
      </c>
      <c r="C469" s="87"/>
      <c r="D469" s="49">
        <f>COUNT(B428:B467)+COUNT(D428:D467)</f>
        <v>0</v>
      </c>
    </row>
    <row r="470" spans="1:5" ht="18.75" thickBot="1" x14ac:dyDescent="0.3">
      <c r="A470" s="47"/>
      <c r="B470" s="78" t="s">
        <v>4</v>
      </c>
      <c r="C470" s="79"/>
      <c r="D470" s="50">
        <f>+D468+B468</f>
        <v>0</v>
      </c>
    </row>
    <row r="471" spans="1:5" ht="27.75" thickBot="1" x14ac:dyDescent="0.3">
      <c r="A471" s="83">
        <v>11</v>
      </c>
      <c r="B471" s="84"/>
      <c r="C471" s="84"/>
      <c r="D471" s="85"/>
    </row>
    <row r="472" spans="1:5" ht="18.75" thickBot="1" x14ac:dyDescent="0.3">
      <c r="A472" s="80" t="s">
        <v>123</v>
      </c>
      <c r="B472" s="81"/>
      <c r="C472" s="81"/>
      <c r="D472" s="82"/>
    </row>
    <row r="473" spans="1:5" ht="18.75" thickBot="1" x14ac:dyDescent="0.3">
      <c r="A473" s="80" t="s">
        <v>97</v>
      </c>
      <c r="B473" s="81"/>
      <c r="C473" s="81"/>
      <c r="D473" s="82"/>
    </row>
    <row r="474" spans="1:5" ht="18.75" thickBot="1" x14ac:dyDescent="0.3">
      <c r="A474" s="26" t="s">
        <v>0</v>
      </c>
      <c r="B474" s="30" t="s">
        <v>1</v>
      </c>
      <c r="C474" s="38" t="s">
        <v>0</v>
      </c>
      <c r="D474" s="34" t="s">
        <v>1</v>
      </c>
    </row>
    <row r="475" spans="1:5" ht="18" x14ac:dyDescent="0.25">
      <c r="A475" s="27">
        <v>1</v>
      </c>
      <c r="B475" s="31"/>
      <c r="C475" s="39">
        <v>41</v>
      </c>
      <c r="D475" s="35"/>
    </row>
    <row r="476" spans="1:5" ht="18" x14ac:dyDescent="0.25">
      <c r="A476" s="28">
        <v>2</v>
      </c>
      <c r="B476" s="32"/>
      <c r="C476" s="40">
        <v>42</v>
      </c>
      <c r="D476" s="36"/>
    </row>
    <row r="477" spans="1:5" ht="18" x14ac:dyDescent="0.25">
      <c r="A477" s="28">
        <v>3</v>
      </c>
      <c r="B477" s="32"/>
      <c r="C477" s="40">
        <v>43</v>
      </c>
      <c r="D477" s="36"/>
      <c r="E477" s="56"/>
    </row>
    <row r="478" spans="1:5" ht="18" x14ac:dyDescent="0.25">
      <c r="A478" s="28">
        <v>4</v>
      </c>
      <c r="B478" s="32"/>
      <c r="C478" s="40">
        <v>44</v>
      </c>
      <c r="D478" s="36"/>
    </row>
    <row r="479" spans="1:5" ht="18" x14ac:dyDescent="0.25">
      <c r="A479" s="28">
        <v>5</v>
      </c>
      <c r="B479" s="32"/>
      <c r="C479" s="40">
        <v>45</v>
      </c>
      <c r="D479" s="36"/>
    </row>
    <row r="480" spans="1:5" ht="18" x14ac:dyDescent="0.25">
      <c r="A480" s="28">
        <v>6</v>
      </c>
      <c r="B480" s="32"/>
      <c r="C480" s="40">
        <v>46</v>
      </c>
      <c r="D480" s="36"/>
    </row>
    <row r="481" spans="1:4" ht="18" x14ac:dyDescent="0.25">
      <c r="A481" s="28">
        <v>7</v>
      </c>
      <c r="B481" s="32"/>
      <c r="C481" s="40">
        <v>47</v>
      </c>
      <c r="D481" s="36"/>
    </row>
    <row r="482" spans="1:4" ht="18" x14ac:dyDescent="0.25">
      <c r="A482" s="28">
        <v>8</v>
      </c>
      <c r="B482" s="32"/>
      <c r="C482" s="40">
        <v>48</v>
      </c>
      <c r="D482" s="36"/>
    </row>
    <row r="483" spans="1:4" ht="18" x14ac:dyDescent="0.25">
      <c r="A483" s="28">
        <v>9</v>
      </c>
      <c r="B483" s="32"/>
      <c r="C483" s="40">
        <v>49</v>
      </c>
      <c r="D483" s="36"/>
    </row>
    <row r="484" spans="1:4" ht="18" x14ac:dyDescent="0.25">
      <c r="A484" s="28">
        <v>10</v>
      </c>
      <c r="B484" s="32"/>
      <c r="C484" s="40">
        <v>50</v>
      </c>
      <c r="D484" s="36"/>
    </row>
    <row r="485" spans="1:4" ht="18" x14ac:dyDescent="0.25">
      <c r="A485" s="28">
        <v>11</v>
      </c>
      <c r="B485" s="32"/>
      <c r="C485" s="40">
        <v>51</v>
      </c>
      <c r="D485" s="36"/>
    </row>
    <row r="486" spans="1:4" ht="18" x14ac:dyDescent="0.25">
      <c r="A486" s="28">
        <v>12</v>
      </c>
      <c r="B486" s="32"/>
      <c r="C486" s="40">
        <v>52</v>
      </c>
      <c r="D486" s="36"/>
    </row>
    <row r="487" spans="1:4" ht="18" x14ac:dyDescent="0.25">
      <c r="A487" s="28">
        <v>13</v>
      </c>
      <c r="B487" s="32"/>
      <c r="C487" s="40">
        <v>53</v>
      </c>
      <c r="D487" s="36"/>
    </row>
    <row r="488" spans="1:4" ht="18" x14ac:dyDescent="0.25">
      <c r="A488" s="28">
        <v>14</v>
      </c>
      <c r="B488" s="32"/>
      <c r="C488" s="40">
        <v>54</v>
      </c>
      <c r="D488" s="36"/>
    </row>
    <row r="489" spans="1:4" ht="18" x14ac:dyDescent="0.25">
      <c r="A489" s="28">
        <v>15</v>
      </c>
      <c r="B489" s="32"/>
      <c r="C489" s="40">
        <v>55</v>
      </c>
      <c r="D489" s="36"/>
    </row>
    <row r="490" spans="1:4" ht="18" x14ac:dyDescent="0.25">
      <c r="A490" s="28">
        <v>16</v>
      </c>
      <c r="B490" s="32"/>
      <c r="C490" s="40">
        <v>56</v>
      </c>
      <c r="D490" s="36"/>
    </row>
    <row r="491" spans="1:4" ht="18" x14ac:dyDescent="0.25">
      <c r="A491" s="28">
        <v>17</v>
      </c>
      <c r="B491" s="32"/>
      <c r="C491" s="40">
        <v>57</v>
      </c>
      <c r="D491" s="36"/>
    </row>
    <row r="492" spans="1:4" ht="18" x14ac:dyDescent="0.25">
      <c r="A492" s="28">
        <v>18</v>
      </c>
      <c r="B492" s="32"/>
      <c r="C492" s="40">
        <v>58</v>
      </c>
      <c r="D492" s="36"/>
    </row>
    <row r="493" spans="1:4" ht="18" x14ac:dyDescent="0.25">
      <c r="A493" s="28">
        <v>19</v>
      </c>
      <c r="B493" s="32"/>
      <c r="C493" s="40">
        <v>59</v>
      </c>
      <c r="D493" s="36"/>
    </row>
    <row r="494" spans="1:4" ht="18" x14ac:dyDescent="0.25">
      <c r="A494" s="28">
        <v>20</v>
      </c>
      <c r="B494" s="32"/>
      <c r="C494" s="40">
        <v>60</v>
      </c>
      <c r="D494" s="36"/>
    </row>
    <row r="495" spans="1:4" ht="18" x14ac:dyDescent="0.25">
      <c r="A495" s="28">
        <v>21</v>
      </c>
      <c r="B495" s="32"/>
      <c r="C495" s="40">
        <v>61</v>
      </c>
      <c r="D495" s="36"/>
    </row>
    <row r="496" spans="1:4" ht="18" x14ac:dyDescent="0.25">
      <c r="A496" s="28">
        <v>22</v>
      </c>
      <c r="B496" s="32"/>
      <c r="C496" s="40">
        <v>62</v>
      </c>
      <c r="D496" s="36"/>
    </row>
    <row r="497" spans="1:4" ht="18" x14ac:dyDescent="0.25">
      <c r="A497" s="28">
        <v>23</v>
      </c>
      <c r="B497" s="32"/>
      <c r="C497" s="40">
        <v>63</v>
      </c>
      <c r="D497" s="36"/>
    </row>
    <row r="498" spans="1:4" ht="18" x14ac:dyDescent="0.25">
      <c r="A498" s="28">
        <v>24</v>
      </c>
      <c r="B498" s="32"/>
      <c r="C498" s="40">
        <v>64</v>
      </c>
      <c r="D498" s="36"/>
    </row>
    <row r="499" spans="1:4" ht="18" x14ac:dyDescent="0.25">
      <c r="A499" s="28">
        <v>25</v>
      </c>
      <c r="B499" s="32"/>
      <c r="C499" s="40">
        <v>65</v>
      </c>
      <c r="D499" s="36"/>
    </row>
    <row r="500" spans="1:4" ht="18" x14ac:dyDescent="0.25">
      <c r="A500" s="28">
        <v>26</v>
      </c>
      <c r="B500" s="32"/>
      <c r="C500" s="40">
        <v>66</v>
      </c>
      <c r="D500" s="36"/>
    </row>
    <row r="501" spans="1:4" ht="18" x14ac:dyDescent="0.25">
      <c r="A501" s="28">
        <v>27</v>
      </c>
      <c r="B501" s="32"/>
      <c r="C501" s="40">
        <v>67</v>
      </c>
      <c r="D501" s="36"/>
    </row>
    <row r="502" spans="1:4" ht="18" x14ac:dyDescent="0.25">
      <c r="A502" s="28">
        <v>28</v>
      </c>
      <c r="B502" s="32"/>
      <c r="C502" s="40">
        <v>68</v>
      </c>
      <c r="D502" s="36"/>
    </row>
    <row r="503" spans="1:4" ht="18" x14ac:dyDescent="0.25">
      <c r="A503" s="28">
        <v>29</v>
      </c>
      <c r="B503" s="32"/>
      <c r="C503" s="40">
        <v>69</v>
      </c>
      <c r="D503" s="36"/>
    </row>
    <row r="504" spans="1:4" ht="18" x14ac:dyDescent="0.25">
      <c r="A504" s="28">
        <v>30</v>
      </c>
      <c r="B504" s="32"/>
      <c r="C504" s="40">
        <v>70</v>
      </c>
      <c r="D504" s="36"/>
    </row>
    <row r="505" spans="1:4" ht="18" x14ac:dyDescent="0.25">
      <c r="A505" s="28">
        <v>31</v>
      </c>
      <c r="B505" s="32"/>
      <c r="C505" s="40">
        <v>71</v>
      </c>
      <c r="D505" s="36"/>
    </row>
    <row r="506" spans="1:4" ht="18" x14ac:dyDescent="0.25">
      <c r="A506" s="28">
        <v>32</v>
      </c>
      <c r="B506" s="32"/>
      <c r="C506" s="40">
        <v>72</v>
      </c>
      <c r="D506" s="36"/>
    </row>
    <row r="507" spans="1:4" ht="18" x14ac:dyDescent="0.25">
      <c r="A507" s="28">
        <v>33</v>
      </c>
      <c r="B507" s="32"/>
      <c r="C507" s="40">
        <v>73</v>
      </c>
      <c r="D507" s="36"/>
    </row>
    <row r="508" spans="1:4" ht="18" x14ac:dyDescent="0.25">
      <c r="A508" s="28">
        <v>34</v>
      </c>
      <c r="B508" s="33"/>
      <c r="C508" s="40">
        <v>74</v>
      </c>
      <c r="D508" s="36"/>
    </row>
    <row r="509" spans="1:4" ht="18" x14ac:dyDescent="0.25">
      <c r="A509" s="29">
        <v>35</v>
      </c>
      <c r="B509" s="33"/>
      <c r="C509" s="40">
        <v>75</v>
      </c>
      <c r="D509" s="36"/>
    </row>
    <row r="510" spans="1:4" ht="18" x14ac:dyDescent="0.25">
      <c r="A510" s="28">
        <v>36</v>
      </c>
      <c r="B510" s="33"/>
      <c r="C510" s="40">
        <v>76</v>
      </c>
      <c r="D510" s="36"/>
    </row>
    <row r="511" spans="1:4" ht="18" x14ac:dyDescent="0.25">
      <c r="A511" s="28">
        <v>37</v>
      </c>
      <c r="B511" s="33"/>
      <c r="C511" s="40">
        <v>77</v>
      </c>
      <c r="D511" s="37"/>
    </row>
    <row r="512" spans="1:4" ht="18" x14ac:dyDescent="0.25">
      <c r="A512" s="28">
        <v>38</v>
      </c>
      <c r="B512" s="33"/>
      <c r="C512" s="40">
        <v>78</v>
      </c>
      <c r="D512" s="37"/>
    </row>
    <row r="513" spans="1:4" ht="18" x14ac:dyDescent="0.25">
      <c r="A513" s="28">
        <v>39</v>
      </c>
      <c r="B513" s="33"/>
      <c r="C513" s="40">
        <v>79</v>
      </c>
      <c r="D513" s="37"/>
    </row>
    <row r="514" spans="1:4" ht="18.75" thickBot="1" x14ac:dyDescent="0.3">
      <c r="A514" s="41">
        <v>40</v>
      </c>
      <c r="B514" s="42"/>
      <c r="C514" s="43">
        <v>80</v>
      </c>
      <c r="D514" s="44"/>
    </row>
    <row r="515" spans="1:4" ht="18.75" thickBot="1" x14ac:dyDescent="0.3">
      <c r="A515" s="45" t="s">
        <v>2</v>
      </c>
      <c r="B515" s="51">
        <f>SUM(B475:B514)</f>
        <v>0</v>
      </c>
      <c r="C515" s="52" t="s">
        <v>2</v>
      </c>
      <c r="D515" s="48">
        <f>SUM(D475:D514)</f>
        <v>0</v>
      </c>
    </row>
    <row r="516" spans="1:4" ht="18" x14ac:dyDescent="0.25">
      <c r="A516" s="46"/>
      <c r="B516" s="86" t="s">
        <v>3</v>
      </c>
      <c r="C516" s="87"/>
      <c r="D516" s="49">
        <f>COUNT(B475:B514)+COUNT(D475:D514)</f>
        <v>0</v>
      </c>
    </row>
    <row r="517" spans="1:4" ht="18.75" thickBot="1" x14ac:dyDescent="0.3">
      <c r="A517" s="47"/>
      <c r="B517" s="78" t="s">
        <v>4</v>
      </c>
      <c r="C517" s="79"/>
      <c r="D517" s="50">
        <f>+D515+B515</f>
        <v>0</v>
      </c>
    </row>
    <row r="518" spans="1:4" ht="27.75" thickBot="1" x14ac:dyDescent="0.3">
      <c r="A518" s="83">
        <v>12</v>
      </c>
      <c r="B518" s="84"/>
      <c r="C518" s="84"/>
      <c r="D518" s="85"/>
    </row>
    <row r="519" spans="1:4" ht="18.75" thickBot="1" x14ac:dyDescent="0.3">
      <c r="A519" s="80" t="s">
        <v>124</v>
      </c>
      <c r="B519" s="81"/>
      <c r="C519" s="81"/>
      <c r="D519" s="82"/>
    </row>
    <row r="520" spans="1:4" ht="18.75" thickBot="1" x14ac:dyDescent="0.3">
      <c r="A520" s="80" t="s">
        <v>97</v>
      </c>
      <c r="B520" s="81"/>
      <c r="C520" s="81"/>
      <c r="D520" s="82"/>
    </row>
    <row r="521" spans="1:4" ht="18.75" thickBot="1" x14ac:dyDescent="0.3">
      <c r="A521" s="26" t="s">
        <v>0</v>
      </c>
      <c r="B521" s="30" t="s">
        <v>1</v>
      </c>
      <c r="C521" s="38" t="s">
        <v>0</v>
      </c>
      <c r="D521" s="34" t="s">
        <v>1</v>
      </c>
    </row>
    <row r="522" spans="1:4" ht="18" x14ac:dyDescent="0.25">
      <c r="A522" s="27">
        <v>1</v>
      </c>
      <c r="B522" s="31"/>
      <c r="C522" s="39">
        <v>41</v>
      </c>
      <c r="D522" s="35"/>
    </row>
    <row r="523" spans="1:4" ht="18" x14ac:dyDescent="0.25">
      <c r="A523" s="28">
        <v>2</v>
      </c>
      <c r="B523" s="32"/>
      <c r="C523" s="40">
        <v>42</v>
      </c>
      <c r="D523" s="36"/>
    </row>
    <row r="524" spans="1:4" ht="18" x14ac:dyDescent="0.25">
      <c r="A524" s="28">
        <v>3</v>
      </c>
      <c r="B524" s="32"/>
      <c r="C524" s="40">
        <v>43</v>
      </c>
      <c r="D524" s="36"/>
    </row>
    <row r="525" spans="1:4" ht="18" x14ac:dyDescent="0.25">
      <c r="A525" s="28">
        <v>4</v>
      </c>
      <c r="B525" s="32"/>
      <c r="C525" s="40">
        <v>44</v>
      </c>
      <c r="D525" s="36"/>
    </row>
    <row r="526" spans="1:4" ht="18" x14ac:dyDescent="0.25">
      <c r="A526" s="28">
        <v>5</v>
      </c>
      <c r="B526" s="32"/>
      <c r="C526" s="40">
        <v>45</v>
      </c>
      <c r="D526" s="36"/>
    </row>
    <row r="527" spans="1:4" ht="18" x14ac:dyDescent="0.25">
      <c r="A527" s="28">
        <v>6</v>
      </c>
      <c r="B527" s="32"/>
      <c r="C527" s="40">
        <v>46</v>
      </c>
      <c r="D527" s="36"/>
    </row>
    <row r="528" spans="1:4" ht="18" x14ac:dyDescent="0.25">
      <c r="A528" s="28">
        <v>7</v>
      </c>
      <c r="B528" s="32"/>
      <c r="C528" s="40">
        <v>47</v>
      </c>
      <c r="D528" s="36"/>
    </row>
    <row r="529" spans="1:4" ht="18" x14ac:dyDescent="0.25">
      <c r="A529" s="28">
        <v>8</v>
      </c>
      <c r="B529" s="32"/>
      <c r="C529" s="40">
        <v>48</v>
      </c>
      <c r="D529" s="36"/>
    </row>
    <row r="530" spans="1:4" ht="18" x14ac:dyDescent="0.25">
      <c r="A530" s="28">
        <v>9</v>
      </c>
      <c r="B530" s="32"/>
      <c r="C530" s="40">
        <v>49</v>
      </c>
      <c r="D530" s="36"/>
    </row>
    <row r="531" spans="1:4" ht="18" x14ac:dyDescent="0.25">
      <c r="A531" s="28">
        <v>10</v>
      </c>
      <c r="B531" s="32"/>
      <c r="C531" s="40">
        <v>50</v>
      </c>
      <c r="D531" s="36"/>
    </row>
    <row r="532" spans="1:4" ht="18" x14ac:dyDescent="0.25">
      <c r="A532" s="28">
        <v>11</v>
      </c>
      <c r="B532" s="32"/>
      <c r="C532" s="40">
        <v>51</v>
      </c>
      <c r="D532" s="36"/>
    </row>
    <row r="533" spans="1:4" ht="18" x14ac:dyDescent="0.25">
      <c r="A533" s="28">
        <v>12</v>
      </c>
      <c r="B533" s="32"/>
      <c r="C533" s="40">
        <v>52</v>
      </c>
      <c r="D533" s="36"/>
    </row>
    <row r="534" spans="1:4" ht="18" x14ac:dyDescent="0.25">
      <c r="A534" s="28">
        <v>13</v>
      </c>
      <c r="B534" s="32"/>
      <c r="C534" s="40">
        <v>53</v>
      </c>
      <c r="D534" s="36"/>
    </row>
    <row r="535" spans="1:4" ht="18" x14ac:dyDescent="0.25">
      <c r="A535" s="28">
        <v>14</v>
      </c>
      <c r="B535" s="32"/>
      <c r="C535" s="40">
        <v>54</v>
      </c>
      <c r="D535" s="36"/>
    </row>
    <row r="536" spans="1:4" ht="18" x14ac:dyDescent="0.25">
      <c r="A536" s="28">
        <v>15</v>
      </c>
      <c r="B536" s="32"/>
      <c r="C536" s="40">
        <v>55</v>
      </c>
      <c r="D536" s="36"/>
    </row>
    <row r="537" spans="1:4" ht="18" x14ac:dyDescent="0.25">
      <c r="A537" s="28">
        <v>16</v>
      </c>
      <c r="B537" s="32"/>
      <c r="C537" s="40">
        <v>56</v>
      </c>
      <c r="D537" s="36"/>
    </row>
    <row r="538" spans="1:4" ht="18" x14ac:dyDescent="0.25">
      <c r="A538" s="28">
        <v>17</v>
      </c>
      <c r="B538" s="32"/>
      <c r="C538" s="40">
        <v>57</v>
      </c>
      <c r="D538" s="36"/>
    </row>
    <row r="539" spans="1:4" ht="18" x14ac:dyDescent="0.25">
      <c r="A539" s="28">
        <v>18</v>
      </c>
      <c r="B539" s="32"/>
      <c r="C539" s="40">
        <v>58</v>
      </c>
      <c r="D539" s="36"/>
    </row>
    <row r="540" spans="1:4" ht="18" x14ac:dyDescent="0.25">
      <c r="A540" s="28">
        <v>19</v>
      </c>
      <c r="B540" s="32"/>
      <c r="C540" s="40">
        <v>59</v>
      </c>
      <c r="D540" s="36"/>
    </row>
    <row r="541" spans="1:4" ht="18" x14ac:dyDescent="0.25">
      <c r="A541" s="28">
        <v>20</v>
      </c>
      <c r="B541" s="32"/>
      <c r="C541" s="40">
        <v>60</v>
      </c>
      <c r="D541" s="36"/>
    </row>
    <row r="542" spans="1:4" ht="18" x14ac:dyDescent="0.25">
      <c r="A542" s="28">
        <v>21</v>
      </c>
      <c r="B542" s="32"/>
      <c r="C542" s="40">
        <v>61</v>
      </c>
      <c r="D542" s="36"/>
    </row>
    <row r="543" spans="1:4" ht="18" x14ac:dyDescent="0.25">
      <c r="A543" s="28">
        <v>22</v>
      </c>
      <c r="B543" s="32"/>
      <c r="C543" s="40">
        <v>62</v>
      </c>
      <c r="D543" s="36"/>
    </row>
    <row r="544" spans="1:4" ht="18" x14ac:dyDescent="0.25">
      <c r="A544" s="28">
        <v>23</v>
      </c>
      <c r="B544" s="32"/>
      <c r="C544" s="40">
        <v>63</v>
      </c>
      <c r="D544" s="36"/>
    </row>
    <row r="545" spans="1:4" ht="18" x14ac:dyDescent="0.25">
      <c r="A545" s="28">
        <v>24</v>
      </c>
      <c r="B545" s="32"/>
      <c r="C545" s="40">
        <v>64</v>
      </c>
      <c r="D545" s="36"/>
    </row>
    <row r="546" spans="1:4" ht="18" x14ac:dyDescent="0.25">
      <c r="A546" s="28">
        <v>25</v>
      </c>
      <c r="B546" s="32"/>
      <c r="C546" s="40">
        <v>65</v>
      </c>
      <c r="D546" s="36"/>
    </row>
    <row r="547" spans="1:4" ht="18" x14ac:dyDescent="0.25">
      <c r="A547" s="28">
        <v>26</v>
      </c>
      <c r="B547" s="32"/>
      <c r="C547" s="40">
        <v>66</v>
      </c>
      <c r="D547" s="36"/>
    </row>
    <row r="548" spans="1:4" ht="18" x14ac:dyDescent="0.25">
      <c r="A548" s="28">
        <v>27</v>
      </c>
      <c r="B548" s="32"/>
      <c r="C548" s="40">
        <v>67</v>
      </c>
      <c r="D548" s="36"/>
    </row>
    <row r="549" spans="1:4" ht="18" x14ac:dyDescent="0.25">
      <c r="A549" s="28">
        <v>28</v>
      </c>
      <c r="B549" s="32"/>
      <c r="C549" s="40">
        <v>68</v>
      </c>
      <c r="D549" s="36"/>
    </row>
    <row r="550" spans="1:4" ht="18" x14ac:dyDescent="0.25">
      <c r="A550" s="28">
        <v>29</v>
      </c>
      <c r="B550" s="32"/>
      <c r="C550" s="40">
        <v>69</v>
      </c>
      <c r="D550" s="36"/>
    </row>
    <row r="551" spans="1:4" ht="18" x14ac:dyDescent="0.25">
      <c r="A551" s="28">
        <v>30</v>
      </c>
      <c r="B551" s="32"/>
      <c r="C551" s="40">
        <v>70</v>
      </c>
      <c r="D551" s="36"/>
    </row>
    <row r="552" spans="1:4" ht="18" x14ac:dyDescent="0.25">
      <c r="A552" s="28">
        <v>31</v>
      </c>
      <c r="B552" s="32"/>
      <c r="C552" s="40">
        <v>71</v>
      </c>
      <c r="D552" s="36"/>
    </row>
    <row r="553" spans="1:4" ht="18" x14ac:dyDescent="0.25">
      <c r="A553" s="28">
        <v>32</v>
      </c>
      <c r="B553" s="32"/>
      <c r="C553" s="40">
        <v>72</v>
      </c>
      <c r="D553" s="36"/>
    </row>
    <row r="554" spans="1:4" ht="18" x14ac:dyDescent="0.25">
      <c r="A554" s="28">
        <v>33</v>
      </c>
      <c r="B554" s="32"/>
      <c r="C554" s="40">
        <v>73</v>
      </c>
      <c r="D554" s="36"/>
    </row>
    <row r="555" spans="1:4" ht="18" x14ac:dyDescent="0.25">
      <c r="A555" s="28">
        <v>34</v>
      </c>
      <c r="B555" s="33"/>
      <c r="C555" s="40">
        <v>74</v>
      </c>
      <c r="D555" s="36"/>
    </row>
    <row r="556" spans="1:4" ht="18" x14ac:dyDescent="0.25">
      <c r="A556" s="29">
        <v>35</v>
      </c>
      <c r="B556" s="33"/>
      <c r="C556" s="40">
        <v>75</v>
      </c>
      <c r="D556" s="36"/>
    </row>
    <row r="557" spans="1:4" ht="18" x14ac:dyDescent="0.25">
      <c r="A557" s="28">
        <v>36</v>
      </c>
      <c r="B557" s="33"/>
      <c r="C557" s="40">
        <v>76</v>
      </c>
      <c r="D557" s="36"/>
    </row>
    <row r="558" spans="1:4" ht="18" x14ac:dyDescent="0.25">
      <c r="A558" s="28">
        <v>37</v>
      </c>
      <c r="B558" s="33"/>
      <c r="C558" s="40">
        <v>77</v>
      </c>
      <c r="D558" s="37"/>
    </row>
    <row r="559" spans="1:4" ht="18" x14ac:dyDescent="0.25">
      <c r="A559" s="28">
        <v>38</v>
      </c>
      <c r="B559" s="33"/>
      <c r="C559" s="40">
        <v>78</v>
      </c>
      <c r="D559" s="37"/>
    </row>
    <row r="560" spans="1:4" ht="18" x14ac:dyDescent="0.25">
      <c r="A560" s="28">
        <v>39</v>
      </c>
      <c r="B560" s="33"/>
      <c r="C560" s="40">
        <v>79</v>
      </c>
      <c r="D560" s="37"/>
    </row>
    <row r="561" spans="1:5" ht="18.75" thickBot="1" x14ac:dyDescent="0.3">
      <c r="A561" s="41">
        <v>40</v>
      </c>
      <c r="B561" s="42"/>
      <c r="C561" s="43">
        <v>80</v>
      </c>
      <c r="D561" s="44"/>
    </row>
    <row r="562" spans="1:5" ht="18.75" thickBot="1" x14ac:dyDescent="0.3">
      <c r="A562" s="45" t="s">
        <v>2</v>
      </c>
      <c r="B562" s="51">
        <f>SUM(B522:B561)</f>
        <v>0</v>
      </c>
      <c r="C562" s="52" t="s">
        <v>2</v>
      </c>
      <c r="D562" s="48">
        <f>SUM(D522:D561)</f>
        <v>0</v>
      </c>
    </row>
    <row r="563" spans="1:5" ht="18" x14ac:dyDescent="0.25">
      <c r="A563" s="46"/>
      <c r="B563" s="86" t="s">
        <v>3</v>
      </c>
      <c r="C563" s="87"/>
      <c r="D563" s="49">
        <f>COUNT(B522:B561)+COUNT(D522:D561)</f>
        <v>0</v>
      </c>
    </row>
    <row r="564" spans="1:5" ht="18.75" thickBot="1" x14ac:dyDescent="0.3">
      <c r="A564" s="47"/>
      <c r="B564" s="78" t="s">
        <v>4</v>
      </c>
      <c r="C564" s="79"/>
      <c r="D564" s="50">
        <f>+D562+B562</f>
        <v>0</v>
      </c>
    </row>
    <row r="565" spans="1:5" ht="27.75" thickBot="1" x14ac:dyDescent="0.3">
      <c r="A565" s="83">
        <v>13</v>
      </c>
      <c r="B565" s="84"/>
      <c r="C565" s="84"/>
      <c r="D565" s="85"/>
    </row>
    <row r="566" spans="1:5" ht="18.75" thickBot="1" x14ac:dyDescent="0.3">
      <c r="A566" s="80" t="s">
        <v>125</v>
      </c>
      <c r="B566" s="81"/>
      <c r="C566" s="81"/>
      <c r="D566" s="82"/>
    </row>
    <row r="567" spans="1:5" ht="18.75" thickBot="1" x14ac:dyDescent="0.3">
      <c r="A567" s="80" t="s">
        <v>95</v>
      </c>
      <c r="B567" s="81"/>
      <c r="C567" s="81"/>
      <c r="D567" s="82"/>
    </row>
    <row r="568" spans="1:5" ht="18.75" thickBot="1" x14ac:dyDescent="0.3">
      <c r="A568" s="26" t="s">
        <v>0</v>
      </c>
      <c r="B568" s="30" t="s">
        <v>1</v>
      </c>
      <c r="C568" s="38" t="s">
        <v>0</v>
      </c>
      <c r="D568" s="34" t="s">
        <v>1</v>
      </c>
    </row>
    <row r="569" spans="1:5" ht="18" x14ac:dyDescent="0.25">
      <c r="A569" s="27">
        <v>1</v>
      </c>
      <c r="B569" s="31"/>
      <c r="C569" s="39">
        <v>41</v>
      </c>
      <c r="D569" s="35"/>
      <c r="E569" s="56"/>
    </row>
    <row r="570" spans="1:5" ht="18" x14ac:dyDescent="0.25">
      <c r="A570" s="28">
        <v>2</v>
      </c>
      <c r="B570" s="32"/>
      <c r="C570" s="40">
        <v>42</v>
      </c>
      <c r="D570" s="36"/>
    </row>
    <row r="571" spans="1:5" ht="18" x14ac:dyDescent="0.25">
      <c r="A571" s="28">
        <v>3</v>
      </c>
      <c r="B571" s="32"/>
      <c r="C571" s="40">
        <v>43</v>
      </c>
      <c r="D571" s="36"/>
    </row>
    <row r="572" spans="1:5" ht="18" x14ac:dyDescent="0.25">
      <c r="A572" s="28">
        <v>4</v>
      </c>
      <c r="B572" s="32"/>
      <c r="C572" s="40">
        <v>44</v>
      </c>
      <c r="D572" s="36"/>
    </row>
    <row r="573" spans="1:5" ht="18" x14ac:dyDescent="0.25">
      <c r="A573" s="28">
        <v>5</v>
      </c>
      <c r="B573" s="32"/>
      <c r="C573" s="40">
        <v>45</v>
      </c>
      <c r="D573" s="36"/>
    </row>
    <row r="574" spans="1:5" ht="18" x14ac:dyDescent="0.25">
      <c r="A574" s="28">
        <v>6</v>
      </c>
      <c r="B574" s="32"/>
      <c r="C574" s="40">
        <v>46</v>
      </c>
      <c r="D574" s="36"/>
    </row>
    <row r="575" spans="1:5" ht="18" x14ac:dyDescent="0.25">
      <c r="A575" s="28">
        <v>7</v>
      </c>
      <c r="B575" s="32"/>
      <c r="C575" s="40">
        <v>47</v>
      </c>
      <c r="D575" s="36"/>
    </row>
    <row r="576" spans="1:5" ht="18" x14ac:dyDescent="0.25">
      <c r="A576" s="28">
        <v>8</v>
      </c>
      <c r="B576" s="32"/>
      <c r="C576" s="40">
        <v>48</v>
      </c>
      <c r="D576" s="36"/>
    </row>
    <row r="577" spans="1:4" ht="18" x14ac:dyDescent="0.25">
      <c r="A577" s="28">
        <v>9</v>
      </c>
      <c r="B577" s="32"/>
      <c r="C577" s="40">
        <v>49</v>
      </c>
      <c r="D577" s="36"/>
    </row>
    <row r="578" spans="1:4" ht="18" x14ac:dyDescent="0.25">
      <c r="A578" s="28">
        <v>10</v>
      </c>
      <c r="B578" s="32"/>
      <c r="C578" s="40">
        <v>50</v>
      </c>
      <c r="D578" s="36"/>
    </row>
    <row r="579" spans="1:4" ht="18" x14ac:dyDescent="0.25">
      <c r="A579" s="28">
        <v>11</v>
      </c>
      <c r="B579" s="32"/>
      <c r="C579" s="40">
        <v>51</v>
      </c>
      <c r="D579" s="36"/>
    </row>
    <row r="580" spans="1:4" ht="18" x14ac:dyDescent="0.25">
      <c r="A580" s="28">
        <v>12</v>
      </c>
      <c r="B580" s="32"/>
      <c r="C580" s="40">
        <v>52</v>
      </c>
      <c r="D580" s="36"/>
    </row>
    <row r="581" spans="1:4" ht="18" x14ac:dyDescent="0.25">
      <c r="A581" s="28">
        <v>13</v>
      </c>
      <c r="B581" s="32"/>
      <c r="C581" s="40">
        <v>53</v>
      </c>
      <c r="D581" s="36"/>
    </row>
    <row r="582" spans="1:4" ht="18" x14ac:dyDescent="0.25">
      <c r="A582" s="28">
        <v>14</v>
      </c>
      <c r="B582" s="32"/>
      <c r="C582" s="40">
        <v>54</v>
      </c>
      <c r="D582" s="36"/>
    </row>
    <row r="583" spans="1:4" ht="18" x14ac:dyDescent="0.25">
      <c r="A583" s="28">
        <v>15</v>
      </c>
      <c r="B583" s="32"/>
      <c r="C583" s="40">
        <v>55</v>
      </c>
      <c r="D583" s="36"/>
    </row>
    <row r="584" spans="1:4" ht="18" x14ac:dyDescent="0.25">
      <c r="A584" s="28">
        <v>16</v>
      </c>
      <c r="B584" s="32"/>
      <c r="C584" s="40">
        <v>56</v>
      </c>
      <c r="D584" s="36"/>
    </row>
    <row r="585" spans="1:4" ht="18" x14ac:dyDescent="0.25">
      <c r="A585" s="28">
        <v>17</v>
      </c>
      <c r="B585" s="32"/>
      <c r="C585" s="40">
        <v>57</v>
      </c>
      <c r="D585" s="36"/>
    </row>
    <row r="586" spans="1:4" ht="18" x14ac:dyDescent="0.25">
      <c r="A586" s="28">
        <v>18</v>
      </c>
      <c r="B586" s="32"/>
      <c r="C586" s="40">
        <v>58</v>
      </c>
      <c r="D586" s="36"/>
    </row>
    <row r="587" spans="1:4" ht="18" x14ac:dyDescent="0.25">
      <c r="A587" s="28">
        <v>19</v>
      </c>
      <c r="B587" s="32"/>
      <c r="C587" s="40">
        <v>59</v>
      </c>
      <c r="D587" s="36"/>
    </row>
    <row r="588" spans="1:4" ht="18" x14ac:dyDescent="0.25">
      <c r="A588" s="28">
        <v>20</v>
      </c>
      <c r="B588" s="32"/>
      <c r="C588" s="40">
        <v>60</v>
      </c>
      <c r="D588" s="36"/>
    </row>
    <row r="589" spans="1:4" ht="18" x14ac:dyDescent="0.25">
      <c r="A589" s="28">
        <v>21</v>
      </c>
      <c r="B589" s="32"/>
      <c r="C589" s="40">
        <v>61</v>
      </c>
      <c r="D589" s="36"/>
    </row>
    <row r="590" spans="1:4" ht="18" x14ac:dyDescent="0.25">
      <c r="A590" s="28">
        <v>22</v>
      </c>
      <c r="B590" s="32"/>
      <c r="C590" s="40">
        <v>62</v>
      </c>
      <c r="D590" s="36"/>
    </row>
    <row r="591" spans="1:4" ht="18" x14ac:dyDescent="0.25">
      <c r="A591" s="28">
        <v>23</v>
      </c>
      <c r="B591" s="32"/>
      <c r="C591" s="40">
        <v>63</v>
      </c>
      <c r="D591" s="36"/>
    </row>
    <row r="592" spans="1:4" ht="18" x14ac:dyDescent="0.25">
      <c r="A592" s="28">
        <v>24</v>
      </c>
      <c r="B592" s="32"/>
      <c r="C592" s="40">
        <v>64</v>
      </c>
      <c r="D592" s="36"/>
    </row>
    <row r="593" spans="1:4" ht="18" x14ac:dyDescent="0.25">
      <c r="A593" s="28">
        <v>25</v>
      </c>
      <c r="B593" s="32"/>
      <c r="C593" s="40">
        <v>65</v>
      </c>
      <c r="D593" s="36"/>
    </row>
    <row r="594" spans="1:4" ht="18" x14ac:dyDescent="0.25">
      <c r="A594" s="28">
        <v>26</v>
      </c>
      <c r="B594" s="32"/>
      <c r="C594" s="40">
        <v>66</v>
      </c>
      <c r="D594" s="36"/>
    </row>
    <row r="595" spans="1:4" ht="18" x14ac:dyDescent="0.25">
      <c r="A595" s="28">
        <v>27</v>
      </c>
      <c r="B595" s="32"/>
      <c r="C595" s="40">
        <v>67</v>
      </c>
      <c r="D595" s="36"/>
    </row>
    <row r="596" spans="1:4" ht="18" x14ac:dyDescent="0.25">
      <c r="A596" s="28">
        <v>28</v>
      </c>
      <c r="B596" s="32"/>
      <c r="C596" s="40">
        <v>68</v>
      </c>
      <c r="D596" s="36"/>
    </row>
    <row r="597" spans="1:4" ht="18" x14ac:dyDescent="0.25">
      <c r="A597" s="28">
        <v>29</v>
      </c>
      <c r="B597" s="32"/>
      <c r="C597" s="40">
        <v>69</v>
      </c>
      <c r="D597" s="36"/>
    </row>
    <row r="598" spans="1:4" ht="18" x14ac:dyDescent="0.25">
      <c r="A598" s="28">
        <v>30</v>
      </c>
      <c r="B598" s="32"/>
      <c r="C598" s="40">
        <v>70</v>
      </c>
      <c r="D598" s="36"/>
    </row>
    <row r="599" spans="1:4" ht="18" x14ac:dyDescent="0.25">
      <c r="A599" s="28">
        <v>31</v>
      </c>
      <c r="B599" s="32"/>
      <c r="C599" s="40">
        <v>71</v>
      </c>
      <c r="D599" s="36"/>
    </row>
    <row r="600" spans="1:4" ht="18" x14ac:dyDescent="0.25">
      <c r="A600" s="28">
        <v>32</v>
      </c>
      <c r="B600" s="32"/>
      <c r="C600" s="40">
        <v>72</v>
      </c>
      <c r="D600" s="36"/>
    </row>
    <row r="601" spans="1:4" ht="18" x14ac:dyDescent="0.25">
      <c r="A601" s="28">
        <v>33</v>
      </c>
      <c r="B601" s="32"/>
      <c r="C601" s="40">
        <v>73</v>
      </c>
      <c r="D601" s="36"/>
    </row>
    <row r="602" spans="1:4" ht="18" x14ac:dyDescent="0.25">
      <c r="A602" s="28">
        <v>34</v>
      </c>
      <c r="B602" s="33"/>
      <c r="C602" s="40">
        <v>74</v>
      </c>
      <c r="D602" s="36"/>
    </row>
    <row r="603" spans="1:4" ht="18" x14ac:dyDescent="0.25">
      <c r="A603" s="29">
        <v>35</v>
      </c>
      <c r="B603" s="33"/>
      <c r="C603" s="40">
        <v>75</v>
      </c>
      <c r="D603" s="36"/>
    </row>
    <row r="604" spans="1:4" ht="18" x14ac:dyDescent="0.25">
      <c r="A604" s="28">
        <v>36</v>
      </c>
      <c r="B604" s="33"/>
      <c r="C604" s="40">
        <v>76</v>
      </c>
      <c r="D604" s="36"/>
    </row>
    <row r="605" spans="1:4" ht="18" x14ac:dyDescent="0.25">
      <c r="A605" s="28">
        <v>37</v>
      </c>
      <c r="B605" s="33"/>
      <c r="C605" s="40">
        <v>77</v>
      </c>
      <c r="D605" s="37"/>
    </row>
    <row r="606" spans="1:4" ht="18" x14ac:dyDescent="0.25">
      <c r="A606" s="28">
        <v>38</v>
      </c>
      <c r="B606" s="33"/>
      <c r="C606" s="40">
        <v>78</v>
      </c>
      <c r="D606" s="37"/>
    </row>
    <row r="607" spans="1:4" ht="18" x14ac:dyDescent="0.25">
      <c r="A607" s="28">
        <v>39</v>
      </c>
      <c r="B607" s="33"/>
      <c r="C607" s="40">
        <v>79</v>
      </c>
      <c r="D607" s="37"/>
    </row>
    <row r="608" spans="1:4" ht="18.75" thickBot="1" x14ac:dyDescent="0.3">
      <c r="A608" s="41">
        <v>40</v>
      </c>
      <c r="B608" s="42"/>
      <c r="C608" s="43">
        <v>80</v>
      </c>
      <c r="D608" s="44"/>
    </row>
    <row r="609" spans="1:5" ht="18.75" thickBot="1" x14ac:dyDescent="0.3">
      <c r="A609" s="45" t="s">
        <v>2</v>
      </c>
      <c r="B609" s="51">
        <f>SUM(B569:B608)</f>
        <v>0</v>
      </c>
      <c r="C609" s="52" t="s">
        <v>2</v>
      </c>
      <c r="D609" s="48">
        <f>SUM(D569:D608)</f>
        <v>0</v>
      </c>
    </row>
    <row r="610" spans="1:5" ht="18" x14ac:dyDescent="0.25">
      <c r="A610" s="46"/>
      <c r="B610" s="86" t="s">
        <v>3</v>
      </c>
      <c r="C610" s="87"/>
      <c r="D610" s="49">
        <f>COUNT(B569:B608)+COUNT(D569:D608)</f>
        <v>0</v>
      </c>
    </row>
    <row r="611" spans="1:5" ht="18.75" thickBot="1" x14ac:dyDescent="0.3">
      <c r="A611" s="47"/>
      <c r="B611" s="78" t="s">
        <v>4</v>
      </c>
      <c r="C611" s="79"/>
      <c r="D611" s="50">
        <f>+D609+B609</f>
        <v>0</v>
      </c>
    </row>
    <row r="612" spans="1:5" ht="27.75" thickBot="1" x14ac:dyDescent="0.3">
      <c r="A612" s="83">
        <v>14</v>
      </c>
      <c r="B612" s="84"/>
      <c r="C612" s="84"/>
      <c r="D612" s="85"/>
    </row>
    <row r="613" spans="1:5" ht="18.75" thickBot="1" x14ac:dyDescent="0.3">
      <c r="A613" s="80" t="s">
        <v>99</v>
      </c>
      <c r="B613" s="81"/>
      <c r="C613" s="81"/>
      <c r="D613" s="82"/>
    </row>
    <row r="614" spans="1:5" ht="18.75" thickBot="1" x14ac:dyDescent="0.3">
      <c r="A614" s="80" t="s">
        <v>97</v>
      </c>
      <c r="B614" s="81"/>
      <c r="C614" s="81"/>
      <c r="D614" s="82"/>
    </row>
    <row r="615" spans="1:5" ht="18.75" thickBot="1" x14ac:dyDescent="0.3">
      <c r="A615" s="26" t="s">
        <v>0</v>
      </c>
      <c r="B615" s="30" t="s">
        <v>1</v>
      </c>
      <c r="C615" s="38" t="s">
        <v>0</v>
      </c>
      <c r="D615" s="34" t="s">
        <v>1</v>
      </c>
    </row>
    <row r="616" spans="1:5" ht="18" x14ac:dyDescent="0.25">
      <c r="A616" s="27">
        <v>1</v>
      </c>
      <c r="B616" s="31"/>
      <c r="C616" s="39">
        <v>41</v>
      </c>
      <c r="D616" s="35"/>
      <c r="E616" s="56"/>
    </row>
    <row r="617" spans="1:5" ht="18" x14ac:dyDescent="0.25">
      <c r="A617" s="28">
        <v>2</v>
      </c>
      <c r="B617" s="32"/>
      <c r="C617" s="40">
        <v>42</v>
      </c>
      <c r="D617" s="36"/>
    </row>
    <row r="618" spans="1:5" ht="18" x14ac:dyDescent="0.25">
      <c r="A618" s="28">
        <v>3</v>
      </c>
      <c r="B618" s="32"/>
      <c r="C618" s="40">
        <v>43</v>
      </c>
      <c r="D618" s="36"/>
    </row>
    <row r="619" spans="1:5" ht="18" x14ac:dyDescent="0.25">
      <c r="A619" s="28">
        <v>4</v>
      </c>
      <c r="B619" s="32"/>
      <c r="C619" s="40">
        <v>44</v>
      </c>
      <c r="D619" s="36"/>
    </row>
    <row r="620" spans="1:5" ht="18" x14ac:dyDescent="0.25">
      <c r="A620" s="28">
        <v>5</v>
      </c>
      <c r="B620" s="32"/>
      <c r="C620" s="40">
        <v>45</v>
      </c>
      <c r="D620" s="36"/>
    </row>
    <row r="621" spans="1:5" ht="18" x14ac:dyDescent="0.25">
      <c r="A621" s="28">
        <v>6</v>
      </c>
      <c r="B621" s="32"/>
      <c r="C621" s="40">
        <v>46</v>
      </c>
      <c r="D621" s="36"/>
    </row>
    <row r="622" spans="1:5" ht="18" x14ac:dyDescent="0.25">
      <c r="A622" s="28">
        <v>7</v>
      </c>
      <c r="B622" s="32"/>
      <c r="C622" s="40">
        <v>47</v>
      </c>
      <c r="D622" s="36"/>
    </row>
    <row r="623" spans="1:5" ht="18" x14ac:dyDescent="0.25">
      <c r="A623" s="28">
        <v>8</v>
      </c>
      <c r="B623" s="32"/>
      <c r="C623" s="40">
        <v>48</v>
      </c>
      <c r="D623" s="36"/>
    </row>
    <row r="624" spans="1:5" ht="18" x14ac:dyDescent="0.25">
      <c r="A624" s="28">
        <v>9</v>
      </c>
      <c r="B624" s="32"/>
      <c r="C624" s="40">
        <v>49</v>
      </c>
      <c r="D624" s="36"/>
    </row>
    <row r="625" spans="1:4" ht="18" x14ac:dyDescent="0.25">
      <c r="A625" s="28">
        <v>10</v>
      </c>
      <c r="B625" s="32"/>
      <c r="C625" s="40">
        <v>50</v>
      </c>
      <c r="D625" s="36"/>
    </row>
    <row r="626" spans="1:4" ht="18" x14ac:dyDescent="0.25">
      <c r="A626" s="28">
        <v>11</v>
      </c>
      <c r="B626" s="32"/>
      <c r="C626" s="40">
        <v>51</v>
      </c>
      <c r="D626" s="36"/>
    </row>
    <row r="627" spans="1:4" ht="18" x14ac:dyDescent="0.25">
      <c r="A627" s="28">
        <v>12</v>
      </c>
      <c r="B627" s="32"/>
      <c r="C627" s="40">
        <v>52</v>
      </c>
      <c r="D627" s="36"/>
    </row>
    <row r="628" spans="1:4" ht="18" x14ac:dyDescent="0.25">
      <c r="A628" s="28">
        <v>13</v>
      </c>
      <c r="B628" s="32"/>
      <c r="C628" s="40">
        <v>53</v>
      </c>
      <c r="D628" s="36"/>
    </row>
    <row r="629" spans="1:4" ht="18" x14ac:dyDescent="0.25">
      <c r="A629" s="28">
        <v>14</v>
      </c>
      <c r="B629" s="32"/>
      <c r="C629" s="40">
        <v>54</v>
      </c>
      <c r="D629" s="36"/>
    </row>
    <row r="630" spans="1:4" ht="18" x14ac:dyDescent="0.25">
      <c r="A630" s="28">
        <v>15</v>
      </c>
      <c r="B630" s="32"/>
      <c r="C630" s="40">
        <v>55</v>
      </c>
      <c r="D630" s="36"/>
    </row>
    <row r="631" spans="1:4" ht="18" x14ac:dyDescent="0.25">
      <c r="A631" s="28">
        <v>16</v>
      </c>
      <c r="B631" s="32"/>
      <c r="C631" s="40">
        <v>56</v>
      </c>
      <c r="D631" s="36"/>
    </row>
    <row r="632" spans="1:4" ht="18" x14ac:dyDescent="0.25">
      <c r="A632" s="28">
        <v>17</v>
      </c>
      <c r="B632" s="32"/>
      <c r="C632" s="40">
        <v>57</v>
      </c>
      <c r="D632" s="36"/>
    </row>
    <row r="633" spans="1:4" ht="18" x14ac:dyDescent="0.25">
      <c r="A633" s="28">
        <v>18</v>
      </c>
      <c r="B633" s="32"/>
      <c r="C633" s="40">
        <v>58</v>
      </c>
      <c r="D633" s="36"/>
    </row>
    <row r="634" spans="1:4" ht="18" x14ac:dyDescent="0.25">
      <c r="A634" s="28">
        <v>19</v>
      </c>
      <c r="B634" s="32"/>
      <c r="C634" s="40">
        <v>59</v>
      </c>
      <c r="D634" s="36"/>
    </row>
    <row r="635" spans="1:4" ht="18" x14ac:dyDescent="0.25">
      <c r="A635" s="28">
        <v>20</v>
      </c>
      <c r="B635" s="32"/>
      <c r="C635" s="40">
        <v>60</v>
      </c>
      <c r="D635" s="36"/>
    </row>
    <row r="636" spans="1:4" ht="18" x14ac:dyDescent="0.25">
      <c r="A636" s="28">
        <v>21</v>
      </c>
      <c r="B636" s="32"/>
      <c r="C636" s="40">
        <v>61</v>
      </c>
      <c r="D636" s="36"/>
    </row>
    <row r="637" spans="1:4" ht="18" x14ac:dyDescent="0.25">
      <c r="A637" s="28">
        <v>22</v>
      </c>
      <c r="B637" s="32"/>
      <c r="C637" s="40">
        <v>62</v>
      </c>
      <c r="D637" s="36"/>
    </row>
    <row r="638" spans="1:4" ht="18" x14ac:dyDescent="0.25">
      <c r="A638" s="28">
        <v>23</v>
      </c>
      <c r="B638" s="32"/>
      <c r="C638" s="40">
        <v>63</v>
      </c>
      <c r="D638" s="36"/>
    </row>
    <row r="639" spans="1:4" ht="18" x14ac:dyDescent="0.25">
      <c r="A639" s="28">
        <v>24</v>
      </c>
      <c r="B639" s="32"/>
      <c r="C639" s="40">
        <v>64</v>
      </c>
      <c r="D639" s="36"/>
    </row>
    <row r="640" spans="1:4" ht="18" x14ac:dyDescent="0.25">
      <c r="A640" s="28">
        <v>25</v>
      </c>
      <c r="B640" s="32"/>
      <c r="C640" s="40">
        <v>65</v>
      </c>
      <c r="D640" s="36"/>
    </row>
    <row r="641" spans="1:4" ht="18" x14ac:dyDescent="0.25">
      <c r="A641" s="28">
        <v>26</v>
      </c>
      <c r="B641" s="32"/>
      <c r="C641" s="40">
        <v>66</v>
      </c>
      <c r="D641" s="36"/>
    </row>
    <row r="642" spans="1:4" ht="18" x14ac:dyDescent="0.25">
      <c r="A642" s="28">
        <v>27</v>
      </c>
      <c r="B642" s="32"/>
      <c r="C642" s="40">
        <v>67</v>
      </c>
      <c r="D642" s="36"/>
    </row>
    <row r="643" spans="1:4" ht="18" x14ac:dyDescent="0.25">
      <c r="A643" s="28">
        <v>28</v>
      </c>
      <c r="B643" s="32"/>
      <c r="C643" s="40">
        <v>68</v>
      </c>
      <c r="D643" s="36"/>
    </row>
    <row r="644" spans="1:4" ht="18" x14ac:dyDescent="0.25">
      <c r="A644" s="28">
        <v>29</v>
      </c>
      <c r="B644" s="32"/>
      <c r="C644" s="40">
        <v>69</v>
      </c>
      <c r="D644" s="36"/>
    </row>
    <row r="645" spans="1:4" ht="18" x14ac:dyDescent="0.25">
      <c r="A645" s="28">
        <v>30</v>
      </c>
      <c r="B645" s="32"/>
      <c r="C645" s="40">
        <v>70</v>
      </c>
      <c r="D645" s="36"/>
    </row>
    <row r="646" spans="1:4" ht="18" x14ac:dyDescent="0.25">
      <c r="A646" s="28">
        <v>31</v>
      </c>
      <c r="B646" s="32"/>
      <c r="C646" s="40">
        <v>71</v>
      </c>
      <c r="D646" s="36"/>
    </row>
    <row r="647" spans="1:4" ht="18" x14ac:dyDescent="0.25">
      <c r="A647" s="28">
        <v>32</v>
      </c>
      <c r="B647" s="32"/>
      <c r="C647" s="40">
        <v>72</v>
      </c>
      <c r="D647" s="36"/>
    </row>
    <row r="648" spans="1:4" ht="18" x14ac:dyDescent="0.25">
      <c r="A648" s="28">
        <v>33</v>
      </c>
      <c r="B648" s="32"/>
      <c r="C648" s="40">
        <v>73</v>
      </c>
      <c r="D648" s="36"/>
    </row>
    <row r="649" spans="1:4" ht="18" x14ac:dyDescent="0.25">
      <c r="A649" s="28">
        <v>34</v>
      </c>
      <c r="B649" s="33"/>
      <c r="C649" s="40">
        <v>74</v>
      </c>
      <c r="D649" s="36"/>
    </row>
    <row r="650" spans="1:4" ht="18" x14ac:dyDescent="0.25">
      <c r="A650" s="29">
        <v>35</v>
      </c>
      <c r="B650" s="33"/>
      <c r="C650" s="40">
        <v>75</v>
      </c>
      <c r="D650" s="36"/>
    </row>
    <row r="651" spans="1:4" ht="18" x14ac:dyDescent="0.25">
      <c r="A651" s="28">
        <v>36</v>
      </c>
      <c r="B651" s="33"/>
      <c r="C651" s="40">
        <v>76</v>
      </c>
      <c r="D651" s="36"/>
    </row>
    <row r="652" spans="1:4" ht="18" x14ac:dyDescent="0.25">
      <c r="A652" s="28">
        <v>37</v>
      </c>
      <c r="B652" s="33"/>
      <c r="C652" s="40">
        <v>77</v>
      </c>
      <c r="D652" s="37"/>
    </row>
    <row r="653" spans="1:4" ht="18" x14ac:dyDescent="0.25">
      <c r="A653" s="28">
        <v>38</v>
      </c>
      <c r="B653" s="33"/>
      <c r="C653" s="40">
        <v>78</v>
      </c>
      <c r="D653" s="37"/>
    </row>
    <row r="654" spans="1:4" ht="18" x14ac:dyDescent="0.25">
      <c r="A654" s="28">
        <v>39</v>
      </c>
      <c r="B654" s="33"/>
      <c r="C654" s="40">
        <v>79</v>
      </c>
      <c r="D654" s="37"/>
    </row>
    <row r="655" spans="1:4" ht="18.75" thickBot="1" x14ac:dyDescent="0.3">
      <c r="A655" s="41">
        <v>40</v>
      </c>
      <c r="B655" s="42"/>
      <c r="C655" s="43">
        <v>80</v>
      </c>
      <c r="D655" s="44"/>
    </row>
    <row r="656" spans="1:4" ht="18.75" thickBot="1" x14ac:dyDescent="0.3">
      <c r="A656" s="45" t="s">
        <v>2</v>
      </c>
      <c r="B656" s="51">
        <f>SUM(B616:B655)</f>
        <v>0</v>
      </c>
      <c r="C656" s="52" t="s">
        <v>2</v>
      </c>
      <c r="D656" s="48">
        <f>SUM(D616:D655)</f>
        <v>0</v>
      </c>
    </row>
    <row r="657" spans="1:4" ht="18" x14ac:dyDescent="0.25">
      <c r="A657" s="46"/>
      <c r="B657" s="86" t="s">
        <v>3</v>
      </c>
      <c r="C657" s="87"/>
      <c r="D657" s="49">
        <f>COUNT(B616:B655)+COUNT(D616:D655)</f>
        <v>0</v>
      </c>
    </row>
    <row r="658" spans="1:4" ht="18.75" thickBot="1" x14ac:dyDescent="0.3">
      <c r="A658" s="47"/>
      <c r="B658" s="78" t="s">
        <v>4</v>
      </c>
      <c r="C658" s="79"/>
      <c r="D658" s="50">
        <f>+D656+B656</f>
        <v>0</v>
      </c>
    </row>
    <row r="659" spans="1:4" ht="27.75" thickBot="1" x14ac:dyDescent="0.3">
      <c r="A659" s="83">
        <v>15</v>
      </c>
      <c r="B659" s="84"/>
      <c r="C659" s="84"/>
      <c r="D659" s="85"/>
    </row>
    <row r="660" spans="1:4" ht="18.75" thickBot="1" x14ac:dyDescent="0.3">
      <c r="A660" s="80" t="s">
        <v>100</v>
      </c>
      <c r="B660" s="81"/>
      <c r="C660" s="81"/>
      <c r="D660" s="82"/>
    </row>
    <row r="661" spans="1:4" ht="18.75" thickBot="1" x14ac:dyDescent="0.3">
      <c r="A661" s="26" t="s">
        <v>0</v>
      </c>
      <c r="B661" s="30" t="s">
        <v>1</v>
      </c>
      <c r="C661" s="38" t="s">
        <v>0</v>
      </c>
      <c r="D661" s="34" t="s">
        <v>1</v>
      </c>
    </row>
    <row r="662" spans="1:4" ht="18" x14ac:dyDescent="0.25">
      <c r="A662" s="27">
        <v>1</v>
      </c>
      <c r="B662" s="31"/>
      <c r="C662" s="39">
        <v>41</v>
      </c>
      <c r="D662" s="35"/>
    </row>
    <row r="663" spans="1:4" ht="18" x14ac:dyDescent="0.25">
      <c r="A663" s="28">
        <v>2</v>
      </c>
      <c r="B663" s="32"/>
      <c r="C663" s="40">
        <v>42</v>
      </c>
      <c r="D663" s="36"/>
    </row>
    <row r="664" spans="1:4" ht="18" x14ac:dyDescent="0.25">
      <c r="A664" s="28">
        <v>3</v>
      </c>
      <c r="B664" s="32"/>
      <c r="C664" s="40">
        <v>43</v>
      </c>
      <c r="D664" s="36"/>
    </row>
    <row r="665" spans="1:4" ht="18" x14ac:dyDescent="0.25">
      <c r="A665" s="28">
        <v>4</v>
      </c>
      <c r="B665" s="32"/>
      <c r="C665" s="40">
        <v>44</v>
      </c>
      <c r="D665" s="36"/>
    </row>
    <row r="666" spans="1:4" ht="18" x14ac:dyDescent="0.25">
      <c r="A666" s="28">
        <v>5</v>
      </c>
      <c r="B666" s="32"/>
      <c r="C666" s="40">
        <v>45</v>
      </c>
      <c r="D666" s="36"/>
    </row>
    <row r="667" spans="1:4" ht="18" x14ac:dyDescent="0.25">
      <c r="A667" s="28">
        <v>6</v>
      </c>
      <c r="B667" s="32"/>
      <c r="C667" s="40">
        <v>46</v>
      </c>
      <c r="D667" s="36"/>
    </row>
    <row r="668" spans="1:4" ht="18" x14ac:dyDescent="0.25">
      <c r="A668" s="28">
        <v>7</v>
      </c>
      <c r="B668" s="32"/>
      <c r="C668" s="40">
        <v>47</v>
      </c>
      <c r="D668" s="36"/>
    </row>
    <row r="669" spans="1:4" ht="18" x14ac:dyDescent="0.25">
      <c r="A669" s="28">
        <v>8</v>
      </c>
      <c r="B669" s="32"/>
      <c r="C669" s="40">
        <v>48</v>
      </c>
      <c r="D669" s="36"/>
    </row>
    <row r="670" spans="1:4" ht="18" x14ac:dyDescent="0.25">
      <c r="A670" s="28">
        <v>9</v>
      </c>
      <c r="B670" s="32"/>
      <c r="C670" s="40">
        <v>49</v>
      </c>
      <c r="D670" s="36"/>
    </row>
    <row r="671" spans="1:4" ht="18" x14ac:dyDescent="0.25">
      <c r="A671" s="28">
        <v>10</v>
      </c>
      <c r="B671" s="32"/>
      <c r="C671" s="40">
        <v>50</v>
      </c>
      <c r="D671" s="36"/>
    </row>
    <row r="672" spans="1:4" ht="18" x14ac:dyDescent="0.25">
      <c r="A672" s="28">
        <v>11</v>
      </c>
      <c r="B672" s="32"/>
      <c r="C672" s="40">
        <v>51</v>
      </c>
      <c r="D672" s="36"/>
    </row>
    <row r="673" spans="1:4" ht="18" x14ac:dyDescent="0.25">
      <c r="A673" s="28">
        <v>12</v>
      </c>
      <c r="B673" s="32"/>
      <c r="C673" s="40">
        <v>52</v>
      </c>
      <c r="D673" s="36"/>
    </row>
    <row r="674" spans="1:4" ht="18" x14ac:dyDescent="0.25">
      <c r="A674" s="28">
        <v>13</v>
      </c>
      <c r="B674" s="32"/>
      <c r="C674" s="40">
        <v>53</v>
      </c>
      <c r="D674" s="36"/>
    </row>
    <row r="675" spans="1:4" ht="18" x14ac:dyDescent="0.25">
      <c r="A675" s="28">
        <v>14</v>
      </c>
      <c r="B675" s="32"/>
      <c r="C675" s="40">
        <v>54</v>
      </c>
      <c r="D675" s="36"/>
    </row>
    <row r="676" spans="1:4" ht="18" x14ac:dyDescent="0.25">
      <c r="A676" s="28">
        <v>15</v>
      </c>
      <c r="B676" s="32"/>
      <c r="C676" s="40">
        <v>55</v>
      </c>
      <c r="D676" s="36"/>
    </row>
    <row r="677" spans="1:4" ht="18" x14ac:dyDescent="0.25">
      <c r="A677" s="28">
        <v>16</v>
      </c>
      <c r="B677" s="32"/>
      <c r="C677" s="40">
        <v>56</v>
      </c>
      <c r="D677" s="36"/>
    </row>
    <row r="678" spans="1:4" ht="18" x14ac:dyDescent="0.25">
      <c r="A678" s="28">
        <v>17</v>
      </c>
      <c r="B678" s="32"/>
      <c r="C678" s="40">
        <v>57</v>
      </c>
      <c r="D678" s="36"/>
    </row>
    <row r="679" spans="1:4" ht="18" x14ac:dyDescent="0.25">
      <c r="A679" s="28">
        <v>18</v>
      </c>
      <c r="B679" s="32"/>
      <c r="C679" s="40">
        <v>58</v>
      </c>
      <c r="D679" s="36"/>
    </row>
    <row r="680" spans="1:4" ht="18" x14ac:dyDescent="0.25">
      <c r="A680" s="28">
        <v>19</v>
      </c>
      <c r="B680" s="32"/>
      <c r="C680" s="40">
        <v>59</v>
      </c>
      <c r="D680" s="36"/>
    </row>
    <row r="681" spans="1:4" ht="18" x14ac:dyDescent="0.25">
      <c r="A681" s="28">
        <v>20</v>
      </c>
      <c r="B681" s="32"/>
      <c r="C681" s="40">
        <v>60</v>
      </c>
      <c r="D681" s="36"/>
    </row>
    <row r="682" spans="1:4" ht="18" x14ac:dyDescent="0.25">
      <c r="A682" s="28">
        <v>21</v>
      </c>
      <c r="B682" s="32"/>
      <c r="C682" s="40">
        <v>61</v>
      </c>
      <c r="D682" s="36"/>
    </row>
    <row r="683" spans="1:4" ht="18" x14ac:dyDescent="0.25">
      <c r="A683" s="28">
        <v>22</v>
      </c>
      <c r="B683" s="32"/>
      <c r="C683" s="40">
        <v>62</v>
      </c>
      <c r="D683" s="36"/>
    </row>
    <row r="684" spans="1:4" ht="18" x14ac:dyDescent="0.25">
      <c r="A684" s="28">
        <v>23</v>
      </c>
      <c r="B684" s="32"/>
      <c r="C684" s="40">
        <v>63</v>
      </c>
      <c r="D684" s="36"/>
    </row>
    <row r="685" spans="1:4" ht="18" x14ac:dyDescent="0.25">
      <c r="A685" s="28">
        <v>24</v>
      </c>
      <c r="B685" s="32"/>
      <c r="C685" s="40">
        <v>64</v>
      </c>
      <c r="D685" s="36"/>
    </row>
    <row r="686" spans="1:4" ht="18" x14ac:dyDescent="0.25">
      <c r="A686" s="28">
        <v>25</v>
      </c>
      <c r="B686" s="32"/>
      <c r="C686" s="40">
        <v>65</v>
      </c>
      <c r="D686" s="36"/>
    </row>
    <row r="687" spans="1:4" ht="18" x14ac:dyDescent="0.25">
      <c r="A687" s="28">
        <v>26</v>
      </c>
      <c r="B687" s="32"/>
      <c r="C687" s="40">
        <v>66</v>
      </c>
      <c r="D687" s="36"/>
    </row>
    <row r="688" spans="1:4" ht="18" x14ac:dyDescent="0.25">
      <c r="A688" s="28">
        <v>27</v>
      </c>
      <c r="B688" s="32"/>
      <c r="C688" s="40">
        <v>67</v>
      </c>
      <c r="D688" s="36"/>
    </row>
    <row r="689" spans="1:4" ht="18" x14ac:dyDescent="0.25">
      <c r="A689" s="28">
        <v>28</v>
      </c>
      <c r="B689" s="32"/>
      <c r="C689" s="40">
        <v>68</v>
      </c>
      <c r="D689" s="36"/>
    </row>
    <row r="690" spans="1:4" ht="18" x14ac:dyDescent="0.25">
      <c r="A690" s="28">
        <v>29</v>
      </c>
      <c r="B690" s="32"/>
      <c r="C690" s="40">
        <v>69</v>
      </c>
      <c r="D690" s="36"/>
    </row>
    <row r="691" spans="1:4" ht="18" x14ac:dyDescent="0.25">
      <c r="A691" s="28">
        <v>30</v>
      </c>
      <c r="B691" s="32"/>
      <c r="C691" s="40">
        <v>70</v>
      </c>
      <c r="D691" s="36"/>
    </row>
    <row r="692" spans="1:4" ht="18" x14ac:dyDescent="0.25">
      <c r="A692" s="28">
        <v>31</v>
      </c>
      <c r="B692" s="32"/>
      <c r="C692" s="40">
        <v>71</v>
      </c>
      <c r="D692" s="36"/>
    </row>
    <row r="693" spans="1:4" ht="18" x14ac:dyDescent="0.25">
      <c r="A693" s="28">
        <v>32</v>
      </c>
      <c r="B693" s="32"/>
      <c r="C693" s="40">
        <v>72</v>
      </c>
      <c r="D693" s="36"/>
    </row>
    <row r="694" spans="1:4" ht="18" x14ac:dyDescent="0.25">
      <c r="A694" s="28">
        <v>33</v>
      </c>
      <c r="B694" s="32"/>
      <c r="C694" s="40">
        <v>73</v>
      </c>
      <c r="D694" s="36"/>
    </row>
    <row r="695" spans="1:4" ht="18" x14ac:dyDescent="0.25">
      <c r="A695" s="28">
        <v>34</v>
      </c>
      <c r="B695" s="33"/>
      <c r="C695" s="40">
        <v>74</v>
      </c>
      <c r="D695" s="36"/>
    </row>
    <row r="696" spans="1:4" ht="18" x14ac:dyDescent="0.25">
      <c r="A696" s="29">
        <v>35</v>
      </c>
      <c r="B696" s="33"/>
      <c r="C696" s="40">
        <v>75</v>
      </c>
      <c r="D696" s="36"/>
    </row>
    <row r="697" spans="1:4" ht="18" x14ac:dyDescent="0.25">
      <c r="A697" s="28">
        <v>36</v>
      </c>
      <c r="B697" s="33"/>
      <c r="C697" s="40">
        <v>76</v>
      </c>
      <c r="D697" s="36"/>
    </row>
    <row r="698" spans="1:4" ht="18" x14ac:dyDescent="0.25">
      <c r="A698" s="28">
        <v>37</v>
      </c>
      <c r="B698" s="33"/>
      <c r="C698" s="40">
        <v>77</v>
      </c>
      <c r="D698" s="37"/>
    </row>
    <row r="699" spans="1:4" ht="18" x14ac:dyDescent="0.25">
      <c r="A699" s="28">
        <v>38</v>
      </c>
      <c r="B699" s="33"/>
      <c r="C699" s="40">
        <v>78</v>
      </c>
      <c r="D699" s="37"/>
    </row>
    <row r="700" spans="1:4" ht="18" x14ac:dyDescent="0.25">
      <c r="A700" s="28">
        <v>39</v>
      </c>
      <c r="B700" s="33"/>
      <c r="C700" s="40">
        <v>79</v>
      </c>
      <c r="D700" s="37"/>
    </row>
    <row r="701" spans="1:4" ht="18.75" thickBot="1" x14ac:dyDescent="0.3">
      <c r="A701" s="41">
        <v>40</v>
      </c>
      <c r="B701" s="42"/>
      <c r="C701" s="43">
        <v>80</v>
      </c>
      <c r="D701" s="44"/>
    </row>
    <row r="702" spans="1:4" ht="18.75" thickBot="1" x14ac:dyDescent="0.3">
      <c r="A702" s="45" t="s">
        <v>2</v>
      </c>
      <c r="B702" s="51">
        <f>SUM(B662:B701)</f>
        <v>0</v>
      </c>
      <c r="C702" s="52" t="s">
        <v>2</v>
      </c>
      <c r="D702" s="48">
        <f>SUM(D662:D701)</f>
        <v>0</v>
      </c>
    </row>
    <row r="703" spans="1:4" ht="18" x14ac:dyDescent="0.25">
      <c r="A703" s="46"/>
      <c r="B703" s="86" t="s">
        <v>3</v>
      </c>
      <c r="C703" s="87"/>
      <c r="D703" s="49">
        <f>COUNT(B662:B701)+COUNT(D662:D701)</f>
        <v>0</v>
      </c>
    </row>
    <row r="704" spans="1:4" ht="18.75" thickBot="1" x14ac:dyDescent="0.3">
      <c r="A704" s="47"/>
      <c r="B704" s="78" t="s">
        <v>4</v>
      </c>
      <c r="C704" s="79"/>
      <c r="D704" s="50">
        <f>+D702+B702</f>
        <v>0</v>
      </c>
    </row>
    <row r="705" spans="1:4" ht="27.75" thickBot="1" x14ac:dyDescent="0.3">
      <c r="A705" s="83">
        <v>16</v>
      </c>
      <c r="B705" s="84"/>
      <c r="C705" s="84"/>
      <c r="D705" s="85"/>
    </row>
    <row r="706" spans="1:4" ht="18.75" thickBot="1" x14ac:dyDescent="0.3">
      <c r="A706" s="80" t="s">
        <v>101</v>
      </c>
      <c r="B706" s="81"/>
      <c r="C706" s="81"/>
      <c r="D706" s="82"/>
    </row>
    <row r="707" spans="1:4" ht="18.75" thickBot="1" x14ac:dyDescent="0.3">
      <c r="A707" s="26" t="s">
        <v>0</v>
      </c>
      <c r="B707" s="30" t="s">
        <v>1</v>
      </c>
      <c r="C707" s="38" t="s">
        <v>0</v>
      </c>
      <c r="D707" s="34" t="s">
        <v>1</v>
      </c>
    </row>
    <row r="708" spans="1:4" ht="18" x14ac:dyDescent="0.25">
      <c r="A708" s="27">
        <v>1</v>
      </c>
      <c r="B708" s="31"/>
      <c r="C708" s="39">
        <v>41</v>
      </c>
      <c r="D708" s="35"/>
    </row>
    <row r="709" spans="1:4" ht="18" x14ac:dyDescent="0.25">
      <c r="A709" s="28">
        <v>2</v>
      </c>
      <c r="B709" s="32"/>
      <c r="C709" s="40">
        <v>42</v>
      </c>
      <c r="D709" s="36"/>
    </row>
    <row r="710" spans="1:4" ht="18" x14ac:dyDescent="0.25">
      <c r="A710" s="28">
        <v>3</v>
      </c>
      <c r="B710" s="32"/>
      <c r="C710" s="40">
        <v>43</v>
      </c>
      <c r="D710" s="36"/>
    </row>
    <row r="711" spans="1:4" ht="18" x14ac:dyDescent="0.25">
      <c r="A711" s="28">
        <v>4</v>
      </c>
      <c r="B711" s="32"/>
      <c r="C711" s="40">
        <v>44</v>
      </c>
      <c r="D711" s="36"/>
    </row>
    <row r="712" spans="1:4" ht="18" x14ac:dyDescent="0.25">
      <c r="A712" s="28">
        <v>5</v>
      </c>
      <c r="B712" s="32"/>
      <c r="C712" s="40">
        <v>45</v>
      </c>
      <c r="D712" s="36"/>
    </row>
    <row r="713" spans="1:4" ht="18" x14ac:dyDescent="0.25">
      <c r="A713" s="28">
        <v>6</v>
      </c>
      <c r="B713" s="32"/>
      <c r="C713" s="40">
        <v>46</v>
      </c>
      <c r="D713" s="36"/>
    </row>
    <row r="714" spans="1:4" ht="18" x14ac:dyDescent="0.25">
      <c r="A714" s="28">
        <v>7</v>
      </c>
      <c r="B714" s="32"/>
      <c r="C714" s="40">
        <v>47</v>
      </c>
      <c r="D714" s="36"/>
    </row>
    <row r="715" spans="1:4" ht="18" x14ac:dyDescent="0.25">
      <c r="A715" s="28">
        <v>8</v>
      </c>
      <c r="B715" s="32"/>
      <c r="C715" s="40">
        <v>48</v>
      </c>
      <c r="D715" s="36"/>
    </row>
    <row r="716" spans="1:4" ht="18" x14ac:dyDescent="0.25">
      <c r="A716" s="28">
        <v>9</v>
      </c>
      <c r="B716" s="32"/>
      <c r="C716" s="40">
        <v>49</v>
      </c>
      <c r="D716" s="36"/>
    </row>
    <row r="717" spans="1:4" ht="18" x14ac:dyDescent="0.25">
      <c r="A717" s="28">
        <v>10</v>
      </c>
      <c r="B717" s="32"/>
      <c r="C717" s="40">
        <v>50</v>
      </c>
      <c r="D717" s="36"/>
    </row>
    <row r="718" spans="1:4" ht="18" x14ac:dyDescent="0.25">
      <c r="A718" s="28">
        <v>11</v>
      </c>
      <c r="B718" s="32"/>
      <c r="C718" s="40">
        <v>51</v>
      </c>
      <c r="D718" s="36"/>
    </row>
    <row r="719" spans="1:4" ht="18" x14ac:dyDescent="0.25">
      <c r="A719" s="28">
        <v>12</v>
      </c>
      <c r="B719" s="32"/>
      <c r="C719" s="40">
        <v>52</v>
      </c>
      <c r="D719" s="36"/>
    </row>
    <row r="720" spans="1:4" ht="18" x14ac:dyDescent="0.25">
      <c r="A720" s="28">
        <v>13</v>
      </c>
      <c r="B720" s="32"/>
      <c r="C720" s="40">
        <v>53</v>
      </c>
      <c r="D720" s="36"/>
    </row>
    <row r="721" spans="1:4" ht="18" x14ac:dyDescent="0.25">
      <c r="A721" s="28">
        <v>14</v>
      </c>
      <c r="B721" s="32"/>
      <c r="C721" s="40">
        <v>54</v>
      </c>
      <c r="D721" s="36"/>
    </row>
    <row r="722" spans="1:4" ht="18" x14ac:dyDescent="0.25">
      <c r="A722" s="28">
        <v>15</v>
      </c>
      <c r="B722" s="32"/>
      <c r="C722" s="40">
        <v>55</v>
      </c>
      <c r="D722" s="36"/>
    </row>
    <row r="723" spans="1:4" ht="18" x14ac:dyDescent="0.25">
      <c r="A723" s="28">
        <v>16</v>
      </c>
      <c r="B723" s="32"/>
      <c r="C723" s="40">
        <v>56</v>
      </c>
      <c r="D723" s="36"/>
    </row>
    <row r="724" spans="1:4" ht="18" x14ac:dyDescent="0.25">
      <c r="A724" s="28">
        <v>17</v>
      </c>
      <c r="B724" s="32"/>
      <c r="C724" s="40">
        <v>57</v>
      </c>
      <c r="D724" s="36"/>
    </row>
    <row r="725" spans="1:4" ht="18" x14ac:dyDescent="0.25">
      <c r="A725" s="28">
        <v>18</v>
      </c>
      <c r="B725" s="32"/>
      <c r="C725" s="40">
        <v>58</v>
      </c>
      <c r="D725" s="36"/>
    </row>
    <row r="726" spans="1:4" ht="18" x14ac:dyDescent="0.25">
      <c r="A726" s="28">
        <v>19</v>
      </c>
      <c r="B726" s="32"/>
      <c r="C726" s="40">
        <v>59</v>
      </c>
      <c r="D726" s="36"/>
    </row>
    <row r="727" spans="1:4" ht="18" x14ac:dyDescent="0.25">
      <c r="A727" s="28">
        <v>20</v>
      </c>
      <c r="B727" s="32"/>
      <c r="C727" s="40">
        <v>60</v>
      </c>
      <c r="D727" s="36"/>
    </row>
    <row r="728" spans="1:4" ht="18" x14ac:dyDescent="0.25">
      <c r="A728" s="28">
        <v>21</v>
      </c>
      <c r="B728" s="32"/>
      <c r="C728" s="40">
        <v>61</v>
      </c>
      <c r="D728" s="36"/>
    </row>
    <row r="729" spans="1:4" ht="18" x14ac:dyDescent="0.25">
      <c r="A729" s="28">
        <v>22</v>
      </c>
      <c r="B729" s="32"/>
      <c r="C729" s="40">
        <v>62</v>
      </c>
      <c r="D729" s="36"/>
    </row>
    <row r="730" spans="1:4" ht="18" x14ac:dyDescent="0.25">
      <c r="A730" s="28">
        <v>23</v>
      </c>
      <c r="B730" s="32"/>
      <c r="C730" s="40">
        <v>63</v>
      </c>
      <c r="D730" s="36"/>
    </row>
    <row r="731" spans="1:4" ht="18" x14ac:dyDescent="0.25">
      <c r="A731" s="28">
        <v>24</v>
      </c>
      <c r="B731" s="32"/>
      <c r="C731" s="40">
        <v>64</v>
      </c>
      <c r="D731" s="36"/>
    </row>
    <row r="732" spans="1:4" ht="18.75" customHeight="1" x14ac:dyDescent="0.25">
      <c r="A732" s="28">
        <v>25</v>
      </c>
      <c r="B732" s="32"/>
      <c r="C732" s="40">
        <v>65</v>
      </c>
      <c r="D732" s="36"/>
    </row>
    <row r="733" spans="1:4" ht="18" x14ac:dyDescent="0.25">
      <c r="A733" s="28">
        <v>26</v>
      </c>
      <c r="B733" s="32"/>
      <c r="C733" s="40">
        <v>66</v>
      </c>
      <c r="D733" s="36"/>
    </row>
    <row r="734" spans="1:4" ht="18" x14ac:dyDescent="0.25">
      <c r="A734" s="28">
        <v>27</v>
      </c>
      <c r="B734" s="32"/>
      <c r="C734" s="40">
        <v>67</v>
      </c>
      <c r="D734" s="36"/>
    </row>
    <row r="735" spans="1:4" ht="18" x14ac:dyDescent="0.25">
      <c r="A735" s="28">
        <v>28</v>
      </c>
      <c r="B735" s="32"/>
      <c r="C735" s="40">
        <v>68</v>
      </c>
      <c r="D735" s="36"/>
    </row>
    <row r="736" spans="1:4" ht="18" x14ac:dyDescent="0.25">
      <c r="A736" s="28">
        <v>29</v>
      </c>
      <c r="B736" s="32"/>
      <c r="C736" s="40">
        <v>69</v>
      </c>
      <c r="D736" s="36"/>
    </row>
    <row r="737" spans="1:4" ht="18" x14ac:dyDescent="0.25">
      <c r="A737" s="28">
        <v>30</v>
      </c>
      <c r="B737" s="32"/>
      <c r="C737" s="40">
        <v>70</v>
      </c>
      <c r="D737" s="36"/>
    </row>
    <row r="738" spans="1:4" ht="18" x14ac:dyDescent="0.25">
      <c r="A738" s="28">
        <v>31</v>
      </c>
      <c r="B738" s="32"/>
      <c r="C738" s="40">
        <v>71</v>
      </c>
      <c r="D738" s="36"/>
    </row>
    <row r="739" spans="1:4" ht="18" x14ac:dyDescent="0.25">
      <c r="A739" s="28">
        <v>32</v>
      </c>
      <c r="B739" s="32"/>
      <c r="C739" s="40">
        <v>72</v>
      </c>
      <c r="D739" s="36"/>
    </row>
    <row r="740" spans="1:4" ht="18" x14ac:dyDescent="0.25">
      <c r="A740" s="28">
        <v>33</v>
      </c>
      <c r="B740" s="32"/>
      <c r="C740" s="40">
        <v>73</v>
      </c>
      <c r="D740" s="36"/>
    </row>
    <row r="741" spans="1:4" ht="18" x14ac:dyDescent="0.25">
      <c r="A741" s="28">
        <v>34</v>
      </c>
      <c r="B741" s="33"/>
      <c r="C741" s="40">
        <v>74</v>
      </c>
      <c r="D741" s="36"/>
    </row>
    <row r="742" spans="1:4" ht="18" x14ac:dyDescent="0.25">
      <c r="A742" s="29">
        <v>35</v>
      </c>
      <c r="B742" s="33"/>
      <c r="C742" s="40">
        <v>75</v>
      </c>
      <c r="D742" s="36"/>
    </row>
    <row r="743" spans="1:4" ht="18" x14ac:dyDescent="0.25">
      <c r="A743" s="28">
        <v>36</v>
      </c>
      <c r="B743" s="33"/>
      <c r="C743" s="40">
        <v>76</v>
      </c>
      <c r="D743" s="36"/>
    </row>
    <row r="744" spans="1:4" ht="18" x14ac:dyDescent="0.25">
      <c r="A744" s="28">
        <v>37</v>
      </c>
      <c r="B744" s="33"/>
      <c r="C744" s="40">
        <v>77</v>
      </c>
      <c r="D744" s="37"/>
    </row>
    <row r="745" spans="1:4" ht="18" x14ac:dyDescent="0.25">
      <c r="A745" s="28">
        <v>38</v>
      </c>
      <c r="B745" s="33"/>
      <c r="C745" s="40">
        <v>78</v>
      </c>
      <c r="D745" s="37"/>
    </row>
    <row r="746" spans="1:4" ht="18" x14ac:dyDescent="0.25">
      <c r="A746" s="28">
        <v>39</v>
      </c>
      <c r="B746" s="33"/>
      <c r="C746" s="40">
        <v>79</v>
      </c>
      <c r="D746" s="37"/>
    </row>
    <row r="747" spans="1:4" ht="18.75" thickBot="1" x14ac:dyDescent="0.3">
      <c r="A747" s="41">
        <v>40</v>
      </c>
      <c r="B747" s="42"/>
      <c r="C747" s="43">
        <v>80</v>
      </c>
      <c r="D747" s="44"/>
    </row>
    <row r="748" spans="1:4" ht="18.75" thickBot="1" x14ac:dyDescent="0.3">
      <c r="A748" s="45" t="s">
        <v>2</v>
      </c>
      <c r="B748" s="51">
        <f>SUM(B708:B747)</f>
        <v>0</v>
      </c>
      <c r="C748" s="52" t="s">
        <v>2</v>
      </c>
      <c r="D748" s="48">
        <f>SUM(D708:D747)</f>
        <v>0</v>
      </c>
    </row>
    <row r="749" spans="1:4" ht="18" x14ac:dyDescent="0.25">
      <c r="A749" s="46"/>
      <c r="B749" s="86" t="s">
        <v>3</v>
      </c>
      <c r="C749" s="87"/>
      <c r="D749" s="49">
        <f>COUNT(B708:B747)+COUNT(D708:D747)</f>
        <v>0</v>
      </c>
    </row>
    <row r="750" spans="1:4" ht="18.75" thickBot="1" x14ac:dyDescent="0.3">
      <c r="A750" s="47"/>
      <c r="B750" s="78" t="s">
        <v>4</v>
      </c>
      <c r="C750" s="79"/>
      <c r="D750" s="50">
        <f>+D748+B748</f>
        <v>0</v>
      </c>
    </row>
    <row r="751" spans="1:4" ht="27.75" thickBot="1" x14ac:dyDescent="0.3">
      <c r="A751" s="83">
        <v>17</v>
      </c>
      <c r="B751" s="84"/>
      <c r="C751" s="84"/>
      <c r="D751" s="85"/>
    </row>
    <row r="752" spans="1:4" ht="18.75" thickBot="1" x14ac:dyDescent="0.3">
      <c r="A752" s="80" t="s">
        <v>103</v>
      </c>
      <c r="B752" s="81"/>
      <c r="C752" s="81"/>
      <c r="D752" s="82"/>
    </row>
    <row r="753" spans="1:4" ht="18.75" thickBot="1" x14ac:dyDescent="0.3">
      <c r="A753" s="26" t="s">
        <v>102</v>
      </c>
      <c r="B753" s="30" t="s">
        <v>1</v>
      </c>
      <c r="C753" s="38" t="s">
        <v>0</v>
      </c>
      <c r="D753" s="34" t="s">
        <v>1</v>
      </c>
    </row>
    <row r="754" spans="1:4" ht="18" x14ac:dyDescent="0.25">
      <c r="A754" s="27">
        <v>1</v>
      </c>
      <c r="B754" s="31"/>
      <c r="C754" s="39">
        <v>41</v>
      </c>
      <c r="D754" s="35"/>
    </row>
    <row r="755" spans="1:4" ht="18" x14ac:dyDescent="0.25">
      <c r="A755" s="28">
        <v>2</v>
      </c>
      <c r="B755" s="32"/>
      <c r="C755" s="40">
        <v>42</v>
      </c>
      <c r="D755" s="36"/>
    </row>
    <row r="756" spans="1:4" ht="18" x14ac:dyDescent="0.25">
      <c r="A756" s="28">
        <v>3</v>
      </c>
      <c r="B756" s="32"/>
      <c r="C756" s="40">
        <v>43</v>
      </c>
      <c r="D756" s="36"/>
    </row>
    <row r="757" spans="1:4" ht="18" x14ac:dyDescent="0.25">
      <c r="A757" s="28">
        <v>4</v>
      </c>
      <c r="B757" s="32"/>
      <c r="C757" s="40">
        <v>44</v>
      </c>
      <c r="D757" s="36"/>
    </row>
    <row r="758" spans="1:4" ht="18" x14ac:dyDescent="0.25">
      <c r="A758" s="28">
        <v>5</v>
      </c>
      <c r="B758" s="32"/>
      <c r="C758" s="40">
        <v>45</v>
      </c>
      <c r="D758" s="36"/>
    </row>
    <row r="759" spans="1:4" ht="18" x14ac:dyDescent="0.25">
      <c r="A759" s="28">
        <v>6</v>
      </c>
      <c r="B759" s="32"/>
      <c r="C759" s="40">
        <v>46</v>
      </c>
      <c r="D759" s="36"/>
    </row>
    <row r="760" spans="1:4" ht="18" x14ac:dyDescent="0.25">
      <c r="A760" s="28">
        <v>7</v>
      </c>
      <c r="B760" s="32"/>
      <c r="C760" s="40">
        <v>47</v>
      </c>
      <c r="D760" s="36"/>
    </row>
    <row r="761" spans="1:4" ht="18" x14ac:dyDescent="0.25">
      <c r="A761" s="28">
        <v>8</v>
      </c>
      <c r="B761" s="32"/>
      <c r="C761" s="40">
        <v>48</v>
      </c>
      <c r="D761" s="36"/>
    </row>
    <row r="762" spans="1:4" ht="18" x14ac:dyDescent="0.25">
      <c r="A762" s="28">
        <v>9</v>
      </c>
      <c r="B762" s="32"/>
      <c r="C762" s="40">
        <v>49</v>
      </c>
      <c r="D762" s="36"/>
    </row>
    <row r="763" spans="1:4" ht="18" x14ac:dyDescent="0.25">
      <c r="A763" s="28">
        <v>10</v>
      </c>
      <c r="B763" s="32"/>
      <c r="C763" s="40">
        <v>50</v>
      </c>
      <c r="D763" s="36"/>
    </row>
    <row r="764" spans="1:4" ht="18" x14ac:dyDescent="0.25">
      <c r="A764" s="28">
        <v>11</v>
      </c>
      <c r="B764" s="32"/>
      <c r="C764" s="40">
        <v>51</v>
      </c>
      <c r="D764" s="36"/>
    </row>
    <row r="765" spans="1:4" ht="18" x14ac:dyDescent="0.25">
      <c r="A765" s="28">
        <v>12</v>
      </c>
      <c r="B765" s="32"/>
      <c r="C765" s="40">
        <v>52</v>
      </c>
      <c r="D765" s="36"/>
    </row>
    <row r="766" spans="1:4" ht="18" x14ac:dyDescent="0.25">
      <c r="A766" s="28">
        <v>13</v>
      </c>
      <c r="B766" s="32"/>
      <c r="C766" s="40">
        <v>53</v>
      </c>
      <c r="D766" s="36"/>
    </row>
    <row r="767" spans="1:4" ht="18" x14ac:dyDescent="0.25">
      <c r="A767" s="28">
        <v>14</v>
      </c>
      <c r="B767" s="32"/>
      <c r="C767" s="40">
        <v>54</v>
      </c>
      <c r="D767" s="36"/>
    </row>
    <row r="768" spans="1:4" ht="18" x14ac:dyDescent="0.25">
      <c r="A768" s="28">
        <v>15</v>
      </c>
      <c r="B768" s="32"/>
      <c r="C768" s="40">
        <v>55</v>
      </c>
      <c r="D768" s="36"/>
    </row>
    <row r="769" spans="1:4" ht="18" x14ac:dyDescent="0.25">
      <c r="A769" s="28">
        <v>16</v>
      </c>
      <c r="B769" s="32"/>
      <c r="C769" s="40">
        <v>56</v>
      </c>
      <c r="D769" s="36"/>
    </row>
    <row r="770" spans="1:4" ht="18" x14ac:dyDescent="0.25">
      <c r="A770" s="28">
        <v>17</v>
      </c>
      <c r="B770" s="32"/>
      <c r="C770" s="40">
        <v>57</v>
      </c>
      <c r="D770" s="36"/>
    </row>
    <row r="771" spans="1:4" ht="18" x14ac:dyDescent="0.25">
      <c r="A771" s="28">
        <v>18</v>
      </c>
      <c r="B771" s="32"/>
      <c r="C771" s="40">
        <v>58</v>
      </c>
      <c r="D771" s="36"/>
    </row>
    <row r="772" spans="1:4" ht="18" x14ac:dyDescent="0.25">
      <c r="A772" s="28">
        <v>19</v>
      </c>
      <c r="B772" s="32"/>
      <c r="C772" s="40">
        <v>59</v>
      </c>
      <c r="D772" s="36"/>
    </row>
    <row r="773" spans="1:4" ht="18" x14ac:dyDescent="0.25">
      <c r="A773" s="28">
        <v>20</v>
      </c>
      <c r="B773" s="32"/>
      <c r="C773" s="40">
        <v>60</v>
      </c>
      <c r="D773" s="36"/>
    </row>
    <row r="774" spans="1:4" ht="18" x14ac:dyDescent="0.25">
      <c r="A774" s="28">
        <v>21</v>
      </c>
      <c r="B774" s="32"/>
      <c r="C774" s="40">
        <v>61</v>
      </c>
      <c r="D774" s="36"/>
    </row>
    <row r="775" spans="1:4" ht="18" x14ac:dyDescent="0.25">
      <c r="A775" s="28">
        <v>22</v>
      </c>
      <c r="B775" s="32"/>
      <c r="C775" s="40">
        <v>62</v>
      </c>
      <c r="D775" s="36"/>
    </row>
    <row r="776" spans="1:4" ht="18" x14ac:dyDescent="0.25">
      <c r="A776" s="28">
        <v>23</v>
      </c>
      <c r="B776" s="32"/>
      <c r="C776" s="40">
        <v>63</v>
      </c>
      <c r="D776" s="36"/>
    </row>
    <row r="777" spans="1:4" ht="18" x14ac:dyDescent="0.25">
      <c r="A777" s="28">
        <v>24</v>
      </c>
      <c r="B777" s="32"/>
      <c r="C777" s="40">
        <v>64</v>
      </c>
      <c r="D777" s="36"/>
    </row>
    <row r="778" spans="1:4" ht="18" x14ac:dyDescent="0.25">
      <c r="A778" s="28">
        <v>25</v>
      </c>
      <c r="B778" s="32"/>
      <c r="C778" s="40">
        <v>65</v>
      </c>
      <c r="D778" s="36"/>
    </row>
    <row r="779" spans="1:4" ht="18" x14ac:dyDescent="0.25">
      <c r="A779" s="28">
        <v>26</v>
      </c>
      <c r="B779" s="32"/>
      <c r="C779" s="40">
        <v>66</v>
      </c>
      <c r="D779" s="36"/>
    </row>
    <row r="780" spans="1:4" ht="18" x14ac:dyDescent="0.25">
      <c r="A780" s="28">
        <v>27</v>
      </c>
      <c r="B780" s="32"/>
      <c r="C780" s="40">
        <v>67</v>
      </c>
      <c r="D780" s="36"/>
    </row>
    <row r="781" spans="1:4" ht="18" x14ac:dyDescent="0.25">
      <c r="A781" s="28">
        <v>28</v>
      </c>
      <c r="B781" s="32"/>
      <c r="C781" s="40">
        <v>68</v>
      </c>
      <c r="D781" s="36"/>
    </row>
    <row r="782" spans="1:4" ht="18" x14ac:dyDescent="0.25">
      <c r="A782" s="28">
        <v>29</v>
      </c>
      <c r="B782" s="32"/>
      <c r="C782" s="40">
        <v>69</v>
      </c>
      <c r="D782" s="36"/>
    </row>
    <row r="783" spans="1:4" ht="18" x14ac:dyDescent="0.25">
      <c r="A783" s="28">
        <v>30</v>
      </c>
      <c r="B783" s="32"/>
      <c r="C783" s="40">
        <v>70</v>
      </c>
      <c r="D783" s="36"/>
    </row>
    <row r="784" spans="1:4" ht="18" x14ac:dyDescent="0.25">
      <c r="A784" s="28">
        <v>31</v>
      </c>
      <c r="B784" s="32"/>
      <c r="C784" s="40">
        <v>71</v>
      </c>
      <c r="D784" s="36"/>
    </row>
    <row r="785" spans="1:4" ht="18" x14ac:dyDescent="0.25">
      <c r="A785" s="28">
        <v>32</v>
      </c>
      <c r="B785" s="32"/>
      <c r="C785" s="40">
        <v>72</v>
      </c>
      <c r="D785" s="36"/>
    </row>
    <row r="786" spans="1:4" ht="18" x14ac:dyDescent="0.25">
      <c r="A786" s="28">
        <v>33</v>
      </c>
      <c r="B786" s="32"/>
      <c r="C786" s="40">
        <v>73</v>
      </c>
      <c r="D786" s="36"/>
    </row>
    <row r="787" spans="1:4" ht="18" x14ac:dyDescent="0.25">
      <c r="A787" s="28">
        <v>34</v>
      </c>
      <c r="B787" s="33"/>
      <c r="C787" s="40">
        <v>74</v>
      </c>
      <c r="D787" s="36"/>
    </row>
    <row r="788" spans="1:4" ht="18" x14ac:dyDescent="0.25">
      <c r="A788" s="29">
        <v>35</v>
      </c>
      <c r="B788" s="33"/>
      <c r="C788" s="40">
        <v>75</v>
      </c>
      <c r="D788" s="36"/>
    </row>
    <row r="789" spans="1:4" ht="18" x14ac:dyDescent="0.25">
      <c r="A789" s="28">
        <v>36</v>
      </c>
      <c r="B789" s="33"/>
      <c r="C789" s="40">
        <v>76</v>
      </c>
      <c r="D789" s="36"/>
    </row>
    <row r="790" spans="1:4" ht="18" x14ac:dyDescent="0.25">
      <c r="A790" s="28">
        <v>37</v>
      </c>
      <c r="B790" s="33"/>
      <c r="C790" s="40">
        <v>77</v>
      </c>
      <c r="D790" s="37"/>
    </row>
    <row r="791" spans="1:4" ht="18" x14ac:dyDescent="0.25">
      <c r="A791" s="28">
        <v>38</v>
      </c>
      <c r="B791" s="33"/>
      <c r="C791" s="40">
        <v>78</v>
      </c>
      <c r="D791" s="37"/>
    </row>
    <row r="792" spans="1:4" ht="18" x14ac:dyDescent="0.25">
      <c r="A792" s="28">
        <v>39</v>
      </c>
      <c r="B792" s="33"/>
      <c r="C792" s="40">
        <v>79</v>
      </c>
      <c r="D792" s="37"/>
    </row>
    <row r="793" spans="1:4" ht="18.75" thickBot="1" x14ac:dyDescent="0.3">
      <c r="A793" s="41">
        <v>40</v>
      </c>
      <c r="B793" s="42"/>
      <c r="C793" s="43">
        <v>80</v>
      </c>
      <c r="D793" s="44"/>
    </row>
    <row r="794" spans="1:4" ht="18.75" thickBot="1" x14ac:dyDescent="0.3">
      <c r="A794" s="45" t="s">
        <v>2</v>
      </c>
      <c r="B794" s="51">
        <f>SUM(B754:B793)</f>
        <v>0</v>
      </c>
      <c r="C794" s="52" t="s">
        <v>2</v>
      </c>
      <c r="D794" s="48">
        <f>SUM(D754:D793)</f>
        <v>0</v>
      </c>
    </row>
    <row r="795" spans="1:4" ht="18" x14ac:dyDescent="0.25">
      <c r="A795" s="46"/>
      <c r="B795" s="86" t="s">
        <v>3</v>
      </c>
      <c r="C795" s="87"/>
      <c r="D795" s="49">
        <f>COUNT(B754:B793)+COUNT(D754:D793)</f>
        <v>0</v>
      </c>
    </row>
    <row r="796" spans="1:4" ht="18.75" thickBot="1" x14ac:dyDescent="0.3">
      <c r="A796" s="47"/>
      <c r="B796" s="78" t="s">
        <v>4</v>
      </c>
      <c r="C796" s="79"/>
      <c r="D796" s="50">
        <f>+D794+B794</f>
        <v>0</v>
      </c>
    </row>
    <row r="797" spans="1:4" ht="27.75" thickBot="1" x14ac:dyDescent="0.3">
      <c r="A797" s="83">
        <v>18</v>
      </c>
      <c r="B797" s="84"/>
      <c r="C797" s="84"/>
      <c r="D797" s="85"/>
    </row>
    <row r="798" spans="1:4" ht="18.75" thickBot="1" x14ac:dyDescent="0.3">
      <c r="A798" s="80" t="s">
        <v>94</v>
      </c>
      <c r="B798" s="81"/>
      <c r="C798" s="81"/>
      <c r="D798" s="82"/>
    </row>
    <row r="799" spans="1:4" ht="18.75" thickBot="1" x14ac:dyDescent="0.3">
      <c r="A799" s="26" t="s">
        <v>0</v>
      </c>
      <c r="B799" s="30" t="s">
        <v>1</v>
      </c>
      <c r="C799" s="38" t="s">
        <v>0</v>
      </c>
      <c r="D799" s="34" t="s">
        <v>1</v>
      </c>
    </row>
    <row r="800" spans="1:4" ht="18" x14ac:dyDescent="0.25">
      <c r="A800" s="27">
        <v>1</v>
      </c>
      <c r="B800" s="31"/>
      <c r="C800" s="39">
        <v>41</v>
      </c>
      <c r="D800" s="35"/>
    </row>
    <row r="801" spans="1:4" ht="18" x14ac:dyDescent="0.25">
      <c r="A801" s="28">
        <v>2</v>
      </c>
      <c r="B801" s="32"/>
      <c r="C801" s="40">
        <v>42</v>
      </c>
      <c r="D801" s="36"/>
    </row>
    <row r="802" spans="1:4" ht="18" x14ac:dyDescent="0.25">
      <c r="A802" s="28">
        <v>3</v>
      </c>
      <c r="B802" s="32"/>
      <c r="C802" s="40">
        <v>43</v>
      </c>
      <c r="D802" s="36"/>
    </row>
    <row r="803" spans="1:4" ht="18" x14ac:dyDescent="0.25">
      <c r="A803" s="28">
        <v>4</v>
      </c>
      <c r="B803" s="32"/>
      <c r="C803" s="40">
        <v>44</v>
      </c>
      <c r="D803" s="36"/>
    </row>
    <row r="804" spans="1:4" ht="18" x14ac:dyDescent="0.25">
      <c r="A804" s="28">
        <v>5</v>
      </c>
      <c r="B804" s="32"/>
      <c r="C804" s="40">
        <v>45</v>
      </c>
      <c r="D804" s="36"/>
    </row>
    <row r="805" spans="1:4" ht="18" x14ac:dyDescent="0.25">
      <c r="A805" s="28">
        <v>6</v>
      </c>
      <c r="B805" s="32"/>
      <c r="C805" s="40">
        <v>46</v>
      </c>
      <c r="D805" s="36"/>
    </row>
    <row r="806" spans="1:4" ht="18" x14ac:dyDescent="0.25">
      <c r="A806" s="28">
        <v>7</v>
      </c>
      <c r="B806" s="32"/>
      <c r="C806" s="40">
        <v>47</v>
      </c>
      <c r="D806" s="36"/>
    </row>
    <row r="807" spans="1:4" ht="18" x14ac:dyDescent="0.25">
      <c r="A807" s="28">
        <v>8</v>
      </c>
      <c r="B807" s="32"/>
      <c r="C807" s="40">
        <v>48</v>
      </c>
      <c r="D807" s="36"/>
    </row>
    <row r="808" spans="1:4" ht="18" x14ac:dyDescent="0.25">
      <c r="A808" s="28">
        <v>9</v>
      </c>
      <c r="B808" s="32"/>
      <c r="C808" s="40">
        <v>49</v>
      </c>
      <c r="D808" s="36"/>
    </row>
    <row r="809" spans="1:4" ht="18" x14ac:dyDescent="0.25">
      <c r="A809" s="28">
        <v>10</v>
      </c>
      <c r="B809" s="32"/>
      <c r="C809" s="40">
        <v>50</v>
      </c>
      <c r="D809" s="36"/>
    </row>
    <row r="810" spans="1:4" ht="18" x14ac:dyDescent="0.25">
      <c r="A810" s="28">
        <v>11</v>
      </c>
      <c r="B810" s="32"/>
      <c r="C810" s="40">
        <v>51</v>
      </c>
      <c r="D810" s="36"/>
    </row>
    <row r="811" spans="1:4" ht="18" x14ac:dyDescent="0.25">
      <c r="A811" s="28">
        <v>12</v>
      </c>
      <c r="B811" s="32"/>
      <c r="C811" s="40">
        <v>52</v>
      </c>
      <c r="D811" s="36"/>
    </row>
    <row r="812" spans="1:4" ht="18" x14ac:dyDescent="0.25">
      <c r="A812" s="28">
        <v>13</v>
      </c>
      <c r="B812" s="32"/>
      <c r="C812" s="40">
        <v>53</v>
      </c>
      <c r="D812" s="36"/>
    </row>
    <row r="813" spans="1:4" ht="18" x14ac:dyDescent="0.25">
      <c r="A813" s="28">
        <v>14</v>
      </c>
      <c r="B813" s="32"/>
      <c r="C813" s="40">
        <v>54</v>
      </c>
      <c r="D813" s="36"/>
    </row>
    <row r="814" spans="1:4" ht="18" x14ac:dyDescent="0.25">
      <c r="A814" s="28">
        <v>15</v>
      </c>
      <c r="B814" s="32"/>
      <c r="C814" s="40">
        <v>55</v>
      </c>
      <c r="D814" s="36"/>
    </row>
    <row r="815" spans="1:4" ht="18" x14ac:dyDescent="0.25">
      <c r="A815" s="28">
        <v>16</v>
      </c>
      <c r="B815" s="32"/>
      <c r="C815" s="40">
        <v>56</v>
      </c>
      <c r="D815" s="36"/>
    </row>
    <row r="816" spans="1:4" ht="18" x14ac:dyDescent="0.25">
      <c r="A816" s="28">
        <v>17</v>
      </c>
      <c r="B816" s="32"/>
      <c r="C816" s="40">
        <v>57</v>
      </c>
      <c r="D816" s="36"/>
    </row>
    <row r="817" spans="1:4" ht="18" x14ac:dyDescent="0.25">
      <c r="A817" s="28">
        <v>18</v>
      </c>
      <c r="B817" s="32"/>
      <c r="C817" s="40">
        <v>58</v>
      </c>
      <c r="D817" s="36"/>
    </row>
    <row r="818" spans="1:4" ht="18" x14ac:dyDescent="0.25">
      <c r="A818" s="28">
        <v>19</v>
      </c>
      <c r="B818" s="32"/>
      <c r="C818" s="40">
        <v>59</v>
      </c>
      <c r="D818" s="36"/>
    </row>
    <row r="819" spans="1:4" ht="18" x14ac:dyDescent="0.25">
      <c r="A819" s="28">
        <v>20</v>
      </c>
      <c r="B819" s="32"/>
      <c r="C819" s="40">
        <v>60</v>
      </c>
      <c r="D819" s="36"/>
    </row>
    <row r="820" spans="1:4" ht="18" x14ac:dyDescent="0.25">
      <c r="A820" s="28">
        <v>21</v>
      </c>
      <c r="B820" s="32"/>
      <c r="C820" s="40">
        <v>61</v>
      </c>
      <c r="D820" s="36"/>
    </row>
    <row r="821" spans="1:4" ht="18" x14ac:dyDescent="0.25">
      <c r="A821" s="28">
        <v>22</v>
      </c>
      <c r="B821" s="32"/>
      <c r="C821" s="40">
        <v>62</v>
      </c>
      <c r="D821" s="36"/>
    </row>
    <row r="822" spans="1:4" ht="18" x14ac:dyDescent="0.25">
      <c r="A822" s="28">
        <v>23</v>
      </c>
      <c r="B822" s="32"/>
      <c r="C822" s="40">
        <v>63</v>
      </c>
      <c r="D822" s="36"/>
    </row>
    <row r="823" spans="1:4" ht="18" x14ac:dyDescent="0.25">
      <c r="A823" s="28">
        <v>24</v>
      </c>
      <c r="B823" s="32"/>
      <c r="C823" s="40">
        <v>64</v>
      </c>
      <c r="D823" s="36"/>
    </row>
    <row r="824" spans="1:4" ht="18" x14ac:dyDescent="0.25">
      <c r="A824" s="28">
        <v>25</v>
      </c>
      <c r="B824" s="32"/>
      <c r="C824" s="40">
        <v>65</v>
      </c>
      <c r="D824" s="36"/>
    </row>
    <row r="825" spans="1:4" ht="18" x14ac:dyDescent="0.25">
      <c r="A825" s="28">
        <v>26</v>
      </c>
      <c r="B825" s="32"/>
      <c r="C825" s="40">
        <v>66</v>
      </c>
      <c r="D825" s="36"/>
    </row>
    <row r="826" spans="1:4" ht="18" x14ac:dyDescent="0.25">
      <c r="A826" s="28">
        <v>27</v>
      </c>
      <c r="B826" s="32"/>
      <c r="C826" s="40">
        <v>67</v>
      </c>
      <c r="D826" s="36"/>
    </row>
    <row r="827" spans="1:4" ht="18" x14ac:dyDescent="0.25">
      <c r="A827" s="28">
        <v>28</v>
      </c>
      <c r="B827" s="32"/>
      <c r="C827" s="40">
        <v>68</v>
      </c>
      <c r="D827" s="36"/>
    </row>
    <row r="828" spans="1:4" ht="18" x14ac:dyDescent="0.25">
      <c r="A828" s="28">
        <v>29</v>
      </c>
      <c r="B828" s="32"/>
      <c r="C828" s="40">
        <v>69</v>
      </c>
      <c r="D828" s="36"/>
    </row>
    <row r="829" spans="1:4" ht="18" x14ac:dyDescent="0.25">
      <c r="A829" s="28">
        <v>30</v>
      </c>
      <c r="B829" s="32"/>
      <c r="C829" s="40">
        <v>70</v>
      </c>
      <c r="D829" s="36"/>
    </row>
    <row r="830" spans="1:4" ht="18" x14ac:dyDescent="0.25">
      <c r="A830" s="28">
        <v>31</v>
      </c>
      <c r="B830" s="32"/>
      <c r="C830" s="40">
        <v>71</v>
      </c>
      <c r="D830" s="36"/>
    </row>
    <row r="831" spans="1:4" ht="18" x14ac:dyDescent="0.25">
      <c r="A831" s="28">
        <v>32</v>
      </c>
      <c r="B831" s="32"/>
      <c r="C831" s="40">
        <v>72</v>
      </c>
      <c r="D831" s="36"/>
    </row>
    <row r="832" spans="1:4" ht="18" x14ac:dyDescent="0.25">
      <c r="A832" s="28">
        <v>33</v>
      </c>
      <c r="B832" s="32"/>
      <c r="C832" s="40">
        <v>73</v>
      </c>
      <c r="D832" s="36"/>
    </row>
    <row r="833" spans="1:4" ht="18" x14ac:dyDescent="0.25">
      <c r="A833" s="28">
        <v>34</v>
      </c>
      <c r="B833" s="33"/>
      <c r="C833" s="40">
        <v>74</v>
      </c>
      <c r="D833" s="36"/>
    </row>
    <row r="834" spans="1:4" ht="18" x14ac:dyDescent="0.25">
      <c r="A834" s="29">
        <v>35</v>
      </c>
      <c r="B834" s="33"/>
      <c r="C834" s="40">
        <v>75</v>
      </c>
      <c r="D834" s="36"/>
    </row>
    <row r="835" spans="1:4" ht="18" x14ac:dyDescent="0.25">
      <c r="A835" s="28">
        <v>36</v>
      </c>
      <c r="B835" s="33"/>
      <c r="C835" s="40">
        <v>76</v>
      </c>
      <c r="D835" s="36"/>
    </row>
    <row r="836" spans="1:4" ht="18" x14ac:dyDescent="0.25">
      <c r="A836" s="28">
        <v>37</v>
      </c>
      <c r="B836" s="33"/>
      <c r="C836" s="40">
        <v>77</v>
      </c>
      <c r="D836" s="37"/>
    </row>
    <row r="837" spans="1:4" ht="18" x14ac:dyDescent="0.25">
      <c r="A837" s="28">
        <v>38</v>
      </c>
      <c r="B837" s="33"/>
      <c r="C837" s="40">
        <v>78</v>
      </c>
      <c r="D837" s="37"/>
    </row>
    <row r="838" spans="1:4" ht="18" x14ac:dyDescent="0.25">
      <c r="A838" s="28">
        <v>39</v>
      </c>
      <c r="B838" s="33"/>
      <c r="C838" s="40">
        <v>79</v>
      </c>
      <c r="D838" s="37"/>
    </row>
    <row r="839" spans="1:4" ht="18.75" thickBot="1" x14ac:dyDescent="0.3">
      <c r="A839" s="41">
        <v>40</v>
      </c>
      <c r="B839" s="42"/>
      <c r="C839" s="43">
        <v>80</v>
      </c>
      <c r="D839" s="44"/>
    </row>
    <row r="840" spans="1:4" ht="18.75" thickBot="1" x14ac:dyDescent="0.3">
      <c r="A840" s="45" t="s">
        <v>2</v>
      </c>
      <c r="B840" s="51">
        <f>SUM(B800:B839)</f>
        <v>0</v>
      </c>
      <c r="C840" s="52" t="s">
        <v>2</v>
      </c>
      <c r="D840" s="48">
        <f>SUM(D800:D839)</f>
        <v>0</v>
      </c>
    </row>
    <row r="841" spans="1:4" ht="18" x14ac:dyDescent="0.25">
      <c r="A841" s="46"/>
      <c r="B841" s="86" t="s">
        <v>3</v>
      </c>
      <c r="C841" s="87"/>
      <c r="D841" s="49">
        <f>COUNT(B800:B839)+COUNT(D800:D839)</f>
        <v>0</v>
      </c>
    </row>
    <row r="842" spans="1:4" ht="18.75" thickBot="1" x14ac:dyDescent="0.3">
      <c r="A842" s="47"/>
      <c r="B842" s="78" t="s">
        <v>4</v>
      </c>
      <c r="C842" s="79"/>
      <c r="D842" s="50">
        <f>+D840+B840</f>
        <v>0</v>
      </c>
    </row>
    <row r="843" spans="1:4" ht="27.75" thickBot="1" x14ac:dyDescent="0.3">
      <c r="A843" s="83">
        <v>19</v>
      </c>
      <c r="B843" s="84"/>
      <c r="C843" s="84"/>
      <c r="D843" s="85"/>
    </row>
    <row r="844" spans="1:4" ht="18.75" thickBot="1" x14ac:dyDescent="0.3">
      <c r="A844" s="80" t="s">
        <v>90</v>
      </c>
      <c r="B844" s="81"/>
      <c r="C844" s="81"/>
      <c r="D844" s="82"/>
    </row>
    <row r="845" spans="1:4" ht="18.75" thickBot="1" x14ac:dyDescent="0.3">
      <c r="A845" s="26" t="s">
        <v>0</v>
      </c>
      <c r="B845" s="30" t="s">
        <v>1</v>
      </c>
      <c r="C845" s="38" t="s">
        <v>0</v>
      </c>
      <c r="D845" s="34" t="s">
        <v>1</v>
      </c>
    </row>
    <row r="846" spans="1:4" ht="18" x14ac:dyDescent="0.25">
      <c r="A846" s="27">
        <v>1</v>
      </c>
      <c r="B846" s="31"/>
      <c r="C846" s="39">
        <v>49</v>
      </c>
      <c r="D846" s="35"/>
    </row>
    <row r="847" spans="1:4" ht="18" x14ac:dyDescent="0.25">
      <c r="A847" s="28">
        <v>2</v>
      </c>
      <c r="B847" s="32"/>
      <c r="C847" s="40">
        <v>42</v>
      </c>
      <c r="D847" s="36"/>
    </row>
    <row r="848" spans="1:4" ht="18" x14ac:dyDescent="0.25">
      <c r="A848" s="28">
        <v>3</v>
      </c>
      <c r="B848" s="32"/>
      <c r="C848" s="40">
        <v>43</v>
      </c>
      <c r="D848" s="36"/>
    </row>
    <row r="849" spans="1:4" ht="18" x14ac:dyDescent="0.25">
      <c r="A849" s="28">
        <v>4</v>
      </c>
      <c r="B849" s="32"/>
      <c r="C849" s="40">
        <v>44</v>
      </c>
      <c r="D849" s="36"/>
    </row>
    <row r="850" spans="1:4" ht="18" x14ac:dyDescent="0.25">
      <c r="A850" s="28">
        <v>5</v>
      </c>
      <c r="B850" s="32"/>
      <c r="C850" s="40">
        <v>45</v>
      </c>
      <c r="D850" s="36"/>
    </row>
    <row r="851" spans="1:4" ht="18" x14ac:dyDescent="0.25">
      <c r="A851" s="28">
        <v>6</v>
      </c>
      <c r="B851" s="32"/>
      <c r="C851" s="40">
        <v>46</v>
      </c>
      <c r="D851" s="36"/>
    </row>
    <row r="852" spans="1:4" ht="18" x14ac:dyDescent="0.25">
      <c r="A852" s="28">
        <v>7</v>
      </c>
      <c r="B852" s="32"/>
      <c r="C852" s="40">
        <v>47</v>
      </c>
      <c r="D852" s="36"/>
    </row>
    <row r="853" spans="1:4" ht="18" x14ac:dyDescent="0.25">
      <c r="A853" s="28">
        <v>8</v>
      </c>
      <c r="B853" s="32"/>
      <c r="C853" s="40">
        <v>48</v>
      </c>
      <c r="D853" s="36"/>
    </row>
    <row r="854" spans="1:4" ht="18" x14ac:dyDescent="0.25">
      <c r="A854" s="28">
        <v>9</v>
      </c>
      <c r="B854" s="32"/>
      <c r="C854" s="40">
        <v>49</v>
      </c>
      <c r="D854" s="36"/>
    </row>
    <row r="855" spans="1:4" ht="18" x14ac:dyDescent="0.25">
      <c r="A855" s="28">
        <v>10</v>
      </c>
      <c r="B855" s="32"/>
      <c r="C855" s="40">
        <v>50</v>
      </c>
      <c r="D855" s="36"/>
    </row>
    <row r="856" spans="1:4" ht="18" x14ac:dyDescent="0.25">
      <c r="A856" s="28">
        <v>11</v>
      </c>
      <c r="B856" s="32"/>
      <c r="C856" s="40">
        <v>51</v>
      </c>
      <c r="D856" s="36"/>
    </row>
    <row r="857" spans="1:4" ht="18" x14ac:dyDescent="0.25">
      <c r="A857" s="28">
        <v>12</v>
      </c>
      <c r="B857" s="32"/>
      <c r="C857" s="40">
        <v>52</v>
      </c>
      <c r="D857" s="36"/>
    </row>
    <row r="858" spans="1:4" ht="18" x14ac:dyDescent="0.25">
      <c r="A858" s="28">
        <v>13</v>
      </c>
      <c r="B858" s="32"/>
      <c r="C858" s="40">
        <v>53</v>
      </c>
      <c r="D858" s="36"/>
    </row>
    <row r="859" spans="1:4" ht="18" x14ac:dyDescent="0.25">
      <c r="A859" s="28">
        <v>14</v>
      </c>
      <c r="B859" s="32"/>
      <c r="C859" s="40">
        <v>54</v>
      </c>
      <c r="D859" s="36"/>
    </row>
    <row r="860" spans="1:4" ht="18" x14ac:dyDescent="0.25">
      <c r="A860" s="28">
        <v>15</v>
      </c>
      <c r="B860" s="32"/>
      <c r="C860" s="40">
        <v>55</v>
      </c>
      <c r="D860" s="36"/>
    </row>
    <row r="861" spans="1:4" ht="18" x14ac:dyDescent="0.25">
      <c r="A861" s="28">
        <v>16</v>
      </c>
      <c r="B861" s="32"/>
      <c r="C861" s="40">
        <v>56</v>
      </c>
      <c r="D861" s="36"/>
    </row>
    <row r="862" spans="1:4" ht="18" x14ac:dyDescent="0.25">
      <c r="A862" s="28">
        <v>17</v>
      </c>
      <c r="B862" s="32"/>
      <c r="C862" s="40">
        <v>57</v>
      </c>
      <c r="D862" s="36"/>
    </row>
    <row r="863" spans="1:4" ht="18" x14ac:dyDescent="0.25">
      <c r="A863" s="28">
        <v>18</v>
      </c>
      <c r="B863" s="32"/>
      <c r="C863" s="40">
        <v>58</v>
      </c>
      <c r="D863" s="36"/>
    </row>
    <row r="864" spans="1:4" ht="18" x14ac:dyDescent="0.25">
      <c r="A864" s="28">
        <v>19</v>
      </c>
      <c r="B864" s="32"/>
      <c r="C864" s="40">
        <v>59</v>
      </c>
      <c r="D864" s="36"/>
    </row>
    <row r="865" spans="1:4" ht="18" x14ac:dyDescent="0.25">
      <c r="A865" s="28">
        <v>20</v>
      </c>
      <c r="B865" s="32"/>
      <c r="C865" s="40">
        <v>60</v>
      </c>
      <c r="D865" s="36"/>
    </row>
    <row r="866" spans="1:4" ht="18" x14ac:dyDescent="0.25">
      <c r="A866" s="28">
        <v>21</v>
      </c>
      <c r="B866" s="32"/>
      <c r="C866" s="40">
        <v>61</v>
      </c>
      <c r="D866" s="36"/>
    </row>
    <row r="867" spans="1:4" ht="18" x14ac:dyDescent="0.25">
      <c r="A867" s="28">
        <v>22</v>
      </c>
      <c r="B867" s="32"/>
      <c r="C867" s="40">
        <v>62</v>
      </c>
      <c r="D867" s="36"/>
    </row>
    <row r="868" spans="1:4" ht="18" x14ac:dyDescent="0.25">
      <c r="A868" s="28">
        <v>23</v>
      </c>
      <c r="B868" s="32"/>
      <c r="C868" s="40">
        <v>63</v>
      </c>
      <c r="D868" s="36"/>
    </row>
    <row r="869" spans="1:4" ht="18" x14ac:dyDescent="0.25">
      <c r="A869" s="28">
        <v>24</v>
      </c>
      <c r="B869" s="32"/>
      <c r="C869" s="40">
        <v>64</v>
      </c>
      <c r="D869" s="36"/>
    </row>
    <row r="870" spans="1:4" ht="18" x14ac:dyDescent="0.25">
      <c r="A870" s="28">
        <v>25</v>
      </c>
      <c r="B870" s="32"/>
      <c r="C870" s="40">
        <v>65</v>
      </c>
      <c r="D870" s="36"/>
    </row>
    <row r="871" spans="1:4" ht="18" x14ac:dyDescent="0.25">
      <c r="A871" s="28">
        <v>26</v>
      </c>
      <c r="B871" s="32"/>
      <c r="C871" s="40">
        <v>66</v>
      </c>
      <c r="D871" s="36"/>
    </row>
    <row r="872" spans="1:4" ht="18" x14ac:dyDescent="0.25">
      <c r="A872" s="28">
        <v>27</v>
      </c>
      <c r="B872" s="32"/>
      <c r="C872" s="40">
        <v>67</v>
      </c>
      <c r="D872" s="36"/>
    </row>
    <row r="873" spans="1:4" ht="18" x14ac:dyDescent="0.25">
      <c r="A873" s="28">
        <v>28</v>
      </c>
      <c r="B873" s="32"/>
      <c r="C873" s="40">
        <v>68</v>
      </c>
      <c r="D873" s="36"/>
    </row>
    <row r="874" spans="1:4" ht="18" x14ac:dyDescent="0.25">
      <c r="A874" s="28">
        <v>29</v>
      </c>
      <c r="B874" s="32"/>
      <c r="C874" s="40">
        <v>69</v>
      </c>
      <c r="D874" s="36"/>
    </row>
    <row r="875" spans="1:4" ht="18" x14ac:dyDescent="0.25">
      <c r="A875" s="28">
        <v>30</v>
      </c>
      <c r="B875" s="32"/>
      <c r="C875" s="40">
        <v>70</v>
      </c>
      <c r="D875" s="36"/>
    </row>
    <row r="876" spans="1:4" ht="18" x14ac:dyDescent="0.25">
      <c r="A876" s="28">
        <v>31</v>
      </c>
      <c r="B876" s="32"/>
      <c r="C876" s="40">
        <v>71</v>
      </c>
      <c r="D876" s="36"/>
    </row>
    <row r="877" spans="1:4" ht="18" x14ac:dyDescent="0.25">
      <c r="A877" s="28">
        <v>32</v>
      </c>
      <c r="B877" s="32"/>
      <c r="C877" s="40">
        <v>72</v>
      </c>
      <c r="D877" s="36"/>
    </row>
    <row r="878" spans="1:4" ht="18" x14ac:dyDescent="0.25">
      <c r="A878" s="28">
        <v>33</v>
      </c>
      <c r="B878" s="32"/>
      <c r="C878" s="40">
        <v>73</v>
      </c>
      <c r="D878" s="36"/>
    </row>
    <row r="879" spans="1:4" ht="18" x14ac:dyDescent="0.25">
      <c r="A879" s="28">
        <v>34</v>
      </c>
      <c r="B879" s="33"/>
      <c r="C879" s="40">
        <v>74</v>
      </c>
      <c r="D879" s="36"/>
    </row>
    <row r="880" spans="1:4" ht="18" x14ac:dyDescent="0.25">
      <c r="A880" s="29">
        <v>35</v>
      </c>
      <c r="B880" s="33"/>
      <c r="C880" s="40">
        <v>75</v>
      </c>
      <c r="D880" s="36"/>
    </row>
    <row r="881" spans="1:4" ht="18" x14ac:dyDescent="0.25">
      <c r="A881" s="28">
        <v>36</v>
      </c>
      <c r="B881" s="33"/>
      <c r="C881" s="40">
        <v>76</v>
      </c>
      <c r="D881" s="36"/>
    </row>
    <row r="882" spans="1:4" ht="18" x14ac:dyDescent="0.25">
      <c r="A882" s="28">
        <v>37</v>
      </c>
      <c r="B882" s="33"/>
      <c r="C882" s="40">
        <v>77</v>
      </c>
      <c r="D882" s="37"/>
    </row>
    <row r="883" spans="1:4" ht="18" x14ac:dyDescent="0.25">
      <c r="A883" s="28">
        <v>38</v>
      </c>
      <c r="B883" s="33"/>
      <c r="C883" s="40">
        <v>78</v>
      </c>
      <c r="D883" s="37"/>
    </row>
    <row r="884" spans="1:4" ht="18" x14ac:dyDescent="0.25">
      <c r="A884" s="28">
        <v>39</v>
      </c>
      <c r="B884" s="33"/>
      <c r="C884" s="40">
        <v>79</v>
      </c>
      <c r="D884" s="37"/>
    </row>
    <row r="885" spans="1:4" ht="18" x14ac:dyDescent="0.25">
      <c r="A885" s="28">
        <v>40</v>
      </c>
      <c r="B885" s="33"/>
      <c r="C885" s="40">
        <v>80</v>
      </c>
      <c r="D885" s="37"/>
    </row>
    <row r="886" spans="1:4" ht="18" x14ac:dyDescent="0.25">
      <c r="A886" s="28">
        <v>41</v>
      </c>
      <c r="B886" s="33"/>
      <c r="C886" s="40">
        <v>81</v>
      </c>
      <c r="D886" s="37"/>
    </row>
    <row r="887" spans="1:4" ht="18" x14ac:dyDescent="0.25">
      <c r="A887" s="28">
        <v>42</v>
      </c>
      <c r="B887" s="33"/>
      <c r="C887" s="40">
        <v>82</v>
      </c>
      <c r="D887" s="37"/>
    </row>
    <row r="888" spans="1:4" ht="18" x14ac:dyDescent="0.25">
      <c r="A888" s="28">
        <v>43</v>
      </c>
      <c r="B888" s="33"/>
      <c r="C888" s="40">
        <v>83</v>
      </c>
      <c r="D888" s="37"/>
    </row>
    <row r="889" spans="1:4" ht="18" x14ac:dyDescent="0.25">
      <c r="A889" s="28">
        <v>44</v>
      </c>
      <c r="B889" s="33"/>
      <c r="C889" s="40">
        <v>84</v>
      </c>
      <c r="D889" s="37"/>
    </row>
    <row r="890" spans="1:4" ht="18" x14ac:dyDescent="0.25">
      <c r="A890" s="28">
        <v>45</v>
      </c>
      <c r="B890" s="33"/>
      <c r="C890" s="40">
        <v>85</v>
      </c>
      <c r="D890" s="37"/>
    </row>
    <row r="891" spans="1:4" ht="18" x14ac:dyDescent="0.25">
      <c r="A891" s="28">
        <v>46</v>
      </c>
      <c r="B891" s="33"/>
      <c r="C891" s="40">
        <v>86</v>
      </c>
      <c r="D891" s="37"/>
    </row>
    <row r="892" spans="1:4" ht="18" x14ac:dyDescent="0.25">
      <c r="A892" s="28">
        <v>47</v>
      </c>
      <c r="B892" s="33"/>
      <c r="C892" s="40">
        <v>87</v>
      </c>
      <c r="D892" s="37"/>
    </row>
    <row r="893" spans="1:4" ht="18.75" thickBot="1" x14ac:dyDescent="0.3">
      <c r="A893" s="28">
        <v>48</v>
      </c>
      <c r="B893" s="33"/>
      <c r="C893" s="40">
        <v>88</v>
      </c>
      <c r="D893" s="37"/>
    </row>
    <row r="894" spans="1:4" ht="18.75" thickBot="1" x14ac:dyDescent="0.3">
      <c r="A894" s="45" t="s">
        <v>2</v>
      </c>
      <c r="B894" s="51">
        <f>SUM(B846:B893)</f>
        <v>0</v>
      </c>
      <c r="C894" s="52" t="s">
        <v>2</v>
      </c>
      <c r="D894" s="48">
        <f>SUM(D846:D893)</f>
        <v>0</v>
      </c>
    </row>
    <row r="895" spans="1:4" ht="18" x14ac:dyDescent="0.25">
      <c r="A895" s="46"/>
      <c r="B895" s="86" t="s">
        <v>3</v>
      </c>
      <c r="C895" s="87"/>
      <c r="D895" s="49">
        <f>COUNT(B846:B893)+COUNT(D846:D893)</f>
        <v>0</v>
      </c>
    </row>
    <row r="896" spans="1:4" ht="18.75" thickBot="1" x14ac:dyDescent="0.3">
      <c r="A896" s="47"/>
      <c r="B896" s="78" t="s">
        <v>4</v>
      </c>
      <c r="C896" s="79"/>
      <c r="D896" s="50">
        <f>+D894+B894</f>
        <v>0</v>
      </c>
    </row>
    <row r="897" spans="1:4" ht="27.75" thickBot="1" x14ac:dyDescent="0.3">
      <c r="A897" s="83">
        <v>21</v>
      </c>
      <c r="B897" s="84"/>
      <c r="C897" s="84"/>
      <c r="D897" s="85"/>
    </row>
    <row r="898" spans="1:4" ht="18.75" thickBot="1" x14ac:dyDescent="0.3">
      <c r="A898" s="80" t="s">
        <v>91</v>
      </c>
      <c r="B898" s="81"/>
      <c r="C898" s="81"/>
      <c r="D898" s="82"/>
    </row>
    <row r="899" spans="1:4" ht="18.75" thickBot="1" x14ac:dyDescent="0.3">
      <c r="A899" s="26" t="s">
        <v>0</v>
      </c>
      <c r="B899" s="30" t="s">
        <v>1</v>
      </c>
      <c r="C899" s="38" t="s">
        <v>0</v>
      </c>
      <c r="D899" s="34" t="s">
        <v>1</v>
      </c>
    </row>
    <row r="900" spans="1:4" ht="18" x14ac:dyDescent="0.25">
      <c r="A900" s="27">
        <v>1</v>
      </c>
      <c r="B900" s="31"/>
      <c r="C900" s="39">
        <v>49</v>
      </c>
      <c r="D900" s="35"/>
    </row>
    <row r="901" spans="1:4" ht="18" x14ac:dyDescent="0.25">
      <c r="A901" s="28">
        <v>2</v>
      </c>
      <c r="B901" s="32"/>
      <c r="C901" s="39">
        <v>50</v>
      </c>
      <c r="D901" s="36"/>
    </row>
    <row r="902" spans="1:4" ht="18" x14ac:dyDescent="0.25">
      <c r="A902" s="28">
        <v>3</v>
      </c>
      <c r="B902" s="32"/>
      <c r="C902" s="39">
        <v>51</v>
      </c>
      <c r="D902" s="36"/>
    </row>
    <row r="903" spans="1:4" ht="18" x14ac:dyDescent="0.25">
      <c r="A903" s="28">
        <v>4</v>
      </c>
      <c r="B903" s="32"/>
      <c r="C903" s="39">
        <v>52</v>
      </c>
      <c r="D903" s="36"/>
    </row>
    <row r="904" spans="1:4" ht="18" x14ac:dyDescent="0.25">
      <c r="A904" s="28">
        <v>5</v>
      </c>
      <c r="B904" s="32"/>
      <c r="C904" s="39">
        <v>53</v>
      </c>
      <c r="D904" s="36"/>
    </row>
    <row r="905" spans="1:4" ht="18" x14ac:dyDescent="0.25">
      <c r="A905" s="28">
        <v>6</v>
      </c>
      <c r="B905" s="32"/>
      <c r="C905" s="39">
        <v>54</v>
      </c>
      <c r="D905" s="36"/>
    </row>
    <row r="906" spans="1:4" ht="18" x14ac:dyDescent="0.25">
      <c r="A906" s="28">
        <v>7</v>
      </c>
      <c r="B906" s="32"/>
      <c r="C906" s="39">
        <v>55</v>
      </c>
      <c r="D906" s="36"/>
    </row>
    <row r="907" spans="1:4" ht="18" x14ac:dyDescent="0.25">
      <c r="A907" s="28">
        <v>8</v>
      </c>
      <c r="B907" s="32"/>
      <c r="C907" s="39">
        <v>56</v>
      </c>
      <c r="D907" s="36"/>
    </row>
    <row r="908" spans="1:4" ht="18" x14ac:dyDescent="0.25">
      <c r="A908" s="28">
        <v>9</v>
      </c>
      <c r="B908" s="32"/>
      <c r="C908" s="39">
        <v>57</v>
      </c>
      <c r="D908" s="36"/>
    </row>
    <row r="909" spans="1:4" ht="18" x14ac:dyDescent="0.25">
      <c r="A909" s="28">
        <v>10</v>
      </c>
      <c r="B909" s="32"/>
      <c r="C909" s="39">
        <v>58</v>
      </c>
      <c r="D909" s="36"/>
    </row>
    <row r="910" spans="1:4" ht="18" x14ac:dyDescent="0.25">
      <c r="A910" s="28">
        <v>11</v>
      </c>
      <c r="B910" s="32"/>
      <c r="C910" s="39">
        <v>59</v>
      </c>
      <c r="D910" s="36"/>
    </row>
    <row r="911" spans="1:4" ht="18" x14ac:dyDescent="0.25">
      <c r="A911" s="28">
        <v>12</v>
      </c>
      <c r="B911" s="32"/>
      <c r="C911" s="39">
        <v>60</v>
      </c>
      <c r="D911" s="36"/>
    </row>
    <row r="912" spans="1:4" ht="18" x14ac:dyDescent="0.25">
      <c r="A912" s="28">
        <v>13</v>
      </c>
      <c r="B912" s="32"/>
      <c r="C912" s="39">
        <v>61</v>
      </c>
      <c r="D912" s="36"/>
    </row>
    <row r="913" spans="1:4" ht="18" x14ac:dyDescent="0.25">
      <c r="A913" s="28">
        <v>14</v>
      </c>
      <c r="B913" s="32"/>
      <c r="C913" s="39">
        <v>62</v>
      </c>
      <c r="D913" s="36"/>
    </row>
    <row r="914" spans="1:4" ht="18" x14ac:dyDescent="0.25">
      <c r="A914" s="28">
        <v>15</v>
      </c>
      <c r="B914" s="32"/>
      <c r="C914" s="39">
        <v>63</v>
      </c>
      <c r="D914" s="36"/>
    </row>
    <row r="915" spans="1:4" ht="18" x14ac:dyDescent="0.25">
      <c r="A915" s="28">
        <v>16</v>
      </c>
      <c r="B915" s="32"/>
      <c r="C915" s="39">
        <v>64</v>
      </c>
      <c r="D915" s="36"/>
    </row>
    <row r="916" spans="1:4" ht="18" x14ac:dyDescent="0.25">
      <c r="A916" s="28">
        <v>17</v>
      </c>
      <c r="B916" s="32"/>
      <c r="C916" s="39">
        <v>65</v>
      </c>
      <c r="D916" s="36"/>
    </row>
    <row r="917" spans="1:4" ht="18" x14ac:dyDescent="0.25">
      <c r="A917" s="28">
        <v>18</v>
      </c>
      <c r="B917" s="32"/>
      <c r="C917" s="39">
        <v>66</v>
      </c>
      <c r="D917" s="36"/>
    </row>
    <row r="918" spans="1:4" ht="18" x14ac:dyDescent="0.25">
      <c r="A918" s="28">
        <v>19</v>
      </c>
      <c r="B918" s="32"/>
      <c r="C918" s="39">
        <v>67</v>
      </c>
      <c r="D918" s="36"/>
    </row>
    <row r="919" spans="1:4" ht="18" x14ac:dyDescent="0.25">
      <c r="A919" s="28">
        <v>20</v>
      </c>
      <c r="B919" s="32"/>
      <c r="C919" s="39">
        <v>68</v>
      </c>
      <c r="D919" s="36"/>
    </row>
    <row r="920" spans="1:4" ht="18" x14ac:dyDescent="0.25">
      <c r="A920" s="28">
        <v>21</v>
      </c>
      <c r="B920" s="32"/>
      <c r="C920" s="39">
        <v>69</v>
      </c>
      <c r="D920" s="36"/>
    </row>
    <row r="921" spans="1:4" ht="18" x14ac:dyDescent="0.25">
      <c r="A921" s="28">
        <v>22</v>
      </c>
      <c r="B921" s="32"/>
      <c r="C921" s="39">
        <v>70</v>
      </c>
      <c r="D921" s="36"/>
    </row>
    <row r="922" spans="1:4" ht="18" x14ac:dyDescent="0.25">
      <c r="A922" s="28">
        <v>23</v>
      </c>
      <c r="B922" s="32"/>
      <c r="C922" s="39">
        <v>71</v>
      </c>
      <c r="D922" s="36"/>
    </row>
    <row r="923" spans="1:4" ht="18" x14ac:dyDescent="0.25">
      <c r="A923" s="28">
        <v>24</v>
      </c>
      <c r="B923" s="32"/>
      <c r="C923" s="39">
        <v>72</v>
      </c>
      <c r="D923" s="36"/>
    </row>
    <row r="924" spans="1:4" ht="18" x14ac:dyDescent="0.25">
      <c r="A924" s="28">
        <v>25</v>
      </c>
      <c r="B924" s="32"/>
      <c r="C924" s="39">
        <v>73</v>
      </c>
      <c r="D924" s="36"/>
    </row>
    <row r="925" spans="1:4" ht="18" x14ac:dyDescent="0.25">
      <c r="A925" s="28">
        <v>26</v>
      </c>
      <c r="B925" s="32"/>
      <c r="C925" s="39">
        <v>74</v>
      </c>
      <c r="D925" s="36"/>
    </row>
    <row r="926" spans="1:4" ht="18" x14ac:dyDescent="0.25">
      <c r="A926" s="28">
        <v>27</v>
      </c>
      <c r="B926" s="32"/>
      <c r="C926" s="39">
        <v>75</v>
      </c>
      <c r="D926" s="36"/>
    </row>
    <row r="927" spans="1:4" ht="18" x14ac:dyDescent="0.25">
      <c r="A927" s="28">
        <v>28</v>
      </c>
      <c r="B927" s="32"/>
      <c r="C927" s="39">
        <v>76</v>
      </c>
      <c r="D927" s="36"/>
    </row>
    <row r="928" spans="1:4" ht="18" x14ac:dyDescent="0.25">
      <c r="A928" s="28">
        <v>29</v>
      </c>
      <c r="B928" s="32"/>
      <c r="C928" s="39">
        <v>77</v>
      </c>
      <c r="D928" s="36"/>
    </row>
    <row r="929" spans="1:4" ht="18" x14ac:dyDescent="0.25">
      <c r="A929" s="28">
        <v>30</v>
      </c>
      <c r="B929" s="32"/>
      <c r="C929" s="39">
        <v>78</v>
      </c>
      <c r="D929" s="36"/>
    </row>
    <row r="930" spans="1:4" ht="18" x14ac:dyDescent="0.25">
      <c r="A930" s="28">
        <v>31</v>
      </c>
      <c r="B930" s="32"/>
      <c r="C930" s="39">
        <v>79</v>
      </c>
      <c r="D930" s="36"/>
    </row>
    <row r="931" spans="1:4" ht="18" x14ac:dyDescent="0.25">
      <c r="A931" s="28">
        <v>32</v>
      </c>
      <c r="B931" s="32"/>
      <c r="C931" s="39">
        <v>80</v>
      </c>
      <c r="D931" s="36"/>
    </row>
    <row r="932" spans="1:4" ht="18" x14ac:dyDescent="0.25">
      <c r="A932" s="28">
        <v>33</v>
      </c>
      <c r="B932" s="32"/>
      <c r="C932" s="39">
        <v>81</v>
      </c>
      <c r="D932" s="36"/>
    </row>
    <row r="933" spans="1:4" ht="18" x14ac:dyDescent="0.25">
      <c r="A933" s="28">
        <v>34</v>
      </c>
      <c r="B933" s="33"/>
      <c r="C933" s="39">
        <v>82</v>
      </c>
      <c r="D933" s="36"/>
    </row>
    <row r="934" spans="1:4" ht="18" x14ac:dyDescent="0.25">
      <c r="A934" s="29">
        <v>35</v>
      </c>
      <c r="B934" s="33"/>
      <c r="C934" s="39">
        <v>83</v>
      </c>
      <c r="D934" s="36"/>
    </row>
    <row r="935" spans="1:4" ht="18" x14ac:dyDescent="0.25">
      <c r="A935" s="28">
        <v>36</v>
      </c>
      <c r="B935" s="33"/>
      <c r="C935" s="39">
        <v>84</v>
      </c>
      <c r="D935" s="36"/>
    </row>
    <row r="936" spans="1:4" ht="18" x14ac:dyDescent="0.25">
      <c r="A936" s="28">
        <v>37</v>
      </c>
      <c r="B936" s="33"/>
      <c r="C936" s="39">
        <v>85</v>
      </c>
      <c r="D936" s="37"/>
    </row>
    <row r="937" spans="1:4" ht="18" x14ac:dyDescent="0.25">
      <c r="A937" s="28">
        <v>38</v>
      </c>
      <c r="B937" s="33"/>
      <c r="C937" s="39">
        <v>86</v>
      </c>
      <c r="D937" s="37"/>
    </row>
    <row r="938" spans="1:4" ht="18" x14ac:dyDescent="0.25">
      <c r="A938" s="28">
        <v>39</v>
      </c>
      <c r="B938" s="33"/>
      <c r="C938" s="39">
        <v>87</v>
      </c>
      <c r="D938" s="37"/>
    </row>
    <row r="939" spans="1:4" ht="18" x14ac:dyDescent="0.25">
      <c r="A939" s="28">
        <v>40</v>
      </c>
      <c r="B939" s="33"/>
      <c r="C939" s="39">
        <v>88</v>
      </c>
      <c r="D939" s="37"/>
    </row>
    <row r="940" spans="1:4" ht="18" x14ac:dyDescent="0.25">
      <c r="A940" s="28">
        <v>41</v>
      </c>
      <c r="B940" s="33"/>
      <c r="C940" s="39">
        <v>89</v>
      </c>
      <c r="D940" s="37"/>
    </row>
    <row r="941" spans="1:4" ht="18" x14ac:dyDescent="0.25">
      <c r="A941" s="28">
        <v>42</v>
      </c>
      <c r="B941" s="33"/>
      <c r="C941" s="39">
        <v>90</v>
      </c>
      <c r="D941" s="37"/>
    </row>
    <row r="942" spans="1:4" ht="18" x14ac:dyDescent="0.25">
      <c r="A942" s="28">
        <v>43</v>
      </c>
      <c r="B942" s="33"/>
      <c r="C942" s="39">
        <v>91</v>
      </c>
      <c r="D942" s="37"/>
    </row>
    <row r="943" spans="1:4" ht="18" x14ac:dyDescent="0.25">
      <c r="A943" s="28">
        <v>44</v>
      </c>
      <c r="B943" s="33"/>
      <c r="C943" s="39">
        <v>92</v>
      </c>
      <c r="D943" s="37"/>
    </row>
    <row r="944" spans="1:4" ht="18" x14ac:dyDescent="0.25">
      <c r="A944" s="28">
        <v>45</v>
      </c>
      <c r="B944" s="33"/>
      <c r="C944" s="39">
        <v>93</v>
      </c>
      <c r="D944" s="37"/>
    </row>
    <row r="945" spans="1:4" ht="18" x14ac:dyDescent="0.25">
      <c r="A945" s="28">
        <v>46</v>
      </c>
      <c r="B945" s="33"/>
      <c r="C945" s="39">
        <v>94</v>
      </c>
      <c r="D945" s="37"/>
    </row>
    <row r="946" spans="1:4" ht="18" x14ac:dyDescent="0.25">
      <c r="A946" s="28">
        <v>47</v>
      </c>
      <c r="B946" s="33"/>
      <c r="C946" s="39">
        <v>95</v>
      </c>
      <c r="D946" s="37"/>
    </row>
    <row r="947" spans="1:4" ht="18.75" thickBot="1" x14ac:dyDescent="0.3">
      <c r="A947" s="28">
        <v>48</v>
      </c>
      <c r="B947" s="33"/>
      <c r="C947" s="39">
        <v>96</v>
      </c>
      <c r="D947" s="37"/>
    </row>
    <row r="948" spans="1:4" ht="18.75" thickBot="1" x14ac:dyDescent="0.3">
      <c r="A948" s="45" t="s">
        <v>2</v>
      </c>
      <c r="B948" s="48">
        <f>SUM(B900:B947)</f>
        <v>0</v>
      </c>
      <c r="C948" s="52" t="s">
        <v>2</v>
      </c>
      <c r="D948" s="48">
        <f>SUM(D900:D947)</f>
        <v>0</v>
      </c>
    </row>
    <row r="949" spans="1:4" ht="18" x14ac:dyDescent="0.25">
      <c r="A949" s="46"/>
      <c r="B949" s="86" t="s">
        <v>3</v>
      </c>
      <c r="C949" s="87"/>
      <c r="D949" s="49">
        <f>COUNT(B900:B947)+COUNT(D900:D939)</f>
        <v>0</v>
      </c>
    </row>
    <row r="950" spans="1:4" ht="18.75" thickBot="1" x14ac:dyDescent="0.3">
      <c r="A950" s="47"/>
      <c r="B950" s="78" t="s">
        <v>4</v>
      </c>
      <c r="C950" s="79"/>
      <c r="D950" s="50">
        <f>+D948+B948</f>
        <v>0</v>
      </c>
    </row>
    <row r="952" spans="1:4" ht="23.25" customHeight="1" x14ac:dyDescent="0.25"/>
  </sheetData>
  <mergeCells count="94">
    <mergeCell ref="A332:D332"/>
    <mergeCell ref="A379:D379"/>
    <mergeCell ref="A426:D426"/>
    <mergeCell ref="A473:D473"/>
    <mergeCell ref="A520:D520"/>
    <mergeCell ref="B376:C376"/>
    <mergeCell ref="A518:D518"/>
    <mergeCell ref="A377:D377"/>
    <mergeCell ref="A424:D424"/>
    <mergeCell ref="A471:D471"/>
    <mergeCell ref="A378:D378"/>
    <mergeCell ref="B422:C422"/>
    <mergeCell ref="B423:C423"/>
    <mergeCell ref="A425:D425"/>
    <mergeCell ref="B469:C469"/>
    <mergeCell ref="B841:C841"/>
    <mergeCell ref="A751:D751"/>
    <mergeCell ref="A797:D797"/>
    <mergeCell ref="A843:D843"/>
    <mergeCell ref="B749:C749"/>
    <mergeCell ref="B750:C750"/>
    <mergeCell ref="A752:D752"/>
    <mergeCell ref="B795:C795"/>
    <mergeCell ref="B796:C796"/>
    <mergeCell ref="A798:D798"/>
    <mergeCell ref="A897:D897"/>
    <mergeCell ref="A898:D898"/>
    <mergeCell ref="B949:C949"/>
    <mergeCell ref="B950:C950"/>
    <mergeCell ref="B842:C842"/>
    <mergeCell ref="A844:D844"/>
    <mergeCell ref="B895:C895"/>
    <mergeCell ref="B896:C896"/>
    <mergeCell ref="A659:D659"/>
    <mergeCell ref="A705:D705"/>
    <mergeCell ref="A706:D706"/>
    <mergeCell ref="B657:C657"/>
    <mergeCell ref="B658:C658"/>
    <mergeCell ref="A660:D660"/>
    <mergeCell ref="B703:C703"/>
    <mergeCell ref="B704:C704"/>
    <mergeCell ref="B610:C610"/>
    <mergeCell ref="B611:C611"/>
    <mergeCell ref="A613:D613"/>
    <mergeCell ref="A565:D565"/>
    <mergeCell ref="A612:D612"/>
    <mergeCell ref="A567:D567"/>
    <mergeCell ref="B564:C564"/>
    <mergeCell ref="A566:D566"/>
    <mergeCell ref="B470:C470"/>
    <mergeCell ref="A472:D472"/>
    <mergeCell ref="B516:C516"/>
    <mergeCell ref="B517:C517"/>
    <mergeCell ref="A519:D519"/>
    <mergeCell ref="A143:D143"/>
    <mergeCell ref="B187:C187"/>
    <mergeCell ref="A190:D190"/>
    <mergeCell ref="B234:C234"/>
    <mergeCell ref="B94:C94"/>
    <mergeCell ref="A142:D142"/>
    <mergeCell ref="A189:D189"/>
    <mergeCell ref="A144:D144"/>
    <mergeCell ref="A191:D191"/>
    <mergeCell ref="B188:C188"/>
    <mergeCell ref="A1:D1"/>
    <mergeCell ref="A48:D48"/>
    <mergeCell ref="A95:D95"/>
    <mergeCell ref="B141:C141"/>
    <mergeCell ref="A2:D2"/>
    <mergeCell ref="B46:C46"/>
    <mergeCell ref="B47:C47"/>
    <mergeCell ref="A3:D3"/>
    <mergeCell ref="A50:D50"/>
    <mergeCell ref="A97:D97"/>
    <mergeCell ref="A49:D49"/>
    <mergeCell ref="B93:C93"/>
    <mergeCell ref="A96:D96"/>
    <mergeCell ref="B140:C140"/>
    <mergeCell ref="B235:C235"/>
    <mergeCell ref="A237:D237"/>
    <mergeCell ref="A238:D238"/>
    <mergeCell ref="A285:D285"/>
    <mergeCell ref="A614:D614"/>
    <mergeCell ref="A283:D283"/>
    <mergeCell ref="A330:D330"/>
    <mergeCell ref="B329:C329"/>
    <mergeCell ref="B281:C281"/>
    <mergeCell ref="B282:C282"/>
    <mergeCell ref="A284:D284"/>
    <mergeCell ref="B328:C328"/>
    <mergeCell ref="A331:D331"/>
    <mergeCell ref="A236:D236"/>
    <mergeCell ref="B563:C563"/>
    <mergeCell ref="B375:C375"/>
  </mergeCells>
  <printOptions horizontalCentered="1" verticalCentered="1"/>
  <pageMargins left="0" right="0" top="0" bottom="0" header="0.15748031496062992" footer="0.31496062992125984"/>
  <pageSetup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8"/>
  <sheetViews>
    <sheetView tabSelected="1" workbookViewId="0">
      <selection activeCell="E2" sqref="E2:G18"/>
    </sheetView>
  </sheetViews>
  <sheetFormatPr defaultRowHeight="15" x14ac:dyDescent="0.25"/>
  <cols>
    <col min="1" max="1" width="35.5703125" customWidth="1"/>
    <col min="2" max="2" width="14.42578125" hidden="1" customWidth="1"/>
    <col min="3" max="3" width="53.85546875" customWidth="1"/>
    <col min="4" max="4" width="11.85546875" bestFit="1" customWidth="1"/>
    <col min="5" max="5" width="12.28515625" style="54" bestFit="1" customWidth="1"/>
    <col min="6" max="6" width="36.5703125" bestFit="1" customWidth="1"/>
    <col min="7" max="7" width="17.7109375" bestFit="1" customWidth="1"/>
    <col min="8" max="8" width="14.28515625" bestFit="1" customWidth="1"/>
    <col min="9" max="9" width="12" bestFit="1" customWidth="1"/>
  </cols>
  <sheetData>
    <row r="1" spans="1:9" ht="30" customHeight="1" x14ac:dyDescent="0.25">
      <c r="A1" s="4" t="s">
        <v>12</v>
      </c>
      <c r="B1" s="55" t="s">
        <v>67</v>
      </c>
      <c r="C1" s="4" t="s">
        <v>13</v>
      </c>
      <c r="D1" s="4" t="s">
        <v>14</v>
      </c>
      <c r="E1" s="4" t="s">
        <v>15</v>
      </c>
      <c r="F1" s="4" t="s">
        <v>16</v>
      </c>
      <c r="G1" s="4" t="s">
        <v>17</v>
      </c>
      <c r="H1" s="4" t="s">
        <v>18</v>
      </c>
      <c r="I1" s="4" t="s">
        <v>19</v>
      </c>
    </row>
    <row r="2" spans="1:9" ht="24.95" customHeight="1" x14ac:dyDescent="0.25">
      <c r="A2" s="2" t="s">
        <v>35</v>
      </c>
      <c r="B2" s="2" t="s">
        <v>83</v>
      </c>
      <c r="C2" s="2" t="s">
        <v>77</v>
      </c>
      <c r="D2" s="2" t="s">
        <v>5</v>
      </c>
      <c r="E2" s="53"/>
      <c r="F2" s="2"/>
      <c r="G2" s="2"/>
      <c r="H2" s="2"/>
      <c r="I2" s="2"/>
    </row>
    <row r="3" spans="1:9" ht="24.95" customHeight="1" x14ac:dyDescent="0.25">
      <c r="A3" s="2" t="s">
        <v>93</v>
      </c>
      <c r="B3" s="2"/>
      <c r="C3" s="2" t="s">
        <v>92</v>
      </c>
      <c r="D3" s="2" t="s">
        <v>5</v>
      </c>
      <c r="E3" s="53"/>
      <c r="F3" s="2"/>
      <c r="G3" s="2"/>
      <c r="H3" s="2"/>
      <c r="I3" s="2"/>
    </row>
    <row r="4" spans="1:9" ht="24.95" customHeight="1" x14ac:dyDescent="0.25">
      <c r="A4" s="2" t="s">
        <v>33</v>
      </c>
      <c r="B4" s="2" t="s">
        <v>84</v>
      </c>
      <c r="C4" s="2" t="s">
        <v>34</v>
      </c>
      <c r="D4" s="2" t="s">
        <v>5</v>
      </c>
      <c r="E4" s="53"/>
      <c r="F4" s="2"/>
      <c r="G4" s="2"/>
      <c r="H4" s="2"/>
      <c r="I4" s="2"/>
    </row>
    <row r="5" spans="1:9" ht="24.95" customHeight="1" x14ac:dyDescent="0.25">
      <c r="A5" s="2" t="s">
        <v>20</v>
      </c>
      <c r="B5" s="2" t="s">
        <v>84</v>
      </c>
      <c r="C5" s="2" t="s">
        <v>21</v>
      </c>
      <c r="D5" s="2" t="s">
        <v>5</v>
      </c>
      <c r="E5" s="53"/>
      <c r="F5" s="2"/>
      <c r="G5" s="2"/>
      <c r="H5" s="2"/>
      <c r="I5" s="2"/>
    </row>
    <row r="6" spans="1:9" ht="24.95" customHeight="1" x14ac:dyDescent="0.25">
      <c r="A6" s="2" t="s">
        <v>75</v>
      </c>
      <c r="B6" s="2" t="s">
        <v>85</v>
      </c>
      <c r="C6" s="2" t="s">
        <v>78</v>
      </c>
      <c r="D6" s="2" t="s">
        <v>5</v>
      </c>
      <c r="E6" s="53"/>
      <c r="F6" s="2"/>
      <c r="G6" s="2"/>
      <c r="H6" s="2"/>
      <c r="I6" s="2"/>
    </row>
    <row r="7" spans="1:9" ht="24.95" customHeight="1" x14ac:dyDescent="0.25">
      <c r="A7" s="2" t="s">
        <v>76</v>
      </c>
      <c r="B7" s="2" t="s">
        <v>86</v>
      </c>
      <c r="C7" s="3" t="s">
        <v>79</v>
      </c>
      <c r="D7" s="2" t="s">
        <v>5</v>
      </c>
      <c r="E7" s="53"/>
      <c r="F7" s="2"/>
      <c r="G7" s="2"/>
      <c r="H7" s="2"/>
      <c r="I7" s="2"/>
    </row>
    <row r="8" spans="1:9" ht="24.95" customHeight="1" x14ac:dyDescent="0.25">
      <c r="A8" s="2" t="s">
        <v>22</v>
      </c>
      <c r="B8" s="2" t="s">
        <v>87</v>
      </c>
      <c r="C8" s="3" t="s">
        <v>23</v>
      </c>
      <c r="D8" s="2" t="s">
        <v>5</v>
      </c>
      <c r="E8" s="53"/>
      <c r="F8" s="2"/>
      <c r="G8" s="2"/>
      <c r="H8" s="2"/>
      <c r="I8" s="2"/>
    </row>
    <row r="9" spans="1:9" ht="24.95" customHeight="1" x14ac:dyDescent="0.25">
      <c r="A9" s="2" t="s">
        <v>69</v>
      </c>
      <c r="B9" s="2" t="s">
        <v>88</v>
      </c>
      <c r="C9" s="2" t="s">
        <v>70</v>
      </c>
      <c r="D9" s="2" t="s">
        <v>5</v>
      </c>
      <c r="E9" s="53"/>
      <c r="F9" s="2"/>
      <c r="G9" s="2"/>
      <c r="H9" s="2"/>
      <c r="I9" s="2"/>
    </row>
    <row r="10" spans="1:9" ht="24.95" customHeight="1" x14ac:dyDescent="0.25">
      <c r="A10" s="3" t="s">
        <v>104</v>
      </c>
      <c r="B10" s="3">
        <v>2.9000000000000001E-2</v>
      </c>
      <c r="C10" s="3" t="s">
        <v>24</v>
      </c>
      <c r="D10" s="3" t="s">
        <v>6</v>
      </c>
      <c r="E10" s="53"/>
      <c r="F10" s="5"/>
      <c r="G10" s="5"/>
      <c r="H10" s="5"/>
      <c r="I10" s="5"/>
    </row>
    <row r="11" spans="1:9" ht="24.95" customHeight="1" x14ac:dyDescent="0.25">
      <c r="A11" s="2" t="s">
        <v>105</v>
      </c>
      <c r="B11" s="2">
        <v>2.7E-2</v>
      </c>
      <c r="C11" s="2" t="s">
        <v>25</v>
      </c>
      <c r="D11" s="2" t="s">
        <v>6</v>
      </c>
      <c r="E11" s="53"/>
      <c r="F11" s="5"/>
      <c r="G11" s="5"/>
      <c r="H11" s="5"/>
      <c r="I11" s="5"/>
    </row>
    <row r="12" spans="1:9" ht="24.95" customHeight="1" x14ac:dyDescent="0.25">
      <c r="A12" s="3" t="s">
        <v>7</v>
      </c>
      <c r="B12" s="3" t="s">
        <v>89</v>
      </c>
      <c r="C12" s="3" t="s">
        <v>26</v>
      </c>
      <c r="D12" s="3" t="s">
        <v>6</v>
      </c>
      <c r="E12" s="53"/>
      <c r="F12" s="5"/>
      <c r="G12" s="5"/>
      <c r="H12" s="5"/>
      <c r="I12" s="5"/>
    </row>
    <row r="13" spans="1:9" ht="24.95" customHeight="1" x14ac:dyDescent="0.25">
      <c r="A13" s="2" t="s">
        <v>8</v>
      </c>
      <c r="B13" s="2">
        <v>3.3000000000000002E-2</v>
      </c>
      <c r="C13" s="2" t="s">
        <v>27</v>
      </c>
      <c r="D13" s="2" t="s">
        <v>6</v>
      </c>
      <c r="E13" s="53"/>
      <c r="F13" s="5"/>
      <c r="G13" s="5"/>
      <c r="H13" s="5"/>
      <c r="I13" s="5"/>
    </row>
    <row r="14" spans="1:9" ht="24.95" customHeight="1" x14ac:dyDescent="0.25">
      <c r="A14" s="3" t="s">
        <v>9</v>
      </c>
      <c r="B14" s="3">
        <v>4.1700000000000001E-2</v>
      </c>
      <c r="C14" s="3" t="s">
        <v>28</v>
      </c>
      <c r="D14" s="3" t="s">
        <v>6</v>
      </c>
      <c r="E14" s="53"/>
      <c r="F14" s="5"/>
      <c r="G14" s="5"/>
      <c r="H14" s="5"/>
      <c r="I14" s="5"/>
    </row>
    <row r="15" spans="1:9" ht="24.95" customHeight="1" x14ac:dyDescent="0.25">
      <c r="A15" s="2" t="s">
        <v>10</v>
      </c>
      <c r="B15" s="2">
        <v>3.7999999999999999E-2</v>
      </c>
      <c r="C15" s="2" t="s">
        <v>29</v>
      </c>
      <c r="D15" s="2" t="s">
        <v>6</v>
      </c>
      <c r="E15" s="53"/>
      <c r="F15" s="5"/>
      <c r="G15" s="5"/>
      <c r="H15" s="5"/>
      <c r="I15" s="5"/>
    </row>
    <row r="16" spans="1:9" ht="24.95" customHeight="1" x14ac:dyDescent="0.25">
      <c r="A16" s="2" t="s">
        <v>107</v>
      </c>
      <c r="B16" s="2">
        <v>3.7999999999999999E-2</v>
      </c>
      <c r="C16" s="2" t="s">
        <v>30</v>
      </c>
      <c r="D16" s="2" t="s">
        <v>6</v>
      </c>
      <c r="E16" s="53"/>
      <c r="F16" s="5"/>
      <c r="G16" s="5"/>
      <c r="H16" s="5"/>
      <c r="I16" s="5"/>
    </row>
    <row r="17" spans="1:9" ht="24.95" customHeight="1" x14ac:dyDescent="0.25">
      <c r="A17" s="2" t="s">
        <v>106</v>
      </c>
      <c r="B17" s="2">
        <v>3.7999999999999999E-2</v>
      </c>
      <c r="C17" s="2" t="s">
        <v>31</v>
      </c>
      <c r="D17" s="2" t="s">
        <v>6</v>
      </c>
      <c r="E17" s="53"/>
      <c r="F17" s="5"/>
      <c r="G17" s="5"/>
      <c r="H17" s="5"/>
      <c r="I17" s="5"/>
    </row>
    <row r="18" spans="1:9" ht="24.95" customHeight="1" x14ac:dyDescent="0.25">
      <c r="A18" s="3" t="s">
        <v>11</v>
      </c>
      <c r="B18" s="3">
        <v>2.9399999999999999E-2</v>
      </c>
      <c r="C18" s="3" t="s">
        <v>32</v>
      </c>
      <c r="D18" s="3" t="s">
        <v>6</v>
      </c>
      <c r="E18" s="53"/>
      <c r="F18" s="5"/>
      <c r="G18" s="5"/>
      <c r="H18" s="5"/>
      <c r="I18" s="5"/>
    </row>
  </sheetData>
  <conditionalFormatting sqref="A1:B1 A10:B18">
    <cfRule type="duplicateValues" dxfId="15" priority="12"/>
  </conditionalFormatting>
  <conditionalFormatting sqref="A5:B5">
    <cfRule type="duplicateValues" dxfId="14" priority="1"/>
  </conditionalFormatting>
  <conditionalFormatting sqref="A6:B9 E2:I3 F4:I9 A2:B4 E4:E18">
    <cfRule type="duplicateValues" dxfId="13" priority="14"/>
  </conditionalFormatting>
  <printOptions horizontalCentered="1" verticalCentered="1"/>
  <pageMargins left="0" right="0" top="0" bottom="0" header="0.31496062992125984" footer="0.31496062992125984"/>
  <pageSetup paperSize="9" scale="74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F30"/>
  <sheetViews>
    <sheetView zoomScaleNormal="100" workbookViewId="0">
      <selection activeCell="D3" sqref="D3"/>
    </sheetView>
  </sheetViews>
  <sheetFormatPr defaultColWidth="9.140625" defaultRowHeight="14.25" x14ac:dyDescent="0.25"/>
  <cols>
    <col min="1" max="1" width="18.7109375" style="1" customWidth="1"/>
    <col min="2" max="3" width="34" style="6" customWidth="1"/>
    <col min="4" max="4" width="26.28515625" style="1" customWidth="1"/>
    <col min="5" max="5" width="21" style="6" customWidth="1"/>
    <col min="6" max="6" width="13.5703125" style="1" customWidth="1"/>
    <col min="7" max="9" width="9.140625" style="1"/>
    <col min="10" max="10" width="21.5703125" style="1" bestFit="1" customWidth="1"/>
    <col min="11" max="16384" width="9.140625" style="1"/>
  </cols>
  <sheetData>
    <row r="1" spans="1:6" ht="28.9" customHeight="1" thickBot="1" x14ac:dyDescent="0.3">
      <c r="A1" s="88" t="s">
        <v>126</v>
      </c>
      <c r="B1" s="89"/>
      <c r="C1" s="89"/>
      <c r="D1" s="89"/>
      <c r="E1" s="89"/>
      <c r="F1" s="90"/>
    </row>
    <row r="2" spans="1:6" ht="25.15" customHeight="1" thickBot="1" x14ac:dyDescent="0.3">
      <c r="A2" s="22" t="s">
        <v>80</v>
      </c>
      <c r="B2" s="23" t="s">
        <v>81</v>
      </c>
      <c r="C2" s="23" t="s">
        <v>96</v>
      </c>
      <c r="D2" s="23" t="s">
        <v>68</v>
      </c>
      <c r="E2" s="23" t="s">
        <v>82</v>
      </c>
      <c r="F2" s="24" t="s">
        <v>1</v>
      </c>
    </row>
    <row r="3" spans="1:6" ht="25.15" customHeight="1" x14ac:dyDescent="0.25">
      <c r="A3" s="18">
        <v>1</v>
      </c>
      <c r="B3" s="19"/>
      <c r="C3" s="19"/>
      <c r="D3" s="19"/>
      <c r="E3" s="20">
        <f>+'BUNDLE STOCK '!D46</f>
        <v>0</v>
      </c>
      <c r="F3" s="21">
        <f>+'BUNDLE STOCK '!D47</f>
        <v>0</v>
      </c>
    </row>
    <row r="4" spans="1:6" ht="25.15" customHeight="1" x14ac:dyDescent="0.25">
      <c r="A4" s="17">
        <v>2</v>
      </c>
      <c r="B4" s="19"/>
      <c r="C4" s="19"/>
      <c r="D4" s="19"/>
      <c r="E4" s="16">
        <f>+'BUNDLE STOCK '!D93</f>
        <v>0</v>
      </c>
      <c r="F4" s="25">
        <f>+'BUNDLE STOCK '!D94</f>
        <v>0</v>
      </c>
    </row>
    <row r="5" spans="1:6" ht="25.15" customHeight="1" x14ac:dyDescent="0.25">
      <c r="A5" s="18">
        <v>3</v>
      </c>
      <c r="B5" s="19"/>
      <c r="C5" s="19"/>
      <c r="D5" s="19"/>
      <c r="E5" s="16">
        <f>+'BUNDLE STOCK '!D140</f>
        <v>0</v>
      </c>
      <c r="F5" s="25">
        <f>+'BUNDLE STOCK '!D141</f>
        <v>0</v>
      </c>
    </row>
    <row r="6" spans="1:6" ht="25.15" customHeight="1" x14ac:dyDescent="0.25">
      <c r="A6" s="17">
        <v>4</v>
      </c>
      <c r="B6" s="19"/>
      <c r="C6" s="19"/>
      <c r="D6" s="19"/>
      <c r="E6" s="16">
        <f>+'BUNDLE STOCK '!D187</f>
        <v>0</v>
      </c>
      <c r="F6" s="25">
        <f>+'BUNDLE STOCK '!D188</f>
        <v>0</v>
      </c>
    </row>
    <row r="7" spans="1:6" ht="25.15" customHeight="1" x14ac:dyDescent="0.25">
      <c r="A7" s="18">
        <v>5</v>
      </c>
      <c r="B7" s="19"/>
      <c r="C7" s="19"/>
      <c r="D7" s="19"/>
      <c r="E7" s="16">
        <f>+'BUNDLE STOCK '!D234</f>
        <v>0</v>
      </c>
      <c r="F7" s="25">
        <f>+'BUNDLE STOCK '!D235</f>
        <v>0</v>
      </c>
    </row>
    <row r="8" spans="1:6" ht="25.15" customHeight="1" x14ac:dyDescent="0.25">
      <c r="A8" s="17">
        <v>6</v>
      </c>
      <c r="B8" s="19"/>
      <c r="C8" s="19"/>
      <c r="D8" s="19"/>
      <c r="E8" s="16">
        <f>+'BUNDLE STOCK '!D281</f>
        <v>0</v>
      </c>
      <c r="F8" s="25">
        <f>+'BUNDLE STOCK '!D282</f>
        <v>0</v>
      </c>
    </row>
    <row r="9" spans="1:6" ht="25.15" customHeight="1" x14ac:dyDescent="0.25">
      <c r="A9" s="18">
        <v>7</v>
      </c>
      <c r="B9" s="19"/>
      <c r="C9" s="19"/>
      <c r="D9" s="19"/>
      <c r="E9" s="16">
        <f>+'BUNDLE STOCK '!D328</f>
        <v>0</v>
      </c>
      <c r="F9" s="25">
        <f>+'BUNDLE STOCK '!D329</f>
        <v>0</v>
      </c>
    </row>
    <row r="10" spans="1:6" ht="25.15" customHeight="1" x14ac:dyDescent="0.25">
      <c r="A10" s="17">
        <v>8</v>
      </c>
      <c r="B10" s="19"/>
      <c r="C10" s="19"/>
      <c r="D10" s="19"/>
      <c r="E10" s="16">
        <f>+'BUNDLE STOCK '!D375</f>
        <v>0</v>
      </c>
      <c r="F10" s="25">
        <f>+'BUNDLE STOCK '!D376</f>
        <v>0</v>
      </c>
    </row>
    <row r="11" spans="1:6" ht="25.15" customHeight="1" x14ac:dyDescent="0.25">
      <c r="A11" s="18">
        <v>9</v>
      </c>
      <c r="B11" s="19"/>
      <c r="C11" s="19"/>
      <c r="D11" s="19"/>
      <c r="E11" s="16">
        <f>+'BUNDLE STOCK '!D422</f>
        <v>0</v>
      </c>
      <c r="F11" s="25">
        <f>+'BUNDLE STOCK '!D423</f>
        <v>0</v>
      </c>
    </row>
    <row r="12" spans="1:6" ht="25.15" customHeight="1" x14ac:dyDescent="0.25">
      <c r="A12" s="17">
        <v>10</v>
      </c>
      <c r="B12" s="19"/>
      <c r="C12" s="19"/>
      <c r="D12" s="19"/>
      <c r="E12" s="16">
        <f>+'BUNDLE STOCK '!D469</f>
        <v>0</v>
      </c>
      <c r="F12" s="25">
        <f>+'BUNDLE STOCK '!D470</f>
        <v>0</v>
      </c>
    </row>
    <row r="13" spans="1:6" ht="25.15" customHeight="1" x14ac:dyDescent="0.25">
      <c r="A13" s="18">
        <v>11</v>
      </c>
      <c r="B13" s="19"/>
      <c r="C13" s="19"/>
      <c r="D13" s="19"/>
      <c r="E13" s="16">
        <f>+'BUNDLE STOCK '!D516</f>
        <v>0</v>
      </c>
      <c r="F13" s="25">
        <f>+'BUNDLE STOCK '!D517</f>
        <v>0</v>
      </c>
    </row>
    <row r="14" spans="1:6" ht="25.15" customHeight="1" x14ac:dyDescent="0.25">
      <c r="A14" s="17">
        <v>12</v>
      </c>
      <c r="B14" s="19"/>
      <c r="C14" s="19"/>
      <c r="D14" s="19"/>
      <c r="E14" s="16">
        <f>+'BUNDLE STOCK '!D563</f>
        <v>0</v>
      </c>
      <c r="F14" s="25">
        <f>+'BUNDLE STOCK '!D564</f>
        <v>0</v>
      </c>
    </row>
    <row r="15" spans="1:6" ht="25.15" customHeight="1" x14ac:dyDescent="0.25">
      <c r="A15" s="18">
        <v>13</v>
      </c>
      <c r="B15" s="19"/>
      <c r="C15" s="19"/>
      <c r="D15" s="19"/>
      <c r="E15" s="16">
        <f>+'BUNDLE STOCK '!D610</f>
        <v>0</v>
      </c>
      <c r="F15" s="25">
        <f>+'BUNDLE STOCK '!D611</f>
        <v>0</v>
      </c>
    </row>
    <row r="16" spans="1:6" ht="25.15" customHeight="1" x14ac:dyDescent="0.25">
      <c r="A16" s="17">
        <v>14</v>
      </c>
      <c r="B16" s="19"/>
      <c r="C16" s="19"/>
      <c r="D16" s="19"/>
      <c r="E16" s="16">
        <f>+'BUNDLE STOCK '!D657</f>
        <v>0</v>
      </c>
      <c r="F16" s="25">
        <f>+'BUNDLE STOCK '!D658</f>
        <v>0</v>
      </c>
    </row>
    <row r="17" spans="1:6" ht="25.15" customHeight="1" x14ac:dyDescent="0.25">
      <c r="A17" s="18">
        <v>15</v>
      </c>
      <c r="B17" s="19"/>
      <c r="C17" s="19"/>
      <c r="D17" s="19"/>
      <c r="E17" s="16">
        <f>+'BUNDLE STOCK '!D703</f>
        <v>0</v>
      </c>
      <c r="F17" s="25">
        <f>+'BUNDLE STOCK '!D704</f>
        <v>0</v>
      </c>
    </row>
    <row r="18" spans="1:6" ht="25.15" customHeight="1" x14ac:dyDescent="0.25">
      <c r="A18" s="17">
        <v>16</v>
      </c>
      <c r="B18" s="19"/>
      <c r="C18" s="19"/>
      <c r="D18" s="19"/>
      <c r="E18" s="16">
        <f>+'BUNDLE STOCK '!D749</f>
        <v>0</v>
      </c>
      <c r="F18" s="25">
        <f>+'BUNDLE STOCK '!D750</f>
        <v>0</v>
      </c>
    </row>
    <row r="19" spans="1:6" ht="25.15" customHeight="1" x14ac:dyDescent="0.25">
      <c r="A19" s="18">
        <v>17</v>
      </c>
      <c r="B19" s="19"/>
      <c r="C19" s="19"/>
      <c r="D19" s="19"/>
      <c r="E19" s="16">
        <f>+'BUNDLE STOCK '!D795</f>
        <v>0</v>
      </c>
      <c r="F19" s="25">
        <f>+'BUNDLE STOCK '!D796</f>
        <v>0</v>
      </c>
    </row>
    <row r="20" spans="1:6" ht="25.15" hidden="1" customHeight="1" x14ac:dyDescent="0.25">
      <c r="A20" s="17">
        <v>18</v>
      </c>
      <c r="B20" s="19"/>
      <c r="C20" s="19"/>
      <c r="D20" s="19"/>
      <c r="E20" s="16">
        <f>+'BUNDLE STOCK '!D841</f>
        <v>0</v>
      </c>
      <c r="F20" s="25">
        <f>+'BUNDLE STOCK '!D842</f>
        <v>0</v>
      </c>
    </row>
    <row r="21" spans="1:6" ht="25.15" hidden="1" customHeight="1" x14ac:dyDescent="0.25">
      <c r="A21" s="18">
        <v>19</v>
      </c>
      <c r="B21" s="72"/>
      <c r="C21" s="72"/>
      <c r="D21" s="72"/>
      <c r="E21" s="16">
        <f>+'BUNDLE STOCK '!D895</f>
        <v>0</v>
      </c>
      <c r="F21" s="73">
        <f>+'BUNDLE STOCK '!D896</f>
        <v>0</v>
      </c>
    </row>
    <row r="22" spans="1:6" ht="25.15" hidden="1" customHeight="1" x14ac:dyDescent="0.25">
      <c r="A22" s="17">
        <v>20</v>
      </c>
      <c r="B22" s="72"/>
      <c r="C22" s="72"/>
      <c r="D22" s="72"/>
      <c r="E22" s="16">
        <f>+'BUNDLE STOCK '!D949</f>
        <v>0</v>
      </c>
      <c r="F22" s="73">
        <f>+'BUNDLE STOCK '!D950</f>
        <v>0</v>
      </c>
    </row>
    <row r="23" spans="1:6" ht="25.15" customHeight="1" x14ac:dyDescent="0.25">
      <c r="A23" s="67"/>
      <c r="B23" s="68"/>
      <c r="C23" s="68"/>
      <c r="D23" s="69" t="s">
        <v>2</v>
      </c>
      <c r="E23" s="70">
        <f>SUBTOTAL(109,E3:E22)</f>
        <v>0</v>
      </c>
      <c r="F23" s="71">
        <f>SUBTOTAL(109,F3:F22)</f>
        <v>0</v>
      </c>
    </row>
    <row r="25" spans="1:6" x14ac:dyDescent="0.25">
      <c r="B25" s="1"/>
      <c r="C25" s="1"/>
      <c r="E25" s="1"/>
    </row>
    <row r="26" spans="1:6" x14ac:dyDescent="0.25">
      <c r="B26" s="1"/>
      <c r="C26" s="1"/>
      <c r="E26" s="1"/>
    </row>
    <row r="27" spans="1:6" x14ac:dyDescent="0.25">
      <c r="B27" s="1"/>
      <c r="C27" s="1"/>
      <c r="E27" s="1"/>
    </row>
    <row r="28" spans="1:6" x14ac:dyDescent="0.25">
      <c r="B28" s="1"/>
      <c r="C28" s="1"/>
      <c r="E28" s="1"/>
    </row>
    <row r="29" spans="1:6" x14ac:dyDescent="0.25">
      <c r="B29" s="1"/>
      <c r="C29" s="1"/>
      <c r="E29" s="1"/>
    </row>
    <row r="30" spans="1:6" x14ac:dyDescent="0.25">
      <c r="B30" s="1"/>
      <c r="C30" s="1"/>
      <c r="E30" s="1"/>
    </row>
  </sheetData>
  <mergeCells count="1">
    <mergeCell ref="A1:F1"/>
  </mergeCells>
  <pageMargins left="0" right="0" top="0" bottom="0" header="0.15748031496062992" footer="0.31496062992125984"/>
  <pageSetup scale="92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44"/>
  <sheetViews>
    <sheetView workbookViewId="0">
      <selection activeCell="J14" sqref="J14"/>
    </sheetView>
  </sheetViews>
  <sheetFormatPr defaultRowHeight="15" x14ac:dyDescent="0.25"/>
  <cols>
    <col min="1" max="1" width="2.7109375" customWidth="1"/>
    <col min="2" max="2" width="16.7109375" bestFit="1" customWidth="1"/>
    <col min="3" max="3" width="21.7109375" bestFit="1" customWidth="1"/>
    <col min="4" max="4" width="16.7109375" bestFit="1" customWidth="1"/>
    <col min="5" max="5" width="21.7109375" bestFit="1" customWidth="1"/>
    <col min="6" max="6" width="16.7109375" customWidth="1"/>
    <col min="7" max="7" width="16.42578125" customWidth="1"/>
  </cols>
  <sheetData>
    <row r="1" spans="2:7" ht="19.5" thickBot="1" x14ac:dyDescent="0.35">
      <c r="B1" s="91"/>
      <c r="C1" s="91"/>
      <c r="D1" s="91"/>
      <c r="E1" s="91"/>
      <c r="F1" s="91"/>
      <c r="G1" s="92"/>
    </row>
    <row r="2" spans="2:7" ht="15.75" thickBot="1" x14ac:dyDescent="0.3">
      <c r="B2" s="61" t="s">
        <v>76</v>
      </c>
      <c r="C2" s="61" t="s">
        <v>111</v>
      </c>
      <c r="D2" s="61" t="s">
        <v>108</v>
      </c>
      <c r="E2" s="61" t="s">
        <v>109</v>
      </c>
      <c r="F2" s="61" t="s">
        <v>110</v>
      </c>
      <c r="G2" s="62" t="s">
        <v>112</v>
      </c>
    </row>
    <row r="3" spans="2:7" x14ac:dyDescent="0.25">
      <c r="B3" s="63"/>
      <c r="C3" s="63"/>
      <c r="D3" s="63"/>
      <c r="E3" s="63"/>
      <c r="F3" s="63"/>
      <c r="G3" s="64"/>
    </row>
    <row r="4" spans="2:7" x14ac:dyDescent="0.25">
      <c r="B4" s="10"/>
      <c r="C4" s="10"/>
      <c r="D4" s="10"/>
      <c r="E4" s="10"/>
      <c r="F4" s="10"/>
      <c r="G4" s="58"/>
    </row>
    <row r="5" spans="2:7" x14ac:dyDescent="0.25">
      <c r="B5" s="10"/>
      <c r="C5" s="10"/>
      <c r="D5" s="10"/>
      <c r="E5" s="10"/>
      <c r="F5" s="10"/>
      <c r="G5" s="58"/>
    </row>
    <row r="6" spans="2:7" x14ac:dyDescent="0.25">
      <c r="B6" s="10"/>
      <c r="C6" s="10"/>
      <c r="D6" s="10"/>
      <c r="E6" s="10"/>
      <c r="F6" s="10"/>
      <c r="G6" s="58"/>
    </row>
    <row r="7" spans="2:7" x14ac:dyDescent="0.25">
      <c r="B7" s="10"/>
      <c r="C7" s="10"/>
      <c r="D7" s="10"/>
      <c r="E7" s="10"/>
      <c r="F7" s="10"/>
      <c r="G7" s="58"/>
    </row>
    <row r="8" spans="2:7" x14ac:dyDescent="0.25">
      <c r="B8" s="10"/>
      <c r="C8" s="10"/>
      <c r="D8" s="10"/>
      <c r="E8" s="10"/>
      <c r="F8" s="10"/>
      <c r="G8" s="58"/>
    </row>
    <row r="9" spans="2:7" x14ac:dyDescent="0.25">
      <c r="B9" s="10"/>
      <c r="C9" s="10"/>
      <c r="D9" s="10"/>
      <c r="E9" s="10"/>
      <c r="F9" s="10"/>
      <c r="G9" s="58"/>
    </row>
    <row r="10" spans="2:7" x14ac:dyDescent="0.25">
      <c r="B10" s="10"/>
      <c r="C10" s="10"/>
      <c r="D10" s="10"/>
      <c r="E10" s="10"/>
      <c r="F10" s="10"/>
      <c r="G10" s="58"/>
    </row>
    <row r="11" spans="2:7" x14ac:dyDescent="0.25">
      <c r="B11" s="10"/>
      <c r="C11" s="10"/>
      <c r="D11" s="10"/>
      <c r="E11" s="10"/>
      <c r="F11" s="10"/>
      <c r="G11" s="58"/>
    </row>
    <row r="12" spans="2:7" x14ac:dyDescent="0.25">
      <c r="B12" s="10"/>
      <c r="C12" s="10"/>
      <c r="D12" s="10"/>
      <c r="E12" s="10"/>
      <c r="F12" s="10"/>
      <c r="G12" s="58"/>
    </row>
    <row r="13" spans="2:7" x14ac:dyDescent="0.25">
      <c r="B13" s="10"/>
      <c r="C13" s="10"/>
      <c r="D13" s="10"/>
      <c r="E13" s="10"/>
      <c r="F13" s="10"/>
      <c r="G13" s="58"/>
    </row>
    <row r="14" spans="2:7" x14ac:dyDescent="0.25">
      <c r="B14" s="10"/>
      <c r="C14" s="10"/>
      <c r="D14" s="10"/>
      <c r="E14" s="10"/>
      <c r="F14" s="10"/>
      <c r="G14" s="58"/>
    </row>
    <row r="15" spans="2:7" x14ac:dyDescent="0.25">
      <c r="B15" s="10"/>
      <c r="C15" s="10"/>
      <c r="D15" s="10"/>
      <c r="E15" s="10"/>
      <c r="F15" s="10"/>
      <c r="G15" s="58"/>
    </row>
    <row r="16" spans="2:7" x14ac:dyDescent="0.25">
      <c r="B16" s="10"/>
      <c r="C16" s="10"/>
      <c r="D16" s="10"/>
      <c r="E16" s="10"/>
      <c r="F16" s="10"/>
      <c r="G16" s="58"/>
    </row>
    <row r="17" spans="2:7" x14ac:dyDescent="0.25">
      <c r="B17" s="10"/>
      <c r="C17" s="10"/>
      <c r="D17" s="9"/>
      <c r="E17" s="9"/>
      <c r="F17" s="9"/>
      <c r="G17" s="58"/>
    </row>
    <row r="18" spans="2:7" x14ac:dyDescent="0.25">
      <c r="B18" s="10"/>
      <c r="C18" s="10"/>
      <c r="D18" s="10"/>
      <c r="E18" s="10"/>
      <c r="F18" s="10"/>
      <c r="G18" s="58"/>
    </row>
    <row r="19" spans="2:7" x14ac:dyDescent="0.25">
      <c r="B19" s="10"/>
      <c r="C19" s="10"/>
      <c r="D19" s="10"/>
      <c r="E19" s="10"/>
      <c r="F19" s="10"/>
      <c r="G19" s="58"/>
    </row>
    <row r="20" spans="2:7" x14ac:dyDescent="0.25">
      <c r="B20" s="10"/>
      <c r="C20" s="10"/>
      <c r="D20" s="10"/>
      <c r="E20" s="10"/>
      <c r="F20" s="10"/>
      <c r="G20" s="58"/>
    </row>
    <row r="21" spans="2:7" x14ac:dyDescent="0.25">
      <c r="B21" s="10"/>
      <c r="C21" s="10"/>
      <c r="D21" s="10"/>
      <c r="E21" s="10"/>
      <c r="F21" s="10"/>
      <c r="G21" s="58"/>
    </row>
    <row r="22" spans="2:7" x14ac:dyDescent="0.25">
      <c r="B22" s="10"/>
      <c r="C22" s="10"/>
      <c r="D22" s="10"/>
      <c r="E22" s="10"/>
      <c r="F22" s="10"/>
      <c r="G22" s="58"/>
    </row>
    <row r="23" spans="2:7" x14ac:dyDescent="0.25">
      <c r="B23" s="10"/>
      <c r="C23" s="10"/>
      <c r="D23" s="10"/>
      <c r="E23" s="10"/>
      <c r="F23" s="10"/>
      <c r="G23" s="58"/>
    </row>
    <row r="24" spans="2:7" x14ac:dyDescent="0.25">
      <c r="B24" s="10"/>
      <c r="C24" s="10"/>
      <c r="D24" s="10"/>
      <c r="E24" s="10"/>
      <c r="F24" s="10"/>
      <c r="G24" s="58"/>
    </row>
    <row r="25" spans="2:7" x14ac:dyDescent="0.25">
      <c r="B25" s="10"/>
      <c r="C25" s="10"/>
      <c r="D25" s="10"/>
      <c r="E25" s="10"/>
      <c r="F25" s="10"/>
      <c r="G25" s="58"/>
    </row>
    <row r="26" spans="2:7" x14ac:dyDescent="0.25">
      <c r="B26" s="10"/>
      <c r="C26" s="10"/>
      <c r="D26" s="10"/>
      <c r="E26" s="10"/>
      <c r="F26" s="10"/>
      <c r="G26" s="58"/>
    </row>
    <row r="27" spans="2:7" x14ac:dyDescent="0.25">
      <c r="B27" s="10"/>
      <c r="C27" s="10"/>
      <c r="D27" s="10"/>
      <c r="E27" s="10"/>
      <c r="F27" s="10"/>
      <c r="G27" s="57"/>
    </row>
    <row r="28" spans="2:7" x14ac:dyDescent="0.25">
      <c r="B28" s="10"/>
      <c r="C28" s="10"/>
      <c r="D28" s="10"/>
      <c r="E28" s="10"/>
      <c r="F28" s="10"/>
      <c r="G28" s="58"/>
    </row>
    <row r="29" spans="2:7" x14ac:dyDescent="0.25">
      <c r="B29" s="10"/>
      <c r="C29" s="10"/>
      <c r="D29" s="10"/>
      <c r="E29" s="10"/>
      <c r="F29" s="10"/>
      <c r="G29" s="58"/>
    </row>
    <row r="30" spans="2:7" x14ac:dyDescent="0.25">
      <c r="B30" s="10"/>
      <c r="C30" s="10"/>
      <c r="D30" s="10"/>
      <c r="E30" s="10"/>
      <c r="F30" s="10"/>
      <c r="G30" s="58"/>
    </row>
    <row r="31" spans="2:7" x14ac:dyDescent="0.25">
      <c r="B31" s="10"/>
      <c r="C31" s="10"/>
      <c r="D31" s="10"/>
      <c r="E31" s="10"/>
      <c r="F31" s="10"/>
      <c r="G31" s="58"/>
    </row>
    <row r="32" spans="2:7" x14ac:dyDescent="0.25">
      <c r="B32" s="10"/>
      <c r="C32" s="10"/>
      <c r="D32" s="10"/>
      <c r="E32" s="10"/>
      <c r="F32" s="10"/>
      <c r="G32" s="58"/>
    </row>
    <row r="33" spans="2:7" x14ac:dyDescent="0.25">
      <c r="B33" s="10"/>
      <c r="C33" s="10"/>
      <c r="D33" s="10"/>
      <c r="E33" s="10"/>
      <c r="F33" s="10"/>
      <c r="G33" s="58"/>
    </row>
    <row r="34" spans="2:7" x14ac:dyDescent="0.25">
      <c r="B34" s="9"/>
      <c r="C34" s="9"/>
      <c r="D34" s="10"/>
      <c r="E34" s="10"/>
      <c r="F34" s="10"/>
      <c r="G34" s="58"/>
    </row>
    <row r="35" spans="2:7" x14ac:dyDescent="0.25">
      <c r="B35" s="10"/>
      <c r="C35" s="10"/>
      <c r="D35" s="10"/>
      <c r="E35" s="10"/>
      <c r="F35" s="10"/>
      <c r="G35" s="58"/>
    </row>
    <row r="36" spans="2:7" x14ac:dyDescent="0.25">
      <c r="B36" s="10"/>
      <c r="C36" s="10"/>
      <c r="D36" s="10"/>
      <c r="E36" s="10"/>
      <c r="F36" s="10"/>
      <c r="G36" s="58"/>
    </row>
    <row r="37" spans="2:7" x14ac:dyDescent="0.25">
      <c r="B37" s="10"/>
      <c r="C37" s="10"/>
      <c r="D37" s="10"/>
      <c r="E37" s="10"/>
      <c r="F37" s="10"/>
      <c r="G37" s="58"/>
    </row>
    <row r="38" spans="2:7" x14ac:dyDescent="0.25">
      <c r="B38" s="10"/>
      <c r="C38" s="10"/>
      <c r="D38" s="10"/>
      <c r="E38" s="10"/>
      <c r="F38" s="10"/>
      <c r="G38" s="58"/>
    </row>
    <row r="39" spans="2:7" x14ac:dyDescent="0.25">
      <c r="B39" s="10"/>
      <c r="C39" s="10"/>
      <c r="D39" s="10"/>
      <c r="E39" s="10"/>
      <c r="F39" s="10"/>
      <c r="G39" s="58"/>
    </row>
    <row r="40" spans="2:7" x14ac:dyDescent="0.25">
      <c r="B40" s="10"/>
      <c r="C40" s="10"/>
      <c r="D40" s="10"/>
      <c r="E40" s="10"/>
      <c r="F40" s="10"/>
      <c r="G40" s="58"/>
    </row>
    <row r="41" spans="2:7" x14ac:dyDescent="0.25">
      <c r="B41" s="10"/>
      <c r="C41" s="10"/>
      <c r="D41" s="10"/>
      <c r="E41" s="10"/>
      <c r="F41" s="10"/>
      <c r="G41" s="58"/>
    </row>
    <row r="42" spans="2:7" x14ac:dyDescent="0.25">
      <c r="B42" s="10"/>
      <c r="C42" s="10"/>
      <c r="D42" s="10"/>
      <c r="E42" s="10"/>
      <c r="F42" s="10"/>
      <c r="G42" s="58"/>
    </row>
    <row r="43" spans="2:7" ht="15.75" thickBot="1" x14ac:dyDescent="0.3">
      <c r="B43" s="59"/>
      <c r="C43" s="59"/>
      <c r="D43" s="59"/>
      <c r="E43" s="59"/>
      <c r="F43" s="59"/>
      <c r="G43" s="60"/>
    </row>
    <row r="44" spans="2:7" ht="15.75" thickBot="1" x14ac:dyDescent="0.3">
      <c r="B44" s="61">
        <f t="shared" ref="B44" si="0">SUM(B3:B43)</f>
        <v>0</v>
      </c>
      <c r="C44" s="61"/>
      <c r="D44" s="61">
        <f t="shared" ref="D44:G44" si="1">SUM(D3:D43)</f>
        <v>0</v>
      </c>
      <c r="E44" s="61"/>
      <c r="F44" s="61"/>
      <c r="G44" s="62">
        <f t="shared" si="1"/>
        <v>0</v>
      </c>
    </row>
  </sheetData>
  <mergeCells count="1">
    <mergeCell ref="B1:G1"/>
  </mergeCells>
  <pageMargins left="0.16" right="0.22" top="0.38" bottom="0.4" header="0.3" footer="0.3"/>
  <pageSetup paperSize="9" scale="83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activeCell="B2" sqref="B2:B6"/>
    </sheetView>
  </sheetViews>
  <sheetFormatPr defaultRowHeight="15" x14ac:dyDescent="0.25"/>
  <cols>
    <col min="1" max="1" width="24.140625" customWidth="1"/>
    <col min="2" max="3" width="13" customWidth="1"/>
  </cols>
  <sheetData>
    <row r="1" spans="1:3" ht="31.5" x14ac:dyDescent="0.25">
      <c r="A1" s="76" t="s">
        <v>12</v>
      </c>
      <c r="B1" s="76" t="s">
        <v>67</v>
      </c>
      <c r="C1" s="76" t="s">
        <v>4</v>
      </c>
    </row>
    <row r="2" spans="1:3" ht="25.15" customHeight="1" x14ac:dyDescent="0.25">
      <c r="A2" s="77" t="s">
        <v>76</v>
      </c>
      <c r="B2" s="74"/>
      <c r="C2" s="74"/>
    </row>
    <row r="3" spans="1:3" ht="25.15" customHeight="1" x14ac:dyDescent="0.25">
      <c r="A3" s="77" t="s">
        <v>111</v>
      </c>
      <c r="B3" s="74"/>
      <c r="C3" s="74"/>
    </row>
    <row r="4" spans="1:3" ht="25.15" customHeight="1" x14ac:dyDescent="0.25">
      <c r="A4" s="77" t="s">
        <v>108</v>
      </c>
      <c r="B4" s="74"/>
      <c r="C4" s="74"/>
    </row>
    <row r="5" spans="1:3" ht="25.15" customHeight="1" x14ac:dyDescent="0.25">
      <c r="A5" s="77" t="s">
        <v>109</v>
      </c>
      <c r="B5" s="74"/>
      <c r="C5" s="74"/>
    </row>
    <row r="6" spans="1:3" ht="25.15" customHeight="1" x14ac:dyDescent="0.25">
      <c r="A6" s="77" t="s">
        <v>110</v>
      </c>
      <c r="B6" s="74"/>
      <c r="C6" s="74"/>
    </row>
    <row r="7" spans="1:3" ht="25.15" customHeight="1" x14ac:dyDescent="0.25">
      <c r="A7" s="77" t="s">
        <v>112</v>
      </c>
      <c r="B7" s="74"/>
      <c r="C7" s="74"/>
    </row>
    <row r="8" spans="1:3" ht="25.15" customHeight="1" x14ac:dyDescent="0.25">
      <c r="A8" s="75"/>
      <c r="B8" s="74"/>
      <c r="C8" s="74"/>
    </row>
  </sheetData>
  <conditionalFormatting sqref="A1">
    <cfRule type="duplicateValues" dxfId="3" priority="4"/>
  </conditionalFormatting>
  <conditionalFormatting sqref="A4">
    <cfRule type="duplicateValues" dxfId="2" priority="3"/>
  </conditionalFormatting>
  <conditionalFormatting sqref="A2:A3 A5:A8">
    <cfRule type="duplicateValues" dxfId="1" priority="5"/>
  </conditionalFormatting>
  <conditionalFormatting sqref="B1:C1">
    <cfRule type="duplicateValues" dxfId="0" priority="19"/>
  </conditionalFormatting>
  <pageMargins left="0.7" right="0.7" top="0.75" bottom="0.75" header="0.3" footer="0.3"/>
  <pageSetup paperSize="256" orientation="portrait" horizontalDpi="203" verticalDpi="20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34"/>
  <sheetViews>
    <sheetView zoomScaleNormal="100" workbookViewId="0">
      <selection activeCell="C16" sqref="C16"/>
    </sheetView>
  </sheetViews>
  <sheetFormatPr defaultRowHeight="15" x14ac:dyDescent="0.25"/>
  <cols>
    <col min="1" max="3" width="20.7109375" customWidth="1"/>
    <col min="4" max="4" width="20.7109375" style="13" customWidth="1"/>
    <col min="5" max="8" width="20.7109375" style="7" customWidth="1"/>
    <col min="9" max="9" width="9.7109375" customWidth="1"/>
  </cols>
  <sheetData>
    <row r="1" spans="1:12" ht="24.95" customHeight="1" x14ac:dyDescent="0.25">
      <c r="A1" s="96" t="s">
        <v>36</v>
      </c>
      <c r="B1" s="97"/>
      <c r="C1" s="98"/>
      <c r="D1" s="7"/>
      <c r="E1" s="96" t="s">
        <v>37</v>
      </c>
      <c r="F1" s="97"/>
      <c r="G1" s="97"/>
      <c r="H1" s="98"/>
    </row>
    <row r="2" spans="1:12" ht="38.450000000000003" customHeight="1" x14ac:dyDescent="0.25">
      <c r="A2" s="99" t="s">
        <v>38</v>
      </c>
      <c r="B2" s="100"/>
      <c r="C2" s="8" t="s">
        <v>39</v>
      </c>
      <c r="D2" s="7"/>
      <c r="E2" s="99" t="s">
        <v>38</v>
      </c>
      <c r="F2" s="100"/>
      <c r="G2" s="99" t="s">
        <v>40</v>
      </c>
      <c r="H2" s="100"/>
      <c r="I2" s="14" t="s">
        <v>71</v>
      </c>
      <c r="J2" s="14" t="s">
        <v>72</v>
      </c>
      <c r="K2" s="14" t="s">
        <v>73</v>
      </c>
      <c r="L2" s="14" t="s">
        <v>74</v>
      </c>
    </row>
    <row r="3" spans="1:12" ht="24.95" customHeight="1" x14ac:dyDescent="0.25">
      <c r="A3" s="93" t="s">
        <v>41</v>
      </c>
      <c r="B3" s="9" t="s">
        <v>42</v>
      </c>
      <c r="C3" s="9" t="s">
        <v>43</v>
      </c>
      <c r="D3" s="7"/>
      <c r="E3" s="93" t="s">
        <v>44</v>
      </c>
      <c r="F3" s="9" t="s">
        <v>45</v>
      </c>
      <c r="G3" s="9" t="s">
        <v>46</v>
      </c>
      <c r="H3" s="10" t="s">
        <v>47</v>
      </c>
      <c r="I3" s="10">
        <f>0.023+0.003</f>
        <v>2.5999999999999999E-2</v>
      </c>
      <c r="J3" s="10"/>
      <c r="K3" s="15">
        <f>+J3/I3</f>
        <v>0</v>
      </c>
      <c r="L3" s="10">
        <v>110</v>
      </c>
    </row>
    <row r="4" spans="1:12" ht="24.95" customHeight="1" x14ac:dyDescent="0.25">
      <c r="A4" s="94"/>
      <c r="B4" s="9" t="s">
        <v>48</v>
      </c>
      <c r="C4" s="9" t="s">
        <v>49</v>
      </c>
      <c r="D4" s="7"/>
      <c r="E4" s="94"/>
      <c r="F4" s="9" t="s">
        <v>50</v>
      </c>
      <c r="G4" s="9" t="s">
        <v>51</v>
      </c>
      <c r="H4" s="10" t="s">
        <v>47</v>
      </c>
      <c r="I4" s="10">
        <f>0.025+0.003</f>
        <v>2.8000000000000001E-2</v>
      </c>
      <c r="J4" s="10"/>
      <c r="K4" s="15">
        <f t="shared" ref="K4:K8" si="0">+J4/I4</f>
        <v>0</v>
      </c>
      <c r="L4" s="10">
        <v>140</v>
      </c>
    </row>
    <row r="5" spans="1:12" ht="24.95" customHeight="1" x14ac:dyDescent="0.25">
      <c r="A5" s="95"/>
      <c r="B5" s="9" t="s">
        <v>52</v>
      </c>
      <c r="C5" s="9" t="s">
        <v>53</v>
      </c>
      <c r="D5" s="7"/>
      <c r="E5" s="95"/>
      <c r="F5" s="9" t="s">
        <v>54</v>
      </c>
      <c r="G5" s="9" t="s">
        <v>55</v>
      </c>
      <c r="H5" s="10" t="s">
        <v>56</v>
      </c>
      <c r="I5" s="10">
        <f>0.028+0.005</f>
        <v>3.3000000000000002E-2</v>
      </c>
      <c r="J5" s="10"/>
      <c r="K5" s="15">
        <f t="shared" si="0"/>
        <v>0</v>
      </c>
      <c r="L5" s="10"/>
    </row>
    <row r="6" spans="1:12" ht="24.95" customHeight="1" x14ac:dyDescent="0.25">
      <c r="A6" s="93" t="s">
        <v>57</v>
      </c>
      <c r="B6" s="9" t="s">
        <v>42</v>
      </c>
      <c r="C6" s="9" t="s">
        <v>58</v>
      </c>
      <c r="D6" s="7"/>
      <c r="E6" s="93" t="s">
        <v>59</v>
      </c>
      <c r="F6" s="9" t="s">
        <v>60</v>
      </c>
      <c r="G6" s="9" t="s">
        <v>61</v>
      </c>
      <c r="H6" s="10" t="s">
        <v>47</v>
      </c>
      <c r="I6" s="10">
        <f>0.021+0.003</f>
        <v>2.4E-2</v>
      </c>
      <c r="J6" s="10"/>
      <c r="K6" s="15">
        <f t="shared" si="0"/>
        <v>0</v>
      </c>
      <c r="L6" s="10"/>
    </row>
    <row r="7" spans="1:12" ht="24.95" customHeight="1" x14ac:dyDescent="0.25">
      <c r="A7" s="94"/>
      <c r="B7" s="9" t="s">
        <v>48</v>
      </c>
      <c r="C7" s="9" t="s">
        <v>62</v>
      </c>
      <c r="D7" s="7"/>
      <c r="E7" s="94"/>
      <c r="F7" s="9" t="s">
        <v>54</v>
      </c>
      <c r="G7" s="9" t="s">
        <v>63</v>
      </c>
      <c r="H7" s="10" t="s">
        <v>56</v>
      </c>
      <c r="I7" s="10">
        <f>0.026+0.005</f>
        <v>3.1E-2</v>
      </c>
      <c r="J7" s="10"/>
      <c r="K7" s="15">
        <f t="shared" si="0"/>
        <v>0</v>
      </c>
      <c r="L7" s="10">
        <v>160</v>
      </c>
    </row>
    <row r="8" spans="1:12" ht="24.95" customHeight="1" x14ac:dyDescent="0.25">
      <c r="A8" s="94"/>
      <c r="B8" s="9" t="s">
        <v>52</v>
      </c>
      <c r="C8" s="9" t="s">
        <v>64</v>
      </c>
      <c r="D8" s="7"/>
      <c r="E8" s="95"/>
      <c r="F8" s="9" t="s">
        <v>65</v>
      </c>
      <c r="G8" s="9" t="s">
        <v>55</v>
      </c>
      <c r="H8" s="10" t="s">
        <v>56</v>
      </c>
      <c r="I8" s="10">
        <f>0.028+0.005</f>
        <v>3.3000000000000002E-2</v>
      </c>
      <c r="J8" s="10"/>
      <c r="K8" s="15">
        <f t="shared" si="0"/>
        <v>0</v>
      </c>
      <c r="L8" s="10">
        <v>200</v>
      </c>
    </row>
    <row r="9" spans="1:12" ht="24.95" customHeight="1" x14ac:dyDescent="0.25">
      <c r="A9" s="95"/>
      <c r="B9" s="9" t="s">
        <v>54</v>
      </c>
      <c r="C9" s="9" t="s">
        <v>64</v>
      </c>
      <c r="D9" s="7"/>
    </row>
    <row r="10" spans="1:12" x14ac:dyDescent="0.25">
      <c r="D10" s="7"/>
    </row>
    <row r="11" spans="1:12" x14ac:dyDescent="0.25">
      <c r="D11" s="7"/>
    </row>
    <row r="12" spans="1:12" x14ac:dyDescent="0.25">
      <c r="D12" s="7"/>
      <c r="F12" s="65"/>
      <c r="G12" s="65"/>
      <c r="H12" s="66"/>
    </row>
    <row r="13" spans="1:12" x14ac:dyDescent="0.25">
      <c r="D13" s="7"/>
      <c r="F13" s="65"/>
      <c r="G13" s="65">
        <f>298+150</f>
        <v>448</v>
      </c>
      <c r="H13" s="66"/>
    </row>
    <row r="14" spans="1:12" x14ac:dyDescent="0.25">
      <c r="D14" s="11"/>
      <c r="F14" s="65"/>
      <c r="G14" s="65"/>
      <c r="H14" s="66"/>
    </row>
    <row r="15" spans="1:12" x14ac:dyDescent="0.25">
      <c r="D15" s="7"/>
      <c r="F15" s="65"/>
      <c r="G15" s="65"/>
      <c r="H15" s="66"/>
    </row>
    <row r="16" spans="1:12" x14ac:dyDescent="0.25">
      <c r="D16" s="7"/>
      <c r="F16" s="65"/>
      <c r="G16" s="65"/>
      <c r="H16" s="66"/>
    </row>
    <row r="17" spans="4:8" x14ac:dyDescent="0.25">
      <c r="D17" s="7"/>
      <c r="F17" s="65"/>
      <c r="G17" s="65"/>
      <c r="H17" s="66"/>
    </row>
    <row r="18" spans="4:8" x14ac:dyDescent="0.25">
      <c r="D18" s="7"/>
      <c r="F18" s="65"/>
      <c r="G18" s="65"/>
      <c r="H18" s="66"/>
    </row>
    <row r="19" spans="4:8" x14ac:dyDescent="0.25">
      <c r="D19" s="7"/>
      <c r="F19" s="65"/>
      <c r="G19" s="65"/>
      <c r="H19" s="66"/>
    </row>
    <row r="20" spans="4:8" x14ac:dyDescent="0.25">
      <c r="D20" s="7"/>
      <c r="F20" s="65"/>
      <c r="G20" s="65"/>
      <c r="H20" s="66"/>
    </row>
    <row r="21" spans="4:8" x14ac:dyDescent="0.25">
      <c r="D21" s="7"/>
      <c r="F21" s="65"/>
      <c r="G21" s="65"/>
      <c r="H21" s="66"/>
    </row>
    <row r="22" spans="4:8" x14ac:dyDescent="0.25">
      <c r="D22" s="7"/>
      <c r="F22" s="65"/>
      <c r="G22" s="65"/>
      <c r="H22" s="66"/>
    </row>
    <row r="23" spans="4:8" x14ac:dyDescent="0.25">
      <c r="D23" s="7"/>
      <c r="F23" s="65"/>
      <c r="G23" s="65"/>
      <c r="H23" s="66"/>
    </row>
    <row r="24" spans="4:8" x14ac:dyDescent="0.25">
      <c r="D24" s="7"/>
      <c r="F24" s="65"/>
      <c r="G24" s="65"/>
    </row>
    <row r="25" spans="4:8" x14ac:dyDescent="0.25">
      <c r="D25" s="7"/>
      <c r="F25" s="65"/>
      <c r="G25" s="65"/>
    </row>
    <row r="26" spans="4:8" x14ac:dyDescent="0.25">
      <c r="D26" s="7"/>
      <c r="F26" s="65"/>
      <c r="G26" s="65"/>
    </row>
    <row r="27" spans="4:8" x14ac:dyDescent="0.25">
      <c r="D27" s="7"/>
      <c r="F27" s="65"/>
      <c r="G27" s="65"/>
    </row>
    <row r="28" spans="4:8" x14ac:dyDescent="0.25">
      <c r="D28" s="7"/>
      <c r="F28" s="65"/>
      <c r="G28" s="65"/>
    </row>
    <row r="29" spans="4:8" x14ac:dyDescent="0.25">
      <c r="D29" s="7"/>
    </row>
    <row r="30" spans="4:8" x14ac:dyDescent="0.25">
      <c r="D30" s="7"/>
    </row>
    <row r="31" spans="4:8" x14ac:dyDescent="0.25">
      <c r="D31" s="7"/>
    </row>
    <row r="32" spans="4:8" x14ac:dyDescent="0.25">
      <c r="D32" s="7"/>
    </row>
    <row r="33" spans="4:4" x14ac:dyDescent="0.25">
      <c r="D33" s="7"/>
    </row>
    <row r="34" spans="4:4" x14ac:dyDescent="0.25">
      <c r="D34" s="7"/>
    </row>
    <row r="35" spans="4:4" x14ac:dyDescent="0.25">
      <c r="D35" s="7"/>
    </row>
    <row r="36" spans="4:4" x14ac:dyDescent="0.25">
      <c r="D36" s="7"/>
    </row>
    <row r="37" spans="4:4" x14ac:dyDescent="0.25">
      <c r="D37" s="7"/>
    </row>
    <row r="38" spans="4:4" x14ac:dyDescent="0.25">
      <c r="D38" s="7"/>
    </row>
    <row r="39" spans="4:4" x14ac:dyDescent="0.25">
      <c r="D39" s="7"/>
    </row>
    <row r="40" spans="4:4" x14ac:dyDescent="0.25">
      <c r="D40" s="7"/>
    </row>
    <row r="41" spans="4:4" x14ac:dyDescent="0.25">
      <c r="D41" s="7"/>
    </row>
    <row r="42" spans="4:4" x14ac:dyDescent="0.25">
      <c r="D42" s="7"/>
    </row>
    <row r="43" spans="4:4" x14ac:dyDescent="0.25">
      <c r="D43" s="7"/>
    </row>
    <row r="44" spans="4:4" x14ac:dyDescent="0.25">
      <c r="D44" s="7"/>
    </row>
    <row r="45" spans="4:4" x14ac:dyDescent="0.25">
      <c r="D45" s="7"/>
    </row>
    <row r="46" spans="4:4" x14ac:dyDescent="0.25">
      <c r="D46" s="7"/>
    </row>
    <row r="47" spans="4:4" x14ac:dyDescent="0.25">
      <c r="D47" s="7"/>
    </row>
    <row r="48" spans="4:4" x14ac:dyDescent="0.25">
      <c r="D48" s="7"/>
    </row>
    <row r="49" spans="4:5" x14ac:dyDescent="0.25">
      <c r="D49" s="7"/>
    </row>
    <row r="50" spans="4:5" x14ac:dyDescent="0.25">
      <c r="D50" s="7"/>
    </row>
    <row r="51" spans="4:5" x14ac:dyDescent="0.25">
      <c r="D51" s="7"/>
    </row>
    <row r="52" spans="4:5" x14ac:dyDescent="0.25">
      <c r="D52" s="7"/>
    </row>
    <row r="53" spans="4:5" x14ac:dyDescent="0.25">
      <c r="D53" s="7"/>
    </row>
    <row r="54" spans="4:5" x14ac:dyDescent="0.25">
      <c r="D54" s="7"/>
    </row>
    <row r="55" spans="4:5" x14ac:dyDescent="0.25">
      <c r="D55" s="7"/>
    </row>
    <row r="56" spans="4:5" x14ac:dyDescent="0.25">
      <c r="D56" s="7"/>
    </row>
    <row r="57" spans="4:5" x14ac:dyDescent="0.25">
      <c r="D57" s="7"/>
    </row>
    <row r="58" spans="4:5" x14ac:dyDescent="0.25">
      <c r="D58" s="7"/>
    </row>
    <row r="59" spans="4:5" x14ac:dyDescent="0.25">
      <c r="D59" s="7"/>
    </row>
    <row r="60" spans="4:5" x14ac:dyDescent="0.25">
      <c r="D60" s="7"/>
    </row>
    <row r="61" spans="4:5" x14ac:dyDescent="0.25">
      <c r="D61" s="7"/>
    </row>
    <row r="62" spans="4:5" x14ac:dyDescent="0.25">
      <c r="D62" s="7"/>
    </row>
    <row r="63" spans="4:5" x14ac:dyDescent="0.25">
      <c r="D63" s="7"/>
    </row>
    <row r="64" spans="4:5" x14ac:dyDescent="0.25">
      <c r="D64" s="7"/>
      <c r="E64" s="12" t="s">
        <v>66</v>
      </c>
    </row>
    <row r="65" spans="4:4" x14ac:dyDescent="0.25">
      <c r="D65" s="7"/>
    </row>
    <row r="66" spans="4:4" x14ac:dyDescent="0.25">
      <c r="D66" s="7"/>
    </row>
    <row r="67" spans="4:4" x14ac:dyDescent="0.25">
      <c r="D67" s="7"/>
    </row>
    <row r="68" spans="4:4" x14ac:dyDescent="0.25">
      <c r="D68" s="7"/>
    </row>
    <row r="69" spans="4:4" x14ac:dyDescent="0.25">
      <c r="D69" s="7"/>
    </row>
    <row r="70" spans="4:4" x14ac:dyDescent="0.25">
      <c r="D70" s="7"/>
    </row>
    <row r="71" spans="4:4" x14ac:dyDescent="0.25">
      <c r="D71" s="7"/>
    </row>
    <row r="72" spans="4:4" x14ac:dyDescent="0.25">
      <c r="D72" s="7"/>
    </row>
    <row r="73" spans="4:4" x14ac:dyDescent="0.25">
      <c r="D73" s="7"/>
    </row>
    <row r="74" spans="4:4" x14ac:dyDescent="0.25">
      <c r="D74" s="7"/>
    </row>
    <row r="75" spans="4:4" x14ac:dyDescent="0.25">
      <c r="D75" s="7"/>
    </row>
    <row r="76" spans="4:4" x14ac:dyDescent="0.25">
      <c r="D76" s="7"/>
    </row>
    <row r="77" spans="4:4" x14ac:dyDescent="0.25">
      <c r="D77" s="7"/>
    </row>
    <row r="78" spans="4:4" x14ac:dyDescent="0.25">
      <c r="D78" s="7"/>
    </row>
    <row r="79" spans="4:4" x14ac:dyDescent="0.25">
      <c r="D79" s="7"/>
    </row>
    <row r="80" spans="4:4" x14ac:dyDescent="0.25">
      <c r="D80" s="7"/>
    </row>
    <row r="81" spans="4:4" x14ac:dyDescent="0.25">
      <c r="D81" s="7"/>
    </row>
    <row r="82" spans="4:4" x14ac:dyDescent="0.25">
      <c r="D82" s="7"/>
    </row>
    <row r="83" spans="4:4" x14ac:dyDescent="0.25">
      <c r="D83" s="7"/>
    </row>
    <row r="84" spans="4:4" x14ac:dyDescent="0.25">
      <c r="D84" s="7"/>
    </row>
    <row r="85" spans="4:4" x14ac:dyDescent="0.25">
      <c r="D85" s="7"/>
    </row>
    <row r="86" spans="4:4" x14ac:dyDescent="0.25">
      <c r="D86" s="7"/>
    </row>
    <row r="87" spans="4:4" x14ac:dyDescent="0.25">
      <c r="D87" s="7"/>
    </row>
    <row r="88" spans="4:4" x14ac:dyDescent="0.25">
      <c r="D88" s="7"/>
    </row>
    <row r="89" spans="4:4" x14ac:dyDescent="0.25">
      <c r="D89" s="7"/>
    </row>
    <row r="90" spans="4:4" x14ac:dyDescent="0.25">
      <c r="D90" s="7"/>
    </row>
    <row r="91" spans="4:4" x14ac:dyDescent="0.25">
      <c r="D91" s="7"/>
    </row>
    <row r="92" spans="4:4" x14ac:dyDescent="0.25">
      <c r="D92" s="7"/>
    </row>
    <row r="93" spans="4:4" x14ac:dyDescent="0.25">
      <c r="D93" s="7"/>
    </row>
    <row r="94" spans="4:4" x14ac:dyDescent="0.25">
      <c r="D94" s="7"/>
    </row>
    <row r="95" spans="4:4" x14ac:dyDescent="0.25">
      <c r="D95" s="7"/>
    </row>
    <row r="96" spans="4:4" x14ac:dyDescent="0.25">
      <c r="D96" s="7"/>
    </row>
    <row r="97" spans="4:4" x14ac:dyDescent="0.25">
      <c r="D97" s="7"/>
    </row>
    <row r="98" spans="4:4" x14ac:dyDescent="0.25">
      <c r="D98" s="7"/>
    </row>
    <row r="99" spans="4:4" x14ac:dyDescent="0.25">
      <c r="D99" s="7"/>
    </row>
    <row r="100" spans="4:4" x14ac:dyDescent="0.25">
      <c r="D100" s="7"/>
    </row>
    <row r="101" spans="4:4" x14ac:dyDescent="0.25">
      <c r="D101" s="7"/>
    </row>
    <row r="102" spans="4:4" x14ac:dyDescent="0.25">
      <c r="D102" s="7"/>
    </row>
    <row r="103" spans="4:4" x14ac:dyDescent="0.25">
      <c r="D103" s="7"/>
    </row>
    <row r="104" spans="4:4" x14ac:dyDescent="0.25">
      <c r="D104" s="7"/>
    </row>
    <row r="105" spans="4:4" x14ac:dyDescent="0.25">
      <c r="D105" s="7"/>
    </row>
    <row r="106" spans="4:4" x14ac:dyDescent="0.25">
      <c r="D106" s="7"/>
    </row>
    <row r="107" spans="4:4" x14ac:dyDescent="0.25">
      <c r="D107" s="7"/>
    </row>
    <row r="108" spans="4:4" x14ac:dyDescent="0.25">
      <c r="D108" s="7"/>
    </row>
    <row r="109" spans="4:4" x14ac:dyDescent="0.25">
      <c r="D109" s="7"/>
    </row>
    <row r="110" spans="4:4" x14ac:dyDescent="0.25">
      <c r="D110" s="7"/>
    </row>
    <row r="111" spans="4:4" x14ac:dyDescent="0.25">
      <c r="D111" s="7"/>
    </row>
    <row r="112" spans="4:4" x14ac:dyDescent="0.25">
      <c r="D112" s="7"/>
    </row>
    <row r="113" spans="4:4" x14ac:dyDescent="0.25">
      <c r="D113" s="7"/>
    </row>
    <row r="114" spans="4:4" x14ac:dyDescent="0.25">
      <c r="D114" s="7"/>
    </row>
    <row r="115" spans="4:4" x14ac:dyDescent="0.25">
      <c r="D115" s="7"/>
    </row>
    <row r="116" spans="4:4" x14ac:dyDescent="0.25">
      <c r="D116" s="7"/>
    </row>
    <row r="117" spans="4:4" x14ac:dyDescent="0.25">
      <c r="D117" s="7"/>
    </row>
    <row r="118" spans="4:4" x14ac:dyDescent="0.25">
      <c r="D118" s="7"/>
    </row>
    <row r="119" spans="4:4" x14ac:dyDescent="0.25">
      <c r="D119" s="7"/>
    </row>
    <row r="120" spans="4:4" x14ac:dyDescent="0.25">
      <c r="D120" s="7"/>
    </row>
    <row r="121" spans="4:4" x14ac:dyDescent="0.25">
      <c r="D121" s="7"/>
    </row>
    <row r="122" spans="4:4" x14ac:dyDescent="0.25">
      <c r="D122" s="7"/>
    </row>
    <row r="123" spans="4:4" x14ac:dyDescent="0.25">
      <c r="D123" s="7"/>
    </row>
    <row r="124" spans="4:4" x14ac:dyDescent="0.25">
      <c r="D124" s="7"/>
    </row>
    <row r="125" spans="4:4" x14ac:dyDescent="0.25">
      <c r="D125" s="7"/>
    </row>
    <row r="126" spans="4:4" x14ac:dyDescent="0.25">
      <c r="D126" s="7"/>
    </row>
    <row r="127" spans="4:4" x14ac:dyDescent="0.25">
      <c r="D127" s="7"/>
    </row>
    <row r="128" spans="4:4" x14ac:dyDescent="0.25">
      <c r="D128" s="7"/>
    </row>
    <row r="129" spans="4:4" x14ac:dyDescent="0.25">
      <c r="D129" s="7"/>
    </row>
    <row r="130" spans="4:4" x14ac:dyDescent="0.25">
      <c r="D130" s="7"/>
    </row>
    <row r="131" spans="4:4" x14ac:dyDescent="0.25">
      <c r="D131" s="7"/>
    </row>
    <row r="132" spans="4:4" x14ac:dyDescent="0.25">
      <c r="D132" s="7"/>
    </row>
    <row r="133" spans="4:4" x14ac:dyDescent="0.25">
      <c r="D133" s="7"/>
    </row>
    <row r="134" spans="4:4" x14ac:dyDescent="0.25">
      <c r="D134" s="7"/>
    </row>
    <row r="135" spans="4:4" x14ac:dyDescent="0.25">
      <c r="D135" s="7"/>
    </row>
    <row r="136" spans="4:4" x14ac:dyDescent="0.25">
      <c r="D136" s="7"/>
    </row>
    <row r="137" spans="4:4" x14ac:dyDescent="0.25">
      <c r="D137" s="7"/>
    </row>
    <row r="138" spans="4:4" x14ac:dyDescent="0.25">
      <c r="D138" s="7"/>
    </row>
    <row r="139" spans="4:4" x14ac:dyDescent="0.25">
      <c r="D139" s="7"/>
    </row>
    <row r="140" spans="4:4" x14ac:dyDescent="0.25">
      <c r="D140" s="7"/>
    </row>
    <row r="141" spans="4:4" x14ac:dyDescent="0.25">
      <c r="D141" s="7"/>
    </row>
    <row r="142" spans="4:4" x14ac:dyDescent="0.25">
      <c r="D142" s="7"/>
    </row>
    <row r="143" spans="4:4" x14ac:dyDescent="0.25">
      <c r="D143" s="7"/>
    </row>
    <row r="144" spans="4:4" x14ac:dyDescent="0.25">
      <c r="D144" s="7"/>
    </row>
    <row r="145" spans="4:4" x14ac:dyDescent="0.25">
      <c r="D145" s="7"/>
    </row>
    <row r="146" spans="4:4" x14ac:dyDescent="0.25">
      <c r="D146" s="7"/>
    </row>
    <row r="147" spans="4:4" x14ac:dyDescent="0.25">
      <c r="D147" s="7"/>
    </row>
    <row r="148" spans="4:4" x14ac:dyDescent="0.25">
      <c r="D148" s="7"/>
    </row>
    <row r="149" spans="4:4" x14ac:dyDescent="0.25">
      <c r="D149" s="7"/>
    </row>
    <row r="150" spans="4:4" x14ac:dyDescent="0.25">
      <c r="D150" s="7"/>
    </row>
    <row r="151" spans="4:4" x14ac:dyDescent="0.25">
      <c r="D151" s="7"/>
    </row>
    <row r="152" spans="4:4" x14ac:dyDescent="0.25">
      <c r="D152" s="7"/>
    </row>
    <row r="153" spans="4:4" x14ac:dyDescent="0.25">
      <c r="D153" s="7"/>
    </row>
    <row r="154" spans="4:4" x14ac:dyDescent="0.25">
      <c r="D154" s="7"/>
    </row>
    <row r="155" spans="4:4" x14ac:dyDescent="0.25">
      <c r="D155" s="7"/>
    </row>
    <row r="156" spans="4:4" x14ac:dyDescent="0.25">
      <c r="D156" s="7"/>
    </row>
    <row r="157" spans="4:4" x14ac:dyDescent="0.25">
      <c r="D157" s="7"/>
    </row>
    <row r="158" spans="4:4" x14ac:dyDescent="0.25">
      <c r="D158" s="7"/>
    </row>
    <row r="159" spans="4:4" x14ac:dyDescent="0.25">
      <c r="D159" s="7"/>
    </row>
    <row r="160" spans="4:4" x14ac:dyDescent="0.25">
      <c r="D160" s="7"/>
    </row>
    <row r="161" spans="4:4" x14ac:dyDescent="0.25">
      <c r="D161" s="7"/>
    </row>
    <row r="162" spans="4:4" x14ac:dyDescent="0.25">
      <c r="D162" s="7"/>
    </row>
    <row r="163" spans="4:4" x14ac:dyDescent="0.25">
      <c r="D163" s="7"/>
    </row>
    <row r="164" spans="4:4" x14ac:dyDescent="0.25">
      <c r="D164" s="7"/>
    </row>
    <row r="165" spans="4:4" x14ac:dyDescent="0.25">
      <c r="D165" s="7"/>
    </row>
    <row r="166" spans="4:4" x14ac:dyDescent="0.25">
      <c r="D166" s="7"/>
    </row>
    <row r="167" spans="4:4" x14ac:dyDescent="0.25">
      <c r="D167" s="7"/>
    </row>
    <row r="168" spans="4:4" x14ac:dyDescent="0.25">
      <c r="D168" s="7"/>
    </row>
    <row r="169" spans="4:4" x14ac:dyDescent="0.25">
      <c r="D169" s="7"/>
    </row>
    <row r="170" spans="4:4" x14ac:dyDescent="0.25">
      <c r="D170" s="7"/>
    </row>
    <row r="171" spans="4:4" x14ac:dyDescent="0.25">
      <c r="D171" s="7"/>
    </row>
    <row r="172" spans="4:4" x14ac:dyDescent="0.25">
      <c r="D172" s="7"/>
    </row>
    <row r="173" spans="4:4" x14ac:dyDescent="0.25">
      <c r="D173" s="7"/>
    </row>
    <row r="174" spans="4:4" x14ac:dyDescent="0.25">
      <c r="D174" s="7"/>
    </row>
    <row r="175" spans="4:4" x14ac:dyDescent="0.25">
      <c r="D175" s="7"/>
    </row>
    <row r="176" spans="4:4" x14ac:dyDescent="0.25">
      <c r="D176" s="7"/>
    </row>
    <row r="177" spans="4:4" x14ac:dyDescent="0.25">
      <c r="D177" s="7"/>
    </row>
    <row r="178" spans="4:4" x14ac:dyDescent="0.25">
      <c r="D178" s="7"/>
    </row>
    <row r="179" spans="4:4" x14ac:dyDescent="0.25">
      <c r="D179" s="7"/>
    </row>
    <row r="180" spans="4:4" x14ac:dyDescent="0.25">
      <c r="D180" s="7"/>
    </row>
    <row r="181" spans="4:4" x14ac:dyDescent="0.25">
      <c r="D181" s="7"/>
    </row>
    <row r="182" spans="4:4" x14ac:dyDescent="0.25">
      <c r="D182" s="7"/>
    </row>
    <row r="183" spans="4:4" x14ac:dyDescent="0.25">
      <c r="D183" s="7"/>
    </row>
    <row r="184" spans="4:4" x14ac:dyDescent="0.25">
      <c r="D184" s="7"/>
    </row>
    <row r="185" spans="4:4" x14ac:dyDescent="0.25">
      <c r="D185" s="7"/>
    </row>
    <row r="186" spans="4:4" x14ac:dyDescent="0.25">
      <c r="D186" s="7"/>
    </row>
    <row r="187" spans="4:4" x14ac:dyDescent="0.25">
      <c r="D187" s="7"/>
    </row>
    <row r="188" spans="4:4" x14ac:dyDescent="0.25">
      <c r="D188" s="7"/>
    </row>
    <row r="189" spans="4:4" x14ac:dyDescent="0.25">
      <c r="D189" s="7"/>
    </row>
    <row r="190" spans="4:4" x14ac:dyDescent="0.25">
      <c r="D190" s="7"/>
    </row>
    <row r="191" spans="4:4" x14ac:dyDescent="0.25">
      <c r="D191" s="7"/>
    </row>
    <row r="192" spans="4:4" x14ac:dyDescent="0.25">
      <c r="D192" s="7"/>
    </row>
    <row r="193" spans="4:4" x14ac:dyDescent="0.25">
      <c r="D193" s="7"/>
    </row>
    <row r="194" spans="4:4" x14ac:dyDescent="0.25">
      <c r="D194" s="7"/>
    </row>
    <row r="195" spans="4:4" x14ac:dyDescent="0.25">
      <c r="D195" s="7"/>
    </row>
    <row r="196" spans="4:4" x14ac:dyDescent="0.25">
      <c r="D196" s="7"/>
    </row>
    <row r="197" spans="4:4" x14ac:dyDescent="0.25">
      <c r="D197" s="7"/>
    </row>
    <row r="198" spans="4:4" x14ac:dyDescent="0.25">
      <c r="D198" s="7"/>
    </row>
    <row r="199" spans="4:4" x14ac:dyDescent="0.25">
      <c r="D199" s="7"/>
    </row>
    <row r="200" spans="4:4" x14ac:dyDescent="0.25">
      <c r="D200" s="7"/>
    </row>
    <row r="201" spans="4:4" x14ac:dyDescent="0.25">
      <c r="D201" s="7"/>
    </row>
    <row r="202" spans="4:4" x14ac:dyDescent="0.25">
      <c r="D202" s="7"/>
    </row>
    <row r="203" spans="4:4" x14ac:dyDescent="0.25">
      <c r="D203" s="7"/>
    </row>
    <row r="204" spans="4:4" x14ac:dyDescent="0.25">
      <c r="D204" s="7"/>
    </row>
    <row r="205" spans="4:4" x14ac:dyDescent="0.25">
      <c r="D205" s="7"/>
    </row>
    <row r="206" spans="4:4" x14ac:dyDescent="0.25">
      <c r="D206" s="7"/>
    </row>
    <row r="207" spans="4:4" x14ac:dyDescent="0.25">
      <c r="D207" s="7"/>
    </row>
    <row r="208" spans="4:4" x14ac:dyDescent="0.25">
      <c r="D208" s="7"/>
    </row>
    <row r="209" spans="4:4" x14ac:dyDescent="0.25">
      <c r="D209" s="7"/>
    </row>
    <row r="210" spans="4:4" x14ac:dyDescent="0.25">
      <c r="D210" s="7"/>
    </row>
    <row r="211" spans="4:4" x14ac:dyDescent="0.25">
      <c r="D211" s="7"/>
    </row>
    <row r="212" spans="4:4" x14ac:dyDescent="0.25">
      <c r="D212" s="7"/>
    </row>
    <row r="213" spans="4:4" x14ac:dyDescent="0.25">
      <c r="D213" s="7"/>
    </row>
    <row r="214" spans="4:4" x14ac:dyDescent="0.25">
      <c r="D214" s="7"/>
    </row>
    <row r="215" spans="4:4" x14ac:dyDescent="0.25">
      <c r="D215" s="7"/>
    </row>
    <row r="216" spans="4:4" x14ac:dyDescent="0.25">
      <c r="D216" s="7"/>
    </row>
    <row r="217" spans="4:4" x14ac:dyDescent="0.25">
      <c r="D217" s="7"/>
    </row>
    <row r="218" spans="4:4" x14ac:dyDescent="0.25">
      <c r="D218" s="7"/>
    </row>
    <row r="219" spans="4:4" x14ac:dyDescent="0.25">
      <c r="D219" s="7"/>
    </row>
    <row r="220" spans="4:4" x14ac:dyDescent="0.25">
      <c r="D220" s="7"/>
    </row>
    <row r="221" spans="4:4" x14ac:dyDescent="0.25">
      <c r="D221" s="7"/>
    </row>
    <row r="222" spans="4:4" x14ac:dyDescent="0.25">
      <c r="D222" s="7"/>
    </row>
    <row r="223" spans="4:4" x14ac:dyDescent="0.25">
      <c r="D223" s="7"/>
    </row>
    <row r="224" spans="4:4" x14ac:dyDescent="0.25">
      <c r="D224" s="7"/>
    </row>
    <row r="225" spans="4:4" x14ac:dyDescent="0.25">
      <c r="D225" s="7"/>
    </row>
    <row r="226" spans="4:4" x14ac:dyDescent="0.25">
      <c r="D226" s="7"/>
    </row>
    <row r="227" spans="4:4" x14ac:dyDescent="0.25">
      <c r="D227" s="7"/>
    </row>
    <row r="228" spans="4:4" x14ac:dyDescent="0.25">
      <c r="D228" s="7"/>
    </row>
    <row r="229" spans="4:4" x14ac:dyDescent="0.25">
      <c r="D229" s="7"/>
    </row>
    <row r="230" spans="4:4" x14ac:dyDescent="0.25">
      <c r="D230" s="7"/>
    </row>
    <row r="231" spans="4:4" x14ac:dyDescent="0.25">
      <c r="D231" s="7"/>
    </row>
    <row r="232" spans="4:4" x14ac:dyDescent="0.25">
      <c r="D232" s="7"/>
    </row>
    <row r="233" spans="4:4" x14ac:dyDescent="0.25">
      <c r="D233" s="7"/>
    </row>
    <row r="234" spans="4:4" x14ac:dyDescent="0.25">
      <c r="D234" s="7"/>
    </row>
    <row r="235" spans="4:4" x14ac:dyDescent="0.25">
      <c r="D235" s="7"/>
    </row>
    <row r="236" spans="4:4" x14ac:dyDescent="0.25">
      <c r="D236" s="7"/>
    </row>
    <row r="237" spans="4:4" x14ac:dyDescent="0.25">
      <c r="D237" s="7"/>
    </row>
    <row r="238" spans="4:4" x14ac:dyDescent="0.25">
      <c r="D238" s="7"/>
    </row>
    <row r="239" spans="4:4" x14ac:dyDescent="0.25">
      <c r="D239" s="7"/>
    </row>
    <row r="240" spans="4:4" x14ac:dyDescent="0.25">
      <c r="D240" s="7"/>
    </row>
    <row r="241" spans="4:4" x14ac:dyDescent="0.25">
      <c r="D241" s="7"/>
    </row>
    <row r="242" spans="4:4" x14ac:dyDescent="0.25">
      <c r="D242" s="7"/>
    </row>
    <row r="243" spans="4:4" x14ac:dyDescent="0.25">
      <c r="D243" s="7"/>
    </row>
    <row r="244" spans="4:4" x14ac:dyDescent="0.25">
      <c r="D244" s="7"/>
    </row>
    <row r="245" spans="4:4" x14ac:dyDescent="0.25">
      <c r="D245" s="7"/>
    </row>
    <row r="246" spans="4:4" x14ac:dyDescent="0.25">
      <c r="D246" s="7"/>
    </row>
    <row r="247" spans="4:4" x14ac:dyDescent="0.25">
      <c r="D247" s="7"/>
    </row>
    <row r="248" spans="4:4" x14ac:dyDescent="0.25">
      <c r="D248" s="7"/>
    </row>
    <row r="249" spans="4:4" x14ac:dyDescent="0.25">
      <c r="D249" s="7"/>
    </row>
    <row r="250" spans="4:4" x14ac:dyDescent="0.25">
      <c r="D250" s="7"/>
    </row>
    <row r="251" spans="4:4" x14ac:dyDescent="0.25">
      <c r="D251" s="7"/>
    </row>
    <row r="252" spans="4:4" x14ac:dyDescent="0.25">
      <c r="D252" s="7"/>
    </row>
    <row r="253" spans="4:4" x14ac:dyDescent="0.25">
      <c r="D253" s="7"/>
    </row>
    <row r="254" spans="4:4" x14ac:dyDescent="0.25">
      <c r="D254" s="7"/>
    </row>
    <row r="255" spans="4:4" x14ac:dyDescent="0.25">
      <c r="D255" s="7"/>
    </row>
    <row r="256" spans="4:4" x14ac:dyDescent="0.25">
      <c r="D256" s="7"/>
    </row>
    <row r="257" spans="4:4" x14ac:dyDescent="0.25">
      <c r="D257" s="7"/>
    </row>
    <row r="258" spans="4:4" x14ac:dyDescent="0.25">
      <c r="D258" s="7"/>
    </row>
    <row r="259" spans="4:4" x14ac:dyDescent="0.25">
      <c r="D259" s="7"/>
    </row>
    <row r="260" spans="4:4" x14ac:dyDescent="0.25">
      <c r="D260" s="7"/>
    </row>
    <row r="261" spans="4:4" x14ac:dyDescent="0.25">
      <c r="D261" s="7"/>
    </row>
    <row r="262" spans="4:4" x14ac:dyDescent="0.25">
      <c r="D262" s="7"/>
    </row>
    <row r="263" spans="4:4" x14ac:dyDescent="0.25">
      <c r="D263" s="7"/>
    </row>
    <row r="264" spans="4:4" x14ac:dyDescent="0.25">
      <c r="D264" s="7"/>
    </row>
    <row r="265" spans="4:4" x14ac:dyDescent="0.25">
      <c r="D265" s="7"/>
    </row>
    <row r="266" spans="4:4" x14ac:dyDescent="0.25">
      <c r="D266" s="7"/>
    </row>
    <row r="267" spans="4:4" x14ac:dyDescent="0.25">
      <c r="D267" s="7"/>
    </row>
    <row r="268" spans="4:4" x14ac:dyDescent="0.25">
      <c r="D268" s="7"/>
    </row>
    <row r="269" spans="4:4" x14ac:dyDescent="0.25">
      <c r="D269" s="7"/>
    </row>
    <row r="270" spans="4:4" x14ac:dyDescent="0.25">
      <c r="D270" s="7"/>
    </row>
    <row r="271" spans="4:4" x14ac:dyDescent="0.25">
      <c r="D271" s="7"/>
    </row>
    <row r="272" spans="4:4" x14ac:dyDescent="0.25">
      <c r="D272" s="7"/>
    </row>
    <row r="273" spans="4:4" x14ac:dyDescent="0.25">
      <c r="D273" s="7"/>
    </row>
    <row r="274" spans="4:4" x14ac:dyDescent="0.25">
      <c r="D274" s="7"/>
    </row>
    <row r="275" spans="4:4" x14ac:dyDescent="0.25">
      <c r="D275" s="7"/>
    </row>
    <row r="276" spans="4:4" x14ac:dyDescent="0.25">
      <c r="D276" s="7"/>
    </row>
    <row r="277" spans="4:4" x14ac:dyDescent="0.25">
      <c r="D277" s="7"/>
    </row>
    <row r="278" spans="4:4" x14ac:dyDescent="0.25">
      <c r="D278" s="7"/>
    </row>
    <row r="279" spans="4:4" x14ac:dyDescent="0.25">
      <c r="D279" s="7"/>
    </row>
    <row r="280" spans="4:4" x14ac:dyDescent="0.25">
      <c r="D280" s="7"/>
    </row>
    <row r="281" spans="4:4" x14ac:dyDescent="0.25">
      <c r="D281" s="7"/>
    </row>
    <row r="282" spans="4:4" x14ac:dyDescent="0.25">
      <c r="D282" s="7"/>
    </row>
    <row r="283" spans="4:4" x14ac:dyDescent="0.25">
      <c r="D283" s="7"/>
    </row>
    <row r="284" spans="4:4" x14ac:dyDescent="0.25">
      <c r="D284" s="7"/>
    </row>
    <row r="285" spans="4:4" x14ac:dyDescent="0.25">
      <c r="D285" s="7"/>
    </row>
    <row r="286" spans="4:4" x14ac:dyDescent="0.25">
      <c r="D286" s="7"/>
    </row>
    <row r="287" spans="4:4" x14ac:dyDescent="0.25">
      <c r="D287" s="7"/>
    </row>
    <row r="288" spans="4:4" x14ac:dyDescent="0.25">
      <c r="D288" s="7"/>
    </row>
    <row r="289" spans="4:4" x14ac:dyDescent="0.25">
      <c r="D289" s="7"/>
    </row>
    <row r="290" spans="4:4" x14ac:dyDescent="0.25">
      <c r="D290" s="7"/>
    </row>
    <row r="291" spans="4:4" x14ac:dyDescent="0.25">
      <c r="D291" s="7"/>
    </row>
    <row r="292" spans="4:4" x14ac:dyDescent="0.25">
      <c r="D292" s="7"/>
    </row>
    <row r="293" spans="4:4" x14ac:dyDescent="0.25">
      <c r="D293" s="7"/>
    </row>
    <row r="294" spans="4:4" x14ac:dyDescent="0.25">
      <c r="D294" s="7"/>
    </row>
    <row r="295" spans="4:4" x14ac:dyDescent="0.25">
      <c r="D295" s="7"/>
    </row>
    <row r="296" spans="4:4" x14ac:dyDescent="0.25">
      <c r="D296" s="7"/>
    </row>
    <row r="297" spans="4:4" x14ac:dyDescent="0.25">
      <c r="D297" s="7"/>
    </row>
    <row r="298" spans="4:4" x14ac:dyDescent="0.25">
      <c r="D298" s="7"/>
    </row>
    <row r="299" spans="4:4" x14ac:dyDescent="0.25">
      <c r="D299" s="7"/>
    </row>
    <row r="300" spans="4:4" x14ac:dyDescent="0.25">
      <c r="D300" s="7"/>
    </row>
    <row r="301" spans="4:4" x14ac:dyDescent="0.25">
      <c r="D301" s="7"/>
    </row>
    <row r="302" spans="4:4" x14ac:dyDescent="0.25">
      <c r="D302" s="7"/>
    </row>
    <row r="303" spans="4:4" x14ac:dyDescent="0.25">
      <c r="D303" s="7"/>
    </row>
    <row r="304" spans="4:4" x14ac:dyDescent="0.25">
      <c r="D304" s="7"/>
    </row>
    <row r="305" spans="4:4" x14ac:dyDescent="0.25">
      <c r="D305" s="7"/>
    </row>
    <row r="306" spans="4:4" x14ac:dyDescent="0.25">
      <c r="D306" s="7"/>
    </row>
    <row r="307" spans="4:4" x14ac:dyDescent="0.25">
      <c r="D307" s="7"/>
    </row>
    <row r="308" spans="4:4" x14ac:dyDescent="0.25">
      <c r="D308" s="7"/>
    </row>
    <row r="309" spans="4:4" x14ac:dyDescent="0.25">
      <c r="D309" s="7"/>
    </row>
    <row r="310" spans="4:4" x14ac:dyDescent="0.25">
      <c r="D310" s="7"/>
    </row>
    <row r="311" spans="4:4" x14ac:dyDescent="0.25">
      <c r="D311" s="7"/>
    </row>
    <row r="312" spans="4:4" x14ac:dyDescent="0.25">
      <c r="D312" s="7"/>
    </row>
    <row r="313" spans="4:4" x14ac:dyDescent="0.25">
      <c r="D313" s="7"/>
    </row>
    <row r="314" spans="4:4" x14ac:dyDescent="0.25">
      <c r="D314" s="7"/>
    </row>
    <row r="315" spans="4:4" x14ac:dyDescent="0.25">
      <c r="D315" s="7"/>
    </row>
    <row r="316" spans="4:4" x14ac:dyDescent="0.25">
      <c r="D316" s="7"/>
    </row>
    <row r="317" spans="4:4" x14ac:dyDescent="0.25">
      <c r="D317" s="7"/>
    </row>
    <row r="318" spans="4:4" x14ac:dyDescent="0.25">
      <c r="D318" s="7"/>
    </row>
    <row r="319" spans="4:4" x14ac:dyDescent="0.25">
      <c r="D319" s="7"/>
    </row>
    <row r="320" spans="4:4" x14ac:dyDescent="0.25">
      <c r="D320" s="7"/>
    </row>
    <row r="321" spans="4:4" x14ac:dyDescent="0.25">
      <c r="D321" s="7"/>
    </row>
    <row r="322" spans="4:4" x14ac:dyDescent="0.25">
      <c r="D322" s="7"/>
    </row>
    <row r="323" spans="4:4" x14ac:dyDescent="0.25">
      <c r="D323" s="7"/>
    </row>
    <row r="324" spans="4:4" x14ac:dyDescent="0.25">
      <c r="D324" s="7"/>
    </row>
    <row r="325" spans="4:4" x14ac:dyDescent="0.25">
      <c r="D325" s="7"/>
    </row>
    <row r="326" spans="4:4" x14ac:dyDescent="0.25">
      <c r="D326" s="7"/>
    </row>
    <row r="327" spans="4:4" x14ac:dyDescent="0.25">
      <c r="D327" s="7"/>
    </row>
    <row r="328" spans="4:4" x14ac:dyDescent="0.25">
      <c r="D328" s="7"/>
    </row>
    <row r="329" spans="4:4" x14ac:dyDescent="0.25">
      <c r="D329" s="7"/>
    </row>
    <row r="330" spans="4:4" x14ac:dyDescent="0.25">
      <c r="D330" s="7"/>
    </row>
    <row r="331" spans="4:4" x14ac:dyDescent="0.25">
      <c r="D331" s="7"/>
    </row>
    <row r="332" spans="4:4" x14ac:dyDescent="0.25">
      <c r="D332" s="7"/>
    </row>
    <row r="333" spans="4:4" x14ac:dyDescent="0.25">
      <c r="D333" s="7"/>
    </row>
    <row r="334" spans="4:4" x14ac:dyDescent="0.25">
      <c r="D334" s="7"/>
    </row>
    <row r="335" spans="4:4" x14ac:dyDescent="0.25">
      <c r="D335" s="7"/>
    </row>
    <row r="336" spans="4:4" x14ac:dyDescent="0.25">
      <c r="D336" s="7"/>
    </row>
    <row r="337" spans="4:4" x14ac:dyDescent="0.25">
      <c r="D337" s="7"/>
    </row>
    <row r="338" spans="4:4" x14ac:dyDescent="0.25">
      <c r="D338" s="7"/>
    </row>
    <row r="339" spans="4:4" x14ac:dyDescent="0.25">
      <c r="D339" s="7"/>
    </row>
    <row r="340" spans="4:4" x14ac:dyDescent="0.25">
      <c r="D340" s="7"/>
    </row>
    <row r="341" spans="4:4" x14ac:dyDescent="0.25">
      <c r="D341" s="7"/>
    </row>
    <row r="342" spans="4:4" x14ac:dyDescent="0.25">
      <c r="D342" s="7"/>
    </row>
    <row r="343" spans="4:4" x14ac:dyDescent="0.25">
      <c r="D343" s="7"/>
    </row>
    <row r="344" spans="4:4" x14ac:dyDescent="0.25">
      <c r="D344" s="7"/>
    </row>
    <row r="345" spans="4:4" x14ac:dyDescent="0.25">
      <c r="D345" s="7"/>
    </row>
    <row r="346" spans="4:4" x14ac:dyDescent="0.25">
      <c r="D346" s="7"/>
    </row>
    <row r="347" spans="4:4" x14ac:dyDescent="0.25">
      <c r="D347" s="7"/>
    </row>
    <row r="348" spans="4:4" x14ac:dyDescent="0.25">
      <c r="D348" s="7"/>
    </row>
    <row r="349" spans="4:4" x14ac:dyDescent="0.25">
      <c r="D349" s="7"/>
    </row>
    <row r="350" spans="4:4" x14ac:dyDescent="0.25">
      <c r="D350" s="7"/>
    </row>
    <row r="351" spans="4:4" x14ac:dyDescent="0.25">
      <c r="D351" s="7"/>
    </row>
    <row r="352" spans="4:4" x14ac:dyDescent="0.25">
      <c r="D352" s="7"/>
    </row>
    <row r="353" spans="4:4" x14ac:dyDescent="0.25">
      <c r="D353" s="7"/>
    </row>
    <row r="354" spans="4:4" x14ac:dyDescent="0.25">
      <c r="D354" s="7"/>
    </row>
    <row r="355" spans="4:4" x14ac:dyDescent="0.25">
      <c r="D355" s="7"/>
    </row>
    <row r="356" spans="4:4" x14ac:dyDescent="0.25">
      <c r="D356" s="7"/>
    </row>
    <row r="357" spans="4:4" x14ac:dyDescent="0.25">
      <c r="D357" s="7"/>
    </row>
    <row r="358" spans="4:4" x14ac:dyDescent="0.25">
      <c r="D358" s="7"/>
    </row>
    <row r="359" spans="4:4" x14ac:dyDescent="0.25">
      <c r="D359" s="7"/>
    </row>
    <row r="360" spans="4:4" x14ac:dyDescent="0.25">
      <c r="D360" s="7"/>
    </row>
    <row r="361" spans="4:4" x14ac:dyDescent="0.25">
      <c r="D361" s="7"/>
    </row>
    <row r="362" spans="4:4" x14ac:dyDescent="0.25">
      <c r="D362" s="7"/>
    </row>
    <row r="363" spans="4:4" x14ac:dyDescent="0.25">
      <c r="D363" s="7"/>
    </row>
    <row r="364" spans="4:4" x14ac:dyDescent="0.25">
      <c r="D364" s="7"/>
    </row>
    <row r="365" spans="4:4" x14ac:dyDescent="0.25">
      <c r="D365" s="7"/>
    </row>
    <row r="366" spans="4:4" x14ac:dyDescent="0.25">
      <c r="D366" s="7"/>
    </row>
    <row r="367" spans="4:4" x14ac:dyDescent="0.25">
      <c r="D367" s="7"/>
    </row>
    <row r="368" spans="4:4" x14ac:dyDescent="0.25">
      <c r="D368" s="7"/>
    </row>
    <row r="369" spans="4:4" x14ac:dyDescent="0.25">
      <c r="D369" s="7"/>
    </row>
    <row r="370" spans="4:4" x14ac:dyDescent="0.25">
      <c r="D370" s="7"/>
    </row>
    <row r="371" spans="4:4" x14ac:dyDescent="0.25">
      <c r="D371" s="7"/>
    </row>
    <row r="372" spans="4:4" x14ac:dyDescent="0.25">
      <c r="D372" s="7"/>
    </row>
    <row r="373" spans="4:4" x14ac:dyDescent="0.25">
      <c r="D373" s="7"/>
    </row>
    <row r="374" spans="4:4" x14ac:dyDescent="0.25">
      <c r="D374" s="7"/>
    </row>
    <row r="375" spans="4:4" x14ac:dyDescent="0.25">
      <c r="D375" s="7"/>
    </row>
    <row r="376" spans="4:4" x14ac:dyDescent="0.25">
      <c r="D376" s="7"/>
    </row>
    <row r="377" spans="4:4" x14ac:dyDescent="0.25">
      <c r="D377" s="7"/>
    </row>
    <row r="378" spans="4:4" x14ac:dyDescent="0.25">
      <c r="D378" s="7"/>
    </row>
    <row r="379" spans="4:4" x14ac:dyDescent="0.25">
      <c r="D379" s="7"/>
    </row>
    <row r="380" spans="4:4" x14ac:dyDescent="0.25">
      <c r="D380" s="7"/>
    </row>
    <row r="381" spans="4:4" x14ac:dyDescent="0.25">
      <c r="D381" s="7"/>
    </row>
    <row r="382" spans="4:4" x14ac:dyDescent="0.25">
      <c r="D382" s="7"/>
    </row>
    <row r="383" spans="4:4" x14ac:dyDescent="0.25">
      <c r="D383" s="7"/>
    </row>
    <row r="384" spans="4:4" x14ac:dyDescent="0.25">
      <c r="D384" s="7"/>
    </row>
    <row r="385" spans="4:4" x14ac:dyDescent="0.25">
      <c r="D385" s="7"/>
    </row>
    <row r="386" spans="4:4" x14ac:dyDescent="0.25">
      <c r="D386" s="7"/>
    </row>
    <row r="387" spans="4:4" x14ac:dyDescent="0.25">
      <c r="D387" s="7"/>
    </row>
    <row r="388" spans="4:4" x14ac:dyDescent="0.25">
      <c r="D388" s="7"/>
    </row>
    <row r="389" spans="4:4" x14ac:dyDescent="0.25">
      <c r="D389" s="7"/>
    </row>
    <row r="390" spans="4:4" x14ac:dyDescent="0.25">
      <c r="D390" s="7"/>
    </row>
    <row r="391" spans="4:4" x14ac:dyDescent="0.25">
      <c r="D391" s="7"/>
    </row>
    <row r="392" spans="4:4" x14ac:dyDescent="0.25">
      <c r="D392" s="7"/>
    </row>
    <row r="393" spans="4:4" x14ac:dyDescent="0.25">
      <c r="D393" s="7"/>
    </row>
    <row r="394" spans="4:4" x14ac:dyDescent="0.25">
      <c r="D394" s="7"/>
    </row>
    <row r="395" spans="4:4" x14ac:dyDescent="0.25">
      <c r="D395" s="7"/>
    </row>
    <row r="396" spans="4:4" x14ac:dyDescent="0.25">
      <c r="D396" s="7"/>
    </row>
    <row r="397" spans="4:4" x14ac:dyDescent="0.25">
      <c r="D397" s="7"/>
    </row>
    <row r="398" spans="4:4" x14ac:dyDescent="0.25">
      <c r="D398" s="7"/>
    </row>
    <row r="399" spans="4:4" x14ac:dyDescent="0.25">
      <c r="D399" s="7"/>
    </row>
    <row r="400" spans="4:4" x14ac:dyDescent="0.25">
      <c r="D400" s="7"/>
    </row>
    <row r="401" spans="4:4" x14ac:dyDescent="0.25">
      <c r="D401" s="7"/>
    </row>
    <row r="402" spans="4:4" x14ac:dyDescent="0.25">
      <c r="D402" s="7"/>
    </row>
    <row r="403" spans="4:4" x14ac:dyDescent="0.25">
      <c r="D403" s="7"/>
    </row>
    <row r="404" spans="4:4" x14ac:dyDescent="0.25">
      <c r="D404" s="7"/>
    </row>
    <row r="405" spans="4:4" x14ac:dyDescent="0.25">
      <c r="D405" s="7"/>
    </row>
    <row r="406" spans="4:4" x14ac:dyDescent="0.25">
      <c r="D406" s="7"/>
    </row>
    <row r="407" spans="4:4" x14ac:dyDescent="0.25">
      <c r="D407" s="7"/>
    </row>
    <row r="408" spans="4:4" x14ac:dyDescent="0.25">
      <c r="D408" s="7"/>
    </row>
    <row r="409" spans="4:4" x14ac:dyDescent="0.25">
      <c r="D409" s="7"/>
    </row>
    <row r="410" spans="4:4" x14ac:dyDescent="0.25">
      <c r="D410" s="7"/>
    </row>
    <row r="411" spans="4:4" x14ac:dyDescent="0.25">
      <c r="D411" s="7"/>
    </row>
    <row r="412" spans="4:4" x14ac:dyDescent="0.25">
      <c r="D412" s="7"/>
    </row>
    <row r="413" spans="4:4" x14ac:dyDescent="0.25">
      <c r="D413" s="7"/>
    </row>
    <row r="414" spans="4:4" x14ac:dyDescent="0.25">
      <c r="D414" s="7"/>
    </row>
    <row r="415" spans="4:4" x14ac:dyDescent="0.25">
      <c r="D415" s="7"/>
    </row>
    <row r="416" spans="4:4" x14ac:dyDescent="0.25">
      <c r="D416" s="7"/>
    </row>
    <row r="417" spans="4:4" x14ac:dyDescent="0.25">
      <c r="D417" s="7"/>
    </row>
    <row r="418" spans="4:4" x14ac:dyDescent="0.25">
      <c r="D418" s="7"/>
    </row>
    <row r="419" spans="4:4" x14ac:dyDescent="0.25">
      <c r="D419" s="7"/>
    </row>
    <row r="420" spans="4:4" x14ac:dyDescent="0.25">
      <c r="D420" s="7"/>
    </row>
    <row r="421" spans="4:4" x14ac:dyDescent="0.25">
      <c r="D421" s="7"/>
    </row>
    <row r="422" spans="4:4" x14ac:dyDescent="0.25">
      <c r="D422" s="7"/>
    </row>
    <row r="423" spans="4:4" x14ac:dyDescent="0.25">
      <c r="D423" s="7"/>
    </row>
    <row r="424" spans="4:4" x14ac:dyDescent="0.25">
      <c r="D424" s="7"/>
    </row>
    <row r="425" spans="4:4" x14ac:dyDescent="0.25">
      <c r="D425" s="7"/>
    </row>
    <row r="426" spans="4:4" x14ac:dyDescent="0.25">
      <c r="D426" s="7"/>
    </row>
    <row r="427" spans="4:4" x14ac:dyDescent="0.25">
      <c r="D427" s="7"/>
    </row>
    <row r="428" spans="4:4" x14ac:dyDescent="0.25">
      <c r="D428" s="7"/>
    </row>
    <row r="429" spans="4:4" x14ac:dyDescent="0.25">
      <c r="D429" s="7"/>
    </row>
    <row r="430" spans="4:4" x14ac:dyDescent="0.25">
      <c r="D430" s="7"/>
    </row>
    <row r="431" spans="4:4" x14ac:dyDescent="0.25">
      <c r="D431" s="7"/>
    </row>
    <row r="432" spans="4:4" x14ac:dyDescent="0.25">
      <c r="D432" s="7"/>
    </row>
    <row r="433" spans="4:4" x14ac:dyDescent="0.25">
      <c r="D433" s="7"/>
    </row>
    <row r="434" spans="4:4" x14ac:dyDescent="0.25">
      <c r="D434" s="7"/>
    </row>
    <row r="435" spans="4:4" x14ac:dyDescent="0.25">
      <c r="D435" s="7"/>
    </row>
    <row r="436" spans="4:4" x14ac:dyDescent="0.25">
      <c r="D436" s="7"/>
    </row>
    <row r="437" spans="4:4" x14ac:dyDescent="0.25">
      <c r="D437" s="7"/>
    </row>
    <row r="438" spans="4:4" x14ac:dyDescent="0.25">
      <c r="D438" s="7"/>
    </row>
    <row r="439" spans="4:4" x14ac:dyDescent="0.25">
      <c r="D439" s="7"/>
    </row>
    <row r="440" spans="4:4" x14ac:dyDescent="0.25">
      <c r="D440" s="7"/>
    </row>
    <row r="441" spans="4:4" x14ac:dyDescent="0.25">
      <c r="D441" s="7"/>
    </row>
    <row r="442" spans="4:4" x14ac:dyDescent="0.25">
      <c r="D442" s="7"/>
    </row>
    <row r="443" spans="4:4" x14ac:dyDescent="0.25">
      <c r="D443" s="7"/>
    </row>
    <row r="444" spans="4:4" x14ac:dyDescent="0.25">
      <c r="D444" s="7"/>
    </row>
    <row r="445" spans="4:4" x14ac:dyDescent="0.25">
      <c r="D445" s="7"/>
    </row>
    <row r="446" spans="4:4" x14ac:dyDescent="0.25">
      <c r="D446" s="7"/>
    </row>
    <row r="447" spans="4:4" x14ac:dyDescent="0.25">
      <c r="D447" s="7"/>
    </row>
    <row r="448" spans="4:4" x14ac:dyDescent="0.25">
      <c r="D448" s="7"/>
    </row>
    <row r="449" spans="4:4" x14ac:dyDescent="0.25">
      <c r="D449" s="7"/>
    </row>
    <row r="450" spans="4:4" x14ac:dyDescent="0.25">
      <c r="D450" s="7"/>
    </row>
    <row r="451" spans="4:4" x14ac:dyDescent="0.25">
      <c r="D451" s="7"/>
    </row>
    <row r="452" spans="4:4" x14ac:dyDescent="0.25">
      <c r="D452" s="7"/>
    </row>
    <row r="453" spans="4:4" x14ac:dyDescent="0.25">
      <c r="D453" s="7"/>
    </row>
    <row r="454" spans="4:4" x14ac:dyDescent="0.25">
      <c r="D454" s="7"/>
    </row>
    <row r="455" spans="4:4" x14ac:dyDescent="0.25">
      <c r="D455" s="7"/>
    </row>
    <row r="456" spans="4:4" x14ac:dyDescent="0.25">
      <c r="D456" s="7"/>
    </row>
    <row r="457" spans="4:4" x14ac:dyDescent="0.25">
      <c r="D457" s="7"/>
    </row>
    <row r="458" spans="4:4" x14ac:dyDescent="0.25">
      <c r="D458" s="7"/>
    </row>
    <row r="459" spans="4:4" x14ac:dyDescent="0.25">
      <c r="D459" s="7"/>
    </row>
    <row r="460" spans="4:4" x14ac:dyDescent="0.25">
      <c r="D460" s="7"/>
    </row>
    <row r="461" spans="4:4" x14ac:dyDescent="0.25">
      <c r="D461" s="7"/>
    </row>
    <row r="462" spans="4:4" x14ac:dyDescent="0.25">
      <c r="D462" s="7"/>
    </row>
    <row r="463" spans="4:4" x14ac:dyDescent="0.25">
      <c r="D463" s="7"/>
    </row>
    <row r="464" spans="4:4" x14ac:dyDescent="0.25">
      <c r="D464" s="7"/>
    </row>
    <row r="465" spans="4:4" x14ac:dyDescent="0.25">
      <c r="D465" s="7"/>
    </row>
    <row r="466" spans="4:4" x14ac:dyDescent="0.25">
      <c r="D466" s="7"/>
    </row>
    <row r="467" spans="4:4" x14ac:dyDescent="0.25">
      <c r="D467" s="7"/>
    </row>
    <row r="468" spans="4:4" x14ac:dyDescent="0.25">
      <c r="D468" s="7"/>
    </row>
    <row r="469" spans="4:4" x14ac:dyDescent="0.25">
      <c r="D469" s="7"/>
    </row>
    <row r="470" spans="4:4" x14ac:dyDescent="0.25">
      <c r="D470" s="7"/>
    </row>
    <row r="471" spans="4:4" x14ac:dyDescent="0.25">
      <c r="D471" s="7"/>
    </row>
    <row r="472" spans="4:4" x14ac:dyDescent="0.25">
      <c r="D472" s="7"/>
    </row>
    <row r="473" spans="4:4" x14ac:dyDescent="0.25">
      <c r="D473" s="7"/>
    </row>
    <row r="474" spans="4:4" x14ac:dyDescent="0.25">
      <c r="D474" s="7"/>
    </row>
    <row r="475" spans="4:4" x14ac:dyDescent="0.25">
      <c r="D475" s="7"/>
    </row>
    <row r="476" spans="4:4" x14ac:dyDescent="0.25">
      <c r="D476" s="7"/>
    </row>
    <row r="477" spans="4:4" x14ac:dyDescent="0.25">
      <c r="D477" s="7"/>
    </row>
    <row r="478" spans="4:4" x14ac:dyDescent="0.25">
      <c r="D478" s="7"/>
    </row>
    <row r="479" spans="4:4" x14ac:dyDescent="0.25">
      <c r="D479" s="7"/>
    </row>
    <row r="480" spans="4:4" x14ac:dyDescent="0.25">
      <c r="D480" s="7"/>
    </row>
    <row r="481" spans="4:4" x14ac:dyDescent="0.25">
      <c r="D481" s="7"/>
    </row>
    <row r="482" spans="4:4" x14ac:dyDescent="0.25">
      <c r="D482" s="7"/>
    </row>
    <row r="483" spans="4:4" x14ac:dyDescent="0.25">
      <c r="D483" s="7"/>
    </row>
    <row r="484" spans="4:4" x14ac:dyDescent="0.25">
      <c r="D484" s="7"/>
    </row>
    <row r="485" spans="4:4" x14ac:dyDescent="0.25">
      <c r="D485" s="7"/>
    </row>
    <row r="486" spans="4:4" x14ac:dyDescent="0.25">
      <c r="D486" s="7"/>
    </row>
    <row r="487" spans="4:4" x14ac:dyDescent="0.25">
      <c r="D487" s="7"/>
    </row>
    <row r="488" spans="4:4" x14ac:dyDescent="0.25">
      <c r="D488" s="7"/>
    </row>
    <row r="489" spans="4:4" x14ac:dyDescent="0.25">
      <c r="D489" s="7"/>
    </row>
    <row r="490" spans="4:4" x14ac:dyDescent="0.25">
      <c r="D490" s="7"/>
    </row>
    <row r="491" spans="4:4" x14ac:dyDescent="0.25">
      <c r="D491" s="7"/>
    </row>
    <row r="492" spans="4:4" x14ac:dyDescent="0.25">
      <c r="D492" s="7"/>
    </row>
    <row r="493" spans="4:4" x14ac:dyDescent="0.25">
      <c r="D493" s="7"/>
    </row>
    <row r="494" spans="4:4" x14ac:dyDescent="0.25">
      <c r="D494" s="7"/>
    </row>
    <row r="495" spans="4:4" x14ac:dyDescent="0.25">
      <c r="D495" s="7"/>
    </row>
    <row r="496" spans="4:4" x14ac:dyDescent="0.25">
      <c r="D496" s="7"/>
    </row>
    <row r="497" spans="4:4" x14ac:dyDescent="0.25">
      <c r="D497" s="7"/>
    </row>
    <row r="498" spans="4:4" x14ac:dyDescent="0.25">
      <c r="D498" s="7"/>
    </row>
    <row r="499" spans="4:4" x14ac:dyDescent="0.25">
      <c r="D499" s="7"/>
    </row>
    <row r="500" spans="4:4" x14ac:dyDescent="0.25">
      <c r="D500" s="7"/>
    </row>
    <row r="501" spans="4:4" x14ac:dyDescent="0.25">
      <c r="D501" s="7"/>
    </row>
    <row r="502" spans="4:4" x14ac:dyDescent="0.25">
      <c r="D502" s="7"/>
    </row>
    <row r="503" spans="4:4" x14ac:dyDescent="0.25">
      <c r="D503" s="7"/>
    </row>
    <row r="504" spans="4:4" x14ac:dyDescent="0.25">
      <c r="D504" s="7"/>
    </row>
    <row r="505" spans="4:4" x14ac:dyDescent="0.25">
      <c r="D505" s="7"/>
    </row>
    <row r="506" spans="4:4" x14ac:dyDescent="0.25">
      <c r="D506" s="7"/>
    </row>
    <row r="507" spans="4:4" x14ac:dyDescent="0.25">
      <c r="D507" s="7"/>
    </row>
    <row r="508" spans="4:4" x14ac:dyDescent="0.25">
      <c r="D508" s="7"/>
    </row>
    <row r="509" spans="4:4" x14ac:dyDescent="0.25">
      <c r="D509" s="7"/>
    </row>
    <row r="510" spans="4:4" x14ac:dyDescent="0.25">
      <c r="D510" s="7"/>
    </row>
    <row r="511" spans="4:4" x14ac:dyDescent="0.25">
      <c r="D511" s="7"/>
    </row>
    <row r="512" spans="4:4" x14ac:dyDescent="0.25">
      <c r="D512" s="7"/>
    </row>
    <row r="513" spans="4:4" x14ac:dyDescent="0.25">
      <c r="D513" s="7"/>
    </row>
    <row r="514" spans="4:4" x14ac:dyDescent="0.25">
      <c r="D514" s="7"/>
    </row>
    <row r="515" spans="4:4" x14ac:dyDescent="0.25">
      <c r="D515" s="7"/>
    </row>
    <row r="516" spans="4:4" x14ac:dyDescent="0.25">
      <c r="D516" s="7"/>
    </row>
    <row r="517" spans="4:4" x14ac:dyDescent="0.25">
      <c r="D517" s="7"/>
    </row>
    <row r="518" spans="4:4" x14ac:dyDescent="0.25">
      <c r="D518" s="7"/>
    </row>
    <row r="519" spans="4:4" x14ac:dyDescent="0.25">
      <c r="D519" s="7"/>
    </row>
    <row r="520" spans="4:4" x14ac:dyDescent="0.25">
      <c r="D520" s="7"/>
    </row>
    <row r="521" spans="4:4" x14ac:dyDescent="0.25">
      <c r="D521" s="7"/>
    </row>
    <row r="522" spans="4:4" x14ac:dyDescent="0.25">
      <c r="D522" s="7"/>
    </row>
    <row r="523" spans="4:4" x14ac:dyDescent="0.25">
      <c r="D523" s="7"/>
    </row>
    <row r="524" spans="4:4" x14ac:dyDescent="0.25">
      <c r="D524" s="7"/>
    </row>
    <row r="525" spans="4:4" x14ac:dyDescent="0.25">
      <c r="D525" s="7"/>
    </row>
    <row r="526" spans="4:4" x14ac:dyDescent="0.25">
      <c r="D526" s="7"/>
    </row>
    <row r="527" spans="4:4" x14ac:dyDescent="0.25">
      <c r="D527" s="7"/>
    </row>
    <row r="528" spans="4:4" x14ac:dyDescent="0.25">
      <c r="D528" s="7"/>
    </row>
    <row r="529" spans="4:4" x14ac:dyDescent="0.25">
      <c r="D529" s="7"/>
    </row>
    <row r="530" spans="4:4" x14ac:dyDescent="0.25">
      <c r="D530" s="7"/>
    </row>
    <row r="531" spans="4:4" x14ac:dyDescent="0.25">
      <c r="D531" s="7"/>
    </row>
    <row r="532" spans="4:4" x14ac:dyDescent="0.25">
      <c r="D532" s="7"/>
    </row>
    <row r="533" spans="4:4" x14ac:dyDescent="0.25">
      <c r="D533" s="7"/>
    </row>
    <row r="534" spans="4:4" x14ac:dyDescent="0.25">
      <c r="D534" s="7"/>
    </row>
    <row r="535" spans="4:4" x14ac:dyDescent="0.25">
      <c r="D535" s="7"/>
    </row>
    <row r="536" spans="4:4" x14ac:dyDescent="0.25">
      <c r="D536" s="7"/>
    </row>
    <row r="537" spans="4:4" x14ac:dyDescent="0.25">
      <c r="D537" s="7"/>
    </row>
    <row r="538" spans="4:4" x14ac:dyDescent="0.25">
      <c r="D538" s="7"/>
    </row>
    <row r="539" spans="4:4" x14ac:dyDescent="0.25">
      <c r="D539" s="7"/>
    </row>
    <row r="540" spans="4:4" x14ac:dyDescent="0.25">
      <c r="D540" s="7"/>
    </row>
    <row r="541" spans="4:4" x14ac:dyDescent="0.25">
      <c r="D541" s="7"/>
    </row>
    <row r="542" spans="4:4" x14ac:dyDescent="0.25">
      <c r="D542" s="7"/>
    </row>
    <row r="543" spans="4:4" x14ac:dyDescent="0.25">
      <c r="D543" s="7"/>
    </row>
    <row r="544" spans="4:4" x14ac:dyDescent="0.25">
      <c r="D544" s="7"/>
    </row>
    <row r="545" spans="4:4" x14ac:dyDescent="0.25">
      <c r="D545" s="7"/>
    </row>
    <row r="546" spans="4:4" x14ac:dyDescent="0.25">
      <c r="D546" s="7"/>
    </row>
    <row r="547" spans="4:4" x14ac:dyDescent="0.25">
      <c r="D547" s="7"/>
    </row>
    <row r="548" spans="4:4" x14ac:dyDescent="0.25">
      <c r="D548" s="7"/>
    </row>
    <row r="549" spans="4:4" x14ac:dyDescent="0.25">
      <c r="D549" s="7"/>
    </row>
    <row r="550" spans="4:4" x14ac:dyDescent="0.25">
      <c r="D550" s="7"/>
    </row>
    <row r="551" spans="4:4" x14ac:dyDescent="0.25">
      <c r="D551" s="7"/>
    </row>
    <row r="552" spans="4:4" x14ac:dyDescent="0.25">
      <c r="D552" s="7"/>
    </row>
    <row r="553" spans="4:4" x14ac:dyDescent="0.25">
      <c r="D553" s="7"/>
    </row>
    <row r="554" spans="4:4" x14ac:dyDescent="0.25">
      <c r="D554" s="7"/>
    </row>
    <row r="555" spans="4:4" x14ac:dyDescent="0.25">
      <c r="D555" s="7"/>
    </row>
    <row r="556" spans="4:4" x14ac:dyDescent="0.25">
      <c r="D556" s="7"/>
    </row>
    <row r="557" spans="4:4" x14ac:dyDescent="0.25">
      <c r="D557" s="7"/>
    </row>
    <row r="558" spans="4:4" x14ac:dyDescent="0.25">
      <c r="D558" s="7"/>
    </row>
    <row r="559" spans="4:4" x14ac:dyDescent="0.25">
      <c r="D559" s="7"/>
    </row>
    <row r="560" spans="4:4" x14ac:dyDescent="0.25">
      <c r="D560" s="7"/>
    </row>
    <row r="561" spans="4:4" x14ac:dyDescent="0.25">
      <c r="D561" s="7"/>
    </row>
    <row r="562" spans="4:4" x14ac:dyDescent="0.25">
      <c r="D562" s="7"/>
    </row>
    <row r="563" spans="4:4" x14ac:dyDescent="0.25">
      <c r="D563" s="7"/>
    </row>
    <row r="564" spans="4:4" x14ac:dyDescent="0.25">
      <c r="D564" s="7"/>
    </row>
    <row r="565" spans="4:4" x14ac:dyDescent="0.25">
      <c r="D565" s="7"/>
    </row>
    <row r="566" spans="4:4" x14ac:dyDescent="0.25">
      <c r="D566" s="7"/>
    </row>
    <row r="567" spans="4:4" x14ac:dyDescent="0.25">
      <c r="D567" s="7"/>
    </row>
    <row r="568" spans="4:4" x14ac:dyDescent="0.25">
      <c r="D568" s="7"/>
    </row>
    <row r="569" spans="4:4" x14ac:dyDescent="0.25">
      <c r="D569" s="7"/>
    </row>
    <row r="570" spans="4:4" x14ac:dyDescent="0.25">
      <c r="D570" s="7"/>
    </row>
    <row r="571" spans="4:4" x14ac:dyDescent="0.25">
      <c r="D571" s="7"/>
    </row>
    <row r="572" spans="4:4" x14ac:dyDescent="0.25">
      <c r="D572" s="7"/>
    </row>
    <row r="573" spans="4:4" x14ac:dyDescent="0.25">
      <c r="D573" s="7"/>
    </row>
    <row r="574" spans="4:4" x14ac:dyDescent="0.25">
      <c r="D574" s="7"/>
    </row>
    <row r="575" spans="4:4" x14ac:dyDescent="0.25">
      <c r="D575" s="7"/>
    </row>
    <row r="576" spans="4:4" x14ac:dyDescent="0.25">
      <c r="D576" s="7"/>
    </row>
    <row r="577" spans="4:4" x14ac:dyDescent="0.25">
      <c r="D577" s="7"/>
    </row>
    <row r="578" spans="4:4" x14ac:dyDescent="0.25">
      <c r="D578" s="7"/>
    </row>
    <row r="579" spans="4:4" x14ac:dyDescent="0.25">
      <c r="D579" s="7"/>
    </row>
    <row r="580" spans="4:4" x14ac:dyDescent="0.25">
      <c r="D580" s="7"/>
    </row>
    <row r="581" spans="4:4" x14ac:dyDescent="0.25">
      <c r="D581" s="7"/>
    </row>
    <row r="582" spans="4:4" x14ac:dyDescent="0.25">
      <c r="D582" s="7"/>
    </row>
    <row r="583" spans="4:4" x14ac:dyDescent="0.25">
      <c r="D583" s="7"/>
    </row>
    <row r="584" spans="4:4" x14ac:dyDescent="0.25">
      <c r="D584" s="7"/>
    </row>
    <row r="585" spans="4:4" x14ac:dyDescent="0.25">
      <c r="D585" s="7"/>
    </row>
    <row r="586" spans="4:4" x14ac:dyDescent="0.25">
      <c r="D586" s="7"/>
    </row>
    <row r="587" spans="4:4" x14ac:dyDescent="0.25">
      <c r="D587" s="7"/>
    </row>
    <row r="588" spans="4:4" x14ac:dyDescent="0.25">
      <c r="D588" s="7"/>
    </row>
    <row r="589" spans="4:4" x14ac:dyDescent="0.25">
      <c r="D589" s="7"/>
    </row>
    <row r="590" spans="4:4" x14ac:dyDescent="0.25">
      <c r="D590" s="7"/>
    </row>
    <row r="591" spans="4:4" x14ac:dyDescent="0.25">
      <c r="D591" s="7"/>
    </row>
    <row r="592" spans="4:4" x14ac:dyDescent="0.25">
      <c r="D592" s="7"/>
    </row>
    <row r="593" spans="4:4" x14ac:dyDescent="0.25">
      <c r="D593" s="7"/>
    </row>
    <row r="594" spans="4:4" x14ac:dyDescent="0.25">
      <c r="D594" s="7"/>
    </row>
    <row r="595" spans="4:4" x14ac:dyDescent="0.25">
      <c r="D595" s="7"/>
    </row>
    <row r="596" spans="4:4" x14ac:dyDescent="0.25">
      <c r="D596" s="7"/>
    </row>
    <row r="597" spans="4:4" x14ac:dyDescent="0.25">
      <c r="D597" s="7"/>
    </row>
    <row r="598" spans="4:4" x14ac:dyDescent="0.25">
      <c r="D598" s="7"/>
    </row>
    <row r="599" spans="4:4" x14ac:dyDescent="0.25">
      <c r="D599" s="7"/>
    </row>
    <row r="600" spans="4:4" x14ac:dyDescent="0.25">
      <c r="D600" s="7"/>
    </row>
    <row r="601" spans="4:4" x14ac:dyDescent="0.25">
      <c r="D601" s="7"/>
    </row>
    <row r="602" spans="4:4" x14ac:dyDescent="0.25">
      <c r="D602" s="7"/>
    </row>
    <row r="603" spans="4:4" x14ac:dyDescent="0.25">
      <c r="D603" s="7"/>
    </row>
    <row r="604" spans="4:4" x14ac:dyDescent="0.25">
      <c r="D604" s="7"/>
    </row>
    <row r="605" spans="4:4" x14ac:dyDescent="0.25">
      <c r="D605" s="7"/>
    </row>
    <row r="606" spans="4:4" x14ac:dyDescent="0.25">
      <c r="D606" s="7"/>
    </row>
    <row r="607" spans="4:4" x14ac:dyDescent="0.25">
      <c r="D607" s="7"/>
    </row>
    <row r="608" spans="4:4" x14ac:dyDescent="0.25">
      <c r="D608" s="7"/>
    </row>
    <row r="609" spans="4:4" x14ac:dyDescent="0.25">
      <c r="D609" s="7"/>
    </row>
    <row r="610" spans="4:4" x14ac:dyDescent="0.25">
      <c r="D610" s="7"/>
    </row>
    <row r="611" spans="4:4" x14ac:dyDescent="0.25">
      <c r="D611" s="7"/>
    </row>
    <row r="612" spans="4:4" x14ac:dyDescent="0.25">
      <c r="D612" s="7"/>
    </row>
    <row r="613" spans="4:4" x14ac:dyDescent="0.25">
      <c r="D613" s="7"/>
    </row>
    <row r="614" spans="4:4" x14ac:dyDescent="0.25">
      <c r="D614" s="7"/>
    </row>
    <row r="615" spans="4:4" x14ac:dyDescent="0.25">
      <c r="D615" s="7"/>
    </row>
    <row r="616" spans="4:4" x14ac:dyDescent="0.25">
      <c r="D616" s="7"/>
    </row>
    <row r="617" spans="4:4" x14ac:dyDescent="0.25">
      <c r="D617" s="7"/>
    </row>
    <row r="618" spans="4:4" x14ac:dyDescent="0.25">
      <c r="D618" s="7"/>
    </row>
    <row r="619" spans="4:4" x14ac:dyDescent="0.25">
      <c r="D619" s="7"/>
    </row>
    <row r="620" spans="4:4" x14ac:dyDescent="0.25">
      <c r="D620" s="7"/>
    </row>
    <row r="621" spans="4:4" x14ac:dyDescent="0.25">
      <c r="D621" s="7"/>
    </row>
    <row r="622" spans="4:4" x14ac:dyDescent="0.25">
      <c r="D622" s="7"/>
    </row>
    <row r="623" spans="4:4" x14ac:dyDescent="0.25">
      <c r="D623" s="7"/>
    </row>
    <row r="624" spans="4:4" x14ac:dyDescent="0.25">
      <c r="D624" s="7"/>
    </row>
    <row r="625" spans="4:4" x14ac:dyDescent="0.25">
      <c r="D625" s="7"/>
    </row>
    <row r="626" spans="4:4" x14ac:dyDescent="0.25">
      <c r="D626" s="7"/>
    </row>
    <row r="627" spans="4:4" x14ac:dyDescent="0.25">
      <c r="D627" s="7"/>
    </row>
    <row r="628" spans="4:4" x14ac:dyDescent="0.25">
      <c r="D628" s="7"/>
    </row>
    <row r="629" spans="4:4" x14ac:dyDescent="0.25">
      <c r="D629" s="7"/>
    </row>
    <row r="630" spans="4:4" x14ac:dyDescent="0.25">
      <c r="D630" s="7"/>
    </row>
    <row r="631" spans="4:4" x14ac:dyDescent="0.25">
      <c r="D631" s="7"/>
    </row>
    <row r="632" spans="4:4" x14ac:dyDescent="0.25">
      <c r="D632" s="7"/>
    </row>
    <row r="633" spans="4:4" x14ac:dyDescent="0.25">
      <c r="D633" s="7"/>
    </row>
    <row r="634" spans="4:4" x14ac:dyDescent="0.25">
      <c r="D634" s="7"/>
    </row>
    <row r="635" spans="4:4" x14ac:dyDescent="0.25">
      <c r="D635" s="7"/>
    </row>
    <row r="636" spans="4:4" x14ac:dyDescent="0.25">
      <c r="D636" s="7"/>
    </row>
    <row r="637" spans="4:4" x14ac:dyDescent="0.25">
      <c r="D637" s="7"/>
    </row>
    <row r="638" spans="4:4" x14ac:dyDescent="0.25">
      <c r="D638" s="7"/>
    </row>
    <row r="639" spans="4:4" x14ac:dyDescent="0.25">
      <c r="D639" s="7"/>
    </row>
    <row r="640" spans="4:4" x14ac:dyDescent="0.25">
      <c r="D640" s="7"/>
    </row>
    <row r="641" spans="4:4" x14ac:dyDescent="0.25">
      <c r="D641" s="7"/>
    </row>
    <row r="642" spans="4:4" x14ac:dyDescent="0.25">
      <c r="D642" s="7"/>
    </row>
    <row r="643" spans="4:4" x14ac:dyDescent="0.25">
      <c r="D643" s="7"/>
    </row>
    <row r="644" spans="4:4" x14ac:dyDescent="0.25">
      <c r="D644" s="7"/>
    </row>
    <row r="645" spans="4:4" x14ac:dyDescent="0.25">
      <c r="D645" s="7"/>
    </row>
    <row r="646" spans="4:4" x14ac:dyDescent="0.25">
      <c r="D646" s="7"/>
    </row>
    <row r="647" spans="4:4" x14ac:dyDescent="0.25">
      <c r="D647" s="7"/>
    </row>
    <row r="648" spans="4:4" x14ac:dyDescent="0.25">
      <c r="D648" s="7"/>
    </row>
    <row r="649" spans="4:4" x14ac:dyDescent="0.25">
      <c r="D649" s="7"/>
    </row>
    <row r="650" spans="4:4" x14ac:dyDescent="0.25">
      <c r="D650" s="7"/>
    </row>
    <row r="651" spans="4:4" x14ac:dyDescent="0.25">
      <c r="D651" s="7"/>
    </row>
    <row r="652" spans="4:4" x14ac:dyDescent="0.25">
      <c r="D652" s="7"/>
    </row>
    <row r="653" spans="4:4" x14ac:dyDescent="0.25">
      <c r="D653" s="7"/>
    </row>
    <row r="654" spans="4:4" x14ac:dyDescent="0.25">
      <c r="D654" s="7"/>
    </row>
    <row r="655" spans="4:4" x14ac:dyDescent="0.25">
      <c r="D655" s="7"/>
    </row>
    <row r="656" spans="4:4" x14ac:dyDescent="0.25">
      <c r="D656" s="7"/>
    </row>
    <row r="657" spans="4:4" x14ac:dyDescent="0.25">
      <c r="D657" s="7"/>
    </row>
    <row r="658" spans="4:4" x14ac:dyDescent="0.25">
      <c r="D658" s="7"/>
    </row>
    <row r="659" spans="4:4" x14ac:dyDescent="0.25">
      <c r="D659" s="7"/>
    </row>
    <row r="660" spans="4:4" x14ac:dyDescent="0.25">
      <c r="D660" s="7"/>
    </row>
    <row r="661" spans="4:4" x14ac:dyDescent="0.25">
      <c r="D661" s="7"/>
    </row>
    <row r="662" spans="4:4" x14ac:dyDescent="0.25">
      <c r="D662" s="7"/>
    </row>
    <row r="663" spans="4:4" x14ac:dyDescent="0.25">
      <c r="D663" s="7"/>
    </row>
    <row r="664" spans="4:4" x14ac:dyDescent="0.25">
      <c r="D664" s="7"/>
    </row>
    <row r="665" spans="4:4" x14ac:dyDescent="0.25">
      <c r="D665" s="7"/>
    </row>
    <row r="666" spans="4:4" x14ac:dyDescent="0.25">
      <c r="D666" s="7"/>
    </row>
    <row r="667" spans="4:4" x14ac:dyDescent="0.25">
      <c r="D667" s="7"/>
    </row>
    <row r="668" spans="4:4" x14ac:dyDescent="0.25">
      <c r="D668" s="7"/>
    </row>
    <row r="669" spans="4:4" x14ac:dyDescent="0.25">
      <c r="D669" s="7"/>
    </row>
    <row r="670" spans="4:4" x14ac:dyDescent="0.25">
      <c r="D670" s="7"/>
    </row>
    <row r="671" spans="4:4" x14ac:dyDescent="0.25">
      <c r="D671" s="7"/>
    </row>
    <row r="672" spans="4:4" x14ac:dyDescent="0.25">
      <c r="D672" s="7"/>
    </row>
    <row r="673" spans="4:4" x14ac:dyDescent="0.25">
      <c r="D673" s="7"/>
    </row>
    <row r="674" spans="4:4" x14ac:dyDescent="0.25">
      <c r="D674" s="7"/>
    </row>
    <row r="675" spans="4:4" x14ac:dyDescent="0.25">
      <c r="D675" s="7"/>
    </row>
    <row r="676" spans="4:4" x14ac:dyDescent="0.25">
      <c r="D676" s="7"/>
    </row>
    <row r="677" spans="4:4" x14ac:dyDescent="0.25">
      <c r="D677" s="7"/>
    </row>
    <row r="678" spans="4:4" x14ac:dyDescent="0.25">
      <c r="D678" s="7"/>
    </row>
    <row r="679" spans="4:4" x14ac:dyDescent="0.25">
      <c r="D679" s="7"/>
    </row>
    <row r="680" spans="4:4" x14ac:dyDescent="0.25">
      <c r="D680" s="7"/>
    </row>
    <row r="681" spans="4:4" x14ac:dyDescent="0.25">
      <c r="D681" s="7"/>
    </row>
    <row r="682" spans="4:4" x14ac:dyDescent="0.25">
      <c r="D682" s="7"/>
    </row>
    <row r="683" spans="4:4" x14ac:dyDescent="0.25">
      <c r="D683" s="7"/>
    </row>
    <row r="684" spans="4:4" x14ac:dyDescent="0.25">
      <c r="D684" s="7"/>
    </row>
    <row r="685" spans="4:4" x14ac:dyDescent="0.25">
      <c r="D685" s="7"/>
    </row>
    <row r="686" spans="4:4" x14ac:dyDescent="0.25">
      <c r="D686" s="7"/>
    </row>
    <row r="687" spans="4:4" x14ac:dyDescent="0.25">
      <c r="D687" s="7"/>
    </row>
    <row r="688" spans="4:4" x14ac:dyDescent="0.25">
      <c r="D688" s="7"/>
    </row>
    <row r="689" spans="4:4" x14ac:dyDescent="0.25">
      <c r="D689" s="7"/>
    </row>
    <row r="690" spans="4:4" x14ac:dyDescent="0.25">
      <c r="D690" s="7"/>
    </row>
    <row r="691" spans="4:4" x14ac:dyDescent="0.25">
      <c r="D691" s="7"/>
    </row>
    <row r="692" spans="4:4" x14ac:dyDescent="0.25">
      <c r="D692" s="7"/>
    </row>
    <row r="693" spans="4:4" x14ac:dyDescent="0.25">
      <c r="D693" s="7"/>
    </row>
    <row r="694" spans="4:4" x14ac:dyDescent="0.25">
      <c r="D694" s="7"/>
    </row>
    <row r="695" spans="4:4" x14ac:dyDescent="0.25">
      <c r="D695" s="7"/>
    </row>
    <row r="696" spans="4:4" x14ac:dyDescent="0.25">
      <c r="D696" s="7"/>
    </row>
    <row r="697" spans="4:4" x14ac:dyDescent="0.25">
      <c r="D697" s="7"/>
    </row>
    <row r="698" spans="4:4" x14ac:dyDescent="0.25">
      <c r="D698" s="7"/>
    </row>
    <row r="699" spans="4:4" x14ac:dyDescent="0.25">
      <c r="D699" s="7"/>
    </row>
    <row r="700" spans="4:4" x14ac:dyDescent="0.25">
      <c r="D700" s="7"/>
    </row>
    <row r="701" spans="4:4" x14ac:dyDescent="0.25">
      <c r="D701" s="7"/>
    </row>
    <row r="702" spans="4:4" x14ac:dyDescent="0.25">
      <c r="D702" s="7"/>
    </row>
    <row r="703" spans="4:4" x14ac:dyDescent="0.25">
      <c r="D703" s="7"/>
    </row>
    <row r="704" spans="4:4" x14ac:dyDescent="0.25">
      <c r="D704" s="7"/>
    </row>
    <row r="705" spans="4:4" x14ac:dyDescent="0.25">
      <c r="D705" s="7"/>
    </row>
    <row r="706" spans="4:4" x14ac:dyDescent="0.25">
      <c r="D706" s="7"/>
    </row>
    <row r="707" spans="4:4" x14ac:dyDescent="0.25">
      <c r="D707" s="7"/>
    </row>
    <row r="708" spans="4:4" x14ac:dyDescent="0.25">
      <c r="D708" s="7"/>
    </row>
    <row r="709" spans="4:4" x14ac:dyDescent="0.25">
      <c r="D709" s="7"/>
    </row>
    <row r="710" spans="4:4" x14ac:dyDescent="0.25">
      <c r="D710" s="7"/>
    </row>
    <row r="711" spans="4:4" x14ac:dyDescent="0.25">
      <c r="D711" s="7"/>
    </row>
    <row r="712" spans="4:4" x14ac:dyDescent="0.25">
      <c r="D712" s="7"/>
    </row>
    <row r="713" spans="4:4" x14ac:dyDescent="0.25">
      <c r="D713" s="7"/>
    </row>
    <row r="714" spans="4:4" x14ac:dyDescent="0.25">
      <c r="D714" s="7"/>
    </row>
    <row r="715" spans="4:4" x14ac:dyDescent="0.25">
      <c r="D715" s="7"/>
    </row>
    <row r="716" spans="4:4" x14ac:dyDescent="0.25">
      <c r="D716" s="7"/>
    </row>
    <row r="717" spans="4:4" x14ac:dyDescent="0.25">
      <c r="D717" s="7"/>
    </row>
    <row r="718" spans="4:4" x14ac:dyDescent="0.25">
      <c r="D718" s="7"/>
    </row>
    <row r="719" spans="4:4" x14ac:dyDescent="0.25">
      <c r="D719" s="7"/>
    </row>
    <row r="720" spans="4:4" x14ac:dyDescent="0.25">
      <c r="D720" s="7"/>
    </row>
    <row r="721" spans="4:4" x14ac:dyDescent="0.25">
      <c r="D721" s="7"/>
    </row>
    <row r="722" spans="4:4" x14ac:dyDescent="0.25">
      <c r="D722" s="7"/>
    </row>
    <row r="723" spans="4:4" x14ac:dyDescent="0.25">
      <c r="D723" s="7"/>
    </row>
    <row r="724" spans="4:4" x14ac:dyDescent="0.25">
      <c r="D724" s="7"/>
    </row>
    <row r="725" spans="4:4" x14ac:dyDescent="0.25">
      <c r="D725" s="7"/>
    </row>
    <row r="726" spans="4:4" x14ac:dyDescent="0.25">
      <c r="D726" s="7"/>
    </row>
    <row r="727" spans="4:4" x14ac:dyDescent="0.25">
      <c r="D727" s="7"/>
    </row>
    <row r="728" spans="4:4" x14ac:dyDescent="0.25">
      <c r="D728" s="7"/>
    </row>
    <row r="729" spans="4:4" x14ac:dyDescent="0.25">
      <c r="D729" s="7"/>
    </row>
    <row r="730" spans="4:4" x14ac:dyDescent="0.25">
      <c r="D730" s="7"/>
    </row>
    <row r="731" spans="4:4" x14ac:dyDescent="0.25">
      <c r="D731" s="7"/>
    </row>
    <row r="732" spans="4:4" x14ac:dyDescent="0.25">
      <c r="D732" s="7"/>
    </row>
    <row r="733" spans="4:4" x14ac:dyDescent="0.25">
      <c r="D733" s="7"/>
    </row>
    <row r="734" spans="4:4" x14ac:dyDescent="0.25">
      <c r="D734" s="7"/>
    </row>
    <row r="735" spans="4:4" x14ac:dyDescent="0.25">
      <c r="D735" s="7"/>
    </row>
    <row r="736" spans="4:4" x14ac:dyDescent="0.25">
      <c r="D736" s="7"/>
    </row>
    <row r="737" spans="4:4" x14ac:dyDescent="0.25">
      <c r="D737" s="7"/>
    </row>
    <row r="738" spans="4:4" x14ac:dyDescent="0.25">
      <c r="D738" s="7"/>
    </row>
    <row r="739" spans="4:4" x14ac:dyDescent="0.25">
      <c r="D739" s="7"/>
    </row>
    <row r="740" spans="4:4" x14ac:dyDescent="0.25">
      <c r="D740" s="7"/>
    </row>
    <row r="741" spans="4:4" x14ac:dyDescent="0.25">
      <c r="D741" s="7"/>
    </row>
    <row r="742" spans="4:4" x14ac:dyDescent="0.25">
      <c r="D742" s="7"/>
    </row>
    <row r="743" spans="4:4" x14ac:dyDescent="0.25">
      <c r="D743" s="7"/>
    </row>
    <row r="744" spans="4:4" x14ac:dyDescent="0.25">
      <c r="D744" s="7"/>
    </row>
    <row r="745" spans="4:4" x14ac:dyDescent="0.25">
      <c r="D745" s="7"/>
    </row>
    <row r="746" spans="4:4" x14ac:dyDescent="0.25">
      <c r="D746" s="7"/>
    </row>
    <row r="747" spans="4:4" x14ac:dyDescent="0.25">
      <c r="D747" s="7"/>
    </row>
    <row r="748" spans="4:4" x14ac:dyDescent="0.25">
      <c r="D748" s="7"/>
    </row>
    <row r="749" spans="4:4" x14ac:dyDescent="0.25">
      <c r="D749" s="7"/>
    </row>
    <row r="750" spans="4:4" x14ac:dyDescent="0.25">
      <c r="D750" s="7"/>
    </row>
    <row r="751" spans="4:4" x14ac:dyDescent="0.25">
      <c r="D751" s="7"/>
    </row>
    <row r="752" spans="4:4" x14ac:dyDescent="0.25">
      <c r="D752" s="7"/>
    </row>
    <row r="753" spans="4:4" x14ac:dyDescent="0.25">
      <c r="D753" s="7"/>
    </row>
    <row r="754" spans="4:4" x14ac:dyDescent="0.25">
      <c r="D754" s="7"/>
    </row>
    <row r="755" spans="4:4" x14ac:dyDescent="0.25">
      <c r="D755" s="7"/>
    </row>
    <row r="756" spans="4:4" x14ac:dyDescent="0.25">
      <c r="D756" s="7"/>
    </row>
    <row r="757" spans="4:4" x14ac:dyDescent="0.25">
      <c r="D757" s="7"/>
    </row>
    <row r="758" spans="4:4" x14ac:dyDescent="0.25">
      <c r="D758" s="7"/>
    </row>
    <row r="759" spans="4:4" x14ac:dyDescent="0.25">
      <c r="D759" s="7"/>
    </row>
    <row r="760" spans="4:4" x14ac:dyDescent="0.25">
      <c r="D760" s="7"/>
    </row>
    <row r="761" spans="4:4" x14ac:dyDescent="0.25">
      <c r="D761" s="7"/>
    </row>
    <row r="762" spans="4:4" x14ac:dyDescent="0.25">
      <c r="D762" s="7"/>
    </row>
    <row r="763" spans="4:4" x14ac:dyDescent="0.25">
      <c r="D763" s="7"/>
    </row>
    <row r="764" spans="4:4" x14ac:dyDescent="0.25">
      <c r="D764" s="7"/>
    </row>
    <row r="765" spans="4:4" x14ac:dyDescent="0.25">
      <c r="D765" s="7"/>
    </row>
    <row r="766" spans="4:4" x14ac:dyDescent="0.25">
      <c r="D766" s="7"/>
    </row>
    <row r="767" spans="4:4" x14ac:dyDescent="0.25">
      <c r="D767" s="7"/>
    </row>
    <row r="768" spans="4:4" x14ac:dyDescent="0.25">
      <c r="D768" s="7"/>
    </row>
    <row r="769" spans="4:4" x14ac:dyDescent="0.25">
      <c r="D769" s="7"/>
    </row>
    <row r="770" spans="4:4" x14ac:dyDescent="0.25">
      <c r="D770" s="7"/>
    </row>
    <row r="771" spans="4:4" x14ac:dyDescent="0.25">
      <c r="D771" s="7"/>
    </row>
    <row r="772" spans="4:4" x14ac:dyDescent="0.25">
      <c r="D772" s="7"/>
    </row>
    <row r="773" spans="4:4" x14ac:dyDescent="0.25">
      <c r="D773" s="7"/>
    </row>
    <row r="774" spans="4:4" x14ac:dyDescent="0.25">
      <c r="D774" s="7"/>
    </row>
    <row r="775" spans="4:4" x14ac:dyDescent="0.25">
      <c r="D775" s="7"/>
    </row>
    <row r="776" spans="4:4" x14ac:dyDescent="0.25">
      <c r="D776" s="7"/>
    </row>
    <row r="777" spans="4:4" x14ac:dyDescent="0.25">
      <c r="D777" s="7"/>
    </row>
    <row r="778" spans="4:4" x14ac:dyDescent="0.25">
      <c r="D778" s="7"/>
    </row>
    <row r="779" spans="4:4" x14ac:dyDescent="0.25">
      <c r="D779" s="7"/>
    </row>
    <row r="780" spans="4:4" x14ac:dyDescent="0.25">
      <c r="D780" s="7"/>
    </row>
    <row r="781" spans="4:4" x14ac:dyDescent="0.25">
      <c r="D781" s="7"/>
    </row>
    <row r="782" spans="4:4" x14ac:dyDescent="0.25">
      <c r="D782" s="7"/>
    </row>
    <row r="783" spans="4:4" x14ac:dyDescent="0.25">
      <c r="D783" s="7"/>
    </row>
    <row r="784" spans="4:4" x14ac:dyDescent="0.25">
      <c r="D784" s="7"/>
    </row>
    <row r="785" spans="4:4" x14ac:dyDescent="0.25">
      <c r="D785" s="7"/>
    </row>
    <row r="786" spans="4:4" x14ac:dyDescent="0.25">
      <c r="D786" s="7"/>
    </row>
    <row r="787" spans="4:4" x14ac:dyDescent="0.25">
      <c r="D787" s="7"/>
    </row>
    <row r="788" spans="4:4" x14ac:dyDescent="0.25">
      <c r="D788" s="7"/>
    </row>
    <row r="789" spans="4:4" x14ac:dyDescent="0.25">
      <c r="D789" s="7"/>
    </row>
    <row r="790" spans="4:4" x14ac:dyDescent="0.25">
      <c r="D790" s="7"/>
    </row>
    <row r="791" spans="4:4" x14ac:dyDescent="0.25">
      <c r="D791" s="7"/>
    </row>
    <row r="792" spans="4:4" x14ac:dyDescent="0.25">
      <c r="D792" s="7"/>
    </row>
    <row r="793" spans="4:4" x14ac:dyDescent="0.25">
      <c r="D793" s="7"/>
    </row>
    <row r="794" spans="4:4" x14ac:dyDescent="0.25">
      <c r="D794" s="7"/>
    </row>
    <row r="795" spans="4:4" x14ac:dyDescent="0.25">
      <c r="D795" s="7"/>
    </row>
    <row r="796" spans="4:4" x14ac:dyDescent="0.25">
      <c r="D796" s="7"/>
    </row>
    <row r="797" spans="4:4" x14ac:dyDescent="0.25">
      <c r="D797" s="7"/>
    </row>
    <row r="798" spans="4:4" x14ac:dyDescent="0.25">
      <c r="D798" s="7"/>
    </row>
    <row r="799" spans="4:4" x14ac:dyDescent="0.25">
      <c r="D799" s="7"/>
    </row>
    <row r="800" spans="4:4" x14ac:dyDescent="0.25">
      <c r="D800" s="7"/>
    </row>
    <row r="801" spans="4:4" x14ac:dyDescent="0.25">
      <c r="D801" s="7"/>
    </row>
    <row r="802" spans="4:4" x14ac:dyDescent="0.25">
      <c r="D802" s="7"/>
    </row>
    <row r="803" spans="4:4" x14ac:dyDescent="0.25">
      <c r="D803" s="7"/>
    </row>
    <row r="804" spans="4:4" x14ac:dyDescent="0.25">
      <c r="D804" s="7"/>
    </row>
    <row r="805" spans="4:4" x14ac:dyDescent="0.25">
      <c r="D805" s="7"/>
    </row>
    <row r="806" spans="4:4" x14ac:dyDescent="0.25">
      <c r="D806" s="7"/>
    </row>
    <row r="807" spans="4:4" x14ac:dyDescent="0.25">
      <c r="D807" s="7"/>
    </row>
    <row r="808" spans="4:4" x14ac:dyDescent="0.25">
      <c r="D808" s="7"/>
    </row>
    <row r="809" spans="4:4" x14ac:dyDescent="0.25">
      <c r="D809" s="7"/>
    </row>
    <row r="810" spans="4:4" x14ac:dyDescent="0.25">
      <c r="D810" s="7"/>
    </row>
    <row r="811" spans="4:4" x14ac:dyDescent="0.25">
      <c r="D811" s="7"/>
    </row>
    <row r="812" spans="4:4" x14ac:dyDescent="0.25">
      <c r="D812" s="7"/>
    </row>
    <row r="813" spans="4:4" x14ac:dyDescent="0.25">
      <c r="D813" s="7"/>
    </row>
    <row r="814" spans="4:4" x14ac:dyDescent="0.25">
      <c r="D814" s="7"/>
    </row>
    <row r="815" spans="4:4" x14ac:dyDescent="0.25">
      <c r="D815" s="7"/>
    </row>
    <row r="816" spans="4:4" x14ac:dyDescent="0.25">
      <c r="D816" s="7"/>
    </row>
    <row r="817" spans="4:4" x14ac:dyDescent="0.25">
      <c r="D817" s="7"/>
    </row>
    <row r="818" spans="4:4" x14ac:dyDescent="0.25">
      <c r="D818" s="7"/>
    </row>
    <row r="819" spans="4:4" x14ac:dyDescent="0.25">
      <c r="D819" s="7"/>
    </row>
    <row r="820" spans="4:4" x14ac:dyDescent="0.25">
      <c r="D820" s="7"/>
    </row>
    <row r="821" spans="4:4" x14ac:dyDescent="0.25">
      <c r="D821" s="7"/>
    </row>
    <row r="822" spans="4:4" x14ac:dyDescent="0.25">
      <c r="D822" s="7"/>
    </row>
    <row r="823" spans="4:4" x14ac:dyDescent="0.25">
      <c r="D823" s="7"/>
    </row>
    <row r="824" spans="4:4" x14ac:dyDescent="0.25">
      <c r="D824" s="7"/>
    </row>
    <row r="825" spans="4:4" x14ac:dyDescent="0.25">
      <c r="D825" s="7"/>
    </row>
    <row r="826" spans="4:4" x14ac:dyDescent="0.25">
      <c r="D826" s="7"/>
    </row>
    <row r="827" spans="4:4" x14ac:dyDescent="0.25">
      <c r="D827" s="7"/>
    </row>
    <row r="828" spans="4:4" x14ac:dyDescent="0.25">
      <c r="D828" s="7"/>
    </row>
    <row r="829" spans="4:4" x14ac:dyDescent="0.25">
      <c r="D829" s="7"/>
    </row>
    <row r="830" spans="4:4" x14ac:dyDescent="0.25">
      <c r="D830" s="7"/>
    </row>
    <row r="831" spans="4:4" x14ac:dyDescent="0.25">
      <c r="D831" s="7"/>
    </row>
    <row r="832" spans="4:4" x14ac:dyDescent="0.25">
      <c r="D832" s="7"/>
    </row>
    <row r="833" spans="4:4" x14ac:dyDescent="0.25">
      <c r="D833" s="7"/>
    </row>
    <row r="834" spans="4:4" x14ac:dyDescent="0.25">
      <c r="D834" s="7"/>
    </row>
    <row r="835" spans="4:4" x14ac:dyDescent="0.25">
      <c r="D835" s="7"/>
    </row>
    <row r="836" spans="4:4" x14ac:dyDescent="0.25">
      <c r="D836" s="7"/>
    </row>
    <row r="837" spans="4:4" x14ac:dyDescent="0.25">
      <c r="D837" s="7"/>
    </row>
    <row r="838" spans="4:4" x14ac:dyDescent="0.25">
      <c r="D838" s="7"/>
    </row>
    <row r="839" spans="4:4" x14ac:dyDescent="0.25">
      <c r="D839" s="7"/>
    </row>
    <row r="840" spans="4:4" x14ac:dyDescent="0.25">
      <c r="D840" s="7"/>
    </row>
    <row r="841" spans="4:4" x14ac:dyDescent="0.25">
      <c r="D841" s="7"/>
    </row>
    <row r="842" spans="4:4" x14ac:dyDescent="0.25">
      <c r="D842" s="7"/>
    </row>
    <row r="843" spans="4:4" x14ac:dyDescent="0.25">
      <c r="D843" s="7"/>
    </row>
    <row r="844" spans="4:4" x14ac:dyDescent="0.25">
      <c r="D844" s="7"/>
    </row>
    <row r="845" spans="4:4" x14ac:dyDescent="0.25">
      <c r="D845" s="7"/>
    </row>
    <row r="846" spans="4:4" x14ac:dyDescent="0.25">
      <c r="D846" s="7"/>
    </row>
    <row r="847" spans="4:4" x14ac:dyDescent="0.25">
      <c r="D847" s="7"/>
    </row>
    <row r="848" spans="4:4" x14ac:dyDescent="0.25">
      <c r="D848" s="7"/>
    </row>
    <row r="849" spans="4:4" x14ac:dyDescent="0.25">
      <c r="D849" s="7"/>
    </row>
    <row r="850" spans="4:4" x14ac:dyDescent="0.25">
      <c r="D850" s="7"/>
    </row>
    <row r="851" spans="4:4" x14ac:dyDescent="0.25">
      <c r="D851" s="7"/>
    </row>
    <row r="852" spans="4:4" x14ac:dyDescent="0.25">
      <c r="D852" s="7"/>
    </row>
    <row r="853" spans="4:4" x14ac:dyDescent="0.25">
      <c r="D853" s="7"/>
    </row>
    <row r="854" spans="4:4" x14ac:dyDescent="0.25">
      <c r="D854" s="7"/>
    </row>
    <row r="855" spans="4:4" x14ac:dyDescent="0.25">
      <c r="D855" s="7"/>
    </row>
    <row r="856" spans="4:4" x14ac:dyDescent="0.25">
      <c r="D856" s="7"/>
    </row>
    <row r="857" spans="4:4" x14ac:dyDescent="0.25">
      <c r="D857" s="7"/>
    </row>
    <row r="858" spans="4:4" x14ac:dyDescent="0.25">
      <c r="D858" s="7"/>
    </row>
    <row r="859" spans="4:4" x14ac:dyDescent="0.25">
      <c r="D859" s="7"/>
    </row>
    <row r="860" spans="4:4" x14ac:dyDescent="0.25">
      <c r="D860" s="7"/>
    </row>
    <row r="861" spans="4:4" x14ac:dyDescent="0.25">
      <c r="D861" s="7"/>
    </row>
    <row r="862" spans="4:4" x14ac:dyDescent="0.25">
      <c r="D862" s="7"/>
    </row>
    <row r="863" spans="4:4" x14ac:dyDescent="0.25">
      <c r="D863" s="7"/>
    </row>
    <row r="864" spans="4:4" x14ac:dyDescent="0.25">
      <c r="D864" s="7"/>
    </row>
    <row r="865" spans="4:4" x14ac:dyDescent="0.25">
      <c r="D865" s="7"/>
    </row>
    <row r="866" spans="4:4" x14ac:dyDescent="0.25">
      <c r="D866" s="7"/>
    </row>
    <row r="867" spans="4:4" x14ac:dyDescent="0.25">
      <c r="D867" s="7"/>
    </row>
    <row r="868" spans="4:4" x14ac:dyDescent="0.25">
      <c r="D868" s="7"/>
    </row>
    <row r="869" spans="4:4" x14ac:dyDescent="0.25">
      <c r="D869" s="7"/>
    </row>
    <row r="870" spans="4:4" x14ac:dyDescent="0.25">
      <c r="D870" s="7"/>
    </row>
    <row r="871" spans="4:4" x14ac:dyDescent="0.25">
      <c r="D871" s="7"/>
    </row>
    <row r="872" spans="4:4" x14ac:dyDescent="0.25">
      <c r="D872" s="7"/>
    </row>
    <row r="873" spans="4:4" x14ac:dyDescent="0.25">
      <c r="D873" s="7"/>
    </row>
    <row r="874" spans="4:4" x14ac:dyDescent="0.25">
      <c r="D874" s="7"/>
    </row>
    <row r="875" spans="4:4" x14ac:dyDescent="0.25">
      <c r="D875" s="7"/>
    </row>
    <row r="876" spans="4:4" x14ac:dyDescent="0.25">
      <c r="D876" s="7"/>
    </row>
    <row r="877" spans="4:4" x14ac:dyDescent="0.25">
      <c r="D877" s="7"/>
    </row>
    <row r="878" spans="4:4" x14ac:dyDescent="0.25">
      <c r="D878" s="7"/>
    </row>
    <row r="879" spans="4:4" x14ac:dyDescent="0.25">
      <c r="D879" s="7"/>
    </row>
    <row r="880" spans="4:4" x14ac:dyDescent="0.25">
      <c r="D880" s="7"/>
    </row>
    <row r="881" spans="4:4" x14ac:dyDescent="0.25">
      <c r="D881" s="7"/>
    </row>
    <row r="882" spans="4:4" x14ac:dyDescent="0.25">
      <c r="D882" s="7"/>
    </row>
    <row r="883" spans="4:4" x14ac:dyDescent="0.25">
      <c r="D883" s="7"/>
    </row>
    <row r="884" spans="4:4" x14ac:dyDescent="0.25">
      <c r="D884" s="7"/>
    </row>
    <row r="885" spans="4:4" x14ac:dyDescent="0.25">
      <c r="D885" s="7"/>
    </row>
    <row r="886" spans="4:4" x14ac:dyDescent="0.25">
      <c r="D886" s="7"/>
    </row>
    <row r="887" spans="4:4" x14ac:dyDescent="0.25">
      <c r="D887" s="7"/>
    </row>
    <row r="888" spans="4:4" x14ac:dyDescent="0.25">
      <c r="D888" s="7"/>
    </row>
    <row r="889" spans="4:4" x14ac:dyDescent="0.25">
      <c r="D889" s="7"/>
    </row>
    <row r="890" spans="4:4" x14ac:dyDescent="0.25">
      <c r="D890" s="7"/>
    </row>
    <row r="891" spans="4:4" x14ac:dyDescent="0.25">
      <c r="D891" s="7"/>
    </row>
    <row r="892" spans="4:4" x14ac:dyDescent="0.25">
      <c r="D892" s="7"/>
    </row>
    <row r="893" spans="4:4" x14ac:dyDescent="0.25">
      <c r="D893" s="7"/>
    </row>
    <row r="894" spans="4:4" x14ac:dyDescent="0.25">
      <c r="D894" s="7"/>
    </row>
    <row r="895" spans="4:4" x14ac:dyDescent="0.25">
      <c r="D895" s="7"/>
    </row>
    <row r="896" spans="4:4" x14ac:dyDescent="0.25">
      <c r="D896" s="7"/>
    </row>
    <row r="897" spans="4:4" x14ac:dyDescent="0.25">
      <c r="D897" s="7"/>
    </row>
    <row r="898" spans="4:4" x14ac:dyDescent="0.25">
      <c r="D898" s="7"/>
    </row>
    <row r="899" spans="4:4" x14ac:dyDescent="0.25">
      <c r="D899" s="7"/>
    </row>
    <row r="900" spans="4:4" x14ac:dyDescent="0.25">
      <c r="D900" s="7"/>
    </row>
    <row r="901" spans="4:4" x14ac:dyDescent="0.25">
      <c r="D901" s="7"/>
    </row>
    <row r="902" spans="4:4" x14ac:dyDescent="0.25">
      <c r="D902" s="7"/>
    </row>
    <row r="903" spans="4:4" x14ac:dyDescent="0.25">
      <c r="D903" s="7"/>
    </row>
    <row r="904" spans="4:4" x14ac:dyDescent="0.25">
      <c r="D904" s="7"/>
    </row>
    <row r="905" spans="4:4" x14ac:dyDescent="0.25">
      <c r="D905" s="7"/>
    </row>
    <row r="906" spans="4:4" x14ac:dyDescent="0.25">
      <c r="D906" s="7"/>
    </row>
    <row r="907" spans="4:4" x14ac:dyDescent="0.25">
      <c r="D907" s="7"/>
    </row>
    <row r="908" spans="4:4" x14ac:dyDescent="0.25">
      <c r="D908" s="7"/>
    </row>
    <row r="909" spans="4:4" x14ac:dyDescent="0.25">
      <c r="D909" s="7"/>
    </row>
    <row r="910" spans="4:4" x14ac:dyDescent="0.25">
      <c r="D910" s="7"/>
    </row>
    <row r="911" spans="4:4" x14ac:dyDescent="0.25">
      <c r="D911" s="7"/>
    </row>
    <row r="912" spans="4:4" x14ac:dyDescent="0.25">
      <c r="D912" s="7"/>
    </row>
    <row r="913" spans="4:4" x14ac:dyDescent="0.25">
      <c r="D913" s="7"/>
    </row>
    <row r="914" spans="4:4" x14ac:dyDescent="0.25">
      <c r="D914" s="7"/>
    </row>
    <row r="915" spans="4:4" x14ac:dyDescent="0.25">
      <c r="D915" s="7"/>
    </row>
    <row r="916" spans="4:4" x14ac:dyDescent="0.25">
      <c r="D916" s="7"/>
    </row>
    <row r="917" spans="4:4" x14ac:dyDescent="0.25">
      <c r="D917" s="7"/>
    </row>
    <row r="918" spans="4:4" x14ac:dyDescent="0.25">
      <c r="D918" s="7"/>
    </row>
    <row r="919" spans="4:4" x14ac:dyDescent="0.25">
      <c r="D919" s="7"/>
    </row>
    <row r="920" spans="4:4" x14ac:dyDescent="0.25">
      <c r="D920" s="7"/>
    </row>
    <row r="921" spans="4:4" x14ac:dyDescent="0.25">
      <c r="D921" s="7"/>
    </row>
    <row r="922" spans="4:4" x14ac:dyDescent="0.25">
      <c r="D922" s="7"/>
    </row>
    <row r="923" spans="4:4" x14ac:dyDescent="0.25">
      <c r="D923" s="7"/>
    </row>
    <row r="924" spans="4:4" x14ac:dyDescent="0.25">
      <c r="D924" s="7"/>
    </row>
    <row r="925" spans="4:4" x14ac:dyDescent="0.25">
      <c r="D925" s="7"/>
    </row>
    <row r="926" spans="4:4" x14ac:dyDescent="0.25">
      <c r="D926" s="7"/>
    </row>
    <row r="927" spans="4:4" x14ac:dyDescent="0.25">
      <c r="D927" s="7"/>
    </row>
    <row r="928" spans="4:4" x14ac:dyDescent="0.25">
      <c r="D928" s="7"/>
    </row>
    <row r="929" spans="4:4" x14ac:dyDescent="0.25">
      <c r="D929" s="7"/>
    </row>
    <row r="930" spans="4:4" x14ac:dyDescent="0.25">
      <c r="D930" s="7"/>
    </row>
    <row r="931" spans="4:4" x14ac:dyDescent="0.25">
      <c r="D931" s="7"/>
    </row>
    <row r="932" spans="4:4" x14ac:dyDescent="0.25">
      <c r="D932" s="7"/>
    </row>
    <row r="933" spans="4:4" x14ac:dyDescent="0.25">
      <c r="D933" s="7"/>
    </row>
    <row r="934" spans="4:4" x14ac:dyDescent="0.25">
      <c r="D934" s="7"/>
    </row>
    <row r="935" spans="4:4" x14ac:dyDescent="0.25">
      <c r="D935" s="7"/>
    </row>
    <row r="936" spans="4:4" x14ac:dyDescent="0.25">
      <c r="D936" s="7"/>
    </row>
    <row r="937" spans="4:4" x14ac:dyDescent="0.25">
      <c r="D937" s="7"/>
    </row>
    <row r="938" spans="4:4" x14ac:dyDescent="0.25">
      <c r="D938" s="7"/>
    </row>
    <row r="939" spans="4:4" x14ac:dyDescent="0.25">
      <c r="D939" s="7"/>
    </row>
    <row r="940" spans="4:4" x14ac:dyDescent="0.25">
      <c r="D940" s="7"/>
    </row>
    <row r="941" spans="4:4" x14ac:dyDescent="0.25">
      <c r="D941" s="7"/>
    </row>
    <row r="942" spans="4:4" x14ac:dyDescent="0.25">
      <c r="D942" s="7"/>
    </row>
    <row r="943" spans="4:4" x14ac:dyDescent="0.25">
      <c r="D943" s="7"/>
    </row>
    <row r="944" spans="4:4" x14ac:dyDescent="0.25">
      <c r="D944" s="7"/>
    </row>
    <row r="945" spans="4:4" x14ac:dyDescent="0.25">
      <c r="D945" s="7"/>
    </row>
    <row r="946" spans="4:4" x14ac:dyDescent="0.25">
      <c r="D946" s="7"/>
    </row>
    <row r="947" spans="4:4" x14ac:dyDescent="0.25">
      <c r="D947" s="7"/>
    </row>
    <row r="948" spans="4:4" x14ac:dyDescent="0.25">
      <c r="D948" s="7"/>
    </row>
    <row r="949" spans="4:4" x14ac:dyDescent="0.25">
      <c r="D949" s="7"/>
    </row>
    <row r="950" spans="4:4" x14ac:dyDescent="0.25">
      <c r="D950" s="7"/>
    </row>
    <row r="951" spans="4:4" x14ac:dyDescent="0.25">
      <c r="D951" s="7"/>
    </row>
    <row r="952" spans="4:4" x14ac:dyDescent="0.25">
      <c r="D952" s="7"/>
    </row>
    <row r="953" spans="4:4" x14ac:dyDescent="0.25">
      <c r="D953" s="7"/>
    </row>
    <row r="954" spans="4:4" x14ac:dyDescent="0.25">
      <c r="D954" s="7"/>
    </row>
    <row r="955" spans="4:4" x14ac:dyDescent="0.25">
      <c r="D955" s="7"/>
    </row>
    <row r="956" spans="4:4" x14ac:dyDescent="0.25">
      <c r="D956" s="7"/>
    </row>
    <row r="957" spans="4:4" x14ac:dyDescent="0.25">
      <c r="D957" s="7"/>
    </row>
    <row r="958" spans="4:4" x14ac:dyDescent="0.25">
      <c r="D958" s="7"/>
    </row>
    <row r="959" spans="4:4" x14ac:dyDescent="0.25">
      <c r="D959" s="7"/>
    </row>
    <row r="960" spans="4:4" x14ac:dyDescent="0.25">
      <c r="D960" s="7"/>
    </row>
    <row r="961" spans="4:4" x14ac:dyDescent="0.25">
      <c r="D961" s="7"/>
    </row>
    <row r="962" spans="4:4" x14ac:dyDescent="0.25">
      <c r="D962" s="7"/>
    </row>
    <row r="963" spans="4:4" x14ac:dyDescent="0.25">
      <c r="D963" s="7"/>
    </row>
    <row r="964" spans="4:4" x14ac:dyDescent="0.25">
      <c r="D964" s="7"/>
    </row>
    <row r="965" spans="4:4" x14ac:dyDescent="0.25">
      <c r="D965" s="7"/>
    </row>
    <row r="966" spans="4:4" x14ac:dyDescent="0.25">
      <c r="D966" s="7"/>
    </row>
    <row r="967" spans="4:4" x14ac:dyDescent="0.25">
      <c r="D967" s="7"/>
    </row>
    <row r="968" spans="4:4" x14ac:dyDescent="0.25">
      <c r="D968" s="7"/>
    </row>
    <row r="969" spans="4:4" x14ac:dyDescent="0.25">
      <c r="D969" s="7"/>
    </row>
    <row r="970" spans="4:4" x14ac:dyDescent="0.25">
      <c r="D970" s="7"/>
    </row>
    <row r="971" spans="4:4" x14ac:dyDescent="0.25">
      <c r="D971" s="7"/>
    </row>
    <row r="972" spans="4:4" x14ac:dyDescent="0.25">
      <c r="D972" s="7"/>
    </row>
    <row r="973" spans="4:4" x14ac:dyDescent="0.25">
      <c r="D973" s="7"/>
    </row>
    <row r="974" spans="4:4" x14ac:dyDescent="0.25">
      <c r="D974" s="7"/>
    </row>
    <row r="975" spans="4:4" x14ac:dyDescent="0.25">
      <c r="D975" s="7"/>
    </row>
    <row r="976" spans="4:4" x14ac:dyDescent="0.25">
      <c r="D976" s="7"/>
    </row>
    <row r="977" spans="4:4" x14ac:dyDescent="0.25">
      <c r="D977" s="7"/>
    </row>
    <row r="978" spans="4:4" x14ac:dyDescent="0.25">
      <c r="D978" s="7"/>
    </row>
    <row r="979" spans="4:4" x14ac:dyDescent="0.25">
      <c r="D979" s="7"/>
    </row>
    <row r="980" spans="4:4" x14ac:dyDescent="0.25">
      <c r="D980" s="7"/>
    </row>
    <row r="981" spans="4:4" x14ac:dyDescent="0.25">
      <c r="D981" s="7"/>
    </row>
    <row r="982" spans="4:4" x14ac:dyDescent="0.25">
      <c r="D982" s="7"/>
    </row>
    <row r="983" spans="4:4" x14ac:dyDescent="0.25">
      <c r="D983" s="7"/>
    </row>
    <row r="984" spans="4:4" x14ac:dyDescent="0.25">
      <c r="D984" s="7"/>
    </row>
    <row r="985" spans="4:4" x14ac:dyDescent="0.25">
      <c r="D985" s="7"/>
    </row>
    <row r="986" spans="4:4" x14ac:dyDescent="0.25">
      <c r="D986" s="7"/>
    </row>
    <row r="987" spans="4:4" x14ac:dyDescent="0.25">
      <c r="D987" s="7"/>
    </row>
    <row r="988" spans="4:4" x14ac:dyDescent="0.25">
      <c r="D988" s="7"/>
    </row>
    <row r="989" spans="4:4" x14ac:dyDescent="0.25">
      <c r="D989" s="7"/>
    </row>
    <row r="990" spans="4:4" x14ac:dyDescent="0.25">
      <c r="D990" s="7"/>
    </row>
    <row r="991" spans="4:4" x14ac:dyDescent="0.25">
      <c r="D991" s="7"/>
    </row>
    <row r="992" spans="4:4" x14ac:dyDescent="0.25">
      <c r="D992" s="7"/>
    </row>
    <row r="993" spans="4:4" x14ac:dyDescent="0.25">
      <c r="D993" s="7"/>
    </row>
    <row r="994" spans="4:4" x14ac:dyDescent="0.25">
      <c r="D994" s="7"/>
    </row>
    <row r="995" spans="4:4" x14ac:dyDescent="0.25">
      <c r="D995" s="7"/>
    </row>
    <row r="996" spans="4:4" x14ac:dyDescent="0.25">
      <c r="D996" s="7"/>
    </row>
    <row r="997" spans="4:4" x14ac:dyDescent="0.25">
      <c r="D997" s="7"/>
    </row>
    <row r="998" spans="4:4" x14ac:dyDescent="0.25">
      <c r="D998" s="7"/>
    </row>
    <row r="999" spans="4:4" x14ac:dyDescent="0.25">
      <c r="D999" s="7"/>
    </row>
    <row r="1000" spans="4:4" x14ac:dyDescent="0.25">
      <c r="D1000" s="7"/>
    </row>
    <row r="1001" spans="4:4" x14ac:dyDescent="0.25">
      <c r="D1001" s="7"/>
    </row>
    <row r="1002" spans="4:4" x14ac:dyDescent="0.25">
      <c r="D1002" s="7"/>
    </row>
    <row r="1003" spans="4:4" x14ac:dyDescent="0.25">
      <c r="D1003" s="7"/>
    </row>
    <row r="1004" spans="4:4" x14ac:dyDescent="0.25">
      <c r="D1004" s="7"/>
    </row>
    <row r="1005" spans="4:4" x14ac:dyDescent="0.25">
      <c r="D1005" s="7"/>
    </row>
    <row r="1006" spans="4:4" x14ac:dyDescent="0.25">
      <c r="D1006" s="7"/>
    </row>
    <row r="1007" spans="4:4" x14ac:dyDescent="0.25">
      <c r="D1007" s="7"/>
    </row>
    <row r="1008" spans="4:4" x14ac:dyDescent="0.25">
      <c r="D1008" s="7"/>
    </row>
    <row r="1009" spans="4:4" x14ac:dyDescent="0.25">
      <c r="D1009" s="7"/>
    </row>
    <row r="1010" spans="4:4" x14ac:dyDescent="0.25">
      <c r="D1010" s="7"/>
    </row>
    <row r="1011" spans="4:4" x14ac:dyDescent="0.25">
      <c r="D1011" s="7"/>
    </row>
    <row r="1012" spans="4:4" x14ac:dyDescent="0.25">
      <c r="D1012" s="7"/>
    </row>
    <row r="1013" spans="4:4" x14ac:dyDescent="0.25">
      <c r="D1013" s="7"/>
    </row>
    <row r="1014" spans="4:4" x14ac:dyDescent="0.25">
      <c r="D1014" s="7"/>
    </row>
    <row r="1015" spans="4:4" x14ac:dyDescent="0.25">
      <c r="D1015" s="7"/>
    </row>
    <row r="1016" spans="4:4" x14ac:dyDescent="0.25">
      <c r="D1016" s="7"/>
    </row>
    <row r="1017" spans="4:4" x14ac:dyDescent="0.25">
      <c r="D1017" s="7"/>
    </row>
    <row r="1018" spans="4:4" x14ac:dyDescent="0.25">
      <c r="D1018" s="7"/>
    </row>
    <row r="1019" spans="4:4" x14ac:dyDescent="0.25">
      <c r="D1019" s="7"/>
    </row>
    <row r="1020" spans="4:4" x14ac:dyDescent="0.25">
      <c r="D1020" s="7"/>
    </row>
    <row r="1021" spans="4:4" x14ac:dyDescent="0.25">
      <c r="D1021" s="7"/>
    </row>
    <row r="1022" spans="4:4" x14ac:dyDescent="0.25">
      <c r="D1022" s="7"/>
    </row>
    <row r="1023" spans="4:4" x14ac:dyDescent="0.25">
      <c r="D1023" s="7"/>
    </row>
    <row r="1024" spans="4:4" x14ac:dyDescent="0.25">
      <c r="D1024" s="7"/>
    </row>
    <row r="1025" spans="4:4" x14ac:dyDescent="0.25">
      <c r="D1025" s="7"/>
    </row>
    <row r="1026" spans="4:4" x14ac:dyDescent="0.25">
      <c r="D1026" s="7"/>
    </row>
    <row r="1027" spans="4:4" x14ac:dyDescent="0.25">
      <c r="D1027" s="7"/>
    </row>
    <row r="1028" spans="4:4" x14ac:dyDescent="0.25">
      <c r="D1028" s="7"/>
    </row>
    <row r="1029" spans="4:4" x14ac:dyDescent="0.25">
      <c r="D1029" s="7"/>
    </row>
    <row r="1030" spans="4:4" x14ac:dyDescent="0.25">
      <c r="D1030" s="7"/>
    </row>
    <row r="1031" spans="4:4" x14ac:dyDescent="0.25">
      <c r="D1031" s="7"/>
    </row>
    <row r="1032" spans="4:4" x14ac:dyDescent="0.25">
      <c r="D1032" s="7"/>
    </row>
    <row r="1033" spans="4:4" x14ac:dyDescent="0.25">
      <c r="D1033" s="7"/>
    </row>
    <row r="1034" spans="4:4" x14ac:dyDescent="0.25">
      <c r="D1034" s="7"/>
    </row>
    <row r="1035" spans="4:4" x14ac:dyDescent="0.25">
      <c r="D1035" s="7"/>
    </row>
    <row r="1036" spans="4:4" x14ac:dyDescent="0.25">
      <c r="D1036" s="7"/>
    </row>
    <row r="1037" spans="4:4" x14ac:dyDescent="0.25">
      <c r="D1037" s="7"/>
    </row>
    <row r="1038" spans="4:4" x14ac:dyDescent="0.25">
      <c r="D1038" s="7"/>
    </row>
    <row r="1039" spans="4:4" x14ac:dyDescent="0.25">
      <c r="D1039" s="7"/>
    </row>
    <row r="1040" spans="4:4" x14ac:dyDescent="0.25">
      <c r="D1040" s="7"/>
    </row>
    <row r="1041" spans="4:4" x14ac:dyDescent="0.25">
      <c r="D1041" s="7"/>
    </row>
    <row r="1042" spans="4:4" x14ac:dyDescent="0.25">
      <c r="D1042" s="7"/>
    </row>
    <row r="1043" spans="4:4" x14ac:dyDescent="0.25">
      <c r="D1043" s="7"/>
    </row>
    <row r="1044" spans="4:4" x14ac:dyDescent="0.25">
      <c r="D1044" s="7"/>
    </row>
    <row r="1045" spans="4:4" x14ac:dyDescent="0.25">
      <c r="D1045" s="7"/>
    </row>
    <row r="1046" spans="4:4" x14ac:dyDescent="0.25">
      <c r="D1046" s="7"/>
    </row>
    <row r="1047" spans="4:4" x14ac:dyDescent="0.25">
      <c r="D1047" s="7"/>
    </row>
    <row r="1048" spans="4:4" x14ac:dyDescent="0.25">
      <c r="D1048" s="7"/>
    </row>
    <row r="1049" spans="4:4" x14ac:dyDescent="0.25">
      <c r="D1049" s="7"/>
    </row>
    <row r="1050" spans="4:4" x14ac:dyDescent="0.25">
      <c r="D1050" s="7"/>
    </row>
    <row r="1051" spans="4:4" x14ac:dyDescent="0.25">
      <c r="D1051" s="7"/>
    </row>
    <row r="1052" spans="4:4" x14ac:dyDescent="0.25">
      <c r="D1052" s="7"/>
    </row>
    <row r="1053" spans="4:4" x14ac:dyDescent="0.25">
      <c r="D1053" s="7"/>
    </row>
    <row r="1054" spans="4:4" x14ac:dyDescent="0.25">
      <c r="D1054" s="7"/>
    </row>
    <row r="1055" spans="4:4" x14ac:dyDescent="0.25">
      <c r="D1055" s="7"/>
    </row>
    <row r="1056" spans="4:4" x14ac:dyDescent="0.25">
      <c r="D1056" s="7"/>
    </row>
    <row r="1057" spans="4:4" x14ac:dyDescent="0.25">
      <c r="D1057" s="7"/>
    </row>
    <row r="1058" spans="4:4" x14ac:dyDescent="0.25">
      <c r="D1058" s="7"/>
    </row>
    <row r="1059" spans="4:4" x14ac:dyDescent="0.25">
      <c r="D1059" s="7"/>
    </row>
    <row r="1060" spans="4:4" x14ac:dyDescent="0.25">
      <c r="D1060" s="7"/>
    </row>
    <row r="1061" spans="4:4" x14ac:dyDescent="0.25">
      <c r="D1061" s="7"/>
    </row>
    <row r="1062" spans="4:4" x14ac:dyDescent="0.25">
      <c r="D1062" s="7"/>
    </row>
    <row r="1063" spans="4:4" x14ac:dyDescent="0.25">
      <c r="D1063" s="7"/>
    </row>
    <row r="1064" spans="4:4" x14ac:dyDescent="0.25">
      <c r="D1064" s="7"/>
    </row>
    <row r="1065" spans="4:4" x14ac:dyDescent="0.25">
      <c r="D1065" s="7"/>
    </row>
    <row r="1066" spans="4:4" x14ac:dyDescent="0.25">
      <c r="D1066" s="7"/>
    </row>
    <row r="1067" spans="4:4" x14ac:dyDescent="0.25">
      <c r="D1067" s="7"/>
    </row>
    <row r="1068" spans="4:4" x14ac:dyDescent="0.25">
      <c r="D1068" s="7"/>
    </row>
    <row r="1069" spans="4:4" x14ac:dyDescent="0.25">
      <c r="D1069" s="7"/>
    </row>
    <row r="1070" spans="4:4" x14ac:dyDescent="0.25">
      <c r="D1070" s="7"/>
    </row>
    <row r="1071" spans="4:4" x14ac:dyDescent="0.25">
      <c r="D1071" s="7"/>
    </row>
    <row r="1072" spans="4:4" x14ac:dyDescent="0.25">
      <c r="D1072" s="7"/>
    </row>
    <row r="1073" spans="4:4" x14ac:dyDescent="0.25">
      <c r="D1073" s="7"/>
    </row>
    <row r="1074" spans="4:4" x14ac:dyDescent="0.25">
      <c r="D1074" s="7"/>
    </row>
    <row r="1075" spans="4:4" x14ac:dyDescent="0.25">
      <c r="D1075" s="7"/>
    </row>
    <row r="1076" spans="4:4" x14ac:dyDescent="0.25">
      <c r="D1076" s="7"/>
    </row>
    <row r="1077" spans="4:4" x14ac:dyDescent="0.25">
      <c r="D1077" s="7"/>
    </row>
    <row r="1078" spans="4:4" x14ac:dyDescent="0.25">
      <c r="D1078" s="7"/>
    </row>
    <row r="1079" spans="4:4" x14ac:dyDescent="0.25">
      <c r="D1079" s="7"/>
    </row>
    <row r="1080" spans="4:4" x14ac:dyDescent="0.25">
      <c r="D1080" s="7"/>
    </row>
    <row r="1081" spans="4:4" x14ac:dyDescent="0.25">
      <c r="D1081" s="7"/>
    </row>
    <row r="1082" spans="4:4" x14ac:dyDescent="0.25">
      <c r="D1082" s="7"/>
    </row>
    <row r="1083" spans="4:4" x14ac:dyDescent="0.25">
      <c r="D1083" s="7"/>
    </row>
    <row r="1084" spans="4:4" x14ac:dyDescent="0.25">
      <c r="D1084" s="7"/>
    </row>
    <row r="1085" spans="4:4" x14ac:dyDescent="0.25">
      <c r="D1085" s="7"/>
    </row>
    <row r="1086" spans="4:4" x14ac:dyDescent="0.25">
      <c r="D1086" s="7"/>
    </row>
    <row r="1087" spans="4:4" x14ac:dyDescent="0.25">
      <c r="D1087" s="7"/>
    </row>
    <row r="1088" spans="4:4" x14ac:dyDescent="0.25">
      <c r="D1088" s="7"/>
    </row>
    <row r="1089" spans="4:4" x14ac:dyDescent="0.25">
      <c r="D1089" s="7"/>
    </row>
    <row r="1090" spans="4:4" x14ac:dyDescent="0.25">
      <c r="D1090" s="7"/>
    </row>
    <row r="1091" spans="4:4" x14ac:dyDescent="0.25">
      <c r="D1091" s="7"/>
    </row>
    <row r="1092" spans="4:4" x14ac:dyDescent="0.25">
      <c r="D1092" s="7"/>
    </row>
    <row r="1093" spans="4:4" x14ac:dyDescent="0.25">
      <c r="D1093" s="7"/>
    </row>
    <row r="1094" spans="4:4" x14ac:dyDescent="0.25">
      <c r="D1094" s="7"/>
    </row>
    <row r="1095" spans="4:4" x14ac:dyDescent="0.25">
      <c r="D1095" s="7"/>
    </row>
    <row r="1096" spans="4:4" x14ac:dyDescent="0.25">
      <c r="D1096" s="7"/>
    </row>
    <row r="1097" spans="4:4" x14ac:dyDescent="0.25">
      <c r="D1097" s="7"/>
    </row>
    <row r="1098" spans="4:4" x14ac:dyDescent="0.25">
      <c r="D1098" s="7"/>
    </row>
    <row r="1099" spans="4:4" x14ac:dyDescent="0.25">
      <c r="D1099" s="7"/>
    </row>
    <row r="1100" spans="4:4" x14ac:dyDescent="0.25">
      <c r="D1100" s="7"/>
    </row>
    <row r="1101" spans="4:4" x14ac:dyDescent="0.25">
      <c r="D1101" s="7"/>
    </row>
    <row r="1102" spans="4:4" x14ac:dyDescent="0.25">
      <c r="D1102" s="7"/>
    </row>
    <row r="1103" spans="4:4" x14ac:dyDescent="0.25">
      <c r="D1103" s="7"/>
    </row>
    <row r="1104" spans="4:4" x14ac:dyDescent="0.25">
      <c r="D1104" s="7"/>
    </row>
    <row r="1105" spans="4:4" x14ac:dyDescent="0.25">
      <c r="D1105" s="7"/>
    </row>
    <row r="1106" spans="4:4" x14ac:dyDescent="0.25">
      <c r="D1106" s="7"/>
    </row>
    <row r="1107" spans="4:4" x14ac:dyDescent="0.25">
      <c r="D1107" s="7"/>
    </row>
    <row r="1108" spans="4:4" x14ac:dyDescent="0.25">
      <c r="D1108" s="7"/>
    </row>
    <row r="1109" spans="4:4" x14ac:dyDescent="0.25">
      <c r="D1109" s="7"/>
    </row>
    <row r="1110" spans="4:4" x14ac:dyDescent="0.25">
      <c r="D1110" s="7"/>
    </row>
    <row r="1111" spans="4:4" x14ac:dyDescent="0.25">
      <c r="D1111" s="7"/>
    </row>
    <row r="1112" spans="4:4" x14ac:dyDescent="0.25">
      <c r="D1112" s="7"/>
    </row>
    <row r="1113" spans="4:4" x14ac:dyDescent="0.25">
      <c r="D1113" s="7"/>
    </row>
    <row r="1114" spans="4:4" x14ac:dyDescent="0.25">
      <c r="D1114" s="7"/>
    </row>
    <row r="1115" spans="4:4" x14ac:dyDescent="0.25">
      <c r="D1115" s="7"/>
    </row>
    <row r="1116" spans="4:4" x14ac:dyDescent="0.25">
      <c r="D1116" s="7"/>
    </row>
    <row r="1117" spans="4:4" x14ac:dyDescent="0.25">
      <c r="D1117" s="7"/>
    </row>
    <row r="1118" spans="4:4" x14ac:dyDescent="0.25">
      <c r="D1118" s="7"/>
    </row>
    <row r="1119" spans="4:4" x14ac:dyDescent="0.25">
      <c r="D1119" s="7"/>
    </row>
    <row r="1120" spans="4:4" x14ac:dyDescent="0.25">
      <c r="D1120" s="7"/>
    </row>
    <row r="1121" spans="4:4" x14ac:dyDescent="0.25">
      <c r="D1121" s="7"/>
    </row>
    <row r="1122" spans="4:4" x14ac:dyDescent="0.25">
      <c r="D1122" s="7"/>
    </row>
    <row r="1123" spans="4:4" x14ac:dyDescent="0.25">
      <c r="D1123" s="7"/>
    </row>
    <row r="1124" spans="4:4" x14ac:dyDescent="0.25">
      <c r="D1124" s="7"/>
    </row>
    <row r="1125" spans="4:4" x14ac:dyDescent="0.25">
      <c r="D1125" s="7"/>
    </row>
    <row r="1126" spans="4:4" x14ac:dyDescent="0.25">
      <c r="D1126" s="7"/>
    </row>
    <row r="1127" spans="4:4" x14ac:dyDescent="0.25">
      <c r="D1127" s="7"/>
    </row>
    <row r="1128" spans="4:4" x14ac:dyDescent="0.25">
      <c r="D1128" s="7"/>
    </row>
    <row r="1129" spans="4:4" x14ac:dyDescent="0.25">
      <c r="D1129" s="7"/>
    </row>
    <row r="1130" spans="4:4" x14ac:dyDescent="0.25">
      <c r="D1130" s="7"/>
    </row>
    <row r="1131" spans="4:4" x14ac:dyDescent="0.25">
      <c r="D1131" s="7"/>
    </row>
    <row r="1132" spans="4:4" x14ac:dyDescent="0.25">
      <c r="D1132" s="7"/>
    </row>
    <row r="1133" spans="4:4" x14ac:dyDescent="0.25">
      <c r="D1133" s="7"/>
    </row>
    <row r="1134" spans="4:4" x14ac:dyDescent="0.25">
      <c r="D1134" s="7"/>
    </row>
    <row r="1135" spans="4:4" x14ac:dyDescent="0.25">
      <c r="D1135" s="7"/>
    </row>
    <row r="1136" spans="4:4" x14ac:dyDescent="0.25">
      <c r="D1136" s="7"/>
    </row>
    <row r="1137" spans="4:4" x14ac:dyDescent="0.25">
      <c r="D1137" s="7"/>
    </row>
    <row r="1138" spans="4:4" x14ac:dyDescent="0.25">
      <c r="D1138" s="7"/>
    </row>
    <row r="1139" spans="4:4" x14ac:dyDescent="0.25">
      <c r="D1139" s="7"/>
    </row>
    <row r="1140" spans="4:4" x14ac:dyDescent="0.25">
      <c r="D1140" s="7"/>
    </row>
    <row r="1141" spans="4:4" x14ac:dyDescent="0.25">
      <c r="D1141" s="7"/>
    </row>
    <row r="1142" spans="4:4" x14ac:dyDescent="0.25">
      <c r="D1142" s="7"/>
    </row>
    <row r="1143" spans="4:4" x14ac:dyDescent="0.25">
      <c r="D1143" s="7"/>
    </row>
    <row r="1144" spans="4:4" x14ac:dyDescent="0.25">
      <c r="D1144" s="7"/>
    </row>
    <row r="1145" spans="4:4" x14ac:dyDescent="0.25">
      <c r="D1145" s="7"/>
    </row>
    <row r="1146" spans="4:4" x14ac:dyDescent="0.25">
      <c r="D1146" s="7"/>
    </row>
    <row r="1147" spans="4:4" x14ac:dyDescent="0.25">
      <c r="D1147" s="7"/>
    </row>
    <row r="1148" spans="4:4" x14ac:dyDescent="0.25">
      <c r="D1148" s="7"/>
    </row>
    <row r="1149" spans="4:4" x14ac:dyDescent="0.25">
      <c r="D1149" s="7"/>
    </row>
    <row r="1150" spans="4:4" x14ac:dyDescent="0.25">
      <c r="D1150" s="7"/>
    </row>
    <row r="1151" spans="4:4" x14ac:dyDescent="0.25">
      <c r="D1151" s="7"/>
    </row>
    <row r="1152" spans="4:4" x14ac:dyDescent="0.25">
      <c r="D1152" s="7"/>
    </row>
    <row r="1153" spans="4:4" x14ac:dyDescent="0.25">
      <c r="D1153" s="7"/>
    </row>
    <row r="1154" spans="4:4" x14ac:dyDescent="0.25">
      <c r="D1154" s="7"/>
    </row>
    <row r="1155" spans="4:4" x14ac:dyDescent="0.25">
      <c r="D1155" s="7"/>
    </row>
    <row r="1156" spans="4:4" x14ac:dyDescent="0.25">
      <c r="D1156" s="7"/>
    </row>
    <row r="1157" spans="4:4" x14ac:dyDescent="0.25">
      <c r="D1157" s="7"/>
    </row>
    <row r="1158" spans="4:4" x14ac:dyDescent="0.25">
      <c r="D1158" s="7"/>
    </row>
    <row r="1159" spans="4:4" x14ac:dyDescent="0.25">
      <c r="D1159" s="7"/>
    </row>
    <row r="1160" spans="4:4" x14ac:dyDescent="0.25">
      <c r="D1160" s="7"/>
    </row>
    <row r="1161" spans="4:4" x14ac:dyDescent="0.25">
      <c r="D1161" s="7"/>
    </row>
    <row r="1162" spans="4:4" x14ac:dyDescent="0.25">
      <c r="D1162" s="7"/>
    </row>
    <row r="1163" spans="4:4" x14ac:dyDescent="0.25">
      <c r="D1163" s="7"/>
    </row>
    <row r="1164" spans="4:4" x14ac:dyDescent="0.25">
      <c r="D1164" s="7"/>
    </row>
    <row r="1165" spans="4:4" x14ac:dyDescent="0.25">
      <c r="D1165" s="7"/>
    </row>
    <row r="1166" spans="4:4" x14ac:dyDescent="0.25">
      <c r="D1166" s="7"/>
    </row>
    <row r="1167" spans="4:4" x14ac:dyDescent="0.25">
      <c r="D1167" s="7"/>
    </row>
    <row r="1168" spans="4:4" x14ac:dyDescent="0.25">
      <c r="D1168" s="7"/>
    </row>
    <row r="1169" spans="4:4" x14ac:dyDescent="0.25">
      <c r="D1169" s="7"/>
    </row>
    <row r="1170" spans="4:4" x14ac:dyDescent="0.25">
      <c r="D1170" s="7"/>
    </row>
    <row r="1171" spans="4:4" x14ac:dyDescent="0.25">
      <c r="D1171" s="7"/>
    </row>
    <row r="1172" spans="4:4" x14ac:dyDescent="0.25">
      <c r="D1172" s="7"/>
    </row>
    <row r="1173" spans="4:4" x14ac:dyDescent="0.25">
      <c r="D1173" s="7"/>
    </row>
    <row r="1174" spans="4:4" x14ac:dyDescent="0.25">
      <c r="D1174" s="7"/>
    </row>
    <row r="1175" spans="4:4" x14ac:dyDescent="0.25">
      <c r="D1175" s="7"/>
    </row>
    <row r="1176" spans="4:4" x14ac:dyDescent="0.25">
      <c r="D1176" s="7"/>
    </row>
    <row r="1177" spans="4:4" x14ac:dyDescent="0.25">
      <c r="D1177" s="7"/>
    </row>
    <row r="1178" spans="4:4" x14ac:dyDescent="0.25">
      <c r="D1178" s="7"/>
    </row>
    <row r="1179" spans="4:4" x14ac:dyDescent="0.25">
      <c r="D1179" s="7"/>
    </row>
    <row r="1180" spans="4:4" x14ac:dyDescent="0.25">
      <c r="D1180" s="7"/>
    </row>
    <row r="1181" spans="4:4" x14ac:dyDescent="0.25">
      <c r="D1181" s="7"/>
    </row>
    <row r="1182" spans="4:4" x14ac:dyDescent="0.25">
      <c r="D1182" s="7"/>
    </row>
    <row r="1183" spans="4:4" x14ac:dyDescent="0.25">
      <c r="D1183" s="7"/>
    </row>
    <row r="1184" spans="4:4" x14ac:dyDescent="0.25">
      <c r="D1184" s="7"/>
    </row>
    <row r="1185" spans="4:4" x14ac:dyDescent="0.25">
      <c r="D1185" s="7"/>
    </row>
    <row r="1186" spans="4:4" x14ac:dyDescent="0.25">
      <c r="D1186" s="7"/>
    </row>
    <row r="1187" spans="4:4" x14ac:dyDescent="0.25">
      <c r="D1187" s="7"/>
    </row>
    <row r="1188" spans="4:4" x14ac:dyDescent="0.25">
      <c r="D1188" s="7"/>
    </row>
    <row r="1189" spans="4:4" x14ac:dyDescent="0.25">
      <c r="D1189" s="7"/>
    </row>
    <row r="1190" spans="4:4" x14ac:dyDescent="0.25">
      <c r="D1190" s="7"/>
    </row>
    <row r="1191" spans="4:4" x14ac:dyDescent="0.25">
      <c r="D1191" s="7"/>
    </row>
    <row r="1192" spans="4:4" x14ac:dyDescent="0.25">
      <c r="D1192" s="7"/>
    </row>
    <row r="1193" spans="4:4" x14ac:dyDescent="0.25">
      <c r="D1193" s="7"/>
    </row>
    <row r="1194" spans="4:4" x14ac:dyDescent="0.25">
      <c r="D1194" s="7"/>
    </row>
    <row r="1195" spans="4:4" x14ac:dyDescent="0.25">
      <c r="D1195" s="7"/>
    </row>
    <row r="1196" spans="4:4" x14ac:dyDescent="0.25">
      <c r="D1196" s="7"/>
    </row>
    <row r="1197" spans="4:4" x14ac:dyDescent="0.25">
      <c r="D1197" s="7"/>
    </row>
    <row r="1198" spans="4:4" x14ac:dyDescent="0.25">
      <c r="D1198" s="7"/>
    </row>
    <row r="1199" spans="4:4" x14ac:dyDescent="0.25">
      <c r="D1199" s="7"/>
    </row>
    <row r="1200" spans="4:4" x14ac:dyDescent="0.25">
      <c r="D1200" s="7"/>
    </row>
    <row r="1201" spans="4:4" x14ac:dyDescent="0.25">
      <c r="D1201" s="7"/>
    </row>
    <row r="1202" spans="4:4" x14ac:dyDescent="0.25">
      <c r="D1202" s="7"/>
    </row>
    <row r="1203" spans="4:4" x14ac:dyDescent="0.25">
      <c r="D1203" s="7"/>
    </row>
    <row r="1204" spans="4:4" x14ac:dyDescent="0.25">
      <c r="D1204" s="7"/>
    </row>
    <row r="1205" spans="4:4" x14ac:dyDescent="0.25">
      <c r="D1205" s="7"/>
    </row>
    <row r="1206" spans="4:4" x14ac:dyDescent="0.25">
      <c r="D1206" s="7"/>
    </row>
    <row r="1207" spans="4:4" x14ac:dyDescent="0.25">
      <c r="D1207" s="7"/>
    </row>
    <row r="1208" spans="4:4" x14ac:dyDescent="0.25">
      <c r="D1208" s="7"/>
    </row>
    <row r="1209" spans="4:4" x14ac:dyDescent="0.25">
      <c r="D1209" s="7"/>
    </row>
    <row r="1210" spans="4:4" x14ac:dyDescent="0.25">
      <c r="D1210" s="7"/>
    </row>
    <row r="1211" spans="4:4" x14ac:dyDescent="0.25">
      <c r="D1211" s="7"/>
    </row>
    <row r="1212" spans="4:4" x14ac:dyDescent="0.25">
      <c r="D1212" s="7"/>
    </row>
    <row r="1213" spans="4:4" x14ac:dyDescent="0.25">
      <c r="D1213" s="7"/>
    </row>
    <row r="1214" spans="4:4" x14ac:dyDescent="0.25">
      <c r="D1214" s="7"/>
    </row>
    <row r="1215" spans="4:4" x14ac:dyDescent="0.25">
      <c r="D1215" s="7"/>
    </row>
    <row r="1216" spans="4:4" x14ac:dyDescent="0.25">
      <c r="D1216" s="7"/>
    </row>
    <row r="1217" spans="4:4" x14ac:dyDescent="0.25">
      <c r="D1217" s="7"/>
    </row>
    <row r="1218" spans="4:4" x14ac:dyDescent="0.25">
      <c r="D1218" s="7"/>
    </row>
    <row r="1219" spans="4:4" x14ac:dyDescent="0.25">
      <c r="D1219" s="7"/>
    </row>
    <row r="1220" spans="4:4" x14ac:dyDescent="0.25">
      <c r="D1220" s="7"/>
    </row>
    <row r="1221" spans="4:4" x14ac:dyDescent="0.25">
      <c r="D1221" s="7"/>
    </row>
    <row r="1222" spans="4:4" x14ac:dyDescent="0.25">
      <c r="D1222" s="7"/>
    </row>
    <row r="1223" spans="4:4" x14ac:dyDescent="0.25">
      <c r="D1223" s="7"/>
    </row>
    <row r="1224" spans="4:4" x14ac:dyDescent="0.25">
      <c r="D1224" s="7"/>
    </row>
    <row r="1225" spans="4:4" x14ac:dyDescent="0.25">
      <c r="D1225" s="7"/>
    </row>
    <row r="1226" spans="4:4" x14ac:dyDescent="0.25">
      <c r="D1226" s="7"/>
    </row>
    <row r="1227" spans="4:4" x14ac:dyDescent="0.25">
      <c r="D1227" s="7"/>
    </row>
    <row r="1228" spans="4:4" x14ac:dyDescent="0.25">
      <c r="D1228" s="7"/>
    </row>
    <row r="1229" spans="4:4" x14ac:dyDescent="0.25">
      <c r="D1229" s="7"/>
    </row>
    <row r="1230" spans="4:4" x14ac:dyDescent="0.25">
      <c r="D1230" s="7"/>
    </row>
    <row r="1231" spans="4:4" x14ac:dyDescent="0.25">
      <c r="D1231" s="7"/>
    </row>
    <row r="1232" spans="4:4" x14ac:dyDescent="0.25">
      <c r="D1232" s="7"/>
    </row>
    <row r="1233" spans="4:4" x14ac:dyDescent="0.25">
      <c r="D1233" s="7"/>
    </row>
    <row r="1234" spans="4:4" x14ac:dyDescent="0.25">
      <c r="D1234" s="7"/>
    </row>
    <row r="1235" spans="4:4" x14ac:dyDescent="0.25">
      <c r="D1235" s="7"/>
    </row>
    <row r="1236" spans="4:4" x14ac:dyDescent="0.25">
      <c r="D1236" s="7"/>
    </row>
    <row r="1237" spans="4:4" x14ac:dyDescent="0.25">
      <c r="D1237" s="7"/>
    </row>
    <row r="1238" spans="4:4" x14ac:dyDescent="0.25">
      <c r="D1238" s="7"/>
    </row>
    <row r="1239" spans="4:4" x14ac:dyDescent="0.25">
      <c r="D1239" s="7"/>
    </row>
    <row r="1240" spans="4:4" x14ac:dyDescent="0.25">
      <c r="D1240" s="7"/>
    </row>
    <row r="1241" spans="4:4" x14ac:dyDescent="0.25">
      <c r="D1241" s="7"/>
    </row>
    <row r="1242" spans="4:4" x14ac:dyDescent="0.25">
      <c r="D1242" s="7"/>
    </row>
    <row r="1243" spans="4:4" x14ac:dyDescent="0.25">
      <c r="D1243" s="7"/>
    </row>
    <row r="1244" spans="4:4" x14ac:dyDescent="0.25">
      <c r="D1244" s="7"/>
    </row>
    <row r="1245" spans="4:4" x14ac:dyDescent="0.25">
      <c r="D1245" s="7"/>
    </row>
    <row r="1246" spans="4:4" x14ac:dyDescent="0.25">
      <c r="D1246" s="7"/>
    </row>
    <row r="1247" spans="4:4" x14ac:dyDescent="0.25">
      <c r="D1247" s="7"/>
    </row>
    <row r="1248" spans="4:4" x14ac:dyDescent="0.25">
      <c r="D1248" s="7"/>
    </row>
    <row r="1249" spans="4:4" x14ac:dyDescent="0.25">
      <c r="D1249" s="7"/>
    </row>
    <row r="1250" spans="4:4" x14ac:dyDescent="0.25">
      <c r="D1250" s="7"/>
    </row>
    <row r="1251" spans="4:4" x14ac:dyDescent="0.25">
      <c r="D1251" s="7"/>
    </row>
    <row r="1252" spans="4:4" x14ac:dyDescent="0.25">
      <c r="D1252" s="7"/>
    </row>
    <row r="1253" spans="4:4" x14ac:dyDescent="0.25">
      <c r="D1253" s="7"/>
    </row>
    <row r="1254" spans="4:4" x14ac:dyDescent="0.25">
      <c r="D1254" s="7"/>
    </row>
    <row r="1255" spans="4:4" x14ac:dyDescent="0.25">
      <c r="D1255" s="7"/>
    </row>
    <row r="1256" spans="4:4" x14ac:dyDescent="0.25">
      <c r="D1256" s="7"/>
    </row>
    <row r="1257" spans="4:4" x14ac:dyDescent="0.25">
      <c r="D1257" s="7"/>
    </row>
    <row r="1258" spans="4:4" x14ac:dyDescent="0.25">
      <c r="D1258" s="7"/>
    </row>
    <row r="1259" spans="4:4" x14ac:dyDescent="0.25">
      <c r="D1259" s="7"/>
    </row>
    <row r="1260" spans="4:4" x14ac:dyDescent="0.25">
      <c r="D1260" s="7"/>
    </row>
    <row r="1261" spans="4:4" x14ac:dyDescent="0.25">
      <c r="D1261" s="7"/>
    </row>
    <row r="1262" spans="4:4" x14ac:dyDescent="0.25">
      <c r="D1262" s="7"/>
    </row>
    <row r="1263" spans="4:4" x14ac:dyDescent="0.25">
      <c r="D1263" s="7"/>
    </row>
    <row r="1264" spans="4:4" x14ac:dyDescent="0.25">
      <c r="D1264" s="7"/>
    </row>
    <row r="1265" spans="4:4" x14ac:dyDescent="0.25">
      <c r="D1265" s="7"/>
    </row>
    <row r="1266" spans="4:4" x14ac:dyDescent="0.25">
      <c r="D1266" s="7"/>
    </row>
    <row r="1267" spans="4:4" x14ac:dyDescent="0.25">
      <c r="D1267" s="7"/>
    </row>
    <row r="1268" spans="4:4" x14ac:dyDescent="0.25">
      <c r="D1268" s="7"/>
    </row>
    <row r="1269" spans="4:4" x14ac:dyDescent="0.25">
      <c r="D1269" s="7"/>
    </row>
    <row r="1270" spans="4:4" x14ac:dyDescent="0.25">
      <c r="D1270" s="7"/>
    </row>
    <row r="1271" spans="4:4" x14ac:dyDescent="0.25">
      <c r="D1271" s="7"/>
    </row>
    <row r="1272" spans="4:4" x14ac:dyDescent="0.25">
      <c r="D1272" s="7"/>
    </row>
    <row r="1273" spans="4:4" x14ac:dyDescent="0.25">
      <c r="D1273" s="7"/>
    </row>
    <row r="1274" spans="4:4" x14ac:dyDescent="0.25">
      <c r="D1274" s="7"/>
    </row>
    <row r="1275" spans="4:4" x14ac:dyDescent="0.25">
      <c r="D1275" s="7"/>
    </row>
    <row r="1276" spans="4:4" x14ac:dyDescent="0.25">
      <c r="D1276" s="7"/>
    </row>
    <row r="1277" spans="4:4" x14ac:dyDescent="0.25">
      <c r="D1277" s="7"/>
    </row>
    <row r="1278" spans="4:4" x14ac:dyDescent="0.25">
      <c r="D1278" s="7"/>
    </row>
    <row r="1279" spans="4:4" x14ac:dyDescent="0.25">
      <c r="D1279" s="7"/>
    </row>
    <row r="1280" spans="4:4" x14ac:dyDescent="0.25">
      <c r="D1280" s="7"/>
    </row>
    <row r="1281" spans="4:4" x14ac:dyDescent="0.25">
      <c r="D1281" s="7"/>
    </row>
    <row r="1282" spans="4:4" x14ac:dyDescent="0.25">
      <c r="D1282" s="7"/>
    </row>
    <row r="1283" spans="4:4" x14ac:dyDescent="0.25">
      <c r="D1283" s="7"/>
    </row>
    <row r="1284" spans="4:4" x14ac:dyDescent="0.25">
      <c r="D1284" s="7"/>
    </row>
    <row r="1285" spans="4:4" x14ac:dyDescent="0.25">
      <c r="D1285" s="7"/>
    </row>
    <row r="1286" spans="4:4" x14ac:dyDescent="0.25">
      <c r="D1286" s="7"/>
    </row>
    <row r="1287" spans="4:4" x14ac:dyDescent="0.25">
      <c r="D1287" s="7"/>
    </row>
    <row r="1288" spans="4:4" x14ac:dyDescent="0.25">
      <c r="D1288" s="7"/>
    </row>
    <row r="1289" spans="4:4" x14ac:dyDescent="0.25">
      <c r="D1289" s="7"/>
    </row>
    <row r="1290" spans="4:4" x14ac:dyDescent="0.25">
      <c r="D1290" s="7"/>
    </row>
    <row r="1291" spans="4:4" x14ac:dyDescent="0.25">
      <c r="D1291" s="7"/>
    </row>
    <row r="1292" spans="4:4" x14ac:dyDescent="0.25">
      <c r="D1292" s="7"/>
    </row>
    <row r="1293" spans="4:4" x14ac:dyDescent="0.25">
      <c r="D1293" s="7"/>
    </row>
    <row r="1294" spans="4:4" x14ac:dyDescent="0.25">
      <c r="D1294" s="7"/>
    </row>
    <row r="1295" spans="4:4" x14ac:dyDescent="0.25">
      <c r="D1295" s="7"/>
    </row>
    <row r="1296" spans="4:4" x14ac:dyDescent="0.25">
      <c r="D1296" s="7"/>
    </row>
    <row r="1297" spans="4:4" x14ac:dyDescent="0.25">
      <c r="D1297" s="7"/>
    </row>
    <row r="1298" spans="4:4" x14ac:dyDescent="0.25">
      <c r="D1298" s="7"/>
    </row>
    <row r="1299" spans="4:4" x14ac:dyDescent="0.25">
      <c r="D1299" s="7"/>
    </row>
    <row r="1300" spans="4:4" x14ac:dyDescent="0.25">
      <c r="D1300" s="7"/>
    </row>
    <row r="1301" spans="4:4" x14ac:dyDescent="0.25">
      <c r="D1301" s="7"/>
    </row>
    <row r="1302" spans="4:4" x14ac:dyDescent="0.25">
      <c r="D1302" s="7"/>
    </row>
    <row r="1303" spans="4:4" x14ac:dyDescent="0.25">
      <c r="D1303" s="7"/>
    </row>
    <row r="1304" spans="4:4" x14ac:dyDescent="0.25">
      <c r="D1304" s="7"/>
    </row>
    <row r="1305" spans="4:4" x14ac:dyDescent="0.25">
      <c r="D1305" s="7"/>
    </row>
    <row r="1306" spans="4:4" x14ac:dyDescent="0.25">
      <c r="D1306" s="7"/>
    </row>
    <row r="1307" spans="4:4" x14ac:dyDescent="0.25">
      <c r="D1307" s="7"/>
    </row>
    <row r="1308" spans="4:4" x14ac:dyDescent="0.25">
      <c r="D1308" s="7"/>
    </row>
    <row r="1309" spans="4:4" x14ac:dyDescent="0.25">
      <c r="D1309" s="7"/>
    </row>
    <row r="1310" spans="4:4" x14ac:dyDescent="0.25">
      <c r="D1310" s="7"/>
    </row>
    <row r="1311" spans="4:4" x14ac:dyDescent="0.25">
      <c r="D1311" s="7"/>
    </row>
    <row r="1312" spans="4:4" x14ac:dyDescent="0.25">
      <c r="D1312" s="7"/>
    </row>
    <row r="1313" spans="4:4" x14ac:dyDescent="0.25">
      <c r="D1313" s="7"/>
    </row>
    <row r="1314" spans="4:4" x14ac:dyDescent="0.25">
      <c r="D1314" s="7"/>
    </row>
    <row r="1315" spans="4:4" x14ac:dyDescent="0.25">
      <c r="D1315" s="7"/>
    </row>
    <row r="1316" spans="4:4" x14ac:dyDescent="0.25">
      <c r="D1316" s="7"/>
    </row>
    <row r="1317" spans="4:4" x14ac:dyDescent="0.25">
      <c r="D1317" s="7"/>
    </row>
    <row r="1318" spans="4:4" x14ac:dyDescent="0.25">
      <c r="D1318" s="7"/>
    </row>
    <row r="1319" spans="4:4" x14ac:dyDescent="0.25">
      <c r="D1319" s="7"/>
    </row>
    <row r="1320" spans="4:4" x14ac:dyDescent="0.25">
      <c r="D1320" s="7"/>
    </row>
    <row r="1321" spans="4:4" x14ac:dyDescent="0.25">
      <c r="D1321" s="7"/>
    </row>
    <row r="1322" spans="4:4" x14ac:dyDescent="0.25">
      <c r="D1322" s="7"/>
    </row>
    <row r="1323" spans="4:4" x14ac:dyDescent="0.25">
      <c r="D1323" s="7"/>
    </row>
    <row r="1324" spans="4:4" x14ac:dyDescent="0.25">
      <c r="D1324" s="7"/>
    </row>
    <row r="1325" spans="4:4" x14ac:dyDescent="0.25">
      <c r="D1325" s="7"/>
    </row>
    <row r="1326" spans="4:4" x14ac:dyDescent="0.25">
      <c r="D1326" s="7"/>
    </row>
    <row r="1327" spans="4:4" x14ac:dyDescent="0.25">
      <c r="D1327" s="7"/>
    </row>
    <row r="1328" spans="4:4" x14ac:dyDescent="0.25">
      <c r="D1328" s="7"/>
    </row>
    <row r="1329" spans="4:4" x14ac:dyDescent="0.25">
      <c r="D1329" s="7"/>
    </row>
    <row r="1330" spans="4:4" x14ac:dyDescent="0.25">
      <c r="D1330" s="7"/>
    </row>
    <row r="1331" spans="4:4" x14ac:dyDescent="0.25">
      <c r="D1331" s="7"/>
    </row>
    <row r="1332" spans="4:4" x14ac:dyDescent="0.25">
      <c r="D1332" s="7"/>
    </row>
    <row r="1333" spans="4:4" x14ac:dyDescent="0.25">
      <c r="D1333" s="7"/>
    </row>
    <row r="1334" spans="4:4" x14ac:dyDescent="0.25">
      <c r="D1334" s="7"/>
    </row>
    <row r="1335" spans="4:4" x14ac:dyDescent="0.25">
      <c r="D1335" s="7"/>
    </row>
    <row r="1336" spans="4:4" x14ac:dyDescent="0.25">
      <c r="D1336" s="7"/>
    </row>
    <row r="1337" spans="4:4" x14ac:dyDescent="0.25">
      <c r="D1337" s="7"/>
    </row>
    <row r="1338" spans="4:4" x14ac:dyDescent="0.25">
      <c r="D1338" s="7"/>
    </row>
    <row r="1339" spans="4:4" x14ac:dyDescent="0.25">
      <c r="D1339" s="7"/>
    </row>
    <row r="1340" spans="4:4" x14ac:dyDescent="0.25">
      <c r="D1340" s="7"/>
    </row>
    <row r="1341" spans="4:4" x14ac:dyDescent="0.25">
      <c r="D1341" s="7"/>
    </row>
    <row r="1342" spans="4:4" x14ac:dyDescent="0.25">
      <c r="D1342" s="7"/>
    </row>
    <row r="1343" spans="4:4" x14ac:dyDescent="0.25">
      <c r="D1343" s="7"/>
    </row>
    <row r="1344" spans="4:4" x14ac:dyDescent="0.25">
      <c r="D1344" s="7"/>
    </row>
    <row r="1345" spans="4:4" x14ac:dyDescent="0.25">
      <c r="D1345" s="7"/>
    </row>
    <row r="1346" spans="4:4" x14ac:dyDescent="0.25">
      <c r="D1346" s="7"/>
    </row>
    <row r="1347" spans="4:4" x14ac:dyDescent="0.25">
      <c r="D1347" s="7"/>
    </row>
    <row r="1348" spans="4:4" x14ac:dyDescent="0.25">
      <c r="D1348" s="7"/>
    </row>
    <row r="1349" spans="4:4" x14ac:dyDescent="0.25">
      <c r="D1349" s="7"/>
    </row>
    <row r="1350" spans="4:4" x14ac:dyDescent="0.25">
      <c r="D1350" s="7"/>
    </row>
    <row r="1351" spans="4:4" x14ac:dyDescent="0.25">
      <c r="D1351" s="7"/>
    </row>
    <row r="1352" spans="4:4" x14ac:dyDescent="0.25">
      <c r="D1352" s="7"/>
    </row>
    <row r="1353" spans="4:4" x14ac:dyDescent="0.25">
      <c r="D1353" s="7"/>
    </row>
    <row r="1354" spans="4:4" x14ac:dyDescent="0.25">
      <c r="D1354" s="7"/>
    </row>
    <row r="1355" spans="4:4" x14ac:dyDescent="0.25">
      <c r="D1355" s="7"/>
    </row>
    <row r="1356" spans="4:4" x14ac:dyDescent="0.25">
      <c r="D1356" s="7"/>
    </row>
    <row r="1357" spans="4:4" x14ac:dyDescent="0.25">
      <c r="D1357" s="7"/>
    </row>
    <row r="1358" spans="4:4" x14ac:dyDescent="0.25">
      <c r="D1358" s="7"/>
    </row>
    <row r="1359" spans="4:4" x14ac:dyDescent="0.25">
      <c r="D1359" s="7"/>
    </row>
    <row r="1360" spans="4:4" x14ac:dyDescent="0.25">
      <c r="D1360" s="7"/>
    </row>
    <row r="1361" spans="4:4" x14ac:dyDescent="0.25">
      <c r="D1361" s="7"/>
    </row>
    <row r="1362" spans="4:4" x14ac:dyDescent="0.25">
      <c r="D1362" s="7"/>
    </row>
    <row r="1363" spans="4:4" x14ac:dyDescent="0.25">
      <c r="D1363" s="7"/>
    </row>
    <row r="1364" spans="4:4" x14ac:dyDescent="0.25">
      <c r="D1364" s="7"/>
    </row>
    <row r="1365" spans="4:4" x14ac:dyDescent="0.25">
      <c r="D1365" s="7"/>
    </row>
    <row r="1366" spans="4:4" x14ac:dyDescent="0.25">
      <c r="D1366" s="7"/>
    </row>
    <row r="1367" spans="4:4" x14ac:dyDescent="0.25">
      <c r="D1367" s="7"/>
    </row>
    <row r="1368" spans="4:4" x14ac:dyDescent="0.25">
      <c r="D1368" s="7"/>
    </row>
    <row r="1369" spans="4:4" x14ac:dyDescent="0.25">
      <c r="D1369" s="7"/>
    </row>
    <row r="1370" spans="4:4" x14ac:dyDescent="0.25">
      <c r="D1370" s="7"/>
    </row>
    <row r="1371" spans="4:4" x14ac:dyDescent="0.25">
      <c r="D1371" s="7"/>
    </row>
    <row r="1372" spans="4:4" x14ac:dyDescent="0.25">
      <c r="D1372" s="7"/>
    </row>
    <row r="1373" spans="4:4" x14ac:dyDescent="0.25">
      <c r="D1373" s="7"/>
    </row>
    <row r="1374" spans="4:4" x14ac:dyDescent="0.25">
      <c r="D1374" s="7"/>
    </row>
    <row r="1375" spans="4:4" x14ac:dyDescent="0.25">
      <c r="D1375" s="7"/>
    </row>
    <row r="1376" spans="4:4" x14ac:dyDescent="0.25">
      <c r="D1376" s="7"/>
    </row>
    <row r="1377" spans="4:4" x14ac:dyDescent="0.25">
      <c r="D1377" s="7"/>
    </row>
    <row r="1378" spans="4:4" x14ac:dyDescent="0.25">
      <c r="D1378" s="7"/>
    </row>
    <row r="1379" spans="4:4" x14ac:dyDescent="0.25">
      <c r="D1379" s="7"/>
    </row>
    <row r="1380" spans="4:4" x14ac:dyDescent="0.25">
      <c r="D1380" s="7"/>
    </row>
    <row r="1381" spans="4:4" x14ac:dyDescent="0.25">
      <c r="D1381" s="7"/>
    </row>
    <row r="1382" spans="4:4" x14ac:dyDescent="0.25">
      <c r="D1382" s="7"/>
    </row>
    <row r="1383" spans="4:4" x14ac:dyDescent="0.25">
      <c r="D1383" s="7"/>
    </row>
    <row r="1384" spans="4:4" x14ac:dyDescent="0.25">
      <c r="D1384" s="7"/>
    </row>
    <row r="1385" spans="4:4" x14ac:dyDescent="0.25">
      <c r="D1385" s="7"/>
    </row>
    <row r="1386" spans="4:4" x14ac:dyDescent="0.25">
      <c r="D1386" s="7"/>
    </row>
    <row r="1387" spans="4:4" x14ac:dyDescent="0.25">
      <c r="D1387" s="7"/>
    </row>
    <row r="1388" spans="4:4" x14ac:dyDescent="0.25">
      <c r="D1388" s="7"/>
    </row>
    <row r="1389" spans="4:4" x14ac:dyDescent="0.25">
      <c r="D1389" s="7"/>
    </row>
    <row r="1390" spans="4:4" x14ac:dyDescent="0.25">
      <c r="D1390" s="7"/>
    </row>
    <row r="1391" spans="4:4" x14ac:dyDescent="0.25">
      <c r="D1391" s="7"/>
    </row>
    <row r="1392" spans="4:4" x14ac:dyDescent="0.25">
      <c r="D1392" s="7"/>
    </row>
    <row r="1393" spans="4:4" x14ac:dyDescent="0.25">
      <c r="D1393" s="7"/>
    </row>
    <row r="1394" spans="4:4" x14ac:dyDescent="0.25">
      <c r="D1394" s="7"/>
    </row>
    <row r="1395" spans="4:4" x14ac:dyDescent="0.25">
      <c r="D1395" s="7"/>
    </row>
    <row r="1396" spans="4:4" x14ac:dyDescent="0.25">
      <c r="D1396" s="7"/>
    </row>
    <row r="1397" spans="4:4" x14ac:dyDescent="0.25">
      <c r="D1397" s="7"/>
    </row>
    <row r="1398" spans="4:4" x14ac:dyDescent="0.25">
      <c r="D1398" s="7"/>
    </row>
    <row r="1399" spans="4:4" x14ac:dyDescent="0.25">
      <c r="D1399" s="7"/>
    </row>
    <row r="1400" spans="4:4" x14ac:dyDescent="0.25">
      <c r="D1400" s="7"/>
    </row>
    <row r="1401" spans="4:4" x14ac:dyDescent="0.25">
      <c r="D1401" s="7"/>
    </row>
    <row r="1402" spans="4:4" x14ac:dyDescent="0.25">
      <c r="D1402" s="7"/>
    </row>
    <row r="1403" spans="4:4" x14ac:dyDescent="0.25">
      <c r="D1403" s="7"/>
    </row>
    <row r="1404" spans="4:4" x14ac:dyDescent="0.25">
      <c r="D1404" s="7"/>
    </row>
    <row r="1405" spans="4:4" x14ac:dyDescent="0.25">
      <c r="D1405" s="7"/>
    </row>
    <row r="1406" spans="4:4" x14ac:dyDescent="0.25">
      <c r="D1406" s="7"/>
    </row>
    <row r="1407" spans="4:4" x14ac:dyDescent="0.25">
      <c r="D1407" s="7"/>
    </row>
    <row r="1408" spans="4:4" x14ac:dyDescent="0.25">
      <c r="D1408" s="7"/>
    </row>
    <row r="1409" spans="4:4" x14ac:dyDescent="0.25">
      <c r="D1409" s="7"/>
    </row>
    <row r="1410" spans="4:4" x14ac:dyDescent="0.25">
      <c r="D1410" s="7"/>
    </row>
    <row r="1411" spans="4:4" x14ac:dyDescent="0.25">
      <c r="D1411" s="7"/>
    </row>
    <row r="1412" spans="4:4" x14ac:dyDescent="0.25">
      <c r="D1412" s="7"/>
    </row>
    <row r="1413" spans="4:4" x14ac:dyDescent="0.25">
      <c r="D1413" s="7"/>
    </row>
    <row r="1414" spans="4:4" x14ac:dyDescent="0.25">
      <c r="D1414" s="7"/>
    </row>
    <row r="1415" spans="4:4" x14ac:dyDescent="0.25">
      <c r="D1415" s="7"/>
    </row>
    <row r="1416" spans="4:4" x14ac:dyDescent="0.25">
      <c r="D1416" s="7"/>
    </row>
    <row r="1417" spans="4:4" x14ac:dyDescent="0.25">
      <c r="D1417" s="7"/>
    </row>
    <row r="1418" spans="4:4" x14ac:dyDescent="0.25">
      <c r="D1418" s="7"/>
    </row>
    <row r="1419" spans="4:4" x14ac:dyDescent="0.25">
      <c r="D1419" s="7"/>
    </row>
    <row r="1420" spans="4:4" x14ac:dyDescent="0.25">
      <c r="D1420" s="7"/>
    </row>
    <row r="1421" spans="4:4" x14ac:dyDescent="0.25">
      <c r="D1421" s="7"/>
    </row>
    <row r="1422" spans="4:4" x14ac:dyDescent="0.25">
      <c r="D1422" s="7"/>
    </row>
    <row r="1423" spans="4:4" x14ac:dyDescent="0.25">
      <c r="D1423" s="7"/>
    </row>
    <row r="1424" spans="4:4" x14ac:dyDescent="0.25">
      <c r="D1424" s="7"/>
    </row>
    <row r="1425" spans="4:4" x14ac:dyDescent="0.25">
      <c r="D1425" s="7"/>
    </row>
    <row r="1426" spans="4:4" x14ac:dyDescent="0.25">
      <c r="D1426" s="7"/>
    </row>
    <row r="1427" spans="4:4" x14ac:dyDescent="0.25">
      <c r="D1427" s="7"/>
    </row>
    <row r="1428" spans="4:4" x14ac:dyDescent="0.25">
      <c r="D1428" s="7"/>
    </row>
    <row r="1429" spans="4:4" x14ac:dyDescent="0.25">
      <c r="D1429" s="7"/>
    </row>
    <row r="1430" spans="4:4" x14ac:dyDescent="0.25">
      <c r="D1430" s="7"/>
    </row>
    <row r="1431" spans="4:4" x14ac:dyDescent="0.25">
      <c r="D1431" s="7"/>
    </row>
    <row r="1432" spans="4:4" x14ac:dyDescent="0.25">
      <c r="D1432" s="7"/>
    </row>
    <row r="1433" spans="4:4" x14ac:dyDescent="0.25">
      <c r="D1433" s="7"/>
    </row>
    <row r="1434" spans="4:4" x14ac:dyDescent="0.25">
      <c r="D1434" s="7"/>
    </row>
    <row r="1435" spans="4:4" x14ac:dyDescent="0.25">
      <c r="D1435" s="7"/>
    </row>
    <row r="1436" spans="4:4" x14ac:dyDescent="0.25">
      <c r="D1436" s="7"/>
    </row>
    <row r="1437" spans="4:4" x14ac:dyDescent="0.25">
      <c r="D1437" s="7"/>
    </row>
    <row r="1438" spans="4:4" x14ac:dyDescent="0.25">
      <c r="D1438" s="7"/>
    </row>
    <row r="1439" spans="4:4" x14ac:dyDescent="0.25">
      <c r="D1439" s="7"/>
    </row>
    <row r="1440" spans="4:4" x14ac:dyDescent="0.25">
      <c r="D1440" s="7"/>
    </row>
    <row r="1441" spans="4:4" x14ac:dyDescent="0.25">
      <c r="D1441" s="7"/>
    </row>
    <row r="1442" spans="4:4" x14ac:dyDescent="0.25">
      <c r="D1442" s="7"/>
    </row>
    <row r="1443" spans="4:4" x14ac:dyDescent="0.25">
      <c r="D1443" s="7"/>
    </row>
    <row r="1444" spans="4:4" x14ac:dyDescent="0.25">
      <c r="D1444" s="7"/>
    </row>
    <row r="1445" spans="4:4" x14ac:dyDescent="0.25">
      <c r="D1445" s="7"/>
    </row>
    <row r="1446" spans="4:4" x14ac:dyDescent="0.25">
      <c r="D1446" s="7"/>
    </row>
    <row r="1447" spans="4:4" x14ac:dyDescent="0.25">
      <c r="D1447" s="7"/>
    </row>
    <row r="1448" spans="4:4" x14ac:dyDescent="0.25">
      <c r="D1448" s="7"/>
    </row>
    <row r="1449" spans="4:4" x14ac:dyDescent="0.25">
      <c r="D1449" s="7"/>
    </row>
    <row r="1450" spans="4:4" x14ac:dyDescent="0.25">
      <c r="D1450" s="7"/>
    </row>
    <row r="1451" spans="4:4" x14ac:dyDescent="0.25">
      <c r="D1451" s="7"/>
    </row>
    <row r="1452" spans="4:4" x14ac:dyDescent="0.25">
      <c r="D1452" s="7"/>
    </row>
    <row r="1453" spans="4:4" x14ac:dyDescent="0.25">
      <c r="D1453" s="7"/>
    </row>
    <row r="1454" spans="4:4" x14ac:dyDescent="0.25">
      <c r="D1454" s="7"/>
    </row>
    <row r="1455" spans="4:4" x14ac:dyDescent="0.25">
      <c r="D1455" s="7"/>
    </row>
    <row r="1456" spans="4:4" x14ac:dyDescent="0.25">
      <c r="D1456" s="7"/>
    </row>
    <row r="1457" spans="4:4" x14ac:dyDescent="0.25">
      <c r="D1457" s="7"/>
    </row>
    <row r="1458" spans="4:4" x14ac:dyDescent="0.25">
      <c r="D1458" s="7"/>
    </row>
    <row r="1459" spans="4:4" x14ac:dyDescent="0.25">
      <c r="D1459" s="7"/>
    </row>
    <row r="1460" spans="4:4" x14ac:dyDescent="0.25">
      <c r="D1460" s="7"/>
    </row>
    <row r="1461" spans="4:4" x14ac:dyDescent="0.25">
      <c r="D1461" s="7"/>
    </row>
    <row r="1462" spans="4:4" x14ac:dyDescent="0.25">
      <c r="D1462" s="7"/>
    </row>
    <row r="1463" spans="4:4" x14ac:dyDescent="0.25">
      <c r="D1463" s="7"/>
    </row>
    <row r="1464" spans="4:4" x14ac:dyDescent="0.25">
      <c r="D1464" s="7"/>
    </row>
    <row r="1465" spans="4:4" x14ac:dyDescent="0.25">
      <c r="D1465" s="7"/>
    </row>
    <row r="1466" spans="4:4" x14ac:dyDescent="0.25">
      <c r="D1466" s="7"/>
    </row>
    <row r="1467" spans="4:4" x14ac:dyDescent="0.25">
      <c r="D1467" s="7"/>
    </row>
    <row r="1468" spans="4:4" x14ac:dyDescent="0.25">
      <c r="D1468" s="7"/>
    </row>
    <row r="1469" spans="4:4" x14ac:dyDescent="0.25">
      <c r="D1469" s="7"/>
    </row>
    <row r="1470" spans="4:4" x14ac:dyDescent="0.25">
      <c r="D1470" s="7"/>
    </row>
    <row r="1471" spans="4:4" x14ac:dyDescent="0.25">
      <c r="D1471" s="7"/>
    </row>
    <row r="1472" spans="4:4" x14ac:dyDescent="0.25">
      <c r="D1472" s="7"/>
    </row>
    <row r="1473" spans="4:4" x14ac:dyDescent="0.25">
      <c r="D1473" s="7"/>
    </row>
    <row r="1474" spans="4:4" x14ac:dyDescent="0.25">
      <c r="D1474" s="7"/>
    </row>
    <row r="1475" spans="4:4" x14ac:dyDescent="0.25">
      <c r="D1475" s="7"/>
    </row>
    <row r="1476" spans="4:4" x14ac:dyDescent="0.25">
      <c r="D1476" s="7"/>
    </row>
    <row r="1477" spans="4:4" x14ac:dyDescent="0.25">
      <c r="D1477" s="7"/>
    </row>
    <row r="1478" spans="4:4" x14ac:dyDescent="0.25">
      <c r="D1478" s="7"/>
    </row>
    <row r="1479" spans="4:4" x14ac:dyDescent="0.25">
      <c r="D1479" s="7"/>
    </row>
    <row r="1480" spans="4:4" x14ac:dyDescent="0.25">
      <c r="D1480" s="7"/>
    </row>
    <row r="1481" spans="4:4" x14ac:dyDescent="0.25">
      <c r="D1481" s="7"/>
    </row>
    <row r="1482" spans="4:4" x14ac:dyDescent="0.25">
      <c r="D1482" s="7"/>
    </row>
    <row r="1483" spans="4:4" x14ac:dyDescent="0.25">
      <c r="D1483" s="7"/>
    </row>
    <row r="1484" spans="4:4" x14ac:dyDescent="0.25">
      <c r="D1484" s="7"/>
    </row>
    <row r="1485" spans="4:4" x14ac:dyDescent="0.25">
      <c r="D1485" s="7"/>
    </row>
    <row r="1486" spans="4:4" x14ac:dyDescent="0.25">
      <c r="D1486" s="7"/>
    </row>
    <row r="1487" spans="4:4" x14ac:dyDescent="0.25">
      <c r="D1487" s="7"/>
    </row>
    <row r="1488" spans="4:4" x14ac:dyDescent="0.25">
      <c r="D1488" s="7"/>
    </row>
    <row r="1489" spans="4:4" x14ac:dyDescent="0.25">
      <c r="D1489" s="7"/>
    </row>
    <row r="1490" spans="4:4" x14ac:dyDescent="0.25">
      <c r="D1490" s="7"/>
    </row>
    <row r="1491" spans="4:4" x14ac:dyDescent="0.25">
      <c r="D1491" s="7"/>
    </row>
    <row r="1492" spans="4:4" x14ac:dyDescent="0.25">
      <c r="D1492" s="7"/>
    </row>
    <row r="1493" spans="4:4" x14ac:dyDescent="0.25">
      <c r="D1493" s="7"/>
    </row>
    <row r="1494" spans="4:4" x14ac:dyDescent="0.25">
      <c r="D1494" s="7"/>
    </row>
    <row r="1495" spans="4:4" x14ac:dyDescent="0.25">
      <c r="D1495" s="7"/>
    </row>
    <row r="1496" spans="4:4" x14ac:dyDescent="0.25">
      <c r="D1496" s="7"/>
    </row>
    <row r="1497" spans="4:4" x14ac:dyDescent="0.25">
      <c r="D1497" s="7"/>
    </row>
    <row r="1498" spans="4:4" x14ac:dyDescent="0.25">
      <c r="D1498" s="7"/>
    </row>
    <row r="1499" spans="4:4" x14ac:dyDescent="0.25">
      <c r="D1499" s="7"/>
    </row>
    <row r="1500" spans="4:4" x14ac:dyDescent="0.25">
      <c r="D1500" s="7"/>
    </row>
    <row r="1501" spans="4:4" x14ac:dyDescent="0.25">
      <c r="D1501" s="7"/>
    </row>
    <row r="1502" spans="4:4" x14ac:dyDescent="0.25">
      <c r="D1502" s="7"/>
    </row>
    <row r="1503" spans="4:4" x14ac:dyDescent="0.25">
      <c r="D1503" s="7"/>
    </row>
    <row r="1504" spans="4:4" x14ac:dyDescent="0.25">
      <c r="D1504" s="7"/>
    </row>
    <row r="1505" spans="4:4" x14ac:dyDescent="0.25">
      <c r="D1505" s="7"/>
    </row>
    <row r="1506" spans="4:4" x14ac:dyDescent="0.25">
      <c r="D1506" s="7"/>
    </row>
    <row r="1507" spans="4:4" x14ac:dyDescent="0.25">
      <c r="D1507" s="7"/>
    </row>
    <row r="1508" spans="4:4" x14ac:dyDescent="0.25">
      <c r="D1508" s="7"/>
    </row>
    <row r="1509" spans="4:4" x14ac:dyDescent="0.25">
      <c r="D1509" s="7"/>
    </row>
    <row r="1510" spans="4:4" x14ac:dyDescent="0.25">
      <c r="D1510" s="7"/>
    </row>
    <row r="1511" spans="4:4" x14ac:dyDescent="0.25">
      <c r="D1511" s="7"/>
    </row>
    <row r="1512" spans="4:4" x14ac:dyDescent="0.25">
      <c r="D1512" s="7"/>
    </row>
    <row r="1513" spans="4:4" x14ac:dyDescent="0.25">
      <c r="D1513" s="7"/>
    </row>
    <row r="1514" spans="4:4" x14ac:dyDescent="0.25">
      <c r="D1514" s="7"/>
    </row>
    <row r="1515" spans="4:4" x14ac:dyDescent="0.25">
      <c r="D1515" s="7"/>
    </row>
    <row r="1516" spans="4:4" x14ac:dyDescent="0.25">
      <c r="D1516" s="7"/>
    </row>
    <row r="1517" spans="4:4" x14ac:dyDescent="0.25">
      <c r="D1517" s="7"/>
    </row>
    <row r="1518" spans="4:4" x14ac:dyDescent="0.25">
      <c r="D1518" s="7"/>
    </row>
    <row r="1519" spans="4:4" x14ac:dyDescent="0.25">
      <c r="D1519" s="7"/>
    </row>
    <row r="1520" spans="4:4" x14ac:dyDescent="0.25">
      <c r="D1520" s="7"/>
    </row>
    <row r="1521" spans="4:4" x14ac:dyDescent="0.25">
      <c r="D1521" s="7"/>
    </row>
    <row r="1522" spans="4:4" x14ac:dyDescent="0.25">
      <c r="D1522" s="7"/>
    </row>
    <row r="1523" spans="4:4" x14ac:dyDescent="0.25">
      <c r="D1523" s="7"/>
    </row>
    <row r="1524" spans="4:4" x14ac:dyDescent="0.25">
      <c r="D1524" s="7"/>
    </row>
    <row r="1525" spans="4:4" x14ac:dyDescent="0.25">
      <c r="D1525" s="7"/>
    </row>
    <row r="1526" spans="4:4" x14ac:dyDescent="0.25">
      <c r="D1526" s="7"/>
    </row>
    <row r="1527" spans="4:4" x14ac:dyDescent="0.25">
      <c r="D1527" s="7"/>
    </row>
    <row r="1528" spans="4:4" x14ac:dyDescent="0.25">
      <c r="D1528" s="7"/>
    </row>
    <row r="1529" spans="4:4" x14ac:dyDescent="0.25">
      <c r="D1529" s="7"/>
    </row>
    <row r="1530" spans="4:4" x14ac:dyDescent="0.25">
      <c r="D1530" s="7"/>
    </row>
    <row r="1531" spans="4:4" x14ac:dyDescent="0.25">
      <c r="D1531" s="7"/>
    </row>
    <row r="1532" spans="4:4" x14ac:dyDescent="0.25">
      <c r="D1532" s="7"/>
    </row>
    <row r="1533" spans="4:4" x14ac:dyDescent="0.25">
      <c r="D1533" s="7"/>
    </row>
    <row r="1534" spans="4:4" x14ac:dyDescent="0.25">
      <c r="D1534" s="7"/>
    </row>
    <row r="1535" spans="4:4" x14ac:dyDescent="0.25">
      <c r="D1535" s="7"/>
    </row>
    <row r="1536" spans="4:4" x14ac:dyDescent="0.25">
      <c r="D1536" s="7"/>
    </row>
    <row r="1537" spans="4:4" x14ac:dyDescent="0.25">
      <c r="D1537" s="7"/>
    </row>
    <row r="1538" spans="4:4" x14ac:dyDescent="0.25">
      <c r="D1538" s="7"/>
    </row>
    <row r="1539" spans="4:4" x14ac:dyDescent="0.25">
      <c r="D1539" s="7"/>
    </row>
    <row r="1540" spans="4:4" x14ac:dyDescent="0.25">
      <c r="D1540" s="7"/>
    </row>
    <row r="1541" spans="4:4" x14ac:dyDescent="0.25">
      <c r="D1541" s="7"/>
    </row>
    <row r="1542" spans="4:4" x14ac:dyDescent="0.25">
      <c r="D1542" s="7"/>
    </row>
    <row r="1543" spans="4:4" x14ac:dyDescent="0.25">
      <c r="D1543" s="7"/>
    </row>
    <row r="1544" spans="4:4" x14ac:dyDescent="0.25">
      <c r="D1544" s="7"/>
    </row>
    <row r="1545" spans="4:4" x14ac:dyDescent="0.25">
      <c r="D1545" s="7"/>
    </row>
    <row r="1546" spans="4:4" x14ac:dyDescent="0.25">
      <c r="D1546" s="7"/>
    </row>
    <row r="1547" spans="4:4" x14ac:dyDescent="0.25">
      <c r="D1547" s="7"/>
    </row>
    <row r="1548" spans="4:4" x14ac:dyDescent="0.25">
      <c r="D1548" s="7"/>
    </row>
    <row r="1549" spans="4:4" x14ac:dyDescent="0.25">
      <c r="D1549" s="7"/>
    </row>
    <row r="1550" spans="4:4" x14ac:dyDescent="0.25">
      <c r="D1550" s="7"/>
    </row>
    <row r="1551" spans="4:4" x14ac:dyDescent="0.25">
      <c r="D1551" s="7"/>
    </row>
    <row r="1552" spans="4:4" x14ac:dyDescent="0.25">
      <c r="D1552" s="7"/>
    </row>
    <row r="1553" spans="4:4" x14ac:dyDescent="0.25">
      <c r="D1553" s="7"/>
    </row>
    <row r="1554" spans="4:4" x14ac:dyDescent="0.25">
      <c r="D1554" s="7"/>
    </row>
    <row r="1555" spans="4:4" x14ac:dyDescent="0.25">
      <c r="D1555" s="7"/>
    </row>
    <row r="1556" spans="4:4" x14ac:dyDescent="0.25">
      <c r="D1556" s="7"/>
    </row>
    <row r="1557" spans="4:4" x14ac:dyDescent="0.25">
      <c r="D1557" s="7"/>
    </row>
    <row r="1558" spans="4:4" x14ac:dyDescent="0.25">
      <c r="D1558" s="7"/>
    </row>
    <row r="1559" spans="4:4" x14ac:dyDescent="0.25">
      <c r="D1559" s="7"/>
    </row>
    <row r="1560" spans="4:4" x14ac:dyDescent="0.25">
      <c r="D1560" s="7"/>
    </row>
    <row r="1561" spans="4:4" x14ac:dyDescent="0.25">
      <c r="D1561" s="7"/>
    </row>
    <row r="1562" spans="4:4" x14ac:dyDescent="0.25">
      <c r="D1562" s="7"/>
    </row>
    <row r="1563" spans="4:4" x14ac:dyDescent="0.25">
      <c r="D1563" s="7"/>
    </row>
    <row r="1564" spans="4:4" x14ac:dyDescent="0.25">
      <c r="D1564" s="7"/>
    </row>
    <row r="1565" spans="4:4" x14ac:dyDescent="0.25">
      <c r="D1565" s="7"/>
    </row>
    <row r="1566" spans="4:4" x14ac:dyDescent="0.25">
      <c r="D1566" s="7"/>
    </row>
    <row r="1567" spans="4:4" x14ac:dyDescent="0.25">
      <c r="D1567" s="7"/>
    </row>
    <row r="1568" spans="4:4" x14ac:dyDescent="0.25">
      <c r="D1568" s="7"/>
    </row>
    <row r="1569" spans="4:4" x14ac:dyDescent="0.25">
      <c r="D1569" s="7"/>
    </row>
    <row r="1570" spans="4:4" x14ac:dyDescent="0.25">
      <c r="D1570" s="7"/>
    </row>
    <row r="1571" spans="4:4" x14ac:dyDescent="0.25">
      <c r="D1571" s="7"/>
    </row>
    <row r="1572" spans="4:4" x14ac:dyDescent="0.25">
      <c r="D1572" s="7"/>
    </row>
    <row r="1573" spans="4:4" x14ac:dyDescent="0.25">
      <c r="D1573" s="7"/>
    </row>
    <row r="1574" spans="4:4" x14ac:dyDescent="0.25">
      <c r="D1574" s="7"/>
    </row>
    <row r="1575" spans="4:4" x14ac:dyDescent="0.25">
      <c r="D1575" s="7"/>
    </row>
    <row r="1576" spans="4:4" x14ac:dyDescent="0.25">
      <c r="D1576" s="7"/>
    </row>
    <row r="1577" spans="4:4" x14ac:dyDescent="0.25">
      <c r="D1577" s="7"/>
    </row>
    <row r="1578" spans="4:4" x14ac:dyDescent="0.25">
      <c r="D1578" s="7"/>
    </row>
    <row r="1579" spans="4:4" x14ac:dyDescent="0.25">
      <c r="D1579" s="7"/>
    </row>
    <row r="1580" spans="4:4" x14ac:dyDescent="0.25">
      <c r="D1580" s="7"/>
    </row>
    <row r="1581" spans="4:4" x14ac:dyDescent="0.25">
      <c r="D1581" s="7"/>
    </row>
    <row r="1582" spans="4:4" x14ac:dyDescent="0.25">
      <c r="D1582" s="7"/>
    </row>
    <row r="1583" spans="4:4" x14ac:dyDescent="0.25">
      <c r="D1583" s="7"/>
    </row>
    <row r="1584" spans="4:4" x14ac:dyDescent="0.25">
      <c r="D1584" s="7"/>
    </row>
    <row r="1585" spans="4:4" x14ac:dyDescent="0.25">
      <c r="D1585" s="7"/>
    </row>
    <row r="1586" spans="4:4" x14ac:dyDescent="0.25">
      <c r="D1586" s="7"/>
    </row>
    <row r="1587" spans="4:4" x14ac:dyDescent="0.25">
      <c r="D1587" s="7"/>
    </row>
    <row r="1588" spans="4:4" x14ac:dyDescent="0.25">
      <c r="D1588" s="7"/>
    </row>
    <row r="1589" spans="4:4" x14ac:dyDescent="0.25">
      <c r="D1589" s="7"/>
    </row>
    <row r="1590" spans="4:4" x14ac:dyDescent="0.25">
      <c r="D1590" s="7"/>
    </row>
    <row r="1591" spans="4:4" x14ac:dyDescent="0.25">
      <c r="D1591" s="7"/>
    </row>
    <row r="1592" spans="4:4" x14ac:dyDescent="0.25">
      <c r="D1592" s="7"/>
    </row>
    <row r="1593" spans="4:4" x14ac:dyDescent="0.25">
      <c r="D1593" s="7"/>
    </row>
    <row r="1594" spans="4:4" x14ac:dyDescent="0.25">
      <c r="D1594" s="7"/>
    </row>
    <row r="1595" spans="4:4" x14ac:dyDescent="0.25">
      <c r="D1595" s="7"/>
    </row>
    <row r="1596" spans="4:4" x14ac:dyDescent="0.25">
      <c r="D1596" s="7"/>
    </row>
    <row r="1597" spans="4:4" x14ac:dyDescent="0.25">
      <c r="D1597" s="7"/>
    </row>
    <row r="1598" spans="4:4" x14ac:dyDescent="0.25">
      <c r="D1598" s="7"/>
    </row>
    <row r="1599" spans="4:4" x14ac:dyDescent="0.25">
      <c r="D1599" s="7"/>
    </row>
    <row r="1600" spans="4:4" x14ac:dyDescent="0.25">
      <c r="D1600" s="7"/>
    </row>
    <row r="1601" spans="4:4" x14ac:dyDescent="0.25">
      <c r="D1601" s="7"/>
    </row>
    <row r="1602" spans="4:4" x14ac:dyDescent="0.25">
      <c r="D1602" s="7"/>
    </row>
    <row r="1603" spans="4:4" x14ac:dyDescent="0.25">
      <c r="D1603" s="7"/>
    </row>
    <row r="1604" spans="4:4" x14ac:dyDescent="0.25">
      <c r="D1604" s="7"/>
    </row>
    <row r="1605" spans="4:4" x14ac:dyDescent="0.25">
      <c r="D1605" s="7"/>
    </row>
    <row r="1606" spans="4:4" x14ac:dyDescent="0.25">
      <c r="D1606" s="7"/>
    </row>
    <row r="1607" spans="4:4" x14ac:dyDescent="0.25">
      <c r="D1607" s="7"/>
    </row>
    <row r="1608" spans="4:4" x14ac:dyDescent="0.25">
      <c r="D1608" s="7"/>
    </row>
    <row r="1609" spans="4:4" x14ac:dyDescent="0.25">
      <c r="D1609" s="7"/>
    </row>
    <row r="1610" spans="4:4" x14ac:dyDescent="0.25">
      <c r="D1610" s="7"/>
    </row>
    <row r="1611" spans="4:4" x14ac:dyDescent="0.25">
      <c r="D1611" s="7"/>
    </row>
    <row r="1612" spans="4:4" x14ac:dyDescent="0.25">
      <c r="D1612" s="7"/>
    </row>
    <row r="1613" spans="4:4" x14ac:dyDescent="0.25">
      <c r="D1613" s="7"/>
    </row>
    <row r="1614" spans="4:4" x14ac:dyDescent="0.25">
      <c r="D1614" s="7"/>
    </row>
    <row r="1615" spans="4:4" x14ac:dyDescent="0.25">
      <c r="D1615" s="7"/>
    </row>
    <row r="1616" spans="4:4" x14ac:dyDescent="0.25">
      <c r="D1616" s="7"/>
    </row>
    <row r="1617" spans="4:4" x14ac:dyDescent="0.25">
      <c r="D1617" s="7"/>
    </row>
    <row r="1618" spans="4:4" x14ac:dyDescent="0.25">
      <c r="D1618" s="7"/>
    </row>
    <row r="1619" spans="4:4" x14ac:dyDescent="0.25">
      <c r="D1619" s="7"/>
    </row>
    <row r="1620" spans="4:4" x14ac:dyDescent="0.25">
      <c r="D1620" s="7"/>
    </row>
    <row r="1621" spans="4:4" x14ac:dyDescent="0.25">
      <c r="D1621" s="7"/>
    </row>
    <row r="1622" spans="4:4" x14ac:dyDescent="0.25">
      <c r="D1622" s="7"/>
    </row>
    <row r="1623" spans="4:4" x14ac:dyDescent="0.25">
      <c r="D1623" s="7"/>
    </row>
    <row r="1624" spans="4:4" x14ac:dyDescent="0.25">
      <c r="D1624" s="7"/>
    </row>
    <row r="1625" spans="4:4" x14ac:dyDescent="0.25">
      <c r="D1625" s="7"/>
    </row>
    <row r="1626" spans="4:4" x14ac:dyDescent="0.25">
      <c r="D1626" s="7"/>
    </row>
    <row r="1627" spans="4:4" x14ac:dyDescent="0.25">
      <c r="D1627" s="7"/>
    </row>
    <row r="1628" spans="4:4" x14ac:dyDescent="0.25">
      <c r="D1628" s="7"/>
    </row>
    <row r="1629" spans="4:4" x14ac:dyDescent="0.25">
      <c r="D1629" s="7"/>
    </row>
    <row r="1630" spans="4:4" x14ac:dyDescent="0.25">
      <c r="D1630" s="7"/>
    </row>
    <row r="1631" spans="4:4" x14ac:dyDescent="0.25">
      <c r="D1631" s="7"/>
    </row>
    <row r="1632" spans="4:4" x14ac:dyDescent="0.25">
      <c r="D1632" s="7"/>
    </row>
    <row r="1633" spans="4:4" x14ac:dyDescent="0.25">
      <c r="D1633" s="7"/>
    </row>
    <row r="1634" spans="4:4" x14ac:dyDescent="0.25">
      <c r="D1634" s="7"/>
    </row>
    <row r="1635" spans="4:4" x14ac:dyDescent="0.25">
      <c r="D1635" s="7"/>
    </row>
    <row r="1636" spans="4:4" x14ac:dyDescent="0.25">
      <c r="D1636" s="7"/>
    </row>
    <row r="1637" spans="4:4" x14ac:dyDescent="0.25">
      <c r="D1637" s="7"/>
    </row>
    <row r="1638" spans="4:4" x14ac:dyDescent="0.25">
      <c r="D1638" s="7"/>
    </row>
    <row r="1639" spans="4:4" x14ac:dyDescent="0.25">
      <c r="D1639" s="7"/>
    </row>
    <row r="1640" spans="4:4" x14ac:dyDescent="0.25">
      <c r="D1640" s="7"/>
    </row>
    <row r="1641" spans="4:4" x14ac:dyDescent="0.25">
      <c r="D1641" s="7"/>
    </row>
    <row r="1642" spans="4:4" x14ac:dyDescent="0.25">
      <c r="D1642" s="7"/>
    </row>
    <row r="1643" spans="4:4" x14ac:dyDescent="0.25">
      <c r="D1643" s="7"/>
    </row>
    <row r="1644" spans="4:4" x14ac:dyDescent="0.25">
      <c r="D1644" s="7"/>
    </row>
    <row r="1645" spans="4:4" x14ac:dyDescent="0.25">
      <c r="D1645" s="7"/>
    </row>
    <row r="1646" spans="4:4" x14ac:dyDescent="0.25">
      <c r="D1646" s="7"/>
    </row>
    <row r="1647" spans="4:4" x14ac:dyDescent="0.25">
      <c r="D1647" s="7"/>
    </row>
    <row r="1648" spans="4:4" x14ac:dyDescent="0.25">
      <c r="D1648" s="7"/>
    </row>
    <row r="1649" spans="4:4" x14ac:dyDescent="0.25">
      <c r="D1649" s="7"/>
    </row>
    <row r="1650" spans="4:4" x14ac:dyDescent="0.25">
      <c r="D1650" s="7"/>
    </row>
    <row r="1651" spans="4:4" x14ac:dyDescent="0.25">
      <c r="D1651" s="7"/>
    </row>
    <row r="1652" spans="4:4" x14ac:dyDescent="0.25">
      <c r="D1652" s="7"/>
    </row>
    <row r="1653" spans="4:4" x14ac:dyDescent="0.25">
      <c r="D1653" s="7"/>
    </row>
    <row r="1654" spans="4:4" x14ac:dyDescent="0.25">
      <c r="D1654" s="7"/>
    </row>
    <row r="1655" spans="4:4" x14ac:dyDescent="0.25">
      <c r="D1655" s="7"/>
    </row>
    <row r="1656" spans="4:4" x14ac:dyDescent="0.25">
      <c r="D1656" s="7"/>
    </row>
    <row r="1657" spans="4:4" x14ac:dyDescent="0.25">
      <c r="D1657" s="7"/>
    </row>
    <row r="1658" spans="4:4" x14ac:dyDescent="0.25">
      <c r="D1658" s="7"/>
    </row>
    <row r="1659" spans="4:4" x14ac:dyDescent="0.25">
      <c r="D1659" s="7"/>
    </row>
    <row r="1660" spans="4:4" x14ac:dyDescent="0.25">
      <c r="D1660" s="7"/>
    </row>
    <row r="1661" spans="4:4" x14ac:dyDescent="0.25">
      <c r="D1661" s="7"/>
    </row>
    <row r="1662" spans="4:4" x14ac:dyDescent="0.25">
      <c r="D1662" s="7"/>
    </row>
    <row r="1663" spans="4:4" x14ac:dyDescent="0.25">
      <c r="D1663" s="7"/>
    </row>
    <row r="1664" spans="4:4" x14ac:dyDescent="0.25">
      <c r="D1664" s="7"/>
    </row>
    <row r="1665" spans="4:4" x14ac:dyDescent="0.25">
      <c r="D1665" s="7"/>
    </row>
    <row r="1666" spans="4:4" x14ac:dyDescent="0.25">
      <c r="D1666" s="7"/>
    </row>
    <row r="1667" spans="4:4" x14ac:dyDescent="0.25">
      <c r="D1667" s="7"/>
    </row>
    <row r="1668" spans="4:4" x14ac:dyDescent="0.25">
      <c r="D1668" s="7"/>
    </row>
    <row r="1669" spans="4:4" x14ac:dyDescent="0.25">
      <c r="D1669" s="7"/>
    </row>
    <row r="1670" spans="4:4" x14ac:dyDescent="0.25">
      <c r="D1670" s="7"/>
    </row>
    <row r="1671" spans="4:4" x14ac:dyDescent="0.25">
      <c r="D1671" s="7"/>
    </row>
    <row r="1672" spans="4:4" x14ac:dyDescent="0.25">
      <c r="D1672" s="7"/>
    </row>
    <row r="1673" spans="4:4" x14ac:dyDescent="0.25">
      <c r="D1673" s="7"/>
    </row>
    <row r="1674" spans="4:4" x14ac:dyDescent="0.25">
      <c r="D1674" s="7"/>
    </row>
    <row r="1675" spans="4:4" x14ac:dyDescent="0.25">
      <c r="D1675" s="7"/>
    </row>
    <row r="1676" spans="4:4" x14ac:dyDescent="0.25">
      <c r="D1676" s="7"/>
    </row>
    <row r="1677" spans="4:4" x14ac:dyDescent="0.25">
      <c r="D1677" s="7"/>
    </row>
    <row r="1678" spans="4:4" x14ac:dyDescent="0.25">
      <c r="D1678" s="7"/>
    </row>
    <row r="1679" spans="4:4" x14ac:dyDescent="0.25">
      <c r="D1679" s="7"/>
    </row>
    <row r="1680" spans="4:4" x14ac:dyDescent="0.25">
      <c r="D1680" s="7"/>
    </row>
    <row r="1681" spans="4:4" x14ac:dyDescent="0.25">
      <c r="D1681" s="7"/>
    </row>
    <row r="1682" spans="4:4" x14ac:dyDescent="0.25">
      <c r="D1682" s="7"/>
    </row>
    <row r="1683" spans="4:4" x14ac:dyDescent="0.25">
      <c r="D1683" s="7"/>
    </row>
    <row r="1684" spans="4:4" x14ac:dyDescent="0.25">
      <c r="D1684" s="7"/>
    </row>
    <row r="1685" spans="4:4" x14ac:dyDescent="0.25">
      <c r="D1685" s="7"/>
    </row>
    <row r="1686" spans="4:4" x14ac:dyDescent="0.25">
      <c r="D1686" s="7"/>
    </row>
    <row r="1687" spans="4:4" x14ac:dyDescent="0.25">
      <c r="D1687" s="7"/>
    </row>
    <row r="1688" spans="4:4" x14ac:dyDescent="0.25">
      <c r="D1688" s="7"/>
    </row>
    <row r="1689" spans="4:4" x14ac:dyDescent="0.25">
      <c r="D1689" s="7"/>
    </row>
    <row r="1690" spans="4:4" x14ac:dyDescent="0.25">
      <c r="D1690" s="7"/>
    </row>
    <row r="1691" spans="4:4" x14ac:dyDescent="0.25">
      <c r="D1691" s="7"/>
    </row>
    <row r="1692" spans="4:4" x14ac:dyDescent="0.25">
      <c r="D1692" s="7"/>
    </row>
    <row r="1693" spans="4:4" x14ac:dyDescent="0.25">
      <c r="D1693" s="7"/>
    </row>
    <row r="1694" spans="4:4" x14ac:dyDescent="0.25">
      <c r="D1694" s="7"/>
    </row>
    <row r="1695" spans="4:4" x14ac:dyDescent="0.25">
      <c r="D1695" s="7"/>
    </row>
    <row r="1696" spans="4:4" x14ac:dyDescent="0.25">
      <c r="D1696" s="7"/>
    </row>
    <row r="1697" spans="4:4" x14ac:dyDescent="0.25">
      <c r="D1697" s="7"/>
    </row>
    <row r="1698" spans="4:4" x14ac:dyDescent="0.25">
      <c r="D1698" s="7"/>
    </row>
    <row r="1699" spans="4:4" x14ac:dyDescent="0.25">
      <c r="D1699" s="7"/>
    </row>
    <row r="1700" spans="4:4" x14ac:dyDescent="0.25">
      <c r="D1700" s="7"/>
    </row>
    <row r="1701" spans="4:4" x14ac:dyDescent="0.25">
      <c r="D1701" s="7"/>
    </row>
    <row r="1702" spans="4:4" x14ac:dyDescent="0.25">
      <c r="D1702" s="7"/>
    </row>
    <row r="1703" spans="4:4" x14ac:dyDescent="0.25">
      <c r="D1703" s="7"/>
    </row>
    <row r="1704" spans="4:4" x14ac:dyDescent="0.25">
      <c r="D1704" s="7"/>
    </row>
    <row r="1705" spans="4:4" x14ac:dyDescent="0.25">
      <c r="D1705" s="7"/>
    </row>
    <row r="1706" spans="4:4" x14ac:dyDescent="0.25">
      <c r="D1706" s="7"/>
    </row>
    <row r="1707" spans="4:4" x14ac:dyDescent="0.25">
      <c r="D1707" s="7"/>
    </row>
    <row r="1708" spans="4:4" x14ac:dyDescent="0.25">
      <c r="D1708" s="7"/>
    </row>
    <row r="1709" spans="4:4" x14ac:dyDescent="0.25">
      <c r="D1709" s="7"/>
    </row>
    <row r="1710" spans="4:4" x14ac:dyDescent="0.25">
      <c r="D1710" s="7"/>
    </row>
    <row r="1711" spans="4:4" x14ac:dyDescent="0.25">
      <c r="D1711" s="7"/>
    </row>
    <row r="1712" spans="4:4" x14ac:dyDescent="0.25">
      <c r="D1712" s="7"/>
    </row>
    <row r="1713" spans="4:4" x14ac:dyDescent="0.25">
      <c r="D1713" s="7"/>
    </row>
    <row r="1714" spans="4:4" x14ac:dyDescent="0.25">
      <c r="D1714" s="7"/>
    </row>
    <row r="1715" spans="4:4" x14ac:dyDescent="0.25">
      <c r="D1715" s="7"/>
    </row>
    <row r="1716" spans="4:4" x14ac:dyDescent="0.25">
      <c r="D1716" s="7"/>
    </row>
    <row r="1717" spans="4:4" x14ac:dyDescent="0.25">
      <c r="D1717" s="7"/>
    </row>
    <row r="1718" spans="4:4" x14ac:dyDescent="0.25">
      <c r="D1718" s="7"/>
    </row>
    <row r="1719" spans="4:4" x14ac:dyDescent="0.25">
      <c r="D1719" s="7"/>
    </row>
    <row r="1720" spans="4:4" x14ac:dyDescent="0.25">
      <c r="D1720" s="7"/>
    </row>
    <row r="1721" spans="4:4" x14ac:dyDescent="0.25">
      <c r="D1721" s="7"/>
    </row>
    <row r="1722" spans="4:4" x14ac:dyDescent="0.25">
      <c r="D1722" s="7"/>
    </row>
    <row r="1723" spans="4:4" x14ac:dyDescent="0.25">
      <c r="D1723" s="7"/>
    </row>
    <row r="1724" spans="4:4" x14ac:dyDescent="0.25">
      <c r="D1724" s="7"/>
    </row>
    <row r="1725" spans="4:4" x14ac:dyDescent="0.25">
      <c r="D1725" s="7"/>
    </row>
    <row r="1726" spans="4:4" x14ac:dyDescent="0.25">
      <c r="D1726" s="7"/>
    </row>
    <row r="1727" spans="4:4" x14ac:dyDescent="0.25">
      <c r="D1727" s="7"/>
    </row>
    <row r="1728" spans="4:4" x14ac:dyDescent="0.25">
      <c r="D1728" s="7"/>
    </row>
    <row r="1729" spans="4:4" x14ac:dyDescent="0.25">
      <c r="D1729" s="7"/>
    </row>
    <row r="1730" spans="4:4" x14ac:dyDescent="0.25">
      <c r="D1730" s="7"/>
    </row>
    <row r="1731" spans="4:4" x14ac:dyDescent="0.25">
      <c r="D1731" s="7"/>
    </row>
    <row r="1732" spans="4:4" x14ac:dyDescent="0.25">
      <c r="D1732" s="7"/>
    </row>
    <row r="1733" spans="4:4" x14ac:dyDescent="0.25">
      <c r="D1733" s="7"/>
    </row>
    <row r="1734" spans="4:4" x14ac:dyDescent="0.25">
      <c r="D1734" s="7"/>
    </row>
    <row r="1735" spans="4:4" x14ac:dyDescent="0.25">
      <c r="D1735" s="7"/>
    </row>
    <row r="1736" spans="4:4" x14ac:dyDescent="0.25">
      <c r="D1736" s="7"/>
    </row>
    <row r="1737" spans="4:4" x14ac:dyDescent="0.25">
      <c r="D1737" s="7"/>
    </row>
    <row r="1738" spans="4:4" x14ac:dyDescent="0.25">
      <c r="D1738" s="7"/>
    </row>
    <row r="1739" spans="4:4" x14ac:dyDescent="0.25">
      <c r="D1739" s="7"/>
    </row>
    <row r="1740" spans="4:4" x14ac:dyDescent="0.25">
      <c r="D1740" s="7"/>
    </row>
    <row r="1741" spans="4:4" x14ac:dyDescent="0.25">
      <c r="D1741" s="7"/>
    </row>
    <row r="1742" spans="4:4" x14ac:dyDescent="0.25">
      <c r="D1742" s="7"/>
    </row>
    <row r="1743" spans="4:4" x14ac:dyDescent="0.25">
      <c r="D1743" s="7"/>
    </row>
    <row r="1744" spans="4:4" x14ac:dyDescent="0.25">
      <c r="D1744" s="7"/>
    </row>
    <row r="1745" spans="4:4" x14ac:dyDescent="0.25">
      <c r="D1745" s="7"/>
    </row>
    <row r="1746" spans="4:4" x14ac:dyDescent="0.25">
      <c r="D1746" s="7"/>
    </row>
    <row r="1747" spans="4:4" x14ac:dyDescent="0.25">
      <c r="D1747" s="7"/>
    </row>
    <row r="1748" spans="4:4" x14ac:dyDescent="0.25">
      <c r="D1748" s="7"/>
    </row>
    <row r="1749" spans="4:4" x14ac:dyDescent="0.25">
      <c r="D1749" s="7"/>
    </row>
    <row r="1750" spans="4:4" x14ac:dyDescent="0.25">
      <c r="D1750" s="7"/>
    </row>
    <row r="1751" spans="4:4" x14ac:dyDescent="0.25">
      <c r="D1751" s="7"/>
    </row>
    <row r="1752" spans="4:4" x14ac:dyDescent="0.25">
      <c r="D1752" s="7"/>
    </row>
    <row r="1753" spans="4:4" x14ac:dyDescent="0.25">
      <c r="D1753" s="7"/>
    </row>
    <row r="1754" spans="4:4" x14ac:dyDescent="0.25">
      <c r="D1754" s="7"/>
    </row>
    <row r="1755" spans="4:4" x14ac:dyDescent="0.25">
      <c r="D1755" s="7"/>
    </row>
    <row r="1756" spans="4:4" x14ac:dyDescent="0.25">
      <c r="D1756" s="7"/>
    </row>
    <row r="1757" spans="4:4" x14ac:dyDescent="0.25">
      <c r="D1757" s="7"/>
    </row>
    <row r="1758" spans="4:4" x14ac:dyDescent="0.25">
      <c r="D1758" s="7"/>
    </row>
    <row r="1759" spans="4:4" x14ac:dyDescent="0.25">
      <c r="D1759" s="7"/>
    </row>
    <row r="1760" spans="4:4" x14ac:dyDescent="0.25">
      <c r="D1760" s="7"/>
    </row>
    <row r="1761" spans="4:4" x14ac:dyDescent="0.25">
      <c r="D1761" s="7"/>
    </row>
    <row r="1762" spans="4:4" x14ac:dyDescent="0.25">
      <c r="D1762" s="7"/>
    </row>
    <row r="1763" spans="4:4" x14ac:dyDescent="0.25">
      <c r="D1763" s="7"/>
    </row>
    <row r="1764" spans="4:4" x14ac:dyDescent="0.25">
      <c r="D1764" s="7"/>
    </row>
    <row r="1765" spans="4:4" x14ac:dyDescent="0.25">
      <c r="D1765" s="7"/>
    </row>
    <row r="1766" spans="4:4" x14ac:dyDescent="0.25">
      <c r="D1766" s="7"/>
    </row>
    <row r="1767" spans="4:4" x14ac:dyDescent="0.25">
      <c r="D1767" s="7"/>
    </row>
    <row r="1768" spans="4:4" x14ac:dyDescent="0.25">
      <c r="D1768" s="7"/>
    </row>
    <row r="1769" spans="4:4" x14ac:dyDescent="0.25">
      <c r="D1769" s="7"/>
    </row>
    <row r="1770" spans="4:4" x14ac:dyDescent="0.25">
      <c r="D1770" s="7"/>
    </row>
    <row r="1771" spans="4:4" x14ac:dyDescent="0.25">
      <c r="D1771" s="7"/>
    </row>
    <row r="1772" spans="4:4" x14ac:dyDescent="0.25">
      <c r="D1772" s="7"/>
    </row>
    <row r="1773" spans="4:4" x14ac:dyDescent="0.25">
      <c r="D1773" s="7"/>
    </row>
    <row r="1774" spans="4:4" x14ac:dyDescent="0.25">
      <c r="D1774" s="7"/>
    </row>
    <row r="1775" spans="4:4" x14ac:dyDescent="0.25">
      <c r="D1775" s="7"/>
    </row>
    <row r="1776" spans="4:4" x14ac:dyDescent="0.25">
      <c r="D1776" s="7"/>
    </row>
    <row r="1777" spans="4:4" x14ac:dyDescent="0.25">
      <c r="D1777" s="7"/>
    </row>
    <row r="1778" spans="4:4" x14ac:dyDescent="0.25">
      <c r="D1778" s="7"/>
    </row>
    <row r="1779" spans="4:4" x14ac:dyDescent="0.25">
      <c r="D1779" s="7"/>
    </row>
    <row r="1780" spans="4:4" x14ac:dyDescent="0.25">
      <c r="D1780" s="7"/>
    </row>
    <row r="1781" spans="4:4" x14ac:dyDescent="0.25">
      <c r="D1781" s="7"/>
    </row>
    <row r="1782" spans="4:4" x14ac:dyDescent="0.25">
      <c r="D1782" s="7"/>
    </row>
    <row r="1783" spans="4:4" x14ac:dyDescent="0.25">
      <c r="D1783" s="7"/>
    </row>
    <row r="1784" spans="4:4" x14ac:dyDescent="0.25">
      <c r="D1784" s="7"/>
    </row>
    <row r="1785" spans="4:4" x14ac:dyDescent="0.25">
      <c r="D1785" s="7"/>
    </row>
    <row r="1786" spans="4:4" x14ac:dyDescent="0.25">
      <c r="D1786" s="7"/>
    </row>
    <row r="1787" spans="4:4" x14ac:dyDescent="0.25">
      <c r="D1787" s="7"/>
    </row>
    <row r="1788" spans="4:4" x14ac:dyDescent="0.25">
      <c r="D1788" s="7"/>
    </row>
    <row r="1789" spans="4:4" x14ac:dyDescent="0.25">
      <c r="D1789" s="7"/>
    </row>
    <row r="1790" spans="4:4" x14ac:dyDescent="0.25">
      <c r="D1790" s="7"/>
    </row>
    <row r="1791" spans="4:4" x14ac:dyDescent="0.25">
      <c r="D1791" s="7"/>
    </row>
    <row r="1792" spans="4:4" x14ac:dyDescent="0.25">
      <c r="D1792" s="7"/>
    </row>
    <row r="1793" spans="4:4" x14ac:dyDescent="0.25">
      <c r="D1793" s="7"/>
    </row>
    <row r="1794" spans="4:4" x14ac:dyDescent="0.25">
      <c r="D1794" s="7"/>
    </row>
    <row r="1795" spans="4:4" x14ac:dyDescent="0.25">
      <c r="D1795" s="7"/>
    </row>
    <row r="1796" spans="4:4" x14ac:dyDescent="0.25">
      <c r="D1796" s="7"/>
    </row>
    <row r="1797" spans="4:4" x14ac:dyDescent="0.25">
      <c r="D1797" s="7"/>
    </row>
    <row r="1798" spans="4:4" x14ac:dyDescent="0.25">
      <c r="D1798" s="7"/>
    </row>
    <row r="1799" spans="4:4" x14ac:dyDescent="0.25">
      <c r="D1799" s="7"/>
    </row>
    <row r="1800" spans="4:4" x14ac:dyDescent="0.25">
      <c r="D1800" s="7"/>
    </row>
    <row r="1801" spans="4:4" x14ac:dyDescent="0.25">
      <c r="D1801" s="7"/>
    </row>
    <row r="1802" spans="4:4" x14ac:dyDescent="0.25">
      <c r="D1802" s="7"/>
    </row>
    <row r="1803" spans="4:4" x14ac:dyDescent="0.25">
      <c r="D1803" s="7"/>
    </row>
    <row r="1804" spans="4:4" x14ac:dyDescent="0.25">
      <c r="D1804" s="7"/>
    </row>
    <row r="1805" spans="4:4" x14ac:dyDescent="0.25">
      <c r="D1805" s="7"/>
    </row>
    <row r="1806" spans="4:4" x14ac:dyDescent="0.25">
      <c r="D1806" s="7"/>
    </row>
    <row r="1807" spans="4:4" x14ac:dyDescent="0.25">
      <c r="D1807" s="7"/>
    </row>
    <row r="1808" spans="4:4" x14ac:dyDescent="0.25">
      <c r="D1808" s="7"/>
    </row>
    <row r="1809" spans="4:4" x14ac:dyDescent="0.25">
      <c r="D1809" s="7"/>
    </row>
    <row r="1810" spans="4:4" x14ac:dyDescent="0.25">
      <c r="D1810" s="7"/>
    </row>
    <row r="1811" spans="4:4" x14ac:dyDescent="0.25">
      <c r="D1811" s="7"/>
    </row>
    <row r="1812" spans="4:4" x14ac:dyDescent="0.25">
      <c r="D1812" s="7"/>
    </row>
    <row r="1813" spans="4:4" x14ac:dyDescent="0.25">
      <c r="D1813" s="7"/>
    </row>
    <row r="1814" spans="4:4" x14ac:dyDescent="0.25">
      <c r="D1814" s="7"/>
    </row>
    <row r="1815" spans="4:4" x14ac:dyDescent="0.25">
      <c r="D1815" s="7"/>
    </row>
    <row r="1816" spans="4:4" x14ac:dyDescent="0.25">
      <c r="D1816" s="7"/>
    </row>
    <row r="1817" spans="4:4" x14ac:dyDescent="0.25">
      <c r="D1817" s="7"/>
    </row>
    <row r="1818" spans="4:4" x14ac:dyDescent="0.25">
      <c r="D1818" s="7"/>
    </row>
    <row r="1819" spans="4:4" x14ac:dyDescent="0.25">
      <c r="D1819" s="7"/>
    </row>
    <row r="1820" spans="4:4" x14ac:dyDescent="0.25">
      <c r="D1820" s="7"/>
    </row>
    <row r="1821" spans="4:4" x14ac:dyDescent="0.25">
      <c r="D1821" s="7"/>
    </row>
    <row r="1822" spans="4:4" x14ac:dyDescent="0.25">
      <c r="D1822" s="7"/>
    </row>
    <row r="1823" spans="4:4" x14ac:dyDescent="0.25">
      <c r="D1823" s="7"/>
    </row>
    <row r="1824" spans="4:4" x14ac:dyDescent="0.25">
      <c r="D1824" s="7"/>
    </row>
    <row r="1825" spans="4:4" x14ac:dyDescent="0.25">
      <c r="D1825" s="7"/>
    </row>
    <row r="1826" spans="4:4" x14ac:dyDescent="0.25">
      <c r="D1826" s="7"/>
    </row>
    <row r="1827" spans="4:4" x14ac:dyDescent="0.25">
      <c r="D1827" s="7"/>
    </row>
    <row r="1828" spans="4:4" x14ac:dyDescent="0.25">
      <c r="D1828" s="7"/>
    </row>
    <row r="1829" spans="4:4" x14ac:dyDescent="0.25">
      <c r="D1829" s="7"/>
    </row>
    <row r="1830" spans="4:4" x14ac:dyDescent="0.25">
      <c r="D1830" s="7"/>
    </row>
    <row r="1831" spans="4:4" x14ac:dyDescent="0.25">
      <c r="D1831" s="7"/>
    </row>
    <row r="1832" spans="4:4" x14ac:dyDescent="0.25">
      <c r="D1832" s="7"/>
    </row>
    <row r="1833" spans="4:4" x14ac:dyDescent="0.25">
      <c r="D1833" s="7"/>
    </row>
    <row r="1834" spans="4:4" x14ac:dyDescent="0.25">
      <c r="D1834" s="7"/>
    </row>
    <row r="1835" spans="4:4" x14ac:dyDescent="0.25">
      <c r="D1835" s="7"/>
    </row>
    <row r="1836" spans="4:4" x14ac:dyDescent="0.25">
      <c r="D1836" s="7"/>
    </row>
    <row r="1837" spans="4:4" x14ac:dyDescent="0.25">
      <c r="D1837" s="7"/>
    </row>
    <row r="1838" spans="4:4" x14ac:dyDescent="0.25">
      <c r="D1838" s="7"/>
    </row>
    <row r="1839" spans="4:4" x14ac:dyDescent="0.25">
      <c r="D1839" s="7"/>
    </row>
    <row r="1840" spans="4:4" x14ac:dyDescent="0.25">
      <c r="D1840" s="7"/>
    </row>
    <row r="1841" spans="4:4" x14ac:dyDescent="0.25">
      <c r="D1841" s="7"/>
    </row>
    <row r="1842" spans="4:4" x14ac:dyDescent="0.25">
      <c r="D1842" s="7"/>
    </row>
    <row r="1843" spans="4:4" x14ac:dyDescent="0.25">
      <c r="D1843" s="7"/>
    </row>
    <row r="1844" spans="4:4" x14ac:dyDescent="0.25">
      <c r="D1844" s="7"/>
    </row>
    <row r="1845" spans="4:4" x14ac:dyDescent="0.25">
      <c r="D1845" s="7"/>
    </row>
    <row r="1846" spans="4:4" x14ac:dyDescent="0.25">
      <c r="D1846" s="7"/>
    </row>
    <row r="1847" spans="4:4" x14ac:dyDescent="0.25">
      <c r="D1847" s="7"/>
    </row>
    <row r="1848" spans="4:4" x14ac:dyDescent="0.25">
      <c r="D1848" s="7"/>
    </row>
    <row r="1849" spans="4:4" x14ac:dyDescent="0.25">
      <c r="D1849" s="7"/>
    </row>
    <row r="1850" spans="4:4" x14ac:dyDescent="0.25">
      <c r="D1850" s="7"/>
    </row>
    <row r="1851" spans="4:4" x14ac:dyDescent="0.25">
      <c r="D1851" s="7"/>
    </row>
    <row r="1852" spans="4:4" x14ac:dyDescent="0.25">
      <c r="D1852" s="7"/>
    </row>
    <row r="1853" spans="4:4" x14ac:dyDescent="0.25">
      <c r="D1853" s="7"/>
    </row>
    <row r="1854" spans="4:4" x14ac:dyDescent="0.25">
      <c r="D1854" s="7"/>
    </row>
    <row r="1855" spans="4:4" x14ac:dyDescent="0.25">
      <c r="D1855" s="7"/>
    </row>
    <row r="1856" spans="4:4" x14ac:dyDescent="0.25">
      <c r="D1856" s="7"/>
    </row>
    <row r="1857" spans="4:4" x14ac:dyDescent="0.25">
      <c r="D1857" s="7"/>
    </row>
    <row r="1858" spans="4:4" x14ac:dyDescent="0.25">
      <c r="D1858" s="7"/>
    </row>
    <row r="1859" spans="4:4" x14ac:dyDescent="0.25">
      <c r="D1859" s="7"/>
    </row>
    <row r="1860" spans="4:4" x14ac:dyDescent="0.25">
      <c r="D1860" s="7"/>
    </row>
    <row r="1861" spans="4:4" x14ac:dyDescent="0.25">
      <c r="D1861" s="7"/>
    </row>
    <row r="1862" spans="4:4" x14ac:dyDescent="0.25">
      <c r="D1862" s="7"/>
    </row>
    <row r="1863" spans="4:4" x14ac:dyDescent="0.25">
      <c r="D1863" s="7"/>
    </row>
    <row r="1864" spans="4:4" x14ac:dyDescent="0.25">
      <c r="D1864" s="7"/>
    </row>
    <row r="1865" spans="4:4" x14ac:dyDescent="0.25">
      <c r="D1865" s="7"/>
    </row>
    <row r="1866" spans="4:4" x14ac:dyDescent="0.25">
      <c r="D1866" s="7"/>
    </row>
    <row r="1867" spans="4:4" x14ac:dyDescent="0.25">
      <c r="D1867" s="7"/>
    </row>
    <row r="1868" spans="4:4" x14ac:dyDescent="0.25">
      <c r="D1868" s="7"/>
    </row>
    <row r="1869" spans="4:4" x14ac:dyDescent="0.25">
      <c r="D1869" s="7"/>
    </row>
    <row r="1870" spans="4:4" x14ac:dyDescent="0.25">
      <c r="D1870" s="7"/>
    </row>
    <row r="1871" spans="4:4" x14ac:dyDescent="0.25">
      <c r="D1871" s="7"/>
    </row>
    <row r="1872" spans="4:4" x14ac:dyDescent="0.25">
      <c r="D1872" s="7"/>
    </row>
    <row r="1873" spans="4:4" x14ac:dyDescent="0.25">
      <c r="D1873" s="7"/>
    </row>
    <row r="1874" spans="4:4" x14ac:dyDescent="0.25">
      <c r="D1874" s="7"/>
    </row>
    <row r="1875" spans="4:4" x14ac:dyDescent="0.25">
      <c r="D1875" s="7"/>
    </row>
    <row r="1876" spans="4:4" x14ac:dyDescent="0.25">
      <c r="D1876" s="7"/>
    </row>
    <row r="1877" spans="4:4" x14ac:dyDescent="0.25">
      <c r="D1877" s="7"/>
    </row>
    <row r="1878" spans="4:4" x14ac:dyDescent="0.25">
      <c r="D1878" s="7"/>
    </row>
    <row r="1879" spans="4:4" x14ac:dyDescent="0.25">
      <c r="D1879" s="7"/>
    </row>
    <row r="1880" spans="4:4" x14ac:dyDescent="0.25">
      <c r="D1880" s="7"/>
    </row>
    <row r="1881" spans="4:4" x14ac:dyDescent="0.25">
      <c r="D1881" s="7"/>
    </row>
    <row r="1882" spans="4:4" x14ac:dyDescent="0.25">
      <c r="D1882" s="7"/>
    </row>
    <row r="1883" spans="4:4" x14ac:dyDescent="0.25">
      <c r="D1883" s="7"/>
    </row>
    <row r="1884" spans="4:4" x14ac:dyDescent="0.25">
      <c r="D1884" s="7"/>
    </row>
    <row r="1885" spans="4:4" x14ac:dyDescent="0.25">
      <c r="D1885" s="7"/>
    </row>
    <row r="1886" spans="4:4" x14ac:dyDescent="0.25">
      <c r="D1886" s="7"/>
    </row>
    <row r="1887" spans="4:4" x14ac:dyDescent="0.25">
      <c r="D1887" s="7"/>
    </row>
    <row r="1888" spans="4:4" x14ac:dyDescent="0.25">
      <c r="D1888" s="7"/>
    </row>
    <row r="1889" spans="4:4" x14ac:dyDescent="0.25">
      <c r="D1889" s="7"/>
    </row>
    <row r="1890" spans="4:4" x14ac:dyDescent="0.25">
      <c r="D1890" s="7"/>
    </row>
    <row r="1891" spans="4:4" x14ac:dyDescent="0.25">
      <c r="D1891" s="7"/>
    </row>
    <row r="1892" spans="4:4" x14ac:dyDescent="0.25">
      <c r="D1892" s="7"/>
    </row>
    <row r="1893" spans="4:4" x14ac:dyDescent="0.25">
      <c r="D1893" s="7"/>
    </row>
    <row r="1894" spans="4:4" x14ac:dyDescent="0.25">
      <c r="D1894" s="7"/>
    </row>
    <row r="1895" spans="4:4" x14ac:dyDescent="0.25">
      <c r="D1895" s="7"/>
    </row>
    <row r="1896" spans="4:4" x14ac:dyDescent="0.25">
      <c r="D1896" s="7"/>
    </row>
    <row r="1897" spans="4:4" x14ac:dyDescent="0.25">
      <c r="D1897" s="7"/>
    </row>
    <row r="1898" spans="4:4" x14ac:dyDescent="0.25">
      <c r="D1898" s="7"/>
    </row>
    <row r="1899" spans="4:4" x14ac:dyDescent="0.25">
      <c r="D1899" s="7"/>
    </row>
    <row r="1900" spans="4:4" x14ac:dyDescent="0.25">
      <c r="D1900" s="7"/>
    </row>
    <row r="1901" spans="4:4" x14ac:dyDescent="0.25">
      <c r="D1901" s="7"/>
    </row>
    <row r="1902" spans="4:4" x14ac:dyDescent="0.25">
      <c r="D1902" s="7"/>
    </row>
    <row r="1903" spans="4:4" x14ac:dyDescent="0.25">
      <c r="D1903" s="7"/>
    </row>
    <row r="1904" spans="4:4" x14ac:dyDescent="0.25">
      <c r="D1904" s="7"/>
    </row>
    <row r="1905" spans="4:4" x14ac:dyDescent="0.25">
      <c r="D1905" s="7"/>
    </row>
    <row r="1906" spans="4:4" x14ac:dyDescent="0.25">
      <c r="D1906" s="7"/>
    </row>
    <row r="1907" spans="4:4" x14ac:dyDescent="0.25">
      <c r="D1907" s="7"/>
    </row>
    <row r="1908" spans="4:4" x14ac:dyDescent="0.25">
      <c r="D1908" s="7"/>
    </row>
    <row r="1909" spans="4:4" x14ac:dyDescent="0.25">
      <c r="D1909" s="7"/>
    </row>
    <row r="1910" spans="4:4" x14ac:dyDescent="0.25">
      <c r="D1910" s="7"/>
    </row>
    <row r="1911" spans="4:4" x14ac:dyDescent="0.25">
      <c r="D1911" s="7"/>
    </row>
    <row r="1912" spans="4:4" x14ac:dyDescent="0.25">
      <c r="D1912" s="7"/>
    </row>
    <row r="1913" spans="4:4" x14ac:dyDescent="0.25">
      <c r="D1913" s="7"/>
    </row>
    <row r="1914" spans="4:4" x14ac:dyDescent="0.25">
      <c r="D1914" s="7"/>
    </row>
    <row r="1915" spans="4:4" x14ac:dyDescent="0.25">
      <c r="D1915" s="7"/>
    </row>
    <row r="1916" spans="4:4" x14ac:dyDescent="0.25">
      <c r="D1916" s="7"/>
    </row>
    <row r="1917" spans="4:4" x14ac:dyDescent="0.25">
      <c r="D1917" s="7"/>
    </row>
    <row r="1918" spans="4:4" x14ac:dyDescent="0.25">
      <c r="D1918" s="7"/>
    </row>
    <row r="1919" spans="4:4" x14ac:dyDescent="0.25">
      <c r="D1919" s="7"/>
    </row>
    <row r="1920" spans="4:4" x14ac:dyDescent="0.25">
      <c r="D1920" s="7"/>
    </row>
    <row r="1921" spans="4:4" x14ac:dyDescent="0.25">
      <c r="D1921" s="7"/>
    </row>
    <row r="1922" spans="4:4" x14ac:dyDescent="0.25">
      <c r="D1922" s="7"/>
    </row>
    <row r="1923" spans="4:4" x14ac:dyDescent="0.25">
      <c r="D1923" s="7"/>
    </row>
    <row r="1924" spans="4:4" x14ac:dyDescent="0.25">
      <c r="D1924" s="7"/>
    </row>
    <row r="1925" spans="4:4" x14ac:dyDescent="0.25">
      <c r="D1925" s="7"/>
    </row>
    <row r="1926" spans="4:4" x14ac:dyDescent="0.25">
      <c r="D1926" s="7"/>
    </row>
    <row r="1927" spans="4:4" x14ac:dyDescent="0.25">
      <c r="D1927" s="7"/>
    </row>
    <row r="1928" spans="4:4" x14ac:dyDescent="0.25">
      <c r="D1928" s="7"/>
    </row>
    <row r="1929" spans="4:4" x14ac:dyDescent="0.25">
      <c r="D1929" s="7"/>
    </row>
    <row r="1930" spans="4:4" x14ac:dyDescent="0.25">
      <c r="D1930" s="7"/>
    </row>
    <row r="1931" spans="4:4" x14ac:dyDescent="0.25">
      <c r="D1931" s="7"/>
    </row>
    <row r="1932" spans="4:4" x14ac:dyDescent="0.25">
      <c r="D1932" s="7"/>
    </row>
    <row r="1933" spans="4:4" x14ac:dyDescent="0.25">
      <c r="D1933" s="7"/>
    </row>
    <row r="1934" spans="4:4" x14ac:dyDescent="0.25">
      <c r="D1934" s="7"/>
    </row>
    <row r="1935" spans="4:4" x14ac:dyDescent="0.25">
      <c r="D1935" s="7"/>
    </row>
    <row r="1936" spans="4:4" x14ac:dyDescent="0.25">
      <c r="D1936" s="7"/>
    </row>
    <row r="1937" spans="4:4" x14ac:dyDescent="0.25">
      <c r="D1937" s="7"/>
    </row>
    <row r="1938" spans="4:4" x14ac:dyDescent="0.25">
      <c r="D1938" s="7"/>
    </row>
    <row r="1939" spans="4:4" x14ac:dyDescent="0.25">
      <c r="D1939" s="7"/>
    </row>
    <row r="1940" spans="4:4" x14ac:dyDescent="0.25">
      <c r="D1940" s="7"/>
    </row>
    <row r="1941" spans="4:4" x14ac:dyDescent="0.25">
      <c r="D1941" s="7"/>
    </row>
    <row r="1942" spans="4:4" x14ac:dyDescent="0.25">
      <c r="D1942" s="7"/>
    </row>
    <row r="1943" spans="4:4" x14ac:dyDescent="0.25">
      <c r="D1943" s="7"/>
    </row>
    <row r="1944" spans="4:4" x14ac:dyDescent="0.25">
      <c r="D1944" s="7"/>
    </row>
    <row r="1945" spans="4:4" x14ac:dyDescent="0.25">
      <c r="D1945" s="7"/>
    </row>
    <row r="1946" spans="4:4" x14ac:dyDescent="0.25">
      <c r="D1946" s="7"/>
    </row>
    <row r="1947" spans="4:4" x14ac:dyDescent="0.25">
      <c r="D1947" s="7"/>
    </row>
    <row r="1948" spans="4:4" x14ac:dyDescent="0.25">
      <c r="D1948" s="7"/>
    </row>
    <row r="1949" spans="4:4" x14ac:dyDescent="0.25">
      <c r="D1949" s="7"/>
    </row>
    <row r="1950" spans="4:4" x14ac:dyDescent="0.25">
      <c r="D1950" s="7"/>
    </row>
    <row r="1951" spans="4:4" x14ac:dyDescent="0.25">
      <c r="D1951" s="7"/>
    </row>
    <row r="1952" spans="4:4" x14ac:dyDescent="0.25">
      <c r="D1952" s="7"/>
    </row>
    <row r="1953" spans="4:4" x14ac:dyDescent="0.25">
      <c r="D1953" s="7"/>
    </row>
    <row r="1954" spans="4:4" x14ac:dyDescent="0.25">
      <c r="D1954" s="7"/>
    </row>
    <row r="1955" spans="4:4" x14ac:dyDescent="0.25">
      <c r="D1955" s="7"/>
    </row>
    <row r="1956" spans="4:4" x14ac:dyDescent="0.25">
      <c r="D1956" s="7"/>
    </row>
    <row r="1957" spans="4:4" x14ac:dyDescent="0.25">
      <c r="D1957" s="7"/>
    </row>
    <row r="1958" spans="4:4" x14ac:dyDescent="0.25">
      <c r="D1958" s="7"/>
    </row>
    <row r="1959" spans="4:4" x14ac:dyDescent="0.25">
      <c r="D1959" s="7"/>
    </row>
    <row r="1960" spans="4:4" x14ac:dyDescent="0.25">
      <c r="D1960" s="7"/>
    </row>
    <row r="1961" spans="4:4" x14ac:dyDescent="0.25">
      <c r="D1961" s="7"/>
    </row>
    <row r="1962" spans="4:4" x14ac:dyDescent="0.25">
      <c r="D1962" s="7"/>
    </row>
    <row r="1963" spans="4:4" x14ac:dyDescent="0.25">
      <c r="D1963" s="7"/>
    </row>
    <row r="1964" spans="4:4" x14ac:dyDescent="0.25">
      <c r="D1964" s="7"/>
    </row>
    <row r="1965" spans="4:4" x14ac:dyDescent="0.25">
      <c r="D1965" s="7"/>
    </row>
    <row r="1966" spans="4:4" x14ac:dyDescent="0.25">
      <c r="D1966" s="7"/>
    </row>
    <row r="1967" spans="4:4" x14ac:dyDescent="0.25">
      <c r="D1967" s="7"/>
    </row>
    <row r="1968" spans="4:4" x14ac:dyDescent="0.25">
      <c r="D1968" s="7"/>
    </row>
    <row r="1969" spans="4:4" x14ac:dyDescent="0.25">
      <c r="D1969" s="7"/>
    </row>
    <row r="1970" spans="4:4" x14ac:dyDescent="0.25">
      <c r="D1970" s="7"/>
    </row>
    <row r="1971" spans="4:4" x14ac:dyDescent="0.25">
      <c r="D1971" s="7"/>
    </row>
    <row r="1972" spans="4:4" x14ac:dyDescent="0.25">
      <c r="D1972" s="7"/>
    </row>
    <row r="1973" spans="4:4" x14ac:dyDescent="0.25">
      <c r="D1973" s="7"/>
    </row>
    <row r="1974" spans="4:4" x14ac:dyDescent="0.25">
      <c r="D1974" s="7"/>
    </row>
    <row r="1975" spans="4:4" x14ac:dyDescent="0.25">
      <c r="D1975" s="7"/>
    </row>
    <row r="1976" spans="4:4" x14ac:dyDescent="0.25">
      <c r="D1976" s="7"/>
    </row>
    <row r="1977" spans="4:4" x14ac:dyDescent="0.25">
      <c r="D1977" s="7"/>
    </row>
    <row r="1978" spans="4:4" x14ac:dyDescent="0.25">
      <c r="D1978" s="7"/>
    </row>
    <row r="1979" spans="4:4" x14ac:dyDescent="0.25">
      <c r="D1979" s="7"/>
    </row>
    <row r="1980" spans="4:4" x14ac:dyDescent="0.25">
      <c r="D1980" s="7"/>
    </row>
    <row r="1981" spans="4:4" x14ac:dyDescent="0.25">
      <c r="D1981" s="7"/>
    </row>
    <row r="1982" spans="4:4" x14ac:dyDescent="0.25">
      <c r="D1982" s="7"/>
    </row>
    <row r="1983" spans="4:4" x14ac:dyDescent="0.25">
      <c r="D1983" s="7"/>
    </row>
    <row r="1984" spans="4:4" x14ac:dyDescent="0.25">
      <c r="D1984" s="7"/>
    </row>
    <row r="1985" spans="4:4" x14ac:dyDescent="0.25">
      <c r="D1985" s="7"/>
    </row>
    <row r="1986" spans="4:4" x14ac:dyDescent="0.25">
      <c r="D1986" s="7"/>
    </row>
    <row r="1987" spans="4:4" x14ac:dyDescent="0.25">
      <c r="D1987" s="7"/>
    </row>
    <row r="1988" spans="4:4" x14ac:dyDescent="0.25">
      <c r="D1988" s="7"/>
    </row>
    <row r="1989" spans="4:4" x14ac:dyDescent="0.25">
      <c r="D1989" s="7"/>
    </row>
    <row r="1990" spans="4:4" x14ac:dyDescent="0.25">
      <c r="D1990" s="7"/>
    </row>
    <row r="1991" spans="4:4" x14ac:dyDescent="0.25">
      <c r="D1991" s="7"/>
    </row>
    <row r="1992" spans="4:4" x14ac:dyDescent="0.25">
      <c r="D1992" s="7"/>
    </row>
    <row r="1993" spans="4:4" x14ac:dyDescent="0.25">
      <c r="D1993" s="7"/>
    </row>
    <row r="1994" spans="4:4" x14ac:dyDescent="0.25">
      <c r="D1994" s="7"/>
    </row>
    <row r="1995" spans="4:4" x14ac:dyDescent="0.25">
      <c r="D1995" s="7"/>
    </row>
    <row r="1996" spans="4:4" x14ac:dyDescent="0.25">
      <c r="D1996" s="7"/>
    </row>
    <row r="1997" spans="4:4" x14ac:dyDescent="0.25">
      <c r="D1997" s="7"/>
    </row>
    <row r="1998" spans="4:4" x14ac:dyDescent="0.25">
      <c r="D1998" s="7"/>
    </row>
    <row r="1999" spans="4:4" x14ac:dyDescent="0.25">
      <c r="D1999" s="7"/>
    </row>
    <row r="2000" spans="4:4" x14ac:dyDescent="0.25">
      <c r="D2000" s="7"/>
    </row>
    <row r="2001" spans="4:4" x14ac:dyDescent="0.25">
      <c r="D2001" s="7"/>
    </row>
    <row r="2002" spans="4:4" x14ac:dyDescent="0.25">
      <c r="D2002" s="7"/>
    </row>
    <row r="2003" spans="4:4" x14ac:dyDescent="0.25">
      <c r="D2003" s="7"/>
    </row>
    <row r="2004" spans="4:4" x14ac:dyDescent="0.25">
      <c r="D2004" s="7"/>
    </row>
    <row r="2005" spans="4:4" x14ac:dyDescent="0.25">
      <c r="D2005" s="7"/>
    </row>
    <row r="2006" spans="4:4" x14ac:dyDescent="0.25">
      <c r="D2006" s="7"/>
    </row>
    <row r="2007" spans="4:4" x14ac:dyDescent="0.25">
      <c r="D2007" s="7"/>
    </row>
    <row r="2008" spans="4:4" x14ac:dyDescent="0.25">
      <c r="D2008" s="7"/>
    </row>
    <row r="2009" spans="4:4" x14ac:dyDescent="0.25">
      <c r="D2009" s="7"/>
    </row>
    <row r="2010" spans="4:4" x14ac:dyDescent="0.25">
      <c r="D2010" s="7"/>
    </row>
    <row r="2011" spans="4:4" x14ac:dyDescent="0.25">
      <c r="D2011" s="7"/>
    </row>
    <row r="2012" spans="4:4" x14ac:dyDescent="0.25">
      <c r="D2012" s="7"/>
    </row>
    <row r="2013" spans="4:4" x14ac:dyDescent="0.25">
      <c r="D2013" s="7"/>
    </row>
    <row r="2014" spans="4:4" x14ac:dyDescent="0.25">
      <c r="D2014" s="7"/>
    </row>
    <row r="2015" spans="4:4" x14ac:dyDescent="0.25">
      <c r="D2015" s="7"/>
    </row>
    <row r="2016" spans="4:4" x14ac:dyDescent="0.25">
      <c r="D2016" s="7"/>
    </row>
    <row r="2017" spans="4:4" x14ac:dyDescent="0.25">
      <c r="D2017" s="7"/>
    </row>
    <row r="2018" spans="4:4" x14ac:dyDescent="0.25">
      <c r="D2018" s="7"/>
    </row>
    <row r="2019" spans="4:4" x14ac:dyDescent="0.25">
      <c r="D2019" s="7"/>
    </row>
    <row r="2020" spans="4:4" x14ac:dyDescent="0.25">
      <c r="D2020" s="7"/>
    </row>
    <row r="2021" spans="4:4" x14ac:dyDescent="0.25">
      <c r="D2021" s="7"/>
    </row>
    <row r="2022" spans="4:4" x14ac:dyDescent="0.25">
      <c r="D2022" s="7"/>
    </row>
    <row r="2023" spans="4:4" x14ac:dyDescent="0.25">
      <c r="D2023" s="7"/>
    </row>
    <row r="2024" spans="4:4" x14ac:dyDescent="0.25">
      <c r="D2024" s="7"/>
    </row>
    <row r="2025" spans="4:4" x14ac:dyDescent="0.25">
      <c r="D2025" s="7"/>
    </row>
    <row r="2026" spans="4:4" x14ac:dyDescent="0.25">
      <c r="D2026" s="7"/>
    </row>
    <row r="2027" spans="4:4" x14ac:dyDescent="0.25">
      <c r="D2027" s="7"/>
    </row>
    <row r="2028" spans="4:4" x14ac:dyDescent="0.25">
      <c r="D2028" s="7"/>
    </row>
    <row r="2029" spans="4:4" x14ac:dyDescent="0.25">
      <c r="D2029" s="7"/>
    </row>
    <row r="2030" spans="4:4" x14ac:dyDescent="0.25">
      <c r="D2030" s="7"/>
    </row>
    <row r="2031" spans="4:4" x14ac:dyDescent="0.25">
      <c r="D2031" s="7"/>
    </row>
    <row r="2032" spans="4:4" x14ac:dyDescent="0.25">
      <c r="D2032" s="7"/>
    </row>
    <row r="2033" spans="4:4" x14ac:dyDescent="0.25">
      <c r="D2033" s="7"/>
    </row>
    <row r="2034" spans="4:4" x14ac:dyDescent="0.25">
      <c r="D2034" s="7"/>
    </row>
    <row r="2035" spans="4:4" x14ac:dyDescent="0.25">
      <c r="D2035" s="7"/>
    </row>
    <row r="2036" spans="4:4" x14ac:dyDescent="0.25">
      <c r="D2036" s="7"/>
    </row>
    <row r="2037" spans="4:4" x14ac:dyDescent="0.25">
      <c r="D2037" s="7"/>
    </row>
    <row r="2038" spans="4:4" x14ac:dyDescent="0.25">
      <c r="D2038" s="7"/>
    </row>
    <row r="2039" spans="4:4" x14ac:dyDescent="0.25">
      <c r="D2039" s="7"/>
    </row>
    <row r="2040" spans="4:4" x14ac:dyDescent="0.25">
      <c r="D2040" s="7"/>
    </row>
    <row r="2041" spans="4:4" x14ac:dyDescent="0.25">
      <c r="D2041" s="7"/>
    </row>
    <row r="2042" spans="4:4" x14ac:dyDescent="0.25">
      <c r="D2042" s="7"/>
    </row>
    <row r="2043" spans="4:4" x14ac:dyDescent="0.25">
      <c r="D2043" s="7"/>
    </row>
    <row r="2044" spans="4:4" x14ac:dyDescent="0.25">
      <c r="D2044" s="7"/>
    </row>
    <row r="2045" spans="4:4" x14ac:dyDescent="0.25">
      <c r="D2045" s="7"/>
    </row>
    <row r="2046" spans="4:4" x14ac:dyDescent="0.25">
      <c r="D2046" s="7"/>
    </row>
    <row r="2047" spans="4:4" x14ac:dyDescent="0.25">
      <c r="D2047" s="7"/>
    </row>
    <row r="2048" spans="4:4" x14ac:dyDescent="0.25">
      <c r="D2048" s="7"/>
    </row>
    <row r="2049" spans="4:4" x14ac:dyDescent="0.25">
      <c r="D2049" s="7"/>
    </row>
    <row r="2050" spans="4:4" x14ac:dyDescent="0.25">
      <c r="D2050" s="7"/>
    </row>
    <row r="2051" spans="4:4" x14ac:dyDescent="0.25">
      <c r="D2051" s="7"/>
    </row>
    <row r="2052" spans="4:4" x14ac:dyDescent="0.25">
      <c r="D2052" s="7"/>
    </row>
    <row r="2053" spans="4:4" x14ac:dyDescent="0.25">
      <c r="D2053" s="7"/>
    </row>
    <row r="2054" spans="4:4" x14ac:dyDescent="0.25">
      <c r="D2054" s="7"/>
    </row>
    <row r="2055" spans="4:4" x14ac:dyDescent="0.25">
      <c r="D2055" s="7"/>
    </row>
    <row r="2056" spans="4:4" x14ac:dyDescent="0.25">
      <c r="D2056" s="7"/>
    </row>
    <row r="2057" spans="4:4" x14ac:dyDescent="0.25">
      <c r="D2057" s="7"/>
    </row>
    <row r="2058" spans="4:4" x14ac:dyDescent="0.25">
      <c r="D2058" s="7"/>
    </row>
    <row r="2059" spans="4:4" x14ac:dyDescent="0.25">
      <c r="D2059" s="7"/>
    </row>
    <row r="2060" spans="4:4" x14ac:dyDescent="0.25">
      <c r="D2060" s="7"/>
    </row>
    <row r="2061" spans="4:4" x14ac:dyDescent="0.25">
      <c r="D2061" s="7"/>
    </row>
    <row r="2062" spans="4:4" x14ac:dyDescent="0.25">
      <c r="D2062" s="7"/>
    </row>
    <row r="2063" spans="4:4" x14ac:dyDescent="0.25">
      <c r="D2063" s="7"/>
    </row>
    <row r="2064" spans="4:4" x14ac:dyDescent="0.25">
      <c r="D2064" s="7"/>
    </row>
    <row r="2065" spans="4:4" x14ac:dyDescent="0.25">
      <c r="D2065" s="7"/>
    </row>
    <row r="2066" spans="4:4" x14ac:dyDescent="0.25">
      <c r="D2066" s="7"/>
    </row>
    <row r="2067" spans="4:4" x14ac:dyDescent="0.25">
      <c r="D2067" s="7"/>
    </row>
    <row r="2068" spans="4:4" x14ac:dyDescent="0.25">
      <c r="D2068" s="7"/>
    </row>
    <row r="2069" spans="4:4" x14ac:dyDescent="0.25">
      <c r="D2069" s="7"/>
    </row>
    <row r="2070" spans="4:4" x14ac:dyDescent="0.25">
      <c r="D2070" s="7"/>
    </row>
    <row r="2071" spans="4:4" x14ac:dyDescent="0.25">
      <c r="D2071" s="7"/>
    </row>
    <row r="2072" spans="4:4" x14ac:dyDescent="0.25">
      <c r="D2072" s="7"/>
    </row>
    <row r="2073" spans="4:4" x14ac:dyDescent="0.25">
      <c r="D2073" s="7"/>
    </row>
    <row r="2074" spans="4:4" x14ac:dyDescent="0.25">
      <c r="D2074" s="7"/>
    </row>
    <row r="2075" spans="4:4" x14ac:dyDescent="0.25">
      <c r="D2075" s="7"/>
    </row>
    <row r="2076" spans="4:4" x14ac:dyDescent="0.25">
      <c r="D2076" s="7"/>
    </row>
    <row r="2077" spans="4:4" x14ac:dyDescent="0.25">
      <c r="D2077" s="7"/>
    </row>
    <row r="2078" spans="4:4" x14ac:dyDescent="0.25">
      <c r="D2078" s="7"/>
    </row>
    <row r="2079" spans="4:4" x14ac:dyDescent="0.25">
      <c r="D2079" s="7"/>
    </row>
    <row r="2080" spans="4:4" x14ac:dyDescent="0.25">
      <c r="D2080" s="7"/>
    </row>
    <row r="2081" spans="4:4" x14ac:dyDescent="0.25">
      <c r="D2081" s="7"/>
    </row>
    <row r="2082" spans="4:4" x14ac:dyDescent="0.25">
      <c r="D2082" s="7"/>
    </row>
    <row r="2083" spans="4:4" x14ac:dyDescent="0.25">
      <c r="D2083" s="7"/>
    </row>
    <row r="2084" spans="4:4" x14ac:dyDescent="0.25">
      <c r="D2084" s="7"/>
    </row>
    <row r="2085" spans="4:4" x14ac:dyDescent="0.25">
      <c r="D2085" s="7"/>
    </row>
    <row r="2086" spans="4:4" x14ac:dyDescent="0.25">
      <c r="D2086" s="7"/>
    </row>
    <row r="2087" spans="4:4" x14ac:dyDescent="0.25">
      <c r="D2087" s="7"/>
    </row>
    <row r="2088" spans="4:4" x14ac:dyDescent="0.25">
      <c r="D2088" s="7"/>
    </row>
    <row r="2089" spans="4:4" x14ac:dyDescent="0.25">
      <c r="D2089" s="7"/>
    </row>
    <row r="2090" spans="4:4" x14ac:dyDescent="0.25">
      <c r="D2090" s="7"/>
    </row>
    <row r="2091" spans="4:4" x14ac:dyDescent="0.25">
      <c r="D2091" s="7"/>
    </row>
    <row r="2092" spans="4:4" x14ac:dyDescent="0.25">
      <c r="D2092" s="7"/>
    </row>
    <row r="2093" spans="4:4" x14ac:dyDescent="0.25">
      <c r="D2093" s="7"/>
    </row>
    <row r="2094" spans="4:4" x14ac:dyDescent="0.25">
      <c r="D2094" s="7"/>
    </row>
    <row r="2095" spans="4:4" x14ac:dyDescent="0.25">
      <c r="D2095" s="7"/>
    </row>
    <row r="2096" spans="4:4" x14ac:dyDescent="0.25">
      <c r="D2096" s="7"/>
    </row>
    <row r="2097" spans="4:4" x14ac:dyDescent="0.25">
      <c r="D2097" s="7"/>
    </row>
    <row r="2098" spans="4:4" x14ac:dyDescent="0.25">
      <c r="D2098" s="7"/>
    </row>
    <row r="2099" spans="4:4" x14ac:dyDescent="0.25">
      <c r="D2099" s="7"/>
    </row>
    <row r="2100" spans="4:4" x14ac:dyDescent="0.25">
      <c r="D2100" s="7"/>
    </row>
    <row r="2101" spans="4:4" x14ac:dyDescent="0.25">
      <c r="D2101" s="7"/>
    </row>
    <row r="2102" spans="4:4" x14ac:dyDescent="0.25">
      <c r="D2102" s="7"/>
    </row>
    <row r="2103" spans="4:4" x14ac:dyDescent="0.25">
      <c r="D2103" s="7"/>
    </row>
    <row r="2104" spans="4:4" x14ac:dyDescent="0.25">
      <c r="D2104" s="7"/>
    </row>
    <row r="2105" spans="4:4" x14ac:dyDescent="0.25">
      <c r="D2105" s="7"/>
    </row>
    <row r="2106" spans="4:4" x14ac:dyDescent="0.25">
      <c r="D2106" s="7"/>
    </row>
    <row r="2107" spans="4:4" x14ac:dyDescent="0.25">
      <c r="D2107" s="7"/>
    </row>
    <row r="2108" spans="4:4" x14ac:dyDescent="0.25">
      <c r="D2108" s="7"/>
    </row>
    <row r="2109" spans="4:4" x14ac:dyDescent="0.25">
      <c r="D2109" s="7"/>
    </row>
    <row r="2110" spans="4:4" x14ac:dyDescent="0.25">
      <c r="D2110" s="7"/>
    </row>
    <row r="2111" spans="4:4" x14ac:dyDescent="0.25">
      <c r="D2111" s="7"/>
    </row>
    <row r="2112" spans="4:4" x14ac:dyDescent="0.25">
      <c r="D2112" s="7"/>
    </row>
    <row r="2113" spans="4:4" x14ac:dyDescent="0.25">
      <c r="D2113" s="7"/>
    </row>
    <row r="2114" spans="4:4" x14ac:dyDescent="0.25">
      <c r="D2114" s="7"/>
    </row>
    <row r="2115" spans="4:4" x14ac:dyDescent="0.25">
      <c r="D2115" s="7"/>
    </row>
    <row r="2116" spans="4:4" x14ac:dyDescent="0.25">
      <c r="D2116" s="7"/>
    </row>
    <row r="2117" spans="4:4" x14ac:dyDescent="0.25">
      <c r="D2117" s="7"/>
    </row>
    <row r="2118" spans="4:4" x14ac:dyDescent="0.25">
      <c r="D2118" s="7"/>
    </row>
    <row r="2119" spans="4:4" x14ac:dyDescent="0.25">
      <c r="D2119" s="7"/>
    </row>
    <row r="2120" spans="4:4" x14ac:dyDescent="0.25">
      <c r="D2120" s="7"/>
    </row>
    <row r="2121" spans="4:4" x14ac:dyDescent="0.25">
      <c r="D2121" s="7"/>
    </row>
    <row r="2122" spans="4:4" x14ac:dyDescent="0.25">
      <c r="D2122" s="7"/>
    </row>
    <row r="2123" spans="4:4" x14ac:dyDescent="0.25">
      <c r="D2123" s="7"/>
    </row>
    <row r="2124" spans="4:4" x14ac:dyDescent="0.25">
      <c r="D2124" s="7"/>
    </row>
    <row r="2125" spans="4:4" x14ac:dyDescent="0.25">
      <c r="D2125" s="7"/>
    </row>
    <row r="2126" spans="4:4" x14ac:dyDescent="0.25">
      <c r="D2126" s="7"/>
    </row>
    <row r="2127" spans="4:4" x14ac:dyDescent="0.25">
      <c r="D2127" s="7"/>
    </row>
    <row r="2128" spans="4:4" x14ac:dyDescent="0.25">
      <c r="D2128" s="7"/>
    </row>
    <row r="2129" spans="4:4" x14ac:dyDescent="0.25">
      <c r="D2129" s="7"/>
    </row>
    <row r="2130" spans="4:4" x14ac:dyDescent="0.25">
      <c r="D2130" s="7"/>
    </row>
    <row r="2131" spans="4:4" x14ac:dyDescent="0.25">
      <c r="D2131" s="7"/>
    </row>
    <row r="2132" spans="4:4" x14ac:dyDescent="0.25">
      <c r="D2132" s="7"/>
    </row>
    <row r="2133" spans="4:4" x14ac:dyDescent="0.25">
      <c r="D2133" s="7"/>
    </row>
    <row r="2134" spans="4:4" x14ac:dyDescent="0.25">
      <c r="D2134" s="7"/>
    </row>
    <row r="2135" spans="4:4" x14ac:dyDescent="0.25">
      <c r="D2135" s="7"/>
    </row>
    <row r="2136" spans="4:4" x14ac:dyDescent="0.25">
      <c r="D2136" s="7"/>
    </row>
    <row r="2137" spans="4:4" x14ac:dyDescent="0.25">
      <c r="D2137" s="7"/>
    </row>
    <row r="2138" spans="4:4" x14ac:dyDescent="0.25">
      <c r="D2138" s="7"/>
    </row>
    <row r="2139" spans="4:4" x14ac:dyDescent="0.25">
      <c r="D2139" s="7"/>
    </row>
    <row r="2140" spans="4:4" x14ac:dyDescent="0.25">
      <c r="D2140" s="7"/>
    </row>
    <row r="2141" spans="4:4" x14ac:dyDescent="0.25">
      <c r="D2141" s="7"/>
    </row>
    <row r="2142" spans="4:4" x14ac:dyDescent="0.25">
      <c r="D2142" s="7"/>
    </row>
    <row r="2143" spans="4:4" x14ac:dyDescent="0.25">
      <c r="D2143" s="7"/>
    </row>
    <row r="2144" spans="4:4" x14ac:dyDescent="0.25">
      <c r="D2144" s="7"/>
    </row>
    <row r="2145" spans="4:4" x14ac:dyDescent="0.25">
      <c r="D2145" s="7"/>
    </row>
    <row r="2146" spans="4:4" x14ac:dyDescent="0.25">
      <c r="D2146" s="7"/>
    </row>
    <row r="2147" spans="4:4" x14ac:dyDescent="0.25">
      <c r="D2147" s="7"/>
    </row>
    <row r="2148" spans="4:4" x14ac:dyDescent="0.25">
      <c r="D2148" s="7"/>
    </row>
    <row r="2149" spans="4:4" x14ac:dyDescent="0.25">
      <c r="D2149" s="7"/>
    </row>
    <row r="2150" spans="4:4" x14ac:dyDescent="0.25">
      <c r="D2150" s="7"/>
    </row>
    <row r="2151" spans="4:4" x14ac:dyDescent="0.25">
      <c r="D2151" s="7"/>
    </row>
    <row r="2152" spans="4:4" x14ac:dyDescent="0.25">
      <c r="D2152" s="7"/>
    </row>
    <row r="2153" spans="4:4" x14ac:dyDescent="0.25">
      <c r="D2153" s="7"/>
    </row>
    <row r="2154" spans="4:4" x14ac:dyDescent="0.25">
      <c r="D2154" s="7"/>
    </row>
    <row r="2155" spans="4:4" x14ac:dyDescent="0.25">
      <c r="D2155" s="7"/>
    </row>
    <row r="2156" spans="4:4" x14ac:dyDescent="0.25">
      <c r="D2156" s="7"/>
    </row>
    <row r="2157" spans="4:4" x14ac:dyDescent="0.25">
      <c r="D2157" s="7"/>
    </row>
    <row r="2158" spans="4:4" x14ac:dyDescent="0.25">
      <c r="D2158" s="7"/>
    </row>
    <row r="2159" spans="4:4" x14ac:dyDescent="0.25">
      <c r="D2159" s="7"/>
    </row>
    <row r="2160" spans="4:4" x14ac:dyDescent="0.25">
      <c r="D2160" s="7"/>
    </row>
    <row r="2161" spans="4:4" x14ac:dyDescent="0.25">
      <c r="D2161" s="7"/>
    </row>
    <row r="2162" spans="4:4" x14ac:dyDescent="0.25">
      <c r="D2162" s="7"/>
    </row>
    <row r="2163" spans="4:4" x14ac:dyDescent="0.25">
      <c r="D2163" s="7"/>
    </row>
    <row r="2164" spans="4:4" x14ac:dyDescent="0.25">
      <c r="D2164" s="7"/>
    </row>
    <row r="2165" spans="4:4" x14ac:dyDescent="0.25">
      <c r="D2165" s="7"/>
    </row>
    <row r="2166" spans="4:4" x14ac:dyDescent="0.25">
      <c r="D2166" s="7"/>
    </row>
    <row r="2167" spans="4:4" x14ac:dyDescent="0.25">
      <c r="D2167" s="7"/>
    </row>
    <row r="2168" spans="4:4" x14ac:dyDescent="0.25">
      <c r="D2168" s="7"/>
    </row>
    <row r="2169" spans="4:4" x14ac:dyDescent="0.25">
      <c r="D2169" s="7"/>
    </row>
    <row r="2170" spans="4:4" x14ac:dyDescent="0.25">
      <c r="D2170" s="7"/>
    </row>
    <row r="2171" spans="4:4" x14ac:dyDescent="0.25">
      <c r="D2171" s="7"/>
    </row>
    <row r="2172" spans="4:4" x14ac:dyDescent="0.25">
      <c r="D2172" s="7"/>
    </row>
    <row r="2173" spans="4:4" x14ac:dyDescent="0.25">
      <c r="D2173" s="7"/>
    </row>
    <row r="2174" spans="4:4" x14ac:dyDescent="0.25">
      <c r="D2174" s="7"/>
    </row>
    <row r="2175" spans="4:4" x14ac:dyDescent="0.25">
      <c r="D2175" s="7"/>
    </row>
    <row r="2176" spans="4:4" x14ac:dyDescent="0.25">
      <c r="D2176" s="7"/>
    </row>
    <row r="2177" spans="4:4" x14ac:dyDescent="0.25">
      <c r="D2177" s="7"/>
    </row>
    <row r="2178" spans="4:4" x14ac:dyDescent="0.25">
      <c r="D2178" s="7"/>
    </row>
    <row r="2179" spans="4:4" x14ac:dyDescent="0.25">
      <c r="D2179" s="7"/>
    </row>
    <row r="2180" spans="4:4" x14ac:dyDescent="0.25">
      <c r="D2180" s="7"/>
    </row>
    <row r="2181" spans="4:4" x14ac:dyDescent="0.25">
      <c r="D2181" s="7"/>
    </row>
    <row r="2182" spans="4:4" x14ac:dyDescent="0.25">
      <c r="D2182" s="7"/>
    </row>
    <row r="2183" spans="4:4" x14ac:dyDescent="0.25">
      <c r="D2183" s="7"/>
    </row>
    <row r="2184" spans="4:4" x14ac:dyDescent="0.25">
      <c r="D2184" s="7"/>
    </row>
    <row r="2185" spans="4:4" x14ac:dyDescent="0.25">
      <c r="D2185" s="7"/>
    </row>
    <row r="2186" spans="4:4" x14ac:dyDescent="0.25">
      <c r="D2186" s="7"/>
    </row>
    <row r="2187" spans="4:4" x14ac:dyDescent="0.25">
      <c r="D2187" s="7"/>
    </row>
    <row r="2188" spans="4:4" x14ac:dyDescent="0.25">
      <c r="D2188" s="7"/>
    </row>
    <row r="2189" spans="4:4" x14ac:dyDescent="0.25">
      <c r="D2189" s="7"/>
    </row>
    <row r="2190" spans="4:4" x14ac:dyDescent="0.25">
      <c r="D2190" s="7"/>
    </row>
    <row r="2191" spans="4:4" x14ac:dyDescent="0.25">
      <c r="D2191" s="7"/>
    </row>
    <row r="2192" spans="4:4" x14ac:dyDescent="0.25">
      <c r="D2192" s="7"/>
    </row>
    <row r="2193" spans="4:4" x14ac:dyDescent="0.25">
      <c r="D2193" s="7"/>
    </row>
    <row r="2194" spans="4:4" x14ac:dyDescent="0.25">
      <c r="D2194" s="7"/>
    </row>
    <row r="2195" spans="4:4" x14ac:dyDescent="0.25">
      <c r="D2195" s="7"/>
    </row>
    <row r="2196" spans="4:4" x14ac:dyDescent="0.25">
      <c r="D2196" s="7"/>
    </row>
    <row r="2197" spans="4:4" x14ac:dyDescent="0.25">
      <c r="D2197" s="7"/>
    </row>
    <row r="2198" spans="4:4" x14ac:dyDescent="0.25">
      <c r="D2198" s="7"/>
    </row>
    <row r="2199" spans="4:4" x14ac:dyDescent="0.25">
      <c r="D2199" s="7"/>
    </row>
    <row r="2200" spans="4:4" x14ac:dyDescent="0.25">
      <c r="D2200" s="7"/>
    </row>
    <row r="2201" spans="4:4" x14ac:dyDescent="0.25">
      <c r="D2201" s="7"/>
    </row>
    <row r="2202" spans="4:4" x14ac:dyDescent="0.25">
      <c r="D2202" s="7"/>
    </row>
    <row r="2203" spans="4:4" x14ac:dyDescent="0.25">
      <c r="D2203" s="7"/>
    </row>
    <row r="2204" spans="4:4" x14ac:dyDescent="0.25">
      <c r="D2204" s="7"/>
    </row>
    <row r="2205" spans="4:4" x14ac:dyDescent="0.25">
      <c r="D2205" s="7"/>
    </row>
    <row r="2206" spans="4:4" x14ac:dyDescent="0.25">
      <c r="D2206" s="7"/>
    </row>
    <row r="2207" spans="4:4" x14ac:dyDescent="0.25">
      <c r="D2207" s="7"/>
    </row>
    <row r="2208" spans="4:4" x14ac:dyDescent="0.25">
      <c r="D2208" s="7"/>
    </row>
    <row r="2209" spans="4:4" x14ac:dyDescent="0.25">
      <c r="D2209" s="7"/>
    </row>
    <row r="2210" spans="4:4" x14ac:dyDescent="0.25">
      <c r="D2210" s="7"/>
    </row>
    <row r="2211" spans="4:4" x14ac:dyDescent="0.25">
      <c r="D2211" s="7"/>
    </row>
    <row r="2212" spans="4:4" x14ac:dyDescent="0.25">
      <c r="D2212" s="7"/>
    </row>
    <row r="2213" spans="4:4" x14ac:dyDescent="0.25">
      <c r="D2213" s="7"/>
    </row>
    <row r="2214" spans="4:4" x14ac:dyDescent="0.25">
      <c r="D2214" s="7"/>
    </row>
    <row r="2215" spans="4:4" x14ac:dyDescent="0.25">
      <c r="D2215" s="7"/>
    </row>
    <row r="2216" spans="4:4" x14ac:dyDescent="0.25">
      <c r="D2216" s="7"/>
    </row>
    <row r="2217" spans="4:4" x14ac:dyDescent="0.25">
      <c r="D2217" s="7"/>
    </row>
    <row r="2218" spans="4:4" x14ac:dyDescent="0.25">
      <c r="D2218" s="7"/>
    </row>
    <row r="2219" spans="4:4" x14ac:dyDescent="0.25">
      <c r="D2219" s="7"/>
    </row>
    <row r="2220" spans="4:4" x14ac:dyDescent="0.25">
      <c r="D2220" s="7"/>
    </row>
    <row r="2221" spans="4:4" x14ac:dyDescent="0.25">
      <c r="D2221" s="7"/>
    </row>
    <row r="2222" spans="4:4" x14ac:dyDescent="0.25">
      <c r="D2222" s="7"/>
    </row>
    <row r="2223" spans="4:4" x14ac:dyDescent="0.25">
      <c r="D2223" s="7"/>
    </row>
    <row r="2224" spans="4:4" x14ac:dyDescent="0.25">
      <c r="D2224" s="7"/>
    </row>
    <row r="2225" spans="4:4" x14ac:dyDescent="0.25">
      <c r="D2225" s="7"/>
    </row>
    <row r="2226" spans="4:4" x14ac:dyDescent="0.25">
      <c r="D2226" s="7"/>
    </row>
    <row r="2227" spans="4:4" x14ac:dyDescent="0.25">
      <c r="D2227" s="7"/>
    </row>
    <row r="2228" spans="4:4" x14ac:dyDescent="0.25">
      <c r="D2228" s="7"/>
    </row>
    <row r="2229" spans="4:4" x14ac:dyDescent="0.25">
      <c r="D2229" s="7"/>
    </row>
    <row r="2230" spans="4:4" x14ac:dyDescent="0.25">
      <c r="D2230" s="7"/>
    </row>
    <row r="2231" spans="4:4" x14ac:dyDescent="0.25">
      <c r="D2231" s="7"/>
    </row>
    <row r="2232" spans="4:4" x14ac:dyDescent="0.25">
      <c r="D2232" s="7"/>
    </row>
    <row r="2233" spans="4:4" x14ac:dyDescent="0.25">
      <c r="D2233" s="7"/>
    </row>
    <row r="2234" spans="4:4" x14ac:dyDescent="0.25">
      <c r="D2234" s="7"/>
    </row>
    <row r="2235" spans="4:4" x14ac:dyDescent="0.25">
      <c r="D2235" s="7"/>
    </row>
    <row r="2236" spans="4:4" x14ac:dyDescent="0.25">
      <c r="D2236" s="7"/>
    </row>
    <row r="2237" spans="4:4" x14ac:dyDescent="0.25">
      <c r="D2237" s="7"/>
    </row>
    <row r="2238" spans="4:4" x14ac:dyDescent="0.25">
      <c r="D2238" s="7"/>
    </row>
    <row r="2239" spans="4:4" x14ac:dyDescent="0.25">
      <c r="D2239" s="7"/>
    </row>
    <row r="2240" spans="4:4" x14ac:dyDescent="0.25">
      <c r="D2240" s="7"/>
    </row>
    <row r="2241" spans="4:4" x14ac:dyDescent="0.25">
      <c r="D2241" s="7"/>
    </row>
    <row r="2242" spans="4:4" x14ac:dyDescent="0.25">
      <c r="D2242" s="7"/>
    </row>
    <row r="2243" spans="4:4" x14ac:dyDescent="0.25">
      <c r="D2243" s="7"/>
    </row>
    <row r="2244" spans="4:4" x14ac:dyDescent="0.25">
      <c r="D2244" s="7"/>
    </row>
    <row r="2245" spans="4:4" x14ac:dyDescent="0.25">
      <c r="D2245" s="7"/>
    </row>
    <row r="2246" spans="4:4" x14ac:dyDescent="0.25">
      <c r="D2246" s="7"/>
    </row>
    <row r="2247" spans="4:4" x14ac:dyDescent="0.25">
      <c r="D2247" s="7"/>
    </row>
    <row r="2248" spans="4:4" x14ac:dyDescent="0.25">
      <c r="D2248" s="7"/>
    </row>
    <row r="2249" spans="4:4" x14ac:dyDescent="0.25">
      <c r="D2249" s="7"/>
    </row>
    <row r="2250" spans="4:4" x14ac:dyDescent="0.25">
      <c r="D2250" s="7"/>
    </row>
    <row r="2251" spans="4:4" x14ac:dyDescent="0.25">
      <c r="D2251" s="7"/>
    </row>
    <row r="2252" spans="4:4" x14ac:dyDescent="0.25">
      <c r="D2252" s="7"/>
    </row>
    <row r="2253" spans="4:4" x14ac:dyDescent="0.25">
      <c r="D2253" s="7"/>
    </row>
    <row r="2254" spans="4:4" x14ac:dyDescent="0.25">
      <c r="D2254" s="7"/>
    </row>
    <row r="2255" spans="4:4" x14ac:dyDescent="0.25">
      <c r="D2255" s="7"/>
    </row>
    <row r="2256" spans="4:4" x14ac:dyDescent="0.25">
      <c r="D2256" s="7"/>
    </row>
    <row r="2257" spans="4:4" x14ac:dyDescent="0.25">
      <c r="D2257" s="7"/>
    </row>
    <row r="2258" spans="4:4" x14ac:dyDescent="0.25">
      <c r="D2258" s="7"/>
    </row>
    <row r="2259" spans="4:4" x14ac:dyDescent="0.25">
      <c r="D2259" s="7"/>
    </row>
    <row r="2260" spans="4:4" x14ac:dyDescent="0.25">
      <c r="D2260" s="7"/>
    </row>
    <row r="2261" spans="4:4" x14ac:dyDescent="0.25">
      <c r="D2261" s="7"/>
    </row>
    <row r="2262" spans="4:4" x14ac:dyDescent="0.25">
      <c r="D2262" s="7"/>
    </row>
    <row r="2263" spans="4:4" x14ac:dyDescent="0.25">
      <c r="D2263" s="7"/>
    </row>
    <row r="2264" spans="4:4" x14ac:dyDescent="0.25">
      <c r="D2264" s="7"/>
    </row>
    <row r="2265" spans="4:4" x14ac:dyDescent="0.25">
      <c r="D2265" s="7"/>
    </row>
    <row r="2266" spans="4:4" x14ac:dyDescent="0.25">
      <c r="D2266" s="7"/>
    </row>
    <row r="2267" spans="4:4" x14ac:dyDescent="0.25">
      <c r="D2267" s="7"/>
    </row>
    <row r="2268" spans="4:4" x14ac:dyDescent="0.25">
      <c r="D2268" s="7"/>
    </row>
    <row r="2269" spans="4:4" x14ac:dyDescent="0.25">
      <c r="D2269" s="7"/>
    </row>
    <row r="2270" spans="4:4" x14ac:dyDescent="0.25">
      <c r="D2270" s="7"/>
    </row>
    <row r="2271" spans="4:4" x14ac:dyDescent="0.25">
      <c r="D2271" s="7"/>
    </row>
    <row r="2272" spans="4:4" x14ac:dyDescent="0.25">
      <c r="D2272" s="7"/>
    </row>
    <row r="2273" spans="4:4" x14ac:dyDescent="0.25">
      <c r="D2273" s="7"/>
    </row>
    <row r="2274" spans="4:4" x14ac:dyDescent="0.25">
      <c r="D2274" s="7"/>
    </row>
    <row r="2275" spans="4:4" x14ac:dyDescent="0.25">
      <c r="D2275" s="7"/>
    </row>
    <row r="2276" spans="4:4" x14ac:dyDescent="0.25">
      <c r="D2276" s="7"/>
    </row>
    <row r="2277" spans="4:4" x14ac:dyDescent="0.25">
      <c r="D2277" s="7"/>
    </row>
    <row r="2278" spans="4:4" x14ac:dyDescent="0.25">
      <c r="D2278" s="7"/>
    </row>
    <row r="2279" spans="4:4" x14ac:dyDescent="0.25">
      <c r="D2279" s="7"/>
    </row>
    <row r="2280" spans="4:4" x14ac:dyDescent="0.25">
      <c r="D2280" s="7"/>
    </row>
    <row r="2281" spans="4:4" x14ac:dyDescent="0.25">
      <c r="D2281" s="7"/>
    </row>
    <row r="2282" spans="4:4" x14ac:dyDescent="0.25">
      <c r="D2282" s="7"/>
    </row>
    <row r="2283" spans="4:4" x14ac:dyDescent="0.25">
      <c r="D2283" s="7"/>
    </row>
    <row r="2284" spans="4:4" x14ac:dyDescent="0.25">
      <c r="D2284" s="7"/>
    </row>
    <row r="2285" spans="4:4" x14ac:dyDescent="0.25">
      <c r="D2285" s="7"/>
    </row>
    <row r="2286" spans="4:4" x14ac:dyDescent="0.25">
      <c r="D2286" s="7"/>
    </row>
    <row r="2287" spans="4:4" x14ac:dyDescent="0.25">
      <c r="D2287" s="7"/>
    </row>
    <row r="2288" spans="4:4" x14ac:dyDescent="0.25">
      <c r="D2288" s="7"/>
    </row>
    <row r="2289" spans="4:4" x14ac:dyDescent="0.25">
      <c r="D2289" s="7"/>
    </row>
    <row r="2290" spans="4:4" x14ac:dyDescent="0.25">
      <c r="D2290" s="7"/>
    </row>
    <row r="2291" spans="4:4" x14ac:dyDescent="0.25">
      <c r="D2291" s="7"/>
    </row>
    <row r="2292" spans="4:4" x14ac:dyDescent="0.25">
      <c r="D2292" s="7"/>
    </row>
    <row r="2293" spans="4:4" x14ac:dyDescent="0.25">
      <c r="D2293" s="7"/>
    </row>
    <row r="2294" spans="4:4" x14ac:dyDescent="0.25">
      <c r="D2294" s="7"/>
    </row>
    <row r="2295" spans="4:4" x14ac:dyDescent="0.25">
      <c r="D2295" s="7"/>
    </row>
    <row r="2296" spans="4:4" x14ac:dyDescent="0.25">
      <c r="D2296" s="7"/>
    </row>
    <row r="2297" spans="4:4" x14ac:dyDescent="0.25">
      <c r="D2297" s="7"/>
    </row>
    <row r="2298" spans="4:4" x14ac:dyDescent="0.25">
      <c r="D2298" s="7"/>
    </row>
    <row r="2299" spans="4:4" x14ac:dyDescent="0.25">
      <c r="D2299" s="7"/>
    </row>
    <row r="2300" spans="4:4" x14ac:dyDescent="0.25">
      <c r="D2300" s="7"/>
    </row>
    <row r="2301" spans="4:4" x14ac:dyDescent="0.25">
      <c r="D2301" s="7"/>
    </row>
    <row r="2302" spans="4:4" x14ac:dyDescent="0.25">
      <c r="D2302" s="7"/>
    </row>
    <row r="2303" spans="4:4" x14ac:dyDescent="0.25">
      <c r="D2303" s="7"/>
    </row>
    <row r="2304" spans="4:4" x14ac:dyDescent="0.25">
      <c r="D2304" s="7"/>
    </row>
    <row r="2305" spans="4:4" x14ac:dyDescent="0.25">
      <c r="D2305" s="7"/>
    </row>
    <row r="2306" spans="4:4" x14ac:dyDescent="0.25">
      <c r="D2306" s="7"/>
    </row>
    <row r="2307" spans="4:4" x14ac:dyDescent="0.25">
      <c r="D2307" s="7"/>
    </row>
    <row r="2308" spans="4:4" x14ac:dyDescent="0.25">
      <c r="D2308" s="7"/>
    </row>
    <row r="2309" spans="4:4" x14ac:dyDescent="0.25">
      <c r="D2309" s="7"/>
    </row>
    <row r="2310" spans="4:4" x14ac:dyDescent="0.25">
      <c r="D2310" s="7"/>
    </row>
    <row r="2311" spans="4:4" x14ac:dyDescent="0.25">
      <c r="D2311" s="7"/>
    </row>
    <row r="2312" spans="4:4" x14ac:dyDescent="0.25">
      <c r="D2312" s="7"/>
    </row>
    <row r="2313" spans="4:4" x14ac:dyDescent="0.25">
      <c r="D2313" s="7"/>
    </row>
    <row r="2314" spans="4:4" x14ac:dyDescent="0.25">
      <c r="D2314" s="7"/>
    </row>
    <row r="2315" spans="4:4" x14ac:dyDescent="0.25">
      <c r="D2315" s="7"/>
    </row>
    <row r="2316" spans="4:4" x14ac:dyDescent="0.25">
      <c r="D2316" s="7"/>
    </row>
    <row r="2317" spans="4:4" x14ac:dyDescent="0.25">
      <c r="D2317" s="7"/>
    </row>
    <row r="2318" spans="4:4" x14ac:dyDescent="0.25">
      <c r="D2318" s="7"/>
    </row>
    <row r="2319" spans="4:4" x14ac:dyDescent="0.25">
      <c r="D2319" s="7"/>
    </row>
    <row r="2320" spans="4:4" x14ac:dyDescent="0.25">
      <c r="D2320" s="7"/>
    </row>
    <row r="2321" spans="4:4" x14ac:dyDescent="0.25">
      <c r="D2321" s="7"/>
    </row>
    <row r="2322" spans="4:4" x14ac:dyDescent="0.25">
      <c r="D2322" s="7"/>
    </row>
    <row r="2323" spans="4:4" x14ac:dyDescent="0.25">
      <c r="D2323" s="7"/>
    </row>
    <row r="2324" spans="4:4" x14ac:dyDescent="0.25">
      <c r="D2324" s="7"/>
    </row>
    <row r="2325" spans="4:4" x14ac:dyDescent="0.25">
      <c r="D2325" s="7"/>
    </row>
    <row r="2326" spans="4:4" x14ac:dyDescent="0.25">
      <c r="D2326" s="7"/>
    </row>
    <row r="2327" spans="4:4" x14ac:dyDescent="0.25">
      <c r="D2327" s="7"/>
    </row>
    <row r="2328" spans="4:4" x14ac:dyDescent="0.25">
      <c r="D2328" s="7"/>
    </row>
    <row r="2329" spans="4:4" x14ac:dyDescent="0.25">
      <c r="D2329" s="7"/>
    </row>
    <row r="2330" spans="4:4" x14ac:dyDescent="0.25">
      <c r="D2330" s="7"/>
    </row>
    <row r="2331" spans="4:4" x14ac:dyDescent="0.25">
      <c r="D2331" s="7"/>
    </row>
    <row r="2332" spans="4:4" x14ac:dyDescent="0.25">
      <c r="D2332" s="7"/>
    </row>
    <row r="2333" spans="4:4" x14ac:dyDescent="0.25">
      <c r="D2333" s="7"/>
    </row>
    <row r="2334" spans="4:4" x14ac:dyDescent="0.25">
      <c r="D2334" s="7"/>
    </row>
    <row r="2335" spans="4:4" x14ac:dyDescent="0.25">
      <c r="D2335" s="7"/>
    </row>
    <row r="2336" spans="4:4" x14ac:dyDescent="0.25">
      <c r="D2336" s="7"/>
    </row>
    <row r="2337" spans="4:4" x14ac:dyDescent="0.25">
      <c r="D2337" s="7"/>
    </row>
    <row r="2338" spans="4:4" x14ac:dyDescent="0.25">
      <c r="D2338" s="7"/>
    </row>
    <row r="2339" spans="4:4" x14ac:dyDescent="0.25">
      <c r="D2339" s="7"/>
    </row>
    <row r="2340" spans="4:4" x14ac:dyDescent="0.25">
      <c r="D2340" s="7"/>
    </row>
    <row r="2341" spans="4:4" x14ac:dyDescent="0.25">
      <c r="D2341" s="7"/>
    </row>
    <row r="2342" spans="4:4" x14ac:dyDescent="0.25">
      <c r="D2342" s="7"/>
    </row>
    <row r="2343" spans="4:4" x14ac:dyDescent="0.25">
      <c r="D2343" s="7"/>
    </row>
    <row r="2344" spans="4:4" x14ac:dyDescent="0.25">
      <c r="D2344" s="7"/>
    </row>
    <row r="2345" spans="4:4" x14ac:dyDescent="0.25">
      <c r="D2345" s="7"/>
    </row>
    <row r="2346" spans="4:4" x14ac:dyDescent="0.25">
      <c r="D2346" s="7"/>
    </row>
    <row r="2347" spans="4:4" x14ac:dyDescent="0.25">
      <c r="D2347" s="7"/>
    </row>
    <row r="2348" spans="4:4" x14ac:dyDescent="0.25">
      <c r="D2348" s="7"/>
    </row>
    <row r="2349" spans="4:4" x14ac:dyDescent="0.25">
      <c r="D2349" s="7"/>
    </row>
    <row r="2350" spans="4:4" x14ac:dyDescent="0.25">
      <c r="D2350" s="7"/>
    </row>
    <row r="2351" spans="4:4" x14ac:dyDescent="0.25">
      <c r="D2351" s="7"/>
    </row>
    <row r="2352" spans="4:4" x14ac:dyDescent="0.25">
      <c r="D2352" s="7"/>
    </row>
    <row r="2353" spans="4:4" x14ac:dyDescent="0.25">
      <c r="D2353" s="7"/>
    </row>
    <row r="2354" spans="4:4" x14ac:dyDescent="0.25">
      <c r="D2354" s="7"/>
    </row>
    <row r="2355" spans="4:4" x14ac:dyDescent="0.25">
      <c r="D2355" s="7"/>
    </row>
    <row r="2356" spans="4:4" x14ac:dyDescent="0.25">
      <c r="D2356" s="7"/>
    </row>
    <row r="2357" spans="4:4" x14ac:dyDescent="0.25">
      <c r="D2357" s="7"/>
    </row>
    <row r="2358" spans="4:4" x14ac:dyDescent="0.25">
      <c r="D2358" s="7"/>
    </row>
    <row r="2359" spans="4:4" x14ac:dyDescent="0.25">
      <c r="D2359" s="7"/>
    </row>
    <row r="2360" spans="4:4" x14ac:dyDescent="0.25">
      <c r="D2360" s="7"/>
    </row>
    <row r="2361" spans="4:4" x14ac:dyDescent="0.25">
      <c r="D2361" s="7"/>
    </row>
    <row r="2362" spans="4:4" x14ac:dyDescent="0.25">
      <c r="D2362" s="7"/>
    </row>
    <row r="2363" spans="4:4" x14ac:dyDescent="0.25">
      <c r="D2363" s="7"/>
    </row>
    <row r="2364" spans="4:4" x14ac:dyDescent="0.25">
      <c r="D2364" s="7"/>
    </row>
    <row r="2365" spans="4:4" x14ac:dyDescent="0.25">
      <c r="D2365" s="7"/>
    </row>
    <row r="2366" spans="4:4" x14ac:dyDescent="0.25">
      <c r="D2366" s="7"/>
    </row>
    <row r="2367" spans="4:4" x14ac:dyDescent="0.25">
      <c r="D2367" s="7"/>
    </row>
    <row r="2368" spans="4:4" x14ac:dyDescent="0.25">
      <c r="D2368" s="7"/>
    </row>
    <row r="2369" spans="4:4" x14ac:dyDescent="0.25">
      <c r="D2369" s="7"/>
    </row>
    <row r="2370" spans="4:4" x14ac:dyDescent="0.25">
      <c r="D2370" s="7"/>
    </row>
    <row r="2371" spans="4:4" x14ac:dyDescent="0.25">
      <c r="D2371" s="7"/>
    </row>
    <row r="2372" spans="4:4" x14ac:dyDescent="0.25">
      <c r="D2372" s="7"/>
    </row>
    <row r="2373" spans="4:4" x14ac:dyDescent="0.25">
      <c r="D2373" s="7"/>
    </row>
    <row r="2374" spans="4:4" x14ac:dyDescent="0.25">
      <c r="D2374" s="7"/>
    </row>
    <row r="2375" spans="4:4" x14ac:dyDescent="0.25">
      <c r="D2375" s="7"/>
    </row>
    <row r="2376" spans="4:4" x14ac:dyDescent="0.25">
      <c r="D2376" s="7"/>
    </row>
    <row r="2377" spans="4:4" x14ac:dyDescent="0.25">
      <c r="D2377" s="7"/>
    </row>
    <row r="2378" spans="4:4" x14ac:dyDescent="0.25">
      <c r="D2378" s="7"/>
    </row>
    <row r="2379" spans="4:4" x14ac:dyDescent="0.25">
      <c r="D2379" s="7"/>
    </row>
    <row r="2380" spans="4:4" x14ac:dyDescent="0.25">
      <c r="D2380" s="7"/>
    </row>
    <row r="2381" spans="4:4" x14ac:dyDescent="0.25">
      <c r="D2381" s="7"/>
    </row>
    <row r="2382" spans="4:4" x14ac:dyDescent="0.25">
      <c r="D2382" s="7"/>
    </row>
    <row r="2383" spans="4:4" x14ac:dyDescent="0.25">
      <c r="D2383" s="7"/>
    </row>
    <row r="2384" spans="4:4" x14ac:dyDescent="0.25">
      <c r="D2384" s="7"/>
    </row>
    <row r="2385" spans="4:4" x14ac:dyDescent="0.25">
      <c r="D2385" s="7"/>
    </row>
    <row r="2386" spans="4:4" x14ac:dyDescent="0.25">
      <c r="D2386" s="7"/>
    </row>
    <row r="2387" spans="4:4" x14ac:dyDescent="0.25">
      <c r="D2387" s="7"/>
    </row>
    <row r="2388" spans="4:4" x14ac:dyDescent="0.25">
      <c r="D2388" s="7"/>
    </row>
    <row r="2389" spans="4:4" x14ac:dyDescent="0.25">
      <c r="D2389" s="7"/>
    </row>
    <row r="2390" spans="4:4" x14ac:dyDescent="0.25">
      <c r="D2390" s="7"/>
    </row>
    <row r="2391" spans="4:4" x14ac:dyDescent="0.25">
      <c r="D2391" s="7"/>
    </row>
    <row r="2392" spans="4:4" x14ac:dyDescent="0.25">
      <c r="D2392" s="7"/>
    </row>
    <row r="2393" spans="4:4" x14ac:dyDescent="0.25">
      <c r="D2393" s="7"/>
    </row>
    <row r="2394" spans="4:4" x14ac:dyDescent="0.25">
      <c r="D2394" s="7"/>
    </row>
    <row r="2395" spans="4:4" x14ac:dyDescent="0.25">
      <c r="D2395" s="7"/>
    </row>
    <row r="2396" spans="4:4" x14ac:dyDescent="0.25">
      <c r="D2396" s="7"/>
    </row>
    <row r="2397" spans="4:4" x14ac:dyDescent="0.25">
      <c r="D2397" s="7"/>
    </row>
    <row r="2398" spans="4:4" x14ac:dyDescent="0.25">
      <c r="D2398" s="7"/>
    </row>
    <row r="2399" spans="4:4" x14ac:dyDescent="0.25">
      <c r="D2399" s="7"/>
    </row>
    <row r="2400" spans="4:4" x14ac:dyDescent="0.25">
      <c r="D2400" s="7"/>
    </row>
    <row r="2401" spans="4:4" x14ac:dyDescent="0.25">
      <c r="D2401" s="7"/>
    </row>
    <row r="2402" spans="4:4" x14ac:dyDescent="0.25">
      <c r="D2402" s="7"/>
    </row>
    <row r="2403" spans="4:4" x14ac:dyDescent="0.25">
      <c r="D2403" s="7"/>
    </row>
    <row r="2404" spans="4:4" x14ac:dyDescent="0.25">
      <c r="D2404" s="7"/>
    </row>
    <row r="2405" spans="4:4" x14ac:dyDescent="0.25">
      <c r="D2405" s="7"/>
    </row>
    <row r="2406" spans="4:4" x14ac:dyDescent="0.25">
      <c r="D2406" s="7"/>
    </row>
    <row r="2407" spans="4:4" x14ac:dyDescent="0.25">
      <c r="D2407" s="7"/>
    </row>
    <row r="2408" spans="4:4" x14ac:dyDescent="0.25">
      <c r="D2408" s="7"/>
    </row>
    <row r="2409" spans="4:4" x14ac:dyDescent="0.25">
      <c r="D2409" s="7"/>
    </row>
    <row r="2410" spans="4:4" x14ac:dyDescent="0.25">
      <c r="D2410" s="7"/>
    </row>
    <row r="2411" spans="4:4" x14ac:dyDescent="0.25">
      <c r="D2411" s="7"/>
    </row>
    <row r="2412" spans="4:4" x14ac:dyDescent="0.25">
      <c r="D2412" s="7"/>
    </row>
    <row r="2413" spans="4:4" x14ac:dyDescent="0.25">
      <c r="D2413" s="7"/>
    </row>
    <row r="2414" spans="4:4" x14ac:dyDescent="0.25">
      <c r="D2414" s="7"/>
    </row>
    <row r="2415" spans="4:4" x14ac:dyDescent="0.25">
      <c r="D2415" s="7"/>
    </row>
    <row r="2416" spans="4:4" x14ac:dyDescent="0.25">
      <c r="D2416" s="7"/>
    </row>
    <row r="2417" spans="4:4" x14ac:dyDescent="0.25">
      <c r="D2417" s="7"/>
    </row>
    <row r="2418" spans="4:4" x14ac:dyDescent="0.25">
      <c r="D2418" s="7"/>
    </row>
    <row r="2419" spans="4:4" x14ac:dyDescent="0.25">
      <c r="D2419" s="7"/>
    </row>
    <row r="2420" spans="4:4" x14ac:dyDescent="0.25">
      <c r="D2420" s="7"/>
    </row>
    <row r="2421" spans="4:4" x14ac:dyDescent="0.25">
      <c r="D2421" s="7"/>
    </row>
    <row r="2422" spans="4:4" x14ac:dyDescent="0.25">
      <c r="D2422" s="7"/>
    </row>
    <row r="2423" spans="4:4" x14ac:dyDescent="0.25">
      <c r="D2423" s="7"/>
    </row>
    <row r="2424" spans="4:4" x14ac:dyDescent="0.25">
      <c r="D2424" s="7"/>
    </row>
    <row r="2425" spans="4:4" x14ac:dyDescent="0.25">
      <c r="D2425" s="7"/>
    </row>
    <row r="2426" spans="4:4" x14ac:dyDescent="0.25">
      <c r="D2426" s="7"/>
    </row>
    <row r="2427" spans="4:4" x14ac:dyDescent="0.25">
      <c r="D2427" s="7"/>
    </row>
    <row r="2428" spans="4:4" x14ac:dyDescent="0.25">
      <c r="D2428" s="7"/>
    </row>
    <row r="2429" spans="4:4" x14ac:dyDescent="0.25">
      <c r="D2429" s="7"/>
    </row>
    <row r="2430" spans="4:4" x14ac:dyDescent="0.25">
      <c r="D2430" s="7"/>
    </row>
    <row r="2431" spans="4:4" x14ac:dyDescent="0.25">
      <c r="D2431" s="7"/>
    </row>
    <row r="2432" spans="4:4" x14ac:dyDescent="0.25">
      <c r="D2432" s="7"/>
    </row>
    <row r="2433" spans="4:4" x14ac:dyDescent="0.25">
      <c r="D2433" s="7"/>
    </row>
    <row r="2434" spans="4:4" x14ac:dyDescent="0.25">
      <c r="D2434" s="7"/>
    </row>
    <row r="2435" spans="4:4" x14ac:dyDescent="0.25">
      <c r="D2435" s="7"/>
    </row>
    <row r="2436" spans="4:4" x14ac:dyDescent="0.25">
      <c r="D2436" s="7"/>
    </row>
    <row r="2437" spans="4:4" x14ac:dyDescent="0.25">
      <c r="D2437" s="7"/>
    </row>
    <row r="2438" spans="4:4" x14ac:dyDescent="0.25">
      <c r="D2438" s="7"/>
    </row>
    <row r="2439" spans="4:4" x14ac:dyDescent="0.25">
      <c r="D2439" s="7"/>
    </row>
    <row r="2440" spans="4:4" x14ac:dyDescent="0.25">
      <c r="D2440" s="7"/>
    </row>
    <row r="2441" spans="4:4" x14ac:dyDescent="0.25">
      <c r="D2441" s="7"/>
    </row>
    <row r="2442" spans="4:4" x14ac:dyDescent="0.25">
      <c r="D2442" s="7"/>
    </row>
    <row r="2443" spans="4:4" x14ac:dyDescent="0.25">
      <c r="D2443" s="7"/>
    </row>
    <row r="2444" spans="4:4" x14ac:dyDescent="0.25">
      <c r="D2444" s="7"/>
    </row>
    <row r="2445" spans="4:4" x14ac:dyDescent="0.25">
      <c r="D2445" s="7"/>
    </row>
    <row r="2446" spans="4:4" x14ac:dyDescent="0.25">
      <c r="D2446" s="7"/>
    </row>
    <row r="2447" spans="4:4" x14ac:dyDescent="0.25">
      <c r="D2447" s="7"/>
    </row>
    <row r="2448" spans="4:4" x14ac:dyDescent="0.25">
      <c r="D2448" s="7"/>
    </row>
    <row r="2449" spans="4:4" x14ac:dyDescent="0.25">
      <c r="D2449" s="7"/>
    </row>
    <row r="2450" spans="4:4" x14ac:dyDescent="0.25">
      <c r="D2450" s="7"/>
    </row>
    <row r="2451" spans="4:4" x14ac:dyDescent="0.25">
      <c r="D2451" s="7"/>
    </row>
    <row r="2452" spans="4:4" x14ac:dyDescent="0.25">
      <c r="D2452" s="7"/>
    </row>
    <row r="2453" spans="4:4" x14ac:dyDescent="0.25">
      <c r="D2453" s="7"/>
    </row>
    <row r="2454" spans="4:4" x14ac:dyDescent="0.25">
      <c r="D2454" s="7"/>
    </row>
    <row r="2455" spans="4:4" x14ac:dyDescent="0.25">
      <c r="D2455" s="7"/>
    </row>
    <row r="2456" spans="4:4" x14ac:dyDescent="0.25">
      <c r="D2456" s="7"/>
    </row>
    <row r="2457" spans="4:4" x14ac:dyDescent="0.25">
      <c r="D2457" s="7"/>
    </row>
    <row r="2458" spans="4:4" x14ac:dyDescent="0.25">
      <c r="D2458" s="7"/>
    </row>
    <row r="2459" spans="4:4" x14ac:dyDescent="0.25">
      <c r="D2459" s="7"/>
    </row>
    <row r="2460" spans="4:4" x14ac:dyDescent="0.25">
      <c r="D2460" s="7"/>
    </row>
    <row r="2461" spans="4:4" x14ac:dyDescent="0.25">
      <c r="D2461" s="7"/>
    </row>
    <row r="2462" spans="4:4" x14ac:dyDescent="0.25">
      <c r="D2462" s="7"/>
    </row>
    <row r="2463" spans="4:4" x14ac:dyDescent="0.25">
      <c r="D2463" s="7"/>
    </row>
    <row r="2464" spans="4:4" x14ac:dyDescent="0.25">
      <c r="D2464" s="7"/>
    </row>
    <row r="2465" spans="4:4" x14ac:dyDescent="0.25">
      <c r="D2465" s="7"/>
    </row>
    <row r="2466" spans="4:4" x14ac:dyDescent="0.25">
      <c r="D2466" s="7"/>
    </row>
    <row r="2467" spans="4:4" x14ac:dyDescent="0.25">
      <c r="D2467" s="7"/>
    </row>
    <row r="2468" spans="4:4" x14ac:dyDescent="0.25">
      <c r="D2468" s="7"/>
    </row>
    <row r="2469" spans="4:4" x14ac:dyDescent="0.25">
      <c r="D2469" s="7"/>
    </row>
    <row r="2470" spans="4:4" x14ac:dyDescent="0.25">
      <c r="D2470" s="7"/>
    </row>
    <row r="2471" spans="4:4" x14ac:dyDescent="0.25">
      <c r="D2471" s="7"/>
    </row>
    <row r="2472" spans="4:4" x14ac:dyDescent="0.25">
      <c r="D2472" s="7"/>
    </row>
    <row r="2473" spans="4:4" x14ac:dyDescent="0.25">
      <c r="D2473" s="7"/>
    </row>
    <row r="2474" spans="4:4" x14ac:dyDescent="0.25">
      <c r="D2474" s="7"/>
    </row>
    <row r="2475" spans="4:4" x14ac:dyDescent="0.25">
      <c r="D2475" s="7"/>
    </row>
    <row r="2476" spans="4:4" x14ac:dyDescent="0.25">
      <c r="D2476" s="7"/>
    </row>
    <row r="2477" spans="4:4" x14ac:dyDescent="0.25">
      <c r="D2477" s="7"/>
    </row>
    <row r="2478" spans="4:4" x14ac:dyDescent="0.25">
      <c r="D2478" s="7"/>
    </row>
    <row r="2479" spans="4:4" x14ac:dyDescent="0.25">
      <c r="D2479" s="7"/>
    </row>
    <row r="2480" spans="4:4" x14ac:dyDescent="0.25">
      <c r="D2480" s="7"/>
    </row>
    <row r="2481" spans="4:4" x14ac:dyDescent="0.25">
      <c r="D2481" s="7"/>
    </row>
    <row r="2482" spans="4:4" x14ac:dyDescent="0.25">
      <c r="D2482" s="7"/>
    </row>
    <row r="2483" spans="4:4" x14ac:dyDescent="0.25">
      <c r="D2483" s="7"/>
    </row>
    <row r="2484" spans="4:4" x14ac:dyDescent="0.25">
      <c r="D2484" s="7"/>
    </row>
    <row r="2485" spans="4:4" x14ac:dyDescent="0.25">
      <c r="D2485" s="7"/>
    </row>
    <row r="2486" spans="4:4" x14ac:dyDescent="0.25">
      <c r="D2486" s="7"/>
    </row>
    <row r="2487" spans="4:4" x14ac:dyDescent="0.25">
      <c r="D2487" s="7"/>
    </row>
    <row r="2488" spans="4:4" x14ac:dyDescent="0.25">
      <c r="D2488" s="7"/>
    </row>
    <row r="2489" spans="4:4" x14ac:dyDescent="0.25">
      <c r="D2489" s="7"/>
    </row>
    <row r="2490" spans="4:4" x14ac:dyDescent="0.25">
      <c r="D2490" s="7"/>
    </row>
    <row r="2491" spans="4:4" x14ac:dyDescent="0.25">
      <c r="D2491" s="7"/>
    </row>
    <row r="2492" spans="4:4" x14ac:dyDescent="0.25">
      <c r="D2492" s="7"/>
    </row>
    <row r="2493" spans="4:4" x14ac:dyDescent="0.25">
      <c r="D2493" s="7"/>
    </row>
    <row r="2494" spans="4:4" x14ac:dyDescent="0.25">
      <c r="D2494" s="7"/>
    </row>
    <row r="2495" spans="4:4" x14ac:dyDescent="0.25">
      <c r="D2495" s="7"/>
    </row>
    <row r="2496" spans="4:4" x14ac:dyDescent="0.25">
      <c r="D2496" s="7"/>
    </row>
    <row r="2497" spans="4:4" x14ac:dyDescent="0.25">
      <c r="D2497" s="7"/>
    </row>
    <row r="2498" spans="4:4" x14ac:dyDescent="0.25">
      <c r="D2498" s="7"/>
    </row>
    <row r="2499" spans="4:4" x14ac:dyDescent="0.25">
      <c r="D2499" s="7"/>
    </row>
    <row r="2500" spans="4:4" x14ac:dyDescent="0.25">
      <c r="D2500" s="7"/>
    </row>
    <row r="2501" spans="4:4" x14ac:dyDescent="0.25">
      <c r="D2501" s="7"/>
    </row>
    <row r="2502" spans="4:4" x14ac:dyDescent="0.25">
      <c r="D2502" s="7"/>
    </row>
    <row r="2503" spans="4:4" x14ac:dyDescent="0.25">
      <c r="D2503" s="7"/>
    </row>
    <row r="2504" spans="4:4" x14ac:dyDescent="0.25">
      <c r="D2504" s="7"/>
    </row>
    <row r="2505" spans="4:4" x14ac:dyDescent="0.25">
      <c r="D2505" s="7"/>
    </row>
    <row r="2506" spans="4:4" x14ac:dyDescent="0.25">
      <c r="D2506" s="7"/>
    </row>
    <row r="2507" spans="4:4" x14ac:dyDescent="0.25">
      <c r="D2507" s="7"/>
    </row>
    <row r="2508" spans="4:4" x14ac:dyDescent="0.25">
      <c r="D2508" s="7"/>
    </row>
    <row r="2509" spans="4:4" x14ac:dyDescent="0.25">
      <c r="D2509" s="7"/>
    </row>
    <row r="2510" spans="4:4" x14ac:dyDescent="0.25">
      <c r="D2510" s="7"/>
    </row>
    <row r="2511" spans="4:4" x14ac:dyDescent="0.25">
      <c r="D2511" s="7"/>
    </row>
    <row r="2512" spans="4:4" x14ac:dyDescent="0.25">
      <c r="D2512" s="7"/>
    </row>
    <row r="2513" spans="4:4" x14ac:dyDescent="0.25">
      <c r="D2513" s="7"/>
    </row>
    <row r="2514" spans="4:4" x14ac:dyDescent="0.25">
      <c r="D2514" s="7"/>
    </row>
    <row r="2515" spans="4:4" x14ac:dyDescent="0.25">
      <c r="D2515" s="7"/>
    </row>
    <row r="2516" spans="4:4" x14ac:dyDescent="0.25">
      <c r="D2516" s="7"/>
    </row>
    <row r="2517" spans="4:4" x14ac:dyDescent="0.25">
      <c r="D2517" s="7"/>
    </row>
    <row r="2518" spans="4:4" x14ac:dyDescent="0.25">
      <c r="D2518" s="7"/>
    </row>
    <row r="2519" spans="4:4" x14ac:dyDescent="0.25">
      <c r="D2519" s="7"/>
    </row>
    <row r="2520" spans="4:4" x14ac:dyDescent="0.25">
      <c r="D2520" s="7"/>
    </row>
    <row r="2521" spans="4:4" x14ac:dyDescent="0.25">
      <c r="D2521" s="7"/>
    </row>
    <row r="2522" spans="4:4" x14ac:dyDescent="0.25">
      <c r="D2522" s="7"/>
    </row>
    <row r="2523" spans="4:4" x14ac:dyDescent="0.25">
      <c r="D2523" s="7"/>
    </row>
    <row r="2524" spans="4:4" x14ac:dyDescent="0.25">
      <c r="D2524" s="7"/>
    </row>
    <row r="2525" spans="4:4" x14ac:dyDescent="0.25">
      <c r="D2525" s="7"/>
    </row>
    <row r="2526" spans="4:4" x14ac:dyDescent="0.25">
      <c r="D2526" s="7"/>
    </row>
    <row r="2527" spans="4:4" x14ac:dyDescent="0.25">
      <c r="D2527" s="7"/>
    </row>
    <row r="2528" spans="4:4" x14ac:dyDescent="0.25">
      <c r="D2528" s="7"/>
    </row>
    <row r="2529" spans="4:4" x14ac:dyDescent="0.25">
      <c r="D2529" s="7"/>
    </row>
    <row r="2530" spans="4:4" x14ac:dyDescent="0.25">
      <c r="D2530" s="7"/>
    </row>
    <row r="2531" spans="4:4" x14ac:dyDescent="0.25">
      <c r="D2531" s="7"/>
    </row>
    <row r="2532" spans="4:4" x14ac:dyDescent="0.25">
      <c r="D2532" s="7"/>
    </row>
    <row r="2533" spans="4:4" x14ac:dyDescent="0.25">
      <c r="D2533" s="7"/>
    </row>
    <row r="2534" spans="4:4" x14ac:dyDescent="0.25">
      <c r="D2534" s="7"/>
    </row>
    <row r="2535" spans="4:4" x14ac:dyDescent="0.25">
      <c r="D2535" s="7"/>
    </row>
    <row r="2536" spans="4:4" x14ac:dyDescent="0.25">
      <c r="D2536" s="7"/>
    </row>
    <row r="2537" spans="4:4" x14ac:dyDescent="0.25">
      <c r="D2537" s="7"/>
    </row>
    <row r="2538" spans="4:4" x14ac:dyDescent="0.25">
      <c r="D2538" s="7"/>
    </row>
    <row r="2539" spans="4:4" x14ac:dyDescent="0.25">
      <c r="D2539" s="7"/>
    </row>
    <row r="2540" spans="4:4" x14ac:dyDescent="0.25">
      <c r="D2540" s="7"/>
    </row>
    <row r="2541" spans="4:4" x14ac:dyDescent="0.25">
      <c r="D2541" s="7"/>
    </row>
    <row r="2542" spans="4:4" x14ac:dyDescent="0.25">
      <c r="D2542" s="7"/>
    </row>
    <row r="2543" spans="4:4" x14ac:dyDescent="0.25">
      <c r="D2543" s="7"/>
    </row>
    <row r="2544" spans="4:4" x14ac:dyDescent="0.25">
      <c r="D2544" s="7"/>
    </row>
    <row r="2545" spans="4:4" x14ac:dyDescent="0.25">
      <c r="D2545" s="7"/>
    </row>
    <row r="2546" spans="4:4" x14ac:dyDescent="0.25">
      <c r="D2546" s="7"/>
    </row>
    <row r="2547" spans="4:4" x14ac:dyDescent="0.25">
      <c r="D2547" s="7"/>
    </row>
    <row r="2548" spans="4:4" x14ac:dyDescent="0.25">
      <c r="D2548" s="7"/>
    </row>
    <row r="2549" spans="4:4" x14ac:dyDescent="0.25">
      <c r="D2549" s="7"/>
    </row>
    <row r="2550" spans="4:4" x14ac:dyDescent="0.25">
      <c r="D2550" s="7"/>
    </row>
    <row r="2551" spans="4:4" x14ac:dyDescent="0.25">
      <c r="D2551" s="7"/>
    </row>
    <row r="2552" spans="4:4" x14ac:dyDescent="0.25">
      <c r="D2552" s="7"/>
    </row>
    <row r="2553" spans="4:4" x14ac:dyDescent="0.25">
      <c r="D2553" s="7"/>
    </row>
    <row r="2554" spans="4:4" x14ac:dyDescent="0.25">
      <c r="D2554" s="7"/>
    </row>
    <row r="2555" spans="4:4" x14ac:dyDescent="0.25">
      <c r="D2555" s="7"/>
    </row>
    <row r="2556" spans="4:4" x14ac:dyDescent="0.25">
      <c r="D2556" s="7"/>
    </row>
    <row r="2557" spans="4:4" x14ac:dyDescent="0.25">
      <c r="D2557" s="7"/>
    </row>
    <row r="2558" spans="4:4" x14ac:dyDescent="0.25">
      <c r="D2558" s="7"/>
    </row>
    <row r="2559" spans="4:4" x14ac:dyDescent="0.25">
      <c r="D2559" s="7"/>
    </row>
    <row r="2560" spans="4:4" x14ac:dyDescent="0.25">
      <c r="D2560" s="7"/>
    </row>
    <row r="2561" spans="4:4" x14ac:dyDescent="0.25">
      <c r="D2561" s="7"/>
    </row>
    <row r="2562" spans="4:4" x14ac:dyDescent="0.25">
      <c r="D2562" s="7"/>
    </row>
    <row r="2563" spans="4:4" x14ac:dyDescent="0.25">
      <c r="D2563" s="7"/>
    </row>
    <row r="2564" spans="4:4" x14ac:dyDescent="0.25">
      <c r="D2564" s="7"/>
    </row>
    <row r="2565" spans="4:4" x14ac:dyDescent="0.25">
      <c r="D2565" s="7"/>
    </row>
    <row r="2566" spans="4:4" x14ac:dyDescent="0.25">
      <c r="D2566" s="7"/>
    </row>
    <row r="2567" spans="4:4" x14ac:dyDescent="0.25">
      <c r="D2567" s="7"/>
    </row>
    <row r="2568" spans="4:4" x14ac:dyDescent="0.25">
      <c r="D2568" s="7"/>
    </row>
    <row r="2569" spans="4:4" x14ac:dyDescent="0.25">
      <c r="D2569" s="7"/>
    </row>
    <row r="2570" spans="4:4" x14ac:dyDescent="0.25">
      <c r="D2570" s="7"/>
    </row>
    <row r="2571" spans="4:4" x14ac:dyDescent="0.25">
      <c r="D2571" s="7"/>
    </row>
    <row r="2572" spans="4:4" x14ac:dyDescent="0.25">
      <c r="D2572" s="7"/>
    </row>
    <row r="2573" spans="4:4" x14ac:dyDescent="0.25">
      <c r="D2573" s="7"/>
    </row>
    <row r="2574" spans="4:4" x14ac:dyDescent="0.25">
      <c r="D2574" s="7"/>
    </row>
    <row r="2575" spans="4:4" x14ac:dyDescent="0.25">
      <c r="D2575" s="7"/>
    </row>
    <row r="2576" spans="4:4" x14ac:dyDescent="0.25">
      <c r="D2576" s="7"/>
    </row>
    <row r="2577" spans="4:4" x14ac:dyDescent="0.25">
      <c r="D2577" s="7"/>
    </row>
    <row r="2578" spans="4:4" x14ac:dyDescent="0.25">
      <c r="D2578" s="7"/>
    </row>
    <row r="2579" spans="4:4" x14ac:dyDescent="0.25">
      <c r="D2579" s="7"/>
    </row>
    <row r="2580" spans="4:4" x14ac:dyDescent="0.25">
      <c r="D2580" s="7"/>
    </row>
    <row r="2581" spans="4:4" x14ac:dyDescent="0.25">
      <c r="D2581" s="7"/>
    </row>
    <row r="2582" spans="4:4" x14ac:dyDescent="0.25">
      <c r="D2582" s="7"/>
    </row>
    <row r="2583" spans="4:4" x14ac:dyDescent="0.25">
      <c r="D2583" s="7"/>
    </row>
    <row r="2584" spans="4:4" x14ac:dyDescent="0.25">
      <c r="D2584" s="7"/>
    </row>
    <row r="2585" spans="4:4" x14ac:dyDescent="0.25">
      <c r="D2585" s="7"/>
    </row>
    <row r="2586" spans="4:4" x14ac:dyDescent="0.25">
      <c r="D2586" s="7"/>
    </row>
    <row r="2587" spans="4:4" x14ac:dyDescent="0.25">
      <c r="D2587" s="7"/>
    </row>
    <row r="2588" spans="4:4" x14ac:dyDescent="0.25">
      <c r="D2588" s="7"/>
    </row>
    <row r="2589" spans="4:4" x14ac:dyDescent="0.25">
      <c r="D2589" s="7"/>
    </row>
    <row r="2590" spans="4:4" x14ac:dyDescent="0.25">
      <c r="D2590" s="7"/>
    </row>
    <row r="2591" spans="4:4" x14ac:dyDescent="0.25">
      <c r="D2591" s="7"/>
    </row>
    <row r="2592" spans="4:4" x14ac:dyDescent="0.25">
      <c r="D2592" s="7"/>
    </row>
    <row r="2593" spans="4:4" x14ac:dyDescent="0.25">
      <c r="D2593" s="7"/>
    </row>
    <row r="2594" spans="4:4" x14ac:dyDescent="0.25">
      <c r="D2594" s="7"/>
    </row>
    <row r="2595" spans="4:4" x14ac:dyDescent="0.25">
      <c r="D2595" s="7"/>
    </row>
    <row r="2596" spans="4:4" x14ac:dyDescent="0.25">
      <c r="D2596" s="7"/>
    </row>
    <row r="2597" spans="4:4" x14ac:dyDescent="0.25">
      <c r="D2597" s="7"/>
    </row>
    <row r="2598" spans="4:4" x14ac:dyDescent="0.25">
      <c r="D2598" s="7"/>
    </row>
    <row r="2599" spans="4:4" x14ac:dyDescent="0.25">
      <c r="D2599" s="7"/>
    </row>
    <row r="2600" spans="4:4" x14ac:dyDescent="0.25">
      <c r="D2600" s="7"/>
    </row>
    <row r="2601" spans="4:4" x14ac:dyDescent="0.25">
      <c r="D2601" s="7"/>
    </row>
    <row r="2602" spans="4:4" x14ac:dyDescent="0.25">
      <c r="D2602" s="7"/>
    </row>
    <row r="2603" spans="4:4" x14ac:dyDescent="0.25">
      <c r="D2603" s="7"/>
    </row>
    <row r="2604" spans="4:4" x14ac:dyDescent="0.25">
      <c r="D2604" s="7"/>
    </row>
    <row r="2605" spans="4:4" x14ac:dyDescent="0.25">
      <c r="D2605" s="7"/>
    </row>
    <row r="2606" spans="4:4" x14ac:dyDescent="0.25">
      <c r="D2606" s="7"/>
    </row>
    <row r="2607" spans="4:4" x14ac:dyDescent="0.25">
      <c r="D2607" s="7"/>
    </row>
    <row r="2608" spans="4:4" x14ac:dyDescent="0.25">
      <c r="D2608" s="7"/>
    </row>
    <row r="2609" spans="4:4" x14ac:dyDescent="0.25">
      <c r="D2609" s="7"/>
    </row>
    <row r="2610" spans="4:4" x14ac:dyDescent="0.25">
      <c r="D2610" s="7"/>
    </row>
    <row r="2611" spans="4:4" x14ac:dyDescent="0.25">
      <c r="D2611" s="7"/>
    </row>
    <row r="2612" spans="4:4" x14ac:dyDescent="0.25">
      <c r="D2612" s="7"/>
    </row>
    <row r="2613" spans="4:4" x14ac:dyDescent="0.25">
      <c r="D2613" s="7"/>
    </row>
    <row r="2614" spans="4:4" x14ac:dyDescent="0.25">
      <c r="D2614" s="7"/>
    </row>
    <row r="2615" spans="4:4" x14ac:dyDescent="0.25">
      <c r="D2615" s="7"/>
    </row>
    <row r="2616" spans="4:4" x14ac:dyDescent="0.25">
      <c r="D2616" s="7"/>
    </row>
    <row r="2617" spans="4:4" x14ac:dyDescent="0.25">
      <c r="D2617" s="7"/>
    </row>
    <row r="2618" spans="4:4" x14ac:dyDescent="0.25">
      <c r="D2618" s="7"/>
    </row>
    <row r="2619" spans="4:4" x14ac:dyDescent="0.25">
      <c r="D2619" s="7"/>
    </row>
    <row r="2620" spans="4:4" x14ac:dyDescent="0.25">
      <c r="D2620" s="7"/>
    </row>
    <row r="2621" spans="4:4" x14ac:dyDescent="0.25">
      <c r="D2621" s="7"/>
    </row>
    <row r="2622" spans="4:4" x14ac:dyDescent="0.25">
      <c r="D2622" s="7"/>
    </row>
    <row r="2623" spans="4:4" x14ac:dyDescent="0.25">
      <c r="D2623" s="7"/>
    </row>
    <row r="2624" spans="4:4" x14ac:dyDescent="0.25">
      <c r="D2624" s="7"/>
    </row>
    <row r="2625" spans="4:4" x14ac:dyDescent="0.25">
      <c r="D2625" s="7"/>
    </row>
    <row r="2626" spans="4:4" x14ac:dyDescent="0.25">
      <c r="D2626" s="7"/>
    </row>
    <row r="2627" spans="4:4" x14ac:dyDescent="0.25">
      <c r="D2627" s="7"/>
    </row>
    <row r="2628" spans="4:4" x14ac:dyDescent="0.25">
      <c r="D2628" s="7"/>
    </row>
    <row r="2629" spans="4:4" x14ac:dyDescent="0.25">
      <c r="D2629" s="7"/>
    </row>
    <row r="2630" spans="4:4" x14ac:dyDescent="0.25">
      <c r="D2630" s="7"/>
    </row>
    <row r="2631" spans="4:4" x14ac:dyDescent="0.25">
      <c r="D2631" s="7"/>
    </row>
    <row r="2632" spans="4:4" x14ac:dyDescent="0.25">
      <c r="D2632" s="7"/>
    </row>
    <row r="2633" spans="4:4" x14ac:dyDescent="0.25">
      <c r="D2633" s="7"/>
    </row>
    <row r="2634" spans="4:4" x14ac:dyDescent="0.25">
      <c r="D2634" s="7"/>
    </row>
    <row r="2635" spans="4:4" x14ac:dyDescent="0.25">
      <c r="D2635" s="7"/>
    </row>
    <row r="2636" spans="4:4" x14ac:dyDescent="0.25">
      <c r="D2636" s="7"/>
    </row>
    <row r="2637" spans="4:4" x14ac:dyDescent="0.25">
      <c r="D2637" s="7"/>
    </row>
    <row r="2638" spans="4:4" x14ac:dyDescent="0.25">
      <c r="D2638" s="7"/>
    </row>
    <row r="2639" spans="4:4" x14ac:dyDescent="0.25">
      <c r="D2639" s="7"/>
    </row>
    <row r="2640" spans="4:4" x14ac:dyDescent="0.25">
      <c r="D2640" s="7"/>
    </row>
    <row r="2641" spans="4:4" x14ac:dyDescent="0.25">
      <c r="D2641" s="7"/>
    </row>
    <row r="2642" spans="4:4" x14ac:dyDescent="0.25">
      <c r="D2642" s="7"/>
    </row>
    <row r="2643" spans="4:4" x14ac:dyDescent="0.25">
      <c r="D2643" s="7"/>
    </row>
    <row r="2644" spans="4:4" x14ac:dyDescent="0.25">
      <c r="D2644" s="7"/>
    </row>
    <row r="2645" spans="4:4" x14ac:dyDescent="0.25">
      <c r="D2645" s="7"/>
    </row>
    <row r="2646" spans="4:4" x14ac:dyDescent="0.25">
      <c r="D2646" s="7"/>
    </row>
    <row r="2647" spans="4:4" x14ac:dyDescent="0.25">
      <c r="D2647" s="7"/>
    </row>
    <row r="2648" spans="4:4" x14ac:dyDescent="0.25">
      <c r="D2648" s="7"/>
    </row>
    <row r="2649" spans="4:4" x14ac:dyDescent="0.25">
      <c r="D2649" s="7"/>
    </row>
    <row r="2650" spans="4:4" x14ac:dyDescent="0.25">
      <c r="D2650" s="7"/>
    </row>
    <row r="2651" spans="4:4" x14ac:dyDescent="0.25">
      <c r="D2651" s="7"/>
    </row>
    <row r="2652" spans="4:4" x14ac:dyDescent="0.25">
      <c r="D2652" s="7"/>
    </row>
    <row r="2653" spans="4:4" x14ac:dyDescent="0.25">
      <c r="D2653" s="7"/>
    </row>
    <row r="2654" spans="4:4" x14ac:dyDescent="0.25">
      <c r="D2654" s="7"/>
    </row>
    <row r="2655" spans="4:4" x14ac:dyDescent="0.25">
      <c r="D2655" s="7"/>
    </row>
    <row r="2656" spans="4:4" x14ac:dyDescent="0.25">
      <c r="D2656" s="7"/>
    </row>
    <row r="2657" spans="4:4" x14ac:dyDescent="0.25">
      <c r="D2657" s="7"/>
    </row>
    <row r="2658" spans="4:4" x14ac:dyDescent="0.25">
      <c r="D2658" s="7"/>
    </row>
    <row r="2659" spans="4:4" x14ac:dyDescent="0.25">
      <c r="D2659" s="7"/>
    </row>
    <row r="2660" spans="4:4" x14ac:dyDescent="0.25">
      <c r="D2660" s="7"/>
    </row>
    <row r="2661" spans="4:4" x14ac:dyDescent="0.25">
      <c r="D2661" s="7"/>
    </row>
    <row r="2662" spans="4:4" x14ac:dyDescent="0.25">
      <c r="D2662" s="7"/>
    </row>
    <row r="2663" spans="4:4" x14ac:dyDescent="0.25">
      <c r="D2663" s="7"/>
    </row>
    <row r="2664" spans="4:4" x14ac:dyDescent="0.25">
      <c r="D2664" s="7"/>
    </row>
    <row r="2665" spans="4:4" x14ac:dyDescent="0.25">
      <c r="D2665" s="7"/>
    </row>
    <row r="2666" spans="4:4" x14ac:dyDescent="0.25">
      <c r="D2666" s="7"/>
    </row>
    <row r="2667" spans="4:4" x14ac:dyDescent="0.25">
      <c r="D2667" s="7"/>
    </row>
    <row r="2668" spans="4:4" x14ac:dyDescent="0.25">
      <c r="D2668" s="7"/>
    </row>
    <row r="2669" spans="4:4" x14ac:dyDescent="0.25">
      <c r="D2669" s="7"/>
    </row>
    <row r="2670" spans="4:4" x14ac:dyDescent="0.25">
      <c r="D2670" s="7"/>
    </row>
    <row r="2671" spans="4:4" x14ac:dyDescent="0.25">
      <c r="D2671" s="7"/>
    </row>
    <row r="2672" spans="4:4" x14ac:dyDescent="0.25">
      <c r="D2672" s="7"/>
    </row>
    <row r="2673" spans="4:4" x14ac:dyDescent="0.25">
      <c r="D2673" s="7"/>
    </row>
    <row r="2674" spans="4:4" x14ac:dyDescent="0.25">
      <c r="D2674" s="7"/>
    </row>
    <row r="2675" spans="4:4" x14ac:dyDescent="0.25">
      <c r="D2675" s="7"/>
    </row>
    <row r="2676" spans="4:4" x14ac:dyDescent="0.25">
      <c r="D2676" s="7"/>
    </row>
    <row r="2677" spans="4:4" x14ac:dyDescent="0.25">
      <c r="D2677" s="7"/>
    </row>
    <row r="2678" spans="4:4" x14ac:dyDescent="0.25">
      <c r="D2678" s="7"/>
    </row>
    <row r="2679" spans="4:4" x14ac:dyDescent="0.25">
      <c r="D2679" s="7"/>
    </row>
    <row r="2680" spans="4:4" x14ac:dyDescent="0.25">
      <c r="D2680" s="7"/>
    </row>
    <row r="2681" spans="4:4" x14ac:dyDescent="0.25">
      <c r="D2681" s="7"/>
    </row>
    <row r="2682" spans="4:4" x14ac:dyDescent="0.25">
      <c r="D2682" s="7"/>
    </row>
    <row r="2683" spans="4:4" x14ac:dyDescent="0.25">
      <c r="D2683" s="7"/>
    </row>
    <row r="2684" spans="4:4" x14ac:dyDescent="0.25">
      <c r="D2684" s="7"/>
    </row>
    <row r="2685" spans="4:4" x14ac:dyDescent="0.25">
      <c r="D2685" s="7"/>
    </row>
    <row r="2686" spans="4:4" x14ac:dyDescent="0.25">
      <c r="D2686" s="7"/>
    </row>
    <row r="2687" spans="4:4" x14ac:dyDescent="0.25">
      <c r="D2687" s="7"/>
    </row>
    <row r="2688" spans="4:4" x14ac:dyDescent="0.25">
      <c r="D2688" s="7"/>
    </row>
    <row r="2689" spans="4:4" x14ac:dyDescent="0.25">
      <c r="D2689" s="7"/>
    </row>
    <row r="2690" spans="4:4" x14ac:dyDescent="0.25">
      <c r="D2690" s="7"/>
    </row>
    <row r="2691" spans="4:4" x14ac:dyDescent="0.25">
      <c r="D2691" s="7"/>
    </row>
    <row r="2692" spans="4:4" x14ac:dyDescent="0.25">
      <c r="D2692" s="7"/>
    </row>
    <row r="2693" spans="4:4" x14ac:dyDescent="0.25">
      <c r="D2693" s="7"/>
    </row>
    <row r="2694" spans="4:4" x14ac:dyDescent="0.25">
      <c r="D2694" s="7"/>
    </row>
    <row r="2695" spans="4:4" x14ac:dyDescent="0.25">
      <c r="D2695" s="7"/>
    </row>
    <row r="2696" spans="4:4" x14ac:dyDescent="0.25">
      <c r="D2696" s="7"/>
    </row>
    <row r="2697" spans="4:4" x14ac:dyDescent="0.25">
      <c r="D2697" s="7"/>
    </row>
    <row r="2698" spans="4:4" x14ac:dyDescent="0.25">
      <c r="D2698" s="7"/>
    </row>
    <row r="2699" spans="4:4" x14ac:dyDescent="0.25">
      <c r="D2699" s="7"/>
    </row>
    <row r="2700" spans="4:4" x14ac:dyDescent="0.25">
      <c r="D2700" s="7"/>
    </row>
    <row r="2701" spans="4:4" x14ac:dyDescent="0.25">
      <c r="D2701" s="7"/>
    </row>
    <row r="2702" spans="4:4" x14ac:dyDescent="0.25">
      <c r="D2702" s="7"/>
    </row>
    <row r="2703" spans="4:4" x14ac:dyDescent="0.25">
      <c r="D2703" s="7"/>
    </row>
    <row r="2704" spans="4:4" x14ac:dyDescent="0.25">
      <c r="D2704" s="7"/>
    </row>
    <row r="2705" spans="4:4" x14ac:dyDescent="0.25">
      <c r="D2705" s="7"/>
    </row>
    <row r="2706" spans="4:4" x14ac:dyDescent="0.25">
      <c r="D2706" s="7"/>
    </row>
    <row r="2707" spans="4:4" x14ac:dyDescent="0.25">
      <c r="D2707" s="7"/>
    </row>
    <row r="2708" spans="4:4" x14ac:dyDescent="0.25">
      <c r="D2708" s="7"/>
    </row>
    <row r="2709" spans="4:4" x14ac:dyDescent="0.25">
      <c r="D2709" s="7"/>
    </row>
    <row r="2710" spans="4:4" x14ac:dyDescent="0.25">
      <c r="D2710" s="7"/>
    </row>
    <row r="2711" spans="4:4" x14ac:dyDescent="0.25">
      <c r="D2711" s="7"/>
    </row>
    <row r="2712" spans="4:4" x14ac:dyDescent="0.25">
      <c r="D2712" s="7"/>
    </row>
    <row r="2713" spans="4:4" x14ac:dyDescent="0.25">
      <c r="D2713" s="7"/>
    </row>
    <row r="2714" spans="4:4" x14ac:dyDescent="0.25">
      <c r="D2714" s="7"/>
    </row>
    <row r="2715" spans="4:4" x14ac:dyDescent="0.25">
      <c r="D2715" s="7"/>
    </row>
    <row r="2716" spans="4:4" x14ac:dyDescent="0.25">
      <c r="D2716" s="7"/>
    </row>
    <row r="2717" spans="4:4" x14ac:dyDescent="0.25">
      <c r="D2717" s="7"/>
    </row>
    <row r="2718" spans="4:4" x14ac:dyDescent="0.25">
      <c r="D2718" s="7"/>
    </row>
    <row r="2719" spans="4:4" x14ac:dyDescent="0.25">
      <c r="D2719" s="7"/>
    </row>
    <row r="2720" spans="4:4" x14ac:dyDescent="0.25">
      <c r="D2720" s="7"/>
    </row>
    <row r="2721" spans="4:4" x14ac:dyDescent="0.25">
      <c r="D2721" s="7"/>
    </row>
    <row r="2722" spans="4:4" x14ac:dyDescent="0.25">
      <c r="D2722" s="7"/>
    </row>
    <row r="2723" spans="4:4" x14ac:dyDescent="0.25">
      <c r="D2723" s="7"/>
    </row>
    <row r="2724" spans="4:4" x14ac:dyDescent="0.25">
      <c r="D2724" s="7"/>
    </row>
    <row r="2725" spans="4:4" x14ac:dyDescent="0.25">
      <c r="D2725" s="7"/>
    </row>
    <row r="2726" spans="4:4" x14ac:dyDescent="0.25">
      <c r="D2726" s="7"/>
    </row>
    <row r="2727" spans="4:4" x14ac:dyDescent="0.25">
      <c r="D2727" s="7"/>
    </row>
    <row r="2728" spans="4:4" x14ac:dyDescent="0.25">
      <c r="D2728" s="7"/>
    </row>
    <row r="2729" spans="4:4" x14ac:dyDescent="0.25">
      <c r="D2729" s="7"/>
    </row>
    <row r="2730" spans="4:4" x14ac:dyDescent="0.25">
      <c r="D2730" s="7"/>
    </row>
    <row r="2731" spans="4:4" x14ac:dyDescent="0.25">
      <c r="D2731" s="7"/>
    </row>
    <row r="2732" spans="4:4" x14ac:dyDescent="0.25">
      <c r="D2732" s="7"/>
    </row>
    <row r="2733" spans="4:4" x14ac:dyDescent="0.25">
      <c r="D2733" s="7"/>
    </row>
    <row r="2734" spans="4:4" x14ac:dyDescent="0.25">
      <c r="D2734" s="7"/>
    </row>
    <row r="2735" spans="4:4" x14ac:dyDescent="0.25">
      <c r="D2735" s="7"/>
    </row>
    <row r="2736" spans="4:4" x14ac:dyDescent="0.25">
      <c r="D2736" s="7"/>
    </row>
    <row r="2737" spans="4:4" x14ac:dyDescent="0.25">
      <c r="D2737" s="7"/>
    </row>
    <row r="2738" spans="4:4" x14ac:dyDescent="0.25">
      <c r="D2738" s="7"/>
    </row>
    <row r="2739" spans="4:4" x14ac:dyDescent="0.25">
      <c r="D2739" s="7"/>
    </row>
    <row r="2740" spans="4:4" x14ac:dyDescent="0.25">
      <c r="D2740" s="7"/>
    </row>
    <row r="2741" spans="4:4" x14ac:dyDescent="0.25">
      <c r="D2741" s="7"/>
    </row>
    <row r="2742" spans="4:4" x14ac:dyDescent="0.25">
      <c r="D2742" s="7"/>
    </row>
    <row r="2743" spans="4:4" x14ac:dyDescent="0.25">
      <c r="D2743" s="7"/>
    </row>
    <row r="2744" spans="4:4" x14ac:dyDescent="0.25">
      <c r="D2744" s="7"/>
    </row>
    <row r="2745" spans="4:4" x14ac:dyDescent="0.25">
      <c r="D2745" s="7"/>
    </row>
    <row r="2746" spans="4:4" x14ac:dyDescent="0.25">
      <c r="D2746" s="7"/>
    </row>
    <row r="2747" spans="4:4" x14ac:dyDescent="0.25">
      <c r="D2747" s="7"/>
    </row>
    <row r="2748" spans="4:4" x14ac:dyDescent="0.25">
      <c r="D2748" s="7"/>
    </row>
    <row r="2749" spans="4:4" x14ac:dyDescent="0.25">
      <c r="D2749" s="7"/>
    </row>
    <row r="2750" spans="4:4" x14ac:dyDescent="0.25">
      <c r="D2750" s="7"/>
    </row>
    <row r="2751" spans="4:4" x14ac:dyDescent="0.25">
      <c r="D2751" s="7"/>
    </row>
    <row r="2752" spans="4:4" x14ac:dyDescent="0.25">
      <c r="D2752" s="7"/>
    </row>
    <row r="2753" spans="4:4" x14ac:dyDescent="0.25">
      <c r="D2753" s="7"/>
    </row>
    <row r="2754" spans="4:4" x14ac:dyDescent="0.25">
      <c r="D2754" s="7"/>
    </row>
    <row r="2755" spans="4:4" x14ac:dyDescent="0.25">
      <c r="D2755" s="7"/>
    </row>
    <row r="2756" spans="4:4" x14ac:dyDescent="0.25">
      <c r="D2756" s="7"/>
    </row>
    <row r="2757" spans="4:4" x14ac:dyDescent="0.25">
      <c r="D2757" s="7"/>
    </row>
    <row r="2758" spans="4:4" x14ac:dyDescent="0.25">
      <c r="D2758" s="7"/>
    </row>
    <row r="2759" spans="4:4" x14ac:dyDescent="0.25">
      <c r="D2759" s="7"/>
    </row>
    <row r="2760" spans="4:4" x14ac:dyDescent="0.25">
      <c r="D2760" s="7"/>
    </row>
    <row r="2761" spans="4:4" x14ac:dyDescent="0.25">
      <c r="D2761" s="7"/>
    </row>
    <row r="2762" spans="4:4" x14ac:dyDescent="0.25">
      <c r="D2762" s="7"/>
    </row>
    <row r="2763" spans="4:4" x14ac:dyDescent="0.25">
      <c r="D2763" s="7"/>
    </row>
    <row r="2764" spans="4:4" x14ac:dyDescent="0.25">
      <c r="D2764" s="7"/>
    </row>
    <row r="2765" spans="4:4" x14ac:dyDescent="0.25">
      <c r="D2765" s="7"/>
    </row>
    <row r="2766" spans="4:4" x14ac:dyDescent="0.25">
      <c r="D2766" s="7"/>
    </row>
    <row r="2767" spans="4:4" x14ac:dyDescent="0.25">
      <c r="D2767" s="7"/>
    </row>
    <row r="2768" spans="4:4" x14ac:dyDescent="0.25">
      <c r="D2768" s="7"/>
    </row>
    <row r="2769" spans="4:4" x14ac:dyDescent="0.25">
      <c r="D2769" s="7"/>
    </row>
    <row r="2770" spans="4:4" x14ac:dyDescent="0.25">
      <c r="D2770" s="7"/>
    </row>
    <row r="2771" spans="4:4" x14ac:dyDescent="0.25">
      <c r="D2771" s="7"/>
    </row>
    <row r="2772" spans="4:4" x14ac:dyDescent="0.25">
      <c r="D2772" s="7"/>
    </row>
    <row r="2773" spans="4:4" x14ac:dyDescent="0.25">
      <c r="D2773" s="7"/>
    </row>
    <row r="2774" spans="4:4" x14ac:dyDescent="0.25">
      <c r="D2774" s="7"/>
    </row>
    <row r="2775" spans="4:4" x14ac:dyDescent="0.25">
      <c r="D2775" s="7"/>
    </row>
    <row r="2776" spans="4:4" x14ac:dyDescent="0.25">
      <c r="D2776" s="7"/>
    </row>
    <row r="2777" spans="4:4" x14ac:dyDescent="0.25">
      <c r="D2777" s="7"/>
    </row>
    <row r="2778" spans="4:4" x14ac:dyDescent="0.25">
      <c r="D2778" s="7"/>
    </row>
    <row r="2779" spans="4:4" x14ac:dyDescent="0.25">
      <c r="D2779" s="7"/>
    </row>
    <row r="2780" spans="4:4" x14ac:dyDescent="0.25">
      <c r="D2780" s="7"/>
    </row>
    <row r="2781" spans="4:4" x14ac:dyDescent="0.25">
      <c r="D2781" s="7"/>
    </row>
    <row r="2782" spans="4:4" x14ac:dyDescent="0.25">
      <c r="D2782" s="7"/>
    </row>
    <row r="2783" spans="4:4" x14ac:dyDescent="0.25">
      <c r="D2783" s="7"/>
    </row>
    <row r="2784" spans="4:4" x14ac:dyDescent="0.25">
      <c r="D2784" s="7"/>
    </row>
    <row r="2785" spans="4:4" x14ac:dyDescent="0.25">
      <c r="D2785" s="7"/>
    </row>
    <row r="2786" spans="4:4" x14ac:dyDescent="0.25">
      <c r="D2786" s="7"/>
    </row>
    <row r="2787" spans="4:4" x14ac:dyDescent="0.25">
      <c r="D2787" s="7"/>
    </row>
    <row r="2788" spans="4:4" x14ac:dyDescent="0.25">
      <c r="D2788" s="7"/>
    </row>
    <row r="2789" spans="4:4" x14ac:dyDescent="0.25">
      <c r="D2789" s="7"/>
    </row>
    <row r="2790" spans="4:4" x14ac:dyDescent="0.25">
      <c r="D2790" s="7"/>
    </row>
    <row r="2791" spans="4:4" x14ac:dyDescent="0.25">
      <c r="D2791" s="7"/>
    </row>
    <row r="2792" spans="4:4" x14ac:dyDescent="0.25">
      <c r="D2792" s="7"/>
    </row>
    <row r="2793" spans="4:4" x14ac:dyDescent="0.25">
      <c r="D2793" s="7"/>
    </row>
    <row r="2794" spans="4:4" x14ac:dyDescent="0.25">
      <c r="D2794" s="7"/>
    </row>
    <row r="2795" spans="4:4" x14ac:dyDescent="0.25">
      <c r="D2795" s="7"/>
    </row>
    <row r="2796" spans="4:4" x14ac:dyDescent="0.25">
      <c r="D2796" s="7"/>
    </row>
    <row r="2797" spans="4:4" x14ac:dyDescent="0.25">
      <c r="D2797" s="7"/>
    </row>
    <row r="2798" spans="4:4" x14ac:dyDescent="0.25">
      <c r="D2798" s="7"/>
    </row>
    <row r="2799" spans="4:4" x14ac:dyDescent="0.25">
      <c r="D2799" s="7"/>
    </row>
    <row r="2800" spans="4:4" x14ac:dyDescent="0.25">
      <c r="D2800" s="7"/>
    </row>
    <row r="2801" spans="4:4" x14ac:dyDescent="0.25">
      <c r="D2801" s="7"/>
    </row>
    <row r="2802" spans="4:4" x14ac:dyDescent="0.25">
      <c r="D2802" s="7"/>
    </row>
    <row r="2803" spans="4:4" x14ac:dyDescent="0.25">
      <c r="D2803" s="7"/>
    </row>
    <row r="2804" spans="4:4" x14ac:dyDescent="0.25">
      <c r="D2804" s="7"/>
    </row>
    <row r="2805" spans="4:4" x14ac:dyDescent="0.25">
      <c r="D2805" s="7"/>
    </row>
    <row r="2806" spans="4:4" x14ac:dyDescent="0.25">
      <c r="D2806" s="7"/>
    </row>
    <row r="2807" spans="4:4" x14ac:dyDescent="0.25">
      <c r="D2807" s="7"/>
    </row>
    <row r="2808" spans="4:4" x14ac:dyDescent="0.25">
      <c r="D2808" s="7"/>
    </row>
    <row r="2809" spans="4:4" x14ac:dyDescent="0.25">
      <c r="D2809" s="7"/>
    </row>
    <row r="2810" spans="4:4" x14ac:dyDescent="0.25">
      <c r="D2810" s="7"/>
    </row>
    <row r="2811" spans="4:4" x14ac:dyDescent="0.25">
      <c r="D2811" s="7"/>
    </row>
    <row r="2812" spans="4:4" x14ac:dyDescent="0.25">
      <c r="D2812" s="7"/>
    </row>
    <row r="2813" spans="4:4" x14ac:dyDescent="0.25">
      <c r="D2813" s="7"/>
    </row>
    <row r="2814" spans="4:4" x14ac:dyDescent="0.25">
      <c r="D2814" s="7"/>
    </row>
    <row r="2815" spans="4:4" x14ac:dyDescent="0.25">
      <c r="D2815" s="7"/>
    </row>
    <row r="2816" spans="4:4" x14ac:dyDescent="0.25">
      <c r="D2816" s="7"/>
    </row>
    <row r="2817" spans="4:4" x14ac:dyDescent="0.25">
      <c r="D2817" s="7"/>
    </row>
    <row r="2818" spans="4:4" x14ac:dyDescent="0.25">
      <c r="D2818" s="7"/>
    </row>
    <row r="2819" spans="4:4" x14ac:dyDescent="0.25">
      <c r="D2819" s="7"/>
    </row>
    <row r="2820" spans="4:4" x14ac:dyDescent="0.25">
      <c r="D2820" s="7"/>
    </row>
    <row r="2821" spans="4:4" x14ac:dyDescent="0.25">
      <c r="D2821" s="7"/>
    </row>
    <row r="2822" spans="4:4" x14ac:dyDescent="0.25">
      <c r="D2822" s="7"/>
    </row>
    <row r="2823" spans="4:4" x14ac:dyDescent="0.25">
      <c r="D2823" s="7"/>
    </row>
    <row r="2824" spans="4:4" x14ac:dyDescent="0.25">
      <c r="D2824" s="7"/>
    </row>
    <row r="2825" spans="4:4" x14ac:dyDescent="0.25">
      <c r="D2825" s="7"/>
    </row>
    <row r="2826" spans="4:4" x14ac:dyDescent="0.25">
      <c r="D2826" s="7"/>
    </row>
    <row r="2827" spans="4:4" x14ac:dyDescent="0.25">
      <c r="D2827" s="7"/>
    </row>
    <row r="2828" spans="4:4" x14ac:dyDescent="0.25">
      <c r="D2828" s="7"/>
    </row>
    <row r="2829" spans="4:4" x14ac:dyDescent="0.25">
      <c r="D2829" s="7"/>
    </row>
    <row r="2830" spans="4:4" x14ac:dyDescent="0.25">
      <c r="D2830" s="7"/>
    </row>
    <row r="2831" spans="4:4" x14ac:dyDescent="0.25">
      <c r="D2831" s="7"/>
    </row>
    <row r="2832" spans="4:4" x14ac:dyDescent="0.25">
      <c r="D2832" s="7"/>
    </row>
    <row r="2833" spans="4:4" x14ac:dyDescent="0.25">
      <c r="D2833" s="7"/>
    </row>
    <row r="2834" spans="4:4" x14ac:dyDescent="0.25">
      <c r="D2834" s="7"/>
    </row>
    <row r="2835" spans="4:4" x14ac:dyDescent="0.25">
      <c r="D2835" s="7"/>
    </row>
    <row r="2836" spans="4:4" x14ac:dyDescent="0.25">
      <c r="D2836" s="7"/>
    </row>
    <row r="2837" spans="4:4" x14ac:dyDescent="0.25">
      <c r="D2837" s="7"/>
    </row>
    <row r="2838" spans="4:4" x14ac:dyDescent="0.25">
      <c r="D2838" s="7"/>
    </row>
    <row r="2839" spans="4:4" x14ac:dyDescent="0.25">
      <c r="D2839" s="7"/>
    </row>
    <row r="2840" spans="4:4" x14ac:dyDescent="0.25">
      <c r="D2840" s="7"/>
    </row>
    <row r="2841" spans="4:4" x14ac:dyDescent="0.25">
      <c r="D2841" s="7"/>
    </row>
    <row r="2842" spans="4:4" x14ac:dyDescent="0.25">
      <c r="D2842" s="7"/>
    </row>
    <row r="2843" spans="4:4" x14ac:dyDescent="0.25">
      <c r="D2843" s="7"/>
    </row>
    <row r="2844" spans="4:4" x14ac:dyDescent="0.25">
      <c r="D2844" s="7"/>
    </row>
    <row r="2845" spans="4:4" x14ac:dyDescent="0.25">
      <c r="D2845" s="7"/>
    </row>
    <row r="2846" spans="4:4" x14ac:dyDescent="0.25">
      <c r="D2846" s="7"/>
    </row>
    <row r="2847" spans="4:4" x14ac:dyDescent="0.25">
      <c r="D2847" s="7"/>
    </row>
    <row r="2848" spans="4:4" x14ac:dyDescent="0.25">
      <c r="D2848" s="7"/>
    </row>
    <row r="2849" spans="4:4" x14ac:dyDescent="0.25">
      <c r="D2849" s="7"/>
    </row>
    <row r="2850" spans="4:4" x14ac:dyDescent="0.25">
      <c r="D2850" s="7"/>
    </row>
    <row r="2851" spans="4:4" x14ac:dyDescent="0.25">
      <c r="D2851" s="7"/>
    </row>
    <row r="2852" spans="4:4" x14ac:dyDescent="0.25">
      <c r="D2852" s="7"/>
    </row>
    <row r="2853" spans="4:4" x14ac:dyDescent="0.25">
      <c r="D2853" s="7"/>
    </row>
    <row r="2854" spans="4:4" x14ac:dyDescent="0.25">
      <c r="D2854" s="7"/>
    </row>
    <row r="2855" spans="4:4" x14ac:dyDescent="0.25">
      <c r="D2855" s="7"/>
    </row>
    <row r="2856" spans="4:4" x14ac:dyDescent="0.25">
      <c r="D2856" s="7"/>
    </row>
    <row r="2857" spans="4:4" x14ac:dyDescent="0.25">
      <c r="D2857" s="7"/>
    </row>
    <row r="2858" spans="4:4" x14ac:dyDescent="0.25">
      <c r="D2858" s="7"/>
    </row>
    <row r="2859" spans="4:4" x14ac:dyDescent="0.25">
      <c r="D2859" s="7"/>
    </row>
    <row r="2860" spans="4:4" x14ac:dyDescent="0.25">
      <c r="D2860" s="7"/>
    </row>
    <row r="2861" spans="4:4" x14ac:dyDescent="0.25">
      <c r="D2861" s="7"/>
    </row>
    <row r="2862" spans="4:4" x14ac:dyDescent="0.25">
      <c r="D2862" s="7"/>
    </row>
    <row r="2863" spans="4:4" x14ac:dyDescent="0.25">
      <c r="D2863" s="7"/>
    </row>
    <row r="2864" spans="4:4" x14ac:dyDescent="0.25">
      <c r="D2864" s="7"/>
    </row>
    <row r="2865" spans="4:4" x14ac:dyDescent="0.25">
      <c r="D2865" s="7"/>
    </row>
    <row r="2866" spans="4:4" x14ac:dyDescent="0.25">
      <c r="D2866" s="7"/>
    </row>
    <row r="2867" spans="4:4" x14ac:dyDescent="0.25">
      <c r="D2867" s="7"/>
    </row>
    <row r="2868" spans="4:4" x14ac:dyDescent="0.25">
      <c r="D2868" s="7"/>
    </row>
    <row r="2869" spans="4:4" x14ac:dyDescent="0.25">
      <c r="D2869" s="7"/>
    </row>
    <row r="2870" spans="4:4" x14ac:dyDescent="0.25">
      <c r="D2870" s="7"/>
    </row>
    <row r="2871" spans="4:4" x14ac:dyDescent="0.25">
      <c r="D2871" s="7"/>
    </row>
    <row r="2872" spans="4:4" x14ac:dyDescent="0.25">
      <c r="D2872" s="7"/>
    </row>
    <row r="2873" spans="4:4" x14ac:dyDescent="0.25">
      <c r="D2873" s="7"/>
    </row>
    <row r="2874" spans="4:4" x14ac:dyDescent="0.25">
      <c r="D2874" s="7"/>
    </row>
    <row r="2875" spans="4:4" x14ac:dyDescent="0.25">
      <c r="D2875" s="7"/>
    </row>
    <row r="2876" spans="4:4" x14ac:dyDescent="0.25">
      <c r="D2876" s="7"/>
    </row>
    <row r="2877" spans="4:4" x14ac:dyDescent="0.25">
      <c r="D2877" s="7"/>
    </row>
    <row r="2878" spans="4:4" x14ac:dyDescent="0.25">
      <c r="D2878" s="7"/>
    </row>
    <row r="2879" spans="4:4" x14ac:dyDescent="0.25">
      <c r="D2879" s="7"/>
    </row>
    <row r="2880" spans="4:4" x14ac:dyDescent="0.25">
      <c r="D2880" s="7"/>
    </row>
    <row r="2881" spans="4:4" x14ac:dyDescent="0.25">
      <c r="D2881" s="7"/>
    </row>
    <row r="2882" spans="4:4" x14ac:dyDescent="0.25">
      <c r="D2882" s="7"/>
    </row>
    <row r="2883" spans="4:4" x14ac:dyDescent="0.25">
      <c r="D2883" s="7"/>
    </row>
    <row r="2884" spans="4:4" x14ac:dyDescent="0.25">
      <c r="D2884" s="7"/>
    </row>
    <row r="2885" spans="4:4" x14ac:dyDescent="0.25">
      <c r="D2885" s="7"/>
    </row>
    <row r="2886" spans="4:4" x14ac:dyDescent="0.25">
      <c r="D2886" s="7"/>
    </row>
    <row r="2887" spans="4:4" x14ac:dyDescent="0.25">
      <c r="D2887" s="7"/>
    </row>
    <row r="2888" spans="4:4" x14ac:dyDescent="0.25">
      <c r="D2888" s="7"/>
    </row>
    <row r="2889" spans="4:4" x14ac:dyDescent="0.25">
      <c r="D2889" s="7"/>
    </row>
    <row r="2890" spans="4:4" x14ac:dyDescent="0.25">
      <c r="D2890" s="7"/>
    </row>
    <row r="2891" spans="4:4" x14ac:dyDescent="0.25">
      <c r="D2891" s="7"/>
    </row>
    <row r="2892" spans="4:4" x14ac:dyDescent="0.25">
      <c r="D2892" s="7"/>
    </row>
    <row r="2893" spans="4:4" x14ac:dyDescent="0.25">
      <c r="D2893" s="7"/>
    </row>
    <row r="2894" spans="4:4" x14ac:dyDescent="0.25">
      <c r="D2894" s="7"/>
    </row>
    <row r="2895" spans="4:4" x14ac:dyDescent="0.25">
      <c r="D2895" s="7"/>
    </row>
    <row r="2896" spans="4:4" x14ac:dyDescent="0.25">
      <c r="D2896" s="7"/>
    </row>
    <row r="2897" spans="4:4" x14ac:dyDescent="0.25">
      <c r="D2897" s="7"/>
    </row>
    <row r="2898" spans="4:4" x14ac:dyDescent="0.25">
      <c r="D2898" s="7"/>
    </row>
    <row r="2899" spans="4:4" x14ac:dyDescent="0.25">
      <c r="D2899" s="7"/>
    </row>
    <row r="2900" spans="4:4" x14ac:dyDescent="0.25">
      <c r="D2900" s="7"/>
    </row>
    <row r="2901" spans="4:4" x14ac:dyDescent="0.25">
      <c r="D2901" s="7"/>
    </row>
    <row r="2902" spans="4:4" x14ac:dyDescent="0.25">
      <c r="D2902" s="7"/>
    </row>
    <row r="2903" spans="4:4" x14ac:dyDescent="0.25">
      <c r="D2903" s="7"/>
    </row>
    <row r="2904" spans="4:4" x14ac:dyDescent="0.25">
      <c r="D2904" s="7"/>
    </row>
    <row r="2905" spans="4:4" x14ac:dyDescent="0.25">
      <c r="D2905" s="7"/>
    </row>
    <row r="2906" spans="4:4" x14ac:dyDescent="0.25">
      <c r="D2906" s="7"/>
    </row>
    <row r="2907" spans="4:4" x14ac:dyDescent="0.25">
      <c r="D2907" s="7"/>
    </row>
    <row r="2908" spans="4:4" x14ac:dyDescent="0.25">
      <c r="D2908" s="7"/>
    </row>
    <row r="2909" spans="4:4" x14ac:dyDescent="0.25">
      <c r="D2909" s="7"/>
    </row>
    <row r="2910" spans="4:4" x14ac:dyDescent="0.25">
      <c r="D2910" s="7"/>
    </row>
    <row r="2911" spans="4:4" x14ac:dyDescent="0.25">
      <c r="D2911" s="7"/>
    </row>
    <row r="2912" spans="4:4" x14ac:dyDescent="0.25">
      <c r="D2912" s="7"/>
    </row>
    <row r="2913" spans="4:4" x14ac:dyDescent="0.25">
      <c r="D2913" s="7"/>
    </row>
    <row r="2914" spans="4:4" x14ac:dyDescent="0.25">
      <c r="D2914" s="7"/>
    </row>
    <row r="2915" spans="4:4" x14ac:dyDescent="0.25">
      <c r="D2915" s="7"/>
    </row>
    <row r="2916" spans="4:4" x14ac:dyDescent="0.25">
      <c r="D2916" s="7"/>
    </row>
    <row r="2917" spans="4:4" x14ac:dyDescent="0.25">
      <c r="D2917" s="7"/>
    </row>
    <row r="2918" spans="4:4" x14ac:dyDescent="0.25">
      <c r="D2918" s="7"/>
    </row>
    <row r="2919" spans="4:4" x14ac:dyDescent="0.25">
      <c r="D2919" s="7"/>
    </row>
    <row r="2920" spans="4:4" x14ac:dyDescent="0.25">
      <c r="D2920" s="7"/>
    </row>
    <row r="2921" spans="4:4" x14ac:dyDescent="0.25">
      <c r="D2921" s="7"/>
    </row>
    <row r="2922" spans="4:4" x14ac:dyDescent="0.25">
      <c r="D2922" s="7"/>
    </row>
    <row r="2923" spans="4:4" x14ac:dyDescent="0.25">
      <c r="D2923" s="7"/>
    </row>
    <row r="2924" spans="4:4" x14ac:dyDescent="0.25">
      <c r="D2924" s="7"/>
    </row>
    <row r="2925" spans="4:4" x14ac:dyDescent="0.25">
      <c r="D2925" s="7"/>
    </row>
    <row r="2926" spans="4:4" x14ac:dyDescent="0.25">
      <c r="D2926" s="7"/>
    </row>
    <row r="2927" spans="4:4" x14ac:dyDescent="0.25">
      <c r="D2927" s="7"/>
    </row>
    <row r="2928" spans="4:4" x14ac:dyDescent="0.25">
      <c r="D2928" s="7"/>
    </row>
    <row r="2929" spans="4:4" x14ac:dyDescent="0.25">
      <c r="D2929" s="7"/>
    </row>
    <row r="2930" spans="4:4" x14ac:dyDescent="0.25">
      <c r="D2930" s="7"/>
    </row>
    <row r="2931" spans="4:4" x14ac:dyDescent="0.25">
      <c r="D2931" s="7"/>
    </row>
    <row r="2932" spans="4:4" x14ac:dyDescent="0.25">
      <c r="D2932" s="7"/>
    </row>
    <row r="2933" spans="4:4" x14ac:dyDescent="0.25">
      <c r="D2933" s="7"/>
    </row>
    <row r="2934" spans="4:4" x14ac:dyDescent="0.25">
      <c r="D2934" s="7"/>
    </row>
    <row r="2935" spans="4:4" x14ac:dyDescent="0.25">
      <c r="D2935" s="7"/>
    </row>
    <row r="2936" spans="4:4" x14ac:dyDescent="0.25">
      <c r="D2936" s="7"/>
    </row>
    <row r="2937" spans="4:4" x14ac:dyDescent="0.25">
      <c r="D2937" s="7"/>
    </row>
    <row r="2938" spans="4:4" x14ac:dyDescent="0.25">
      <c r="D2938" s="7"/>
    </row>
    <row r="2939" spans="4:4" x14ac:dyDescent="0.25">
      <c r="D2939" s="7"/>
    </row>
    <row r="2940" spans="4:4" x14ac:dyDescent="0.25">
      <c r="D2940" s="7"/>
    </row>
    <row r="2941" spans="4:4" x14ac:dyDescent="0.25">
      <c r="D2941" s="7"/>
    </row>
    <row r="2942" spans="4:4" x14ac:dyDescent="0.25">
      <c r="D2942" s="7"/>
    </row>
    <row r="2943" spans="4:4" x14ac:dyDescent="0.25">
      <c r="D2943" s="7"/>
    </row>
    <row r="2944" spans="4:4" x14ac:dyDescent="0.25">
      <c r="D2944" s="7"/>
    </row>
    <row r="2945" spans="4:4" x14ac:dyDescent="0.25">
      <c r="D2945" s="7"/>
    </row>
    <row r="2946" spans="4:4" x14ac:dyDescent="0.25">
      <c r="D2946" s="7"/>
    </row>
    <row r="2947" spans="4:4" x14ac:dyDescent="0.25">
      <c r="D2947" s="7"/>
    </row>
    <row r="2948" spans="4:4" x14ac:dyDescent="0.25">
      <c r="D2948" s="7"/>
    </row>
    <row r="2949" spans="4:4" x14ac:dyDescent="0.25">
      <c r="D2949" s="7"/>
    </row>
    <row r="2950" spans="4:4" x14ac:dyDescent="0.25">
      <c r="D2950" s="7"/>
    </row>
    <row r="2951" spans="4:4" x14ac:dyDescent="0.25">
      <c r="D2951" s="7"/>
    </row>
    <row r="2952" spans="4:4" x14ac:dyDescent="0.25">
      <c r="D2952" s="7"/>
    </row>
    <row r="2953" spans="4:4" x14ac:dyDescent="0.25">
      <c r="D2953" s="7"/>
    </row>
    <row r="2954" spans="4:4" x14ac:dyDescent="0.25">
      <c r="D2954" s="7"/>
    </row>
    <row r="2955" spans="4:4" x14ac:dyDescent="0.25">
      <c r="D2955" s="7"/>
    </row>
    <row r="2956" spans="4:4" x14ac:dyDescent="0.25">
      <c r="D2956" s="7"/>
    </row>
    <row r="2957" spans="4:4" x14ac:dyDescent="0.25">
      <c r="D2957" s="7"/>
    </row>
    <row r="2958" spans="4:4" x14ac:dyDescent="0.25">
      <c r="D2958" s="7"/>
    </row>
    <row r="2959" spans="4:4" x14ac:dyDescent="0.25">
      <c r="D2959" s="7"/>
    </row>
    <row r="2960" spans="4:4" x14ac:dyDescent="0.25">
      <c r="D2960" s="7"/>
    </row>
    <row r="2961" spans="4:4" x14ac:dyDescent="0.25">
      <c r="D2961" s="7"/>
    </row>
    <row r="2962" spans="4:4" x14ac:dyDescent="0.25">
      <c r="D2962" s="7"/>
    </row>
    <row r="2963" spans="4:4" x14ac:dyDescent="0.25">
      <c r="D2963" s="7"/>
    </row>
    <row r="2964" spans="4:4" x14ac:dyDescent="0.25">
      <c r="D2964" s="7"/>
    </row>
    <row r="2965" spans="4:4" x14ac:dyDescent="0.25">
      <c r="D2965" s="7"/>
    </row>
    <row r="2966" spans="4:4" x14ac:dyDescent="0.25">
      <c r="D2966" s="7"/>
    </row>
    <row r="2967" spans="4:4" x14ac:dyDescent="0.25">
      <c r="D2967" s="7"/>
    </row>
    <row r="2968" spans="4:4" x14ac:dyDescent="0.25">
      <c r="D2968" s="7"/>
    </row>
    <row r="2969" spans="4:4" x14ac:dyDescent="0.25">
      <c r="D2969" s="7"/>
    </row>
    <row r="2970" spans="4:4" x14ac:dyDescent="0.25">
      <c r="D2970" s="7"/>
    </row>
    <row r="2971" spans="4:4" x14ac:dyDescent="0.25">
      <c r="D2971" s="7"/>
    </row>
    <row r="2972" spans="4:4" x14ac:dyDescent="0.25">
      <c r="D2972" s="7"/>
    </row>
    <row r="2973" spans="4:4" x14ac:dyDescent="0.25">
      <c r="D2973" s="7"/>
    </row>
    <row r="2974" spans="4:4" x14ac:dyDescent="0.25">
      <c r="D2974" s="7"/>
    </row>
    <row r="2975" spans="4:4" x14ac:dyDescent="0.25">
      <c r="D2975" s="7"/>
    </row>
    <row r="2976" spans="4:4" x14ac:dyDescent="0.25">
      <c r="D2976" s="7"/>
    </row>
    <row r="2977" spans="4:4" x14ac:dyDescent="0.25">
      <c r="D2977" s="7"/>
    </row>
    <row r="2978" spans="4:4" x14ac:dyDescent="0.25">
      <c r="D2978" s="7"/>
    </row>
    <row r="2979" spans="4:4" x14ac:dyDescent="0.25">
      <c r="D2979" s="7"/>
    </row>
    <row r="2980" spans="4:4" x14ac:dyDescent="0.25">
      <c r="D2980" s="7"/>
    </row>
    <row r="2981" spans="4:4" x14ac:dyDescent="0.25">
      <c r="D2981" s="7"/>
    </row>
    <row r="2982" spans="4:4" x14ac:dyDescent="0.25">
      <c r="D2982" s="7"/>
    </row>
    <row r="2983" spans="4:4" x14ac:dyDescent="0.25">
      <c r="D2983" s="7"/>
    </row>
    <row r="2984" spans="4:4" x14ac:dyDescent="0.25">
      <c r="D2984" s="7"/>
    </row>
    <row r="2985" spans="4:4" x14ac:dyDescent="0.25">
      <c r="D2985" s="7"/>
    </row>
    <row r="2986" spans="4:4" x14ac:dyDescent="0.25">
      <c r="D2986" s="7"/>
    </row>
    <row r="2987" spans="4:4" x14ac:dyDescent="0.25">
      <c r="D2987" s="7"/>
    </row>
    <row r="2988" spans="4:4" x14ac:dyDescent="0.25">
      <c r="D2988" s="7"/>
    </row>
    <row r="2989" spans="4:4" x14ac:dyDescent="0.25">
      <c r="D2989" s="7"/>
    </row>
    <row r="2990" spans="4:4" x14ac:dyDescent="0.25">
      <c r="D2990" s="7"/>
    </row>
    <row r="2991" spans="4:4" x14ac:dyDescent="0.25">
      <c r="D2991" s="7"/>
    </row>
    <row r="2992" spans="4:4" x14ac:dyDescent="0.25">
      <c r="D2992" s="7"/>
    </row>
    <row r="2993" spans="4:4" x14ac:dyDescent="0.25">
      <c r="D2993" s="7"/>
    </row>
    <row r="2994" spans="4:4" x14ac:dyDescent="0.25">
      <c r="D2994" s="7"/>
    </row>
    <row r="2995" spans="4:4" x14ac:dyDescent="0.25">
      <c r="D2995" s="7"/>
    </row>
    <row r="2996" spans="4:4" x14ac:dyDescent="0.25">
      <c r="D2996" s="7"/>
    </row>
    <row r="2997" spans="4:4" x14ac:dyDescent="0.25">
      <c r="D2997" s="7"/>
    </row>
    <row r="2998" spans="4:4" x14ac:dyDescent="0.25">
      <c r="D2998" s="7"/>
    </row>
    <row r="2999" spans="4:4" x14ac:dyDescent="0.25">
      <c r="D2999" s="7"/>
    </row>
    <row r="3000" spans="4:4" x14ac:dyDescent="0.25">
      <c r="D3000" s="7"/>
    </row>
    <row r="3001" spans="4:4" x14ac:dyDescent="0.25">
      <c r="D3001" s="7"/>
    </row>
    <row r="3002" spans="4:4" x14ac:dyDescent="0.25">
      <c r="D3002" s="7"/>
    </row>
    <row r="3003" spans="4:4" x14ac:dyDescent="0.25">
      <c r="D3003" s="7"/>
    </row>
    <row r="3004" spans="4:4" x14ac:dyDescent="0.25">
      <c r="D3004" s="7"/>
    </row>
    <row r="3005" spans="4:4" x14ac:dyDescent="0.25">
      <c r="D3005" s="7"/>
    </row>
    <row r="3006" spans="4:4" x14ac:dyDescent="0.25">
      <c r="D3006" s="7"/>
    </row>
    <row r="3007" spans="4:4" x14ac:dyDescent="0.25">
      <c r="D3007" s="7"/>
    </row>
    <row r="3008" spans="4:4" x14ac:dyDescent="0.25">
      <c r="D3008" s="7"/>
    </row>
    <row r="3009" spans="4:4" x14ac:dyDescent="0.25">
      <c r="D3009" s="7"/>
    </row>
    <row r="3010" spans="4:4" x14ac:dyDescent="0.25">
      <c r="D3010" s="7"/>
    </row>
    <row r="3011" spans="4:4" x14ac:dyDescent="0.25">
      <c r="D3011" s="7"/>
    </row>
    <row r="3012" spans="4:4" x14ac:dyDescent="0.25">
      <c r="D3012" s="7"/>
    </row>
    <row r="3013" spans="4:4" x14ac:dyDescent="0.25">
      <c r="D3013" s="7"/>
    </row>
    <row r="3014" spans="4:4" x14ac:dyDescent="0.25">
      <c r="D3014" s="7"/>
    </row>
    <row r="3015" spans="4:4" x14ac:dyDescent="0.25">
      <c r="D3015" s="7"/>
    </row>
    <row r="3016" spans="4:4" x14ac:dyDescent="0.25">
      <c r="D3016" s="7"/>
    </row>
    <row r="3017" spans="4:4" x14ac:dyDescent="0.25">
      <c r="D3017" s="7"/>
    </row>
    <row r="3018" spans="4:4" x14ac:dyDescent="0.25">
      <c r="D3018" s="7"/>
    </row>
    <row r="3019" spans="4:4" x14ac:dyDescent="0.25">
      <c r="D3019" s="7"/>
    </row>
    <row r="3020" spans="4:4" x14ac:dyDescent="0.25">
      <c r="D3020" s="7"/>
    </row>
    <row r="3021" spans="4:4" x14ac:dyDescent="0.25">
      <c r="D3021" s="7"/>
    </row>
    <row r="3022" spans="4:4" x14ac:dyDescent="0.25">
      <c r="D3022" s="7"/>
    </row>
    <row r="3023" spans="4:4" x14ac:dyDescent="0.25">
      <c r="D3023" s="7"/>
    </row>
    <row r="3024" spans="4:4" x14ac:dyDescent="0.25">
      <c r="D3024" s="7"/>
    </row>
    <row r="3025" spans="4:4" x14ac:dyDescent="0.25">
      <c r="D3025" s="7"/>
    </row>
    <row r="3026" spans="4:4" x14ac:dyDescent="0.25">
      <c r="D3026" s="7"/>
    </row>
    <row r="3027" spans="4:4" x14ac:dyDescent="0.25">
      <c r="D3027" s="7"/>
    </row>
    <row r="3028" spans="4:4" x14ac:dyDescent="0.25">
      <c r="D3028" s="7"/>
    </row>
    <row r="3029" spans="4:4" x14ac:dyDescent="0.25">
      <c r="D3029" s="7"/>
    </row>
    <row r="3030" spans="4:4" x14ac:dyDescent="0.25">
      <c r="D3030" s="7"/>
    </row>
    <row r="3031" spans="4:4" x14ac:dyDescent="0.25">
      <c r="D3031" s="7"/>
    </row>
    <row r="3032" spans="4:4" x14ac:dyDescent="0.25">
      <c r="D3032" s="7"/>
    </row>
    <row r="3033" spans="4:4" x14ac:dyDescent="0.25">
      <c r="D3033" s="7"/>
    </row>
    <row r="3034" spans="4:4" x14ac:dyDescent="0.25">
      <c r="D3034" s="7"/>
    </row>
    <row r="3035" spans="4:4" x14ac:dyDescent="0.25">
      <c r="D3035" s="7"/>
    </row>
    <row r="3036" spans="4:4" x14ac:dyDescent="0.25">
      <c r="D3036" s="7"/>
    </row>
    <row r="3037" spans="4:4" x14ac:dyDescent="0.25">
      <c r="D3037" s="7"/>
    </row>
    <row r="3038" spans="4:4" x14ac:dyDescent="0.25">
      <c r="D3038" s="7"/>
    </row>
    <row r="3039" spans="4:4" x14ac:dyDescent="0.25">
      <c r="D3039" s="7"/>
    </row>
    <row r="3040" spans="4:4" x14ac:dyDescent="0.25">
      <c r="D3040" s="7"/>
    </row>
    <row r="3041" spans="4:4" x14ac:dyDescent="0.25">
      <c r="D3041" s="7"/>
    </row>
    <row r="3042" spans="4:4" x14ac:dyDescent="0.25">
      <c r="D3042" s="7"/>
    </row>
    <row r="3043" spans="4:4" x14ac:dyDescent="0.25">
      <c r="D3043" s="7"/>
    </row>
    <row r="3044" spans="4:4" x14ac:dyDescent="0.25">
      <c r="D3044" s="7"/>
    </row>
    <row r="3045" spans="4:4" x14ac:dyDescent="0.25">
      <c r="D3045" s="7"/>
    </row>
    <row r="3046" spans="4:4" x14ac:dyDescent="0.25">
      <c r="D3046" s="7"/>
    </row>
    <row r="3047" spans="4:4" x14ac:dyDescent="0.25">
      <c r="D3047" s="7"/>
    </row>
    <row r="3048" spans="4:4" x14ac:dyDescent="0.25">
      <c r="D3048" s="7"/>
    </row>
    <row r="3049" spans="4:4" x14ac:dyDescent="0.25">
      <c r="D3049" s="7"/>
    </row>
    <row r="3050" spans="4:4" x14ac:dyDescent="0.25">
      <c r="D3050" s="7"/>
    </row>
    <row r="3051" spans="4:4" x14ac:dyDescent="0.25">
      <c r="D3051" s="7"/>
    </row>
    <row r="3052" spans="4:4" x14ac:dyDescent="0.25">
      <c r="D3052" s="7"/>
    </row>
    <row r="3053" spans="4:4" x14ac:dyDescent="0.25">
      <c r="D3053" s="7"/>
    </row>
    <row r="3054" spans="4:4" x14ac:dyDescent="0.25">
      <c r="D3054" s="7"/>
    </row>
    <row r="3055" spans="4:4" x14ac:dyDescent="0.25">
      <c r="D3055" s="7"/>
    </row>
    <row r="3056" spans="4:4" x14ac:dyDescent="0.25">
      <c r="D3056" s="7"/>
    </row>
    <row r="3057" spans="4:4" x14ac:dyDescent="0.25">
      <c r="D3057" s="7"/>
    </row>
    <row r="3058" spans="4:4" x14ac:dyDescent="0.25">
      <c r="D3058" s="7"/>
    </row>
    <row r="3059" spans="4:4" x14ac:dyDescent="0.25">
      <c r="D3059" s="7"/>
    </row>
    <row r="3060" spans="4:4" x14ac:dyDescent="0.25">
      <c r="D3060" s="7"/>
    </row>
    <row r="3061" spans="4:4" x14ac:dyDescent="0.25">
      <c r="D3061" s="7"/>
    </row>
    <row r="3062" spans="4:4" x14ac:dyDescent="0.25">
      <c r="D3062" s="7"/>
    </row>
    <row r="3063" spans="4:4" x14ac:dyDescent="0.25">
      <c r="D3063" s="7"/>
    </row>
    <row r="3064" spans="4:4" x14ac:dyDescent="0.25">
      <c r="D3064" s="7"/>
    </row>
    <row r="3065" spans="4:4" x14ac:dyDescent="0.25">
      <c r="D3065" s="7"/>
    </row>
    <row r="3066" spans="4:4" x14ac:dyDescent="0.25">
      <c r="D3066" s="7"/>
    </row>
    <row r="3067" spans="4:4" x14ac:dyDescent="0.25">
      <c r="D3067" s="7"/>
    </row>
    <row r="3068" spans="4:4" x14ac:dyDescent="0.25">
      <c r="D3068" s="7"/>
    </row>
    <row r="3069" spans="4:4" x14ac:dyDescent="0.25">
      <c r="D3069" s="7"/>
    </row>
    <row r="3070" spans="4:4" x14ac:dyDescent="0.25">
      <c r="D3070" s="7"/>
    </row>
    <row r="3071" spans="4:4" x14ac:dyDescent="0.25">
      <c r="D3071" s="7"/>
    </row>
    <row r="3072" spans="4:4" x14ac:dyDescent="0.25">
      <c r="D3072" s="7"/>
    </row>
    <row r="3073" spans="4:4" x14ac:dyDescent="0.25">
      <c r="D3073" s="7"/>
    </row>
    <row r="3074" spans="4:4" x14ac:dyDescent="0.25">
      <c r="D3074" s="7"/>
    </row>
    <row r="3075" spans="4:4" x14ac:dyDescent="0.25">
      <c r="D3075" s="7"/>
    </row>
    <row r="3076" spans="4:4" x14ac:dyDescent="0.25">
      <c r="D3076" s="7"/>
    </row>
    <row r="3077" spans="4:4" x14ac:dyDescent="0.25">
      <c r="D3077" s="7"/>
    </row>
    <row r="3078" spans="4:4" x14ac:dyDescent="0.25">
      <c r="D3078" s="7"/>
    </row>
    <row r="3079" spans="4:4" x14ac:dyDescent="0.25">
      <c r="D3079" s="7"/>
    </row>
    <row r="3080" spans="4:4" x14ac:dyDescent="0.25">
      <c r="D3080" s="7"/>
    </row>
    <row r="3081" spans="4:4" x14ac:dyDescent="0.25">
      <c r="D3081" s="7"/>
    </row>
    <row r="3082" spans="4:4" x14ac:dyDescent="0.25">
      <c r="D3082" s="7"/>
    </row>
    <row r="3083" spans="4:4" x14ac:dyDescent="0.25">
      <c r="D3083" s="7"/>
    </row>
    <row r="3084" spans="4:4" x14ac:dyDescent="0.25">
      <c r="D3084" s="7"/>
    </row>
    <row r="3085" spans="4:4" x14ac:dyDescent="0.25">
      <c r="D3085" s="7"/>
    </row>
    <row r="3086" spans="4:4" x14ac:dyDescent="0.25">
      <c r="D3086" s="7"/>
    </row>
    <row r="3087" spans="4:4" x14ac:dyDescent="0.25">
      <c r="D3087" s="7"/>
    </row>
    <row r="3088" spans="4:4" x14ac:dyDescent="0.25">
      <c r="D3088" s="7"/>
    </row>
    <row r="3089" spans="4:4" x14ac:dyDescent="0.25">
      <c r="D3089" s="7"/>
    </row>
    <row r="3090" spans="4:4" x14ac:dyDescent="0.25">
      <c r="D3090" s="7"/>
    </row>
    <row r="3091" spans="4:4" x14ac:dyDescent="0.25">
      <c r="D3091" s="7"/>
    </row>
    <row r="3092" spans="4:4" x14ac:dyDescent="0.25">
      <c r="D3092" s="7"/>
    </row>
    <row r="3093" spans="4:4" x14ac:dyDescent="0.25">
      <c r="D3093" s="7"/>
    </row>
    <row r="3094" spans="4:4" x14ac:dyDescent="0.25">
      <c r="D3094" s="7"/>
    </row>
    <row r="3095" spans="4:4" x14ac:dyDescent="0.25">
      <c r="D3095" s="7"/>
    </row>
    <row r="3096" spans="4:4" x14ac:dyDescent="0.25">
      <c r="D3096" s="7"/>
    </row>
    <row r="3097" spans="4:4" x14ac:dyDescent="0.25">
      <c r="D3097" s="7"/>
    </row>
    <row r="3098" spans="4:4" x14ac:dyDescent="0.25">
      <c r="D3098" s="7"/>
    </row>
    <row r="3099" spans="4:4" x14ac:dyDescent="0.25">
      <c r="D3099" s="7"/>
    </row>
    <row r="3100" spans="4:4" x14ac:dyDescent="0.25">
      <c r="D3100" s="7"/>
    </row>
    <row r="3101" spans="4:4" x14ac:dyDescent="0.25">
      <c r="D3101" s="7"/>
    </row>
    <row r="3102" spans="4:4" x14ac:dyDescent="0.25">
      <c r="D3102" s="7"/>
    </row>
    <row r="3103" spans="4:4" x14ac:dyDescent="0.25">
      <c r="D3103" s="7"/>
    </row>
    <row r="3104" spans="4:4" x14ac:dyDescent="0.25">
      <c r="D3104" s="7"/>
    </row>
    <row r="3105" spans="4:4" x14ac:dyDescent="0.25">
      <c r="D3105" s="7"/>
    </row>
    <row r="3106" spans="4:4" x14ac:dyDescent="0.25">
      <c r="D3106" s="7"/>
    </row>
    <row r="3107" spans="4:4" x14ac:dyDescent="0.25">
      <c r="D3107" s="7"/>
    </row>
    <row r="3108" spans="4:4" x14ac:dyDescent="0.25">
      <c r="D3108" s="7"/>
    </row>
    <row r="3109" spans="4:4" x14ac:dyDescent="0.25">
      <c r="D3109" s="7"/>
    </row>
    <row r="3110" spans="4:4" x14ac:dyDescent="0.25">
      <c r="D3110" s="7"/>
    </row>
    <row r="3111" spans="4:4" x14ac:dyDescent="0.25">
      <c r="D3111" s="7"/>
    </row>
    <row r="3112" spans="4:4" x14ac:dyDescent="0.25">
      <c r="D3112" s="7"/>
    </row>
    <row r="3113" spans="4:4" x14ac:dyDescent="0.25">
      <c r="D3113" s="7"/>
    </row>
    <row r="3114" spans="4:4" x14ac:dyDescent="0.25">
      <c r="D3114" s="7"/>
    </row>
    <row r="3115" spans="4:4" x14ac:dyDescent="0.25">
      <c r="D3115" s="7"/>
    </row>
    <row r="3116" spans="4:4" x14ac:dyDescent="0.25">
      <c r="D3116" s="7"/>
    </row>
    <row r="3117" spans="4:4" x14ac:dyDescent="0.25">
      <c r="D3117" s="7"/>
    </row>
    <row r="3118" spans="4:4" x14ac:dyDescent="0.25">
      <c r="D3118" s="7"/>
    </row>
    <row r="3119" spans="4:4" x14ac:dyDescent="0.25">
      <c r="D3119" s="7"/>
    </row>
    <row r="3120" spans="4:4" x14ac:dyDescent="0.25">
      <c r="D3120" s="7"/>
    </row>
    <row r="3121" spans="4:4" x14ac:dyDescent="0.25">
      <c r="D3121" s="7"/>
    </row>
    <row r="3122" spans="4:4" x14ac:dyDescent="0.25">
      <c r="D3122" s="7"/>
    </row>
    <row r="3123" spans="4:4" x14ac:dyDescent="0.25">
      <c r="D3123" s="7"/>
    </row>
    <row r="3124" spans="4:4" x14ac:dyDescent="0.25">
      <c r="D3124" s="7"/>
    </row>
    <row r="3125" spans="4:4" x14ac:dyDescent="0.25">
      <c r="D3125" s="7"/>
    </row>
    <row r="3126" spans="4:4" x14ac:dyDescent="0.25">
      <c r="D3126" s="7"/>
    </row>
    <row r="3127" spans="4:4" x14ac:dyDescent="0.25">
      <c r="D3127" s="7"/>
    </row>
    <row r="3128" spans="4:4" x14ac:dyDescent="0.25">
      <c r="D3128" s="7"/>
    </row>
    <row r="3129" spans="4:4" x14ac:dyDescent="0.25">
      <c r="D3129" s="7"/>
    </row>
    <row r="3130" spans="4:4" x14ac:dyDescent="0.25">
      <c r="D3130" s="7"/>
    </row>
    <row r="3131" spans="4:4" x14ac:dyDescent="0.25">
      <c r="D3131" s="7"/>
    </row>
    <row r="3132" spans="4:4" x14ac:dyDescent="0.25">
      <c r="D3132" s="7"/>
    </row>
    <row r="3133" spans="4:4" x14ac:dyDescent="0.25">
      <c r="D3133" s="7"/>
    </row>
    <row r="3134" spans="4:4" x14ac:dyDescent="0.25">
      <c r="D3134" s="7"/>
    </row>
    <row r="3135" spans="4:4" x14ac:dyDescent="0.25">
      <c r="D3135" s="7"/>
    </row>
    <row r="3136" spans="4:4" x14ac:dyDescent="0.25">
      <c r="D3136" s="7"/>
    </row>
    <row r="3137" spans="4:4" x14ac:dyDescent="0.25">
      <c r="D3137" s="7"/>
    </row>
    <row r="3138" spans="4:4" x14ac:dyDescent="0.25">
      <c r="D3138" s="7"/>
    </row>
    <row r="3139" spans="4:4" x14ac:dyDescent="0.25">
      <c r="D3139" s="7"/>
    </row>
    <row r="3140" spans="4:4" x14ac:dyDescent="0.25">
      <c r="D3140" s="7"/>
    </row>
    <row r="3141" spans="4:4" x14ac:dyDescent="0.25">
      <c r="D3141" s="7"/>
    </row>
    <row r="3142" spans="4:4" x14ac:dyDescent="0.25">
      <c r="D3142" s="7"/>
    </row>
    <row r="3143" spans="4:4" x14ac:dyDescent="0.25">
      <c r="D3143" s="7"/>
    </row>
    <row r="3144" spans="4:4" x14ac:dyDescent="0.25">
      <c r="D3144" s="7"/>
    </row>
    <row r="3145" spans="4:4" x14ac:dyDescent="0.25">
      <c r="D3145" s="7"/>
    </row>
    <row r="3146" spans="4:4" x14ac:dyDescent="0.25">
      <c r="D3146" s="7"/>
    </row>
    <row r="3147" spans="4:4" x14ac:dyDescent="0.25">
      <c r="D3147" s="7"/>
    </row>
    <row r="3148" spans="4:4" x14ac:dyDescent="0.25">
      <c r="D3148" s="7"/>
    </row>
    <row r="3149" spans="4:4" x14ac:dyDescent="0.25">
      <c r="D3149" s="7"/>
    </row>
    <row r="3150" spans="4:4" x14ac:dyDescent="0.25">
      <c r="D3150" s="7"/>
    </row>
    <row r="3151" spans="4:4" x14ac:dyDescent="0.25">
      <c r="D3151" s="7"/>
    </row>
    <row r="3152" spans="4:4" x14ac:dyDescent="0.25">
      <c r="D3152" s="7"/>
    </row>
    <row r="3153" spans="4:4" x14ac:dyDescent="0.25">
      <c r="D3153" s="7"/>
    </row>
    <row r="3154" spans="4:4" x14ac:dyDescent="0.25">
      <c r="D3154" s="7"/>
    </row>
    <row r="3155" spans="4:4" x14ac:dyDescent="0.25">
      <c r="D3155" s="7"/>
    </row>
    <row r="3156" spans="4:4" x14ac:dyDescent="0.25">
      <c r="D3156" s="7"/>
    </row>
    <row r="3157" spans="4:4" x14ac:dyDescent="0.25">
      <c r="D3157" s="7"/>
    </row>
    <row r="3158" spans="4:4" x14ac:dyDescent="0.25">
      <c r="D3158" s="7"/>
    </row>
    <row r="3159" spans="4:4" x14ac:dyDescent="0.25">
      <c r="D3159" s="7"/>
    </row>
    <row r="3160" spans="4:4" x14ac:dyDescent="0.25">
      <c r="D3160" s="7"/>
    </row>
    <row r="3161" spans="4:4" x14ac:dyDescent="0.25">
      <c r="D3161" s="7"/>
    </row>
    <row r="3162" spans="4:4" x14ac:dyDescent="0.25">
      <c r="D3162" s="7"/>
    </row>
    <row r="3163" spans="4:4" x14ac:dyDescent="0.25">
      <c r="D3163" s="7"/>
    </row>
    <row r="3164" spans="4:4" x14ac:dyDescent="0.25">
      <c r="D3164" s="7"/>
    </row>
    <row r="3165" spans="4:4" x14ac:dyDescent="0.25">
      <c r="D3165" s="7"/>
    </row>
    <row r="3166" spans="4:4" x14ac:dyDescent="0.25">
      <c r="D3166" s="7"/>
    </row>
    <row r="3167" spans="4:4" x14ac:dyDescent="0.25">
      <c r="D3167" s="7"/>
    </row>
    <row r="3168" spans="4:4" x14ac:dyDescent="0.25">
      <c r="D3168" s="7"/>
    </row>
    <row r="3169" spans="4:4" x14ac:dyDescent="0.25">
      <c r="D3169" s="7"/>
    </row>
    <row r="3170" spans="4:4" x14ac:dyDescent="0.25">
      <c r="D3170" s="7"/>
    </row>
    <row r="3171" spans="4:4" x14ac:dyDescent="0.25">
      <c r="D3171" s="7"/>
    </row>
    <row r="3172" spans="4:4" x14ac:dyDescent="0.25">
      <c r="D3172" s="7"/>
    </row>
    <row r="3173" spans="4:4" x14ac:dyDescent="0.25">
      <c r="D3173" s="7"/>
    </row>
    <row r="3174" spans="4:4" x14ac:dyDescent="0.25">
      <c r="D3174" s="7"/>
    </row>
    <row r="3175" spans="4:4" x14ac:dyDescent="0.25">
      <c r="D3175" s="7"/>
    </row>
    <row r="3176" spans="4:4" x14ac:dyDescent="0.25">
      <c r="D3176" s="7"/>
    </row>
    <row r="3177" spans="4:4" x14ac:dyDescent="0.25">
      <c r="D3177" s="7"/>
    </row>
    <row r="3178" spans="4:4" x14ac:dyDescent="0.25">
      <c r="D3178" s="7"/>
    </row>
    <row r="3179" spans="4:4" x14ac:dyDescent="0.25">
      <c r="D3179" s="7"/>
    </row>
    <row r="3180" spans="4:4" x14ac:dyDescent="0.25">
      <c r="D3180" s="7"/>
    </row>
    <row r="3181" spans="4:4" x14ac:dyDescent="0.25">
      <c r="D3181" s="7"/>
    </row>
    <row r="3182" spans="4:4" x14ac:dyDescent="0.25">
      <c r="D3182" s="7"/>
    </row>
    <row r="3183" spans="4:4" x14ac:dyDescent="0.25">
      <c r="D3183" s="7"/>
    </row>
    <row r="3184" spans="4:4" x14ac:dyDescent="0.25">
      <c r="D3184" s="7"/>
    </row>
    <row r="3185" spans="4:4" x14ac:dyDescent="0.25">
      <c r="D3185" s="7"/>
    </row>
    <row r="3186" spans="4:4" x14ac:dyDescent="0.25">
      <c r="D3186" s="7"/>
    </row>
    <row r="3187" spans="4:4" x14ac:dyDescent="0.25">
      <c r="D3187" s="7"/>
    </row>
    <row r="3188" spans="4:4" x14ac:dyDescent="0.25">
      <c r="D3188" s="7"/>
    </row>
    <row r="3189" spans="4:4" x14ac:dyDescent="0.25">
      <c r="D3189" s="7"/>
    </row>
    <row r="3190" spans="4:4" x14ac:dyDescent="0.25">
      <c r="D3190" s="7"/>
    </row>
    <row r="3191" spans="4:4" x14ac:dyDescent="0.25">
      <c r="D3191" s="7"/>
    </row>
    <row r="3192" spans="4:4" x14ac:dyDescent="0.25">
      <c r="D3192" s="7"/>
    </row>
    <row r="3193" spans="4:4" x14ac:dyDescent="0.25">
      <c r="D3193" s="7"/>
    </row>
    <row r="3194" spans="4:4" x14ac:dyDescent="0.25">
      <c r="D3194" s="7"/>
    </row>
    <row r="3195" spans="4:4" x14ac:dyDescent="0.25">
      <c r="D3195" s="7"/>
    </row>
    <row r="3196" spans="4:4" x14ac:dyDescent="0.25">
      <c r="D3196" s="7"/>
    </row>
    <row r="3197" spans="4:4" x14ac:dyDescent="0.25">
      <c r="D3197" s="7"/>
    </row>
    <row r="3198" spans="4:4" x14ac:dyDescent="0.25">
      <c r="D3198" s="7"/>
    </row>
    <row r="3199" spans="4:4" x14ac:dyDescent="0.25">
      <c r="D3199" s="7"/>
    </row>
    <row r="3200" spans="4:4" x14ac:dyDescent="0.25">
      <c r="D3200" s="7"/>
    </row>
    <row r="3201" spans="4:4" x14ac:dyDescent="0.25">
      <c r="D3201" s="7"/>
    </row>
    <row r="3202" spans="4:4" x14ac:dyDescent="0.25">
      <c r="D3202" s="7"/>
    </row>
    <row r="3203" spans="4:4" x14ac:dyDescent="0.25">
      <c r="D3203" s="7"/>
    </row>
    <row r="3204" spans="4:4" x14ac:dyDescent="0.25">
      <c r="D3204" s="7"/>
    </row>
    <row r="3205" spans="4:4" x14ac:dyDescent="0.25">
      <c r="D3205" s="7"/>
    </row>
    <row r="3206" spans="4:4" x14ac:dyDescent="0.25">
      <c r="D3206" s="7"/>
    </row>
    <row r="3207" spans="4:4" x14ac:dyDescent="0.25">
      <c r="D3207" s="7"/>
    </row>
    <row r="3208" spans="4:4" x14ac:dyDescent="0.25">
      <c r="D3208" s="7"/>
    </row>
    <row r="3209" spans="4:4" x14ac:dyDescent="0.25">
      <c r="D3209" s="7"/>
    </row>
    <row r="3210" spans="4:4" x14ac:dyDescent="0.25">
      <c r="D3210" s="7"/>
    </row>
    <row r="3211" spans="4:4" x14ac:dyDescent="0.25">
      <c r="D3211" s="7"/>
    </row>
    <row r="3212" spans="4:4" x14ac:dyDescent="0.25">
      <c r="D3212" s="7"/>
    </row>
    <row r="3213" spans="4:4" x14ac:dyDescent="0.25">
      <c r="D3213" s="7"/>
    </row>
    <row r="3214" spans="4:4" x14ac:dyDescent="0.25">
      <c r="D3214" s="7"/>
    </row>
    <row r="3215" spans="4:4" x14ac:dyDescent="0.25">
      <c r="D3215" s="7"/>
    </row>
    <row r="3216" spans="4:4" x14ac:dyDescent="0.25">
      <c r="D3216" s="7"/>
    </row>
    <row r="3217" spans="4:4" x14ac:dyDescent="0.25">
      <c r="D3217" s="7"/>
    </row>
    <row r="3218" spans="4:4" x14ac:dyDescent="0.25">
      <c r="D3218" s="7"/>
    </row>
    <row r="3219" spans="4:4" x14ac:dyDescent="0.25">
      <c r="D3219" s="7"/>
    </row>
    <row r="3220" spans="4:4" x14ac:dyDescent="0.25">
      <c r="D3220" s="7"/>
    </row>
    <row r="3221" spans="4:4" x14ac:dyDescent="0.25">
      <c r="D3221" s="7"/>
    </row>
    <row r="3222" spans="4:4" x14ac:dyDescent="0.25">
      <c r="D3222" s="7"/>
    </row>
    <row r="3223" spans="4:4" x14ac:dyDescent="0.25">
      <c r="D3223" s="7"/>
    </row>
    <row r="3224" spans="4:4" x14ac:dyDescent="0.25">
      <c r="D3224" s="7"/>
    </row>
    <row r="3225" spans="4:4" x14ac:dyDescent="0.25">
      <c r="D3225" s="7"/>
    </row>
    <row r="3226" spans="4:4" x14ac:dyDescent="0.25">
      <c r="D3226" s="7"/>
    </row>
    <row r="3227" spans="4:4" x14ac:dyDescent="0.25">
      <c r="D3227" s="7"/>
    </row>
    <row r="3228" spans="4:4" x14ac:dyDescent="0.25">
      <c r="D3228" s="7"/>
    </row>
    <row r="3229" spans="4:4" x14ac:dyDescent="0.25">
      <c r="D3229" s="7"/>
    </row>
    <row r="3230" spans="4:4" x14ac:dyDescent="0.25">
      <c r="D3230" s="7"/>
    </row>
    <row r="3231" spans="4:4" x14ac:dyDescent="0.25">
      <c r="D3231" s="7"/>
    </row>
    <row r="3232" spans="4:4" x14ac:dyDescent="0.25">
      <c r="D3232" s="7"/>
    </row>
    <row r="3233" spans="4:4" x14ac:dyDescent="0.25">
      <c r="D3233" s="7"/>
    </row>
    <row r="3234" spans="4:4" x14ac:dyDescent="0.25">
      <c r="D3234" s="7"/>
    </row>
    <row r="3235" spans="4:4" x14ac:dyDescent="0.25">
      <c r="D3235" s="7"/>
    </row>
    <row r="3236" spans="4:4" x14ac:dyDescent="0.25">
      <c r="D3236" s="7"/>
    </row>
    <row r="3237" spans="4:4" x14ac:dyDescent="0.25">
      <c r="D3237" s="7"/>
    </row>
    <row r="3238" spans="4:4" x14ac:dyDescent="0.25">
      <c r="D3238" s="7"/>
    </row>
    <row r="3239" spans="4:4" x14ac:dyDescent="0.25">
      <c r="D3239" s="7"/>
    </row>
    <row r="3240" spans="4:4" x14ac:dyDescent="0.25">
      <c r="D3240" s="7"/>
    </row>
    <row r="3241" spans="4:4" x14ac:dyDescent="0.25">
      <c r="D3241" s="7"/>
    </row>
    <row r="3242" spans="4:4" x14ac:dyDescent="0.25">
      <c r="D3242" s="7"/>
    </row>
    <row r="3243" spans="4:4" x14ac:dyDescent="0.25">
      <c r="D3243" s="7"/>
    </row>
    <row r="3244" spans="4:4" x14ac:dyDescent="0.25">
      <c r="D3244" s="7"/>
    </row>
    <row r="3245" spans="4:4" x14ac:dyDescent="0.25">
      <c r="D3245" s="7"/>
    </row>
    <row r="3246" spans="4:4" x14ac:dyDescent="0.25">
      <c r="D3246" s="7"/>
    </row>
    <row r="3247" spans="4:4" x14ac:dyDescent="0.25">
      <c r="D3247" s="7"/>
    </row>
    <row r="3248" spans="4:4" x14ac:dyDescent="0.25">
      <c r="D3248" s="7"/>
    </row>
    <row r="3249" spans="4:4" x14ac:dyDescent="0.25">
      <c r="D3249" s="7"/>
    </row>
    <row r="3250" spans="4:4" x14ac:dyDescent="0.25">
      <c r="D3250" s="7"/>
    </row>
    <row r="3251" spans="4:4" x14ac:dyDescent="0.25">
      <c r="D3251" s="7"/>
    </row>
    <row r="3252" spans="4:4" x14ac:dyDescent="0.25">
      <c r="D3252" s="7"/>
    </row>
    <row r="3253" spans="4:4" x14ac:dyDescent="0.25">
      <c r="D3253" s="7"/>
    </row>
    <row r="3254" spans="4:4" x14ac:dyDescent="0.25">
      <c r="D3254" s="7"/>
    </row>
    <row r="3255" spans="4:4" x14ac:dyDescent="0.25">
      <c r="D3255" s="7"/>
    </row>
    <row r="3256" spans="4:4" x14ac:dyDescent="0.25">
      <c r="D3256" s="7"/>
    </row>
    <row r="3257" spans="4:4" x14ac:dyDescent="0.25">
      <c r="D3257" s="7"/>
    </row>
    <row r="3258" spans="4:4" x14ac:dyDescent="0.25">
      <c r="D3258" s="7"/>
    </row>
    <row r="3259" spans="4:4" x14ac:dyDescent="0.25">
      <c r="D3259" s="7"/>
    </row>
    <row r="3260" spans="4:4" x14ac:dyDescent="0.25">
      <c r="D3260" s="7"/>
    </row>
    <row r="3261" spans="4:4" x14ac:dyDescent="0.25">
      <c r="D3261" s="7"/>
    </row>
    <row r="3262" spans="4:4" x14ac:dyDescent="0.25">
      <c r="D3262" s="7"/>
    </row>
    <row r="3263" spans="4:4" x14ac:dyDescent="0.25">
      <c r="D3263" s="7"/>
    </row>
    <row r="3264" spans="4:4" x14ac:dyDescent="0.25">
      <c r="D3264" s="7"/>
    </row>
    <row r="3265" spans="4:4" x14ac:dyDescent="0.25">
      <c r="D3265" s="7"/>
    </row>
    <row r="3266" spans="4:4" x14ac:dyDescent="0.25">
      <c r="D3266" s="7"/>
    </row>
    <row r="3267" spans="4:4" x14ac:dyDescent="0.25">
      <c r="D3267" s="7"/>
    </row>
    <row r="3268" spans="4:4" x14ac:dyDescent="0.25">
      <c r="D3268" s="7"/>
    </row>
    <row r="3269" spans="4:4" x14ac:dyDescent="0.25">
      <c r="D3269" s="7"/>
    </row>
    <row r="3270" spans="4:4" x14ac:dyDescent="0.25">
      <c r="D3270" s="7"/>
    </row>
    <row r="3271" spans="4:4" x14ac:dyDescent="0.25">
      <c r="D3271" s="7"/>
    </row>
    <row r="3272" spans="4:4" x14ac:dyDescent="0.25">
      <c r="D3272" s="7"/>
    </row>
    <row r="3273" spans="4:4" x14ac:dyDescent="0.25">
      <c r="D3273" s="7"/>
    </row>
    <row r="3274" spans="4:4" x14ac:dyDescent="0.25">
      <c r="D3274" s="7"/>
    </row>
    <row r="3275" spans="4:4" x14ac:dyDescent="0.25">
      <c r="D3275" s="7"/>
    </row>
    <row r="3276" spans="4:4" x14ac:dyDescent="0.25">
      <c r="D3276" s="7"/>
    </row>
    <row r="3277" spans="4:4" x14ac:dyDescent="0.25">
      <c r="D3277" s="7"/>
    </row>
    <row r="3278" spans="4:4" x14ac:dyDescent="0.25">
      <c r="D3278" s="7"/>
    </row>
    <row r="3279" spans="4:4" x14ac:dyDescent="0.25">
      <c r="D3279" s="7"/>
    </row>
    <row r="3280" spans="4:4" x14ac:dyDescent="0.25">
      <c r="D3280" s="7"/>
    </row>
    <row r="3281" spans="4:4" x14ac:dyDescent="0.25">
      <c r="D3281" s="7"/>
    </row>
    <row r="3282" spans="4:4" x14ac:dyDescent="0.25">
      <c r="D3282" s="7"/>
    </row>
    <row r="3283" spans="4:4" x14ac:dyDescent="0.25">
      <c r="D3283" s="7"/>
    </row>
    <row r="3284" spans="4:4" x14ac:dyDescent="0.25">
      <c r="D3284" s="7"/>
    </row>
    <row r="3285" spans="4:4" x14ac:dyDescent="0.25">
      <c r="D3285" s="7"/>
    </row>
    <row r="3286" spans="4:4" x14ac:dyDescent="0.25">
      <c r="D3286" s="7"/>
    </row>
    <row r="3287" spans="4:4" x14ac:dyDescent="0.25">
      <c r="D3287" s="7"/>
    </row>
    <row r="3288" spans="4:4" x14ac:dyDescent="0.25">
      <c r="D3288" s="7"/>
    </row>
    <row r="3289" spans="4:4" x14ac:dyDescent="0.25">
      <c r="D3289" s="7"/>
    </row>
    <row r="3290" spans="4:4" x14ac:dyDescent="0.25">
      <c r="D3290" s="7"/>
    </row>
    <row r="3291" spans="4:4" x14ac:dyDescent="0.25">
      <c r="D3291" s="7"/>
    </row>
    <row r="3292" spans="4:4" x14ac:dyDescent="0.25">
      <c r="D3292" s="7"/>
    </row>
    <row r="3293" spans="4:4" x14ac:dyDescent="0.25">
      <c r="D3293" s="7"/>
    </row>
    <row r="3294" spans="4:4" x14ac:dyDescent="0.25">
      <c r="D3294" s="7"/>
    </row>
    <row r="3295" spans="4:4" x14ac:dyDescent="0.25">
      <c r="D3295" s="7"/>
    </row>
    <row r="3296" spans="4:4" x14ac:dyDescent="0.25">
      <c r="D3296" s="7"/>
    </row>
    <row r="3297" spans="4:4" x14ac:dyDescent="0.25">
      <c r="D3297" s="7"/>
    </row>
    <row r="3298" spans="4:4" x14ac:dyDescent="0.25">
      <c r="D3298" s="7"/>
    </row>
    <row r="3299" spans="4:4" x14ac:dyDescent="0.25">
      <c r="D3299" s="7"/>
    </row>
    <row r="3300" spans="4:4" x14ac:dyDescent="0.25">
      <c r="D3300" s="7"/>
    </row>
    <row r="3301" spans="4:4" x14ac:dyDescent="0.25">
      <c r="D3301" s="7"/>
    </row>
    <row r="3302" spans="4:4" x14ac:dyDescent="0.25">
      <c r="D3302" s="7"/>
    </row>
    <row r="3303" spans="4:4" x14ac:dyDescent="0.25">
      <c r="D3303" s="7"/>
    </row>
    <row r="3304" spans="4:4" x14ac:dyDescent="0.25">
      <c r="D3304" s="7"/>
    </row>
    <row r="3305" spans="4:4" x14ac:dyDescent="0.25">
      <c r="D3305" s="7"/>
    </row>
    <row r="3306" spans="4:4" x14ac:dyDescent="0.25">
      <c r="D3306" s="7"/>
    </row>
    <row r="3307" spans="4:4" x14ac:dyDescent="0.25">
      <c r="D3307" s="7"/>
    </row>
    <row r="3308" spans="4:4" x14ac:dyDescent="0.25">
      <c r="D3308" s="7"/>
    </row>
    <row r="3309" spans="4:4" x14ac:dyDescent="0.25">
      <c r="D3309" s="7"/>
    </row>
    <row r="3310" spans="4:4" x14ac:dyDescent="0.25">
      <c r="D3310" s="7"/>
    </row>
    <row r="3311" spans="4:4" x14ac:dyDescent="0.25">
      <c r="D3311" s="7"/>
    </row>
    <row r="3312" spans="4:4" x14ac:dyDescent="0.25">
      <c r="D3312" s="7"/>
    </row>
    <row r="3313" spans="4:4" x14ac:dyDescent="0.25">
      <c r="D3313" s="7"/>
    </row>
    <row r="3314" spans="4:4" x14ac:dyDescent="0.25">
      <c r="D3314" s="7"/>
    </row>
    <row r="3315" spans="4:4" x14ac:dyDescent="0.25">
      <c r="D3315" s="7"/>
    </row>
    <row r="3316" spans="4:4" x14ac:dyDescent="0.25">
      <c r="D3316" s="7"/>
    </row>
    <row r="3317" spans="4:4" x14ac:dyDescent="0.25">
      <c r="D3317" s="7"/>
    </row>
    <row r="3318" spans="4:4" x14ac:dyDescent="0.25">
      <c r="D3318" s="7"/>
    </row>
    <row r="3319" spans="4:4" x14ac:dyDescent="0.25">
      <c r="D3319" s="7"/>
    </row>
    <row r="3320" spans="4:4" x14ac:dyDescent="0.25">
      <c r="D3320" s="7"/>
    </row>
    <row r="3321" spans="4:4" x14ac:dyDescent="0.25">
      <c r="D3321" s="7"/>
    </row>
    <row r="3322" spans="4:4" x14ac:dyDescent="0.25">
      <c r="D3322" s="7"/>
    </row>
    <row r="3323" spans="4:4" x14ac:dyDescent="0.25">
      <c r="D3323" s="7"/>
    </row>
    <row r="3324" spans="4:4" x14ac:dyDescent="0.25">
      <c r="D3324" s="7"/>
    </row>
    <row r="3325" spans="4:4" x14ac:dyDescent="0.25">
      <c r="D3325" s="7"/>
    </row>
    <row r="3326" spans="4:4" x14ac:dyDescent="0.25">
      <c r="D3326" s="7"/>
    </row>
    <row r="3327" spans="4:4" x14ac:dyDescent="0.25">
      <c r="D3327" s="7"/>
    </row>
    <row r="3328" spans="4:4" x14ac:dyDescent="0.25">
      <c r="D3328" s="7"/>
    </row>
    <row r="3329" spans="4:4" x14ac:dyDescent="0.25">
      <c r="D3329" s="7"/>
    </row>
    <row r="3330" spans="4:4" x14ac:dyDescent="0.25">
      <c r="D3330" s="7"/>
    </row>
    <row r="3331" spans="4:4" x14ac:dyDescent="0.25">
      <c r="D3331" s="7"/>
    </row>
    <row r="3332" spans="4:4" x14ac:dyDescent="0.25">
      <c r="D3332" s="7"/>
    </row>
    <row r="3333" spans="4:4" x14ac:dyDescent="0.25">
      <c r="D3333" s="7"/>
    </row>
    <row r="3334" spans="4:4" x14ac:dyDescent="0.25">
      <c r="D3334" s="7"/>
    </row>
    <row r="3335" spans="4:4" x14ac:dyDescent="0.25">
      <c r="D3335" s="7"/>
    </row>
    <row r="3336" spans="4:4" x14ac:dyDescent="0.25">
      <c r="D3336" s="7"/>
    </row>
    <row r="3337" spans="4:4" x14ac:dyDescent="0.25">
      <c r="D3337" s="7"/>
    </row>
    <row r="3338" spans="4:4" x14ac:dyDescent="0.25">
      <c r="D3338" s="7"/>
    </row>
    <row r="3339" spans="4:4" x14ac:dyDescent="0.25">
      <c r="D3339" s="7"/>
    </row>
    <row r="3340" spans="4:4" x14ac:dyDescent="0.25">
      <c r="D3340" s="7"/>
    </row>
    <row r="3341" spans="4:4" x14ac:dyDescent="0.25">
      <c r="D3341" s="7"/>
    </row>
    <row r="3342" spans="4:4" x14ac:dyDescent="0.25">
      <c r="D3342" s="7"/>
    </row>
    <row r="3343" spans="4:4" x14ac:dyDescent="0.25">
      <c r="D3343" s="7"/>
    </row>
    <row r="3344" spans="4:4" x14ac:dyDescent="0.25">
      <c r="D3344" s="7"/>
    </row>
    <row r="3345" spans="4:4" x14ac:dyDescent="0.25">
      <c r="D3345" s="7"/>
    </row>
    <row r="3346" spans="4:4" x14ac:dyDescent="0.25">
      <c r="D3346" s="7"/>
    </row>
    <row r="3347" spans="4:4" x14ac:dyDescent="0.25">
      <c r="D3347" s="7"/>
    </row>
    <row r="3348" spans="4:4" x14ac:dyDescent="0.25">
      <c r="D3348" s="7"/>
    </row>
    <row r="3349" spans="4:4" x14ac:dyDescent="0.25">
      <c r="D3349" s="7"/>
    </row>
    <row r="3350" spans="4:4" x14ac:dyDescent="0.25">
      <c r="D3350" s="7"/>
    </row>
    <row r="3351" spans="4:4" x14ac:dyDescent="0.25">
      <c r="D3351" s="7"/>
    </row>
    <row r="3352" spans="4:4" x14ac:dyDescent="0.25">
      <c r="D3352" s="7"/>
    </row>
    <row r="3353" spans="4:4" x14ac:dyDescent="0.25">
      <c r="D3353" s="7"/>
    </row>
    <row r="3354" spans="4:4" x14ac:dyDescent="0.25">
      <c r="D3354" s="7"/>
    </row>
    <row r="3355" spans="4:4" x14ac:dyDescent="0.25">
      <c r="D3355" s="7"/>
    </row>
    <row r="3356" spans="4:4" x14ac:dyDescent="0.25">
      <c r="D3356" s="7"/>
    </row>
    <row r="3357" spans="4:4" x14ac:dyDescent="0.25">
      <c r="D3357" s="7"/>
    </row>
    <row r="3358" spans="4:4" x14ac:dyDescent="0.25">
      <c r="D3358" s="7"/>
    </row>
    <row r="3359" spans="4:4" x14ac:dyDescent="0.25">
      <c r="D3359" s="7"/>
    </row>
    <row r="3360" spans="4:4" x14ac:dyDescent="0.25">
      <c r="D3360" s="7"/>
    </row>
    <row r="3361" spans="4:4" x14ac:dyDescent="0.25">
      <c r="D3361" s="7"/>
    </row>
    <row r="3362" spans="4:4" x14ac:dyDescent="0.25">
      <c r="D3362" s="7"/>
    </row>
    <row r="3363" spans="4:4" x14ac:dyDescent="0.25">
      <c r="D3363" s="7"/>
    </row>
    <row r="3364" spans="4:4" x14ac:dyDescent="0.25">
      <c r="D3364" s="7"/>
    </row>
    <row r="3365" spans="4:4" x14ac:dyDescent="0.25">
      <c r="D3365" s="7"/>
    </row>
    <row r="3366" spans="4:4" x14ac:dyDescent="0.25">
      <c r="D3366" s="7"/>
    </row>
    <row r="3367" spans="4:4" x14ac:dyDescent="0.25">
      <c r="D3367" s="7"/>
    </row>
    <row r="3368" spans="4:4" x14ac:dyDescent="0.25">
      <c r="D3368" s="7"/>
    </row>
    <row r="3369" spans="4:4" x14ac:dyDescent="0.25">
      <c r="D3369" s="7"/>
    </row>
    <row r="3370" spans="4:4" x14ac:dyDescent="0.25">
      <c r="D3370" s="7"/>
    </row>
    <row r="3371" spans="4:4" x14ac:dyDescent="0.25">
      <c r="D3371" s="7"/>
    </row>
    <row r="3372" spans="4:4" x14ac:dyDescent="0.25">
      <c r="D3372" s="7"/>
    </row>
    <row r="3373" spans="4:4" x14ac:dyDescent="0.25">
      <c r="D3373" s="7"/>
    </row>
    <row r="3374" spans="4:4" x14ac:dyDescent="0.25">
      <c r="D3374" s="7"/>
    </row>
    <row r="3375" spans="4:4" x14ac:dyDescent="0.25">
      <c r="D3375" s="7"/>
    </row>
    <row r="3376" spans="4:4" x14ac:dyDescent="0.25">
      <c r="D3376" s="7"/>
    </row>
    <row r="3377" spans="4:4" x14ac:dyDescent="0.25">
      <c r="D3377" s="7"/>
    </row>
    <row r="3378" spans="4:4" x14ac:dyDescent="0.25">
      <c r="D3378" s="7"/>
    </row>
    <row r="3379" spans="4:4" x14ac:dyDescent="0.25">
      <c r="D3379" s="7"/>
    </row>
    <row r="3380" spans="4:4" x14ac:dyDescent="0.25">
      <c r="D3380" s="7"/>
    </row>
    <row r="3381" spans="4:4" x14ac:dyDescent="0.25">
      <c r="D3381" s="7"/>
    </row>
    <row r="3382" spans="4:4" x14ac:dyDescent="0.25">
      <c r="D3382" s="7"/>
    </row>
    <row r="3383" spans="4:4" x14ac:dyDescent="0.25">
      <c r="D3383" s="7"/>
    </row>
    <row r="3384" spans="4:4" x14ac:dyDescent="0.25">
      <c r="D3384" s="7"/>
    </row>
    <row r="3385" spans="4:4" x14ac:dyDescent="0.25">
      <c r="D3385" s="7"/>
    </row>
    <row r="3386" spans="4:4" x14ac:dyDescent="0.25">
      <c r="D3386" s="7"/>
    </row>
    <row r="3387" spans="4:4" x14ac:dyDescent="0.25">
      <c r="D3387" s="7"/>
    </row>
    <row r="3388" spans="4:4" x14ac:dyDescent="0.25">
      <c r="D3388" s="7"/>
    </row>
    <row r="3389" spans="4:4" x14ac:dyDescent="0.25">
      <c r="D3389" s="7"/>
    </row>
    <row r="3390" spans="4:4" x14ac:dyDescent="0.25">
      <c r="D3390" s="7"/>
    </row>
    <row r="3391" spans="4:4" x14ac:dyDescent="0.25">
      <c r="D3391" s="7"/>
    </row>
    <row r="3392" spans="4:4" x14ac:dyDescent="0.25">
      <c r="D3392" s="7"/>
    </row>
    <row r="3393" spans="4:4" x14ac:dyDescent="0.25">
      <c r="D3393" s="7"/>
    </row>
    <row r="3394" spans="4:4" x14ac:dyDescent="0.25">
      <c r="D3394" s="7"/>
    </row>
    <row r="3395" spans="4:4" x14ac:dyDescent="0.25">
      <c r="D3395" s="7"/>
    </row>
    <row r="3396" spans="4:4" x14ac:dyDescent="0.25">
      <c r="D3396" s="7"/>
    </row>
    <row r="3397" spans="4:4" x14ac:dyDescent="0.25">
      <c r="D3397" s="7"/>
    </row>
    <row r="3398" spans="4:4" x14ac:dyDescent="0.25">
      <c r="D3398" s="7"/>
    </row>
    <row r="3399" spans="4:4" x14ac:dyDescent="0.25">
      <c r="D3399" s="7"/>
    </row>
    <row r="3400" spans="4:4" x14ac:dyDescent="0.25">
      <c r="D3400" s="7"/>
    </row>
    <row r="3401" spans="4:4" x14ac:dyDescent="0.25">
      <c r="D3401" s="7"/>
    </row>
    <row r="3402" spans="4:4" x14ac:dyDescent="0.25">
      <c r="D3402" s="7"/>
    </row>
    <row r="3403" spans="4:4" x14ac:dyDescent="0.25">
      <c r="D3403" s="7"/>
    </row>
    <row r="3404" spans="4:4" x14ac:dyDescent="0.25">
      <c r="D3404" s="7"/>
    </row>
    <row r="3405" spans="4:4" x14ac:dyDescent="0.25">
      <c r="D3405" s="7"/>
    </row>
    <row r="3406" spans="4:4" x14ac:dyDescent="0.25">
      <c r="D3406" s="7"/>
    </row>
    <row r="3407" spans="4:4" x14ac:dyDescent="0.25">
      <c r="D3407" s="7"/>
    </row>
    <row r="3408" spans="4:4" x14ac:dyDescent="0.25">
      <c r="D3408" s="7"/>
    </row>
    <row r="3409" spans="4:4" x14ac:dyDescent="0.25">
      <c r="D3409" s="7"/>
    </row>
    <row r="3410" spans="4:4" x14ac:dyDescent="0.25">
      <c r="D3410" s="7"/>
    </row>
    <row r="3411" spans="4:4" x14ac:dyDescent="0.25">
      <c r="D3411" s="7"/>
    </row>
    <row r="3412" spans="4:4" x14ac:dyDescent="0.25">
      <c r="D3412" s="7"/>
    </row>
    <row r="3413" spans="4:4" x14ac:dyDescent="0.25">
      <c r="D3413" s="7"/>
    </row>
    <row r="3414" spans="4:4" x14ac:dyDescent="0.25">
      <c r="D3414" s="7"/>
    </row>
    <row r="3415" spans="4:4" x14ac:dyDescent="0.25">
      <c r="D3415" s="7"/>
    </row>
    <row r="3416" spans="4:4" x14ac:dyDescent="0.25">
      <c r="D3416" s="7"/>
    </row>
    <row r="3417" spans="4:4" x14ac:dyDescent="0.25">
      <c r="D3417" s="7"/>
    </row>
    <row r="3418" spans="4:4" x14ac:dyDescent="0.25">
      <c r="D3418" s="7"/>
    </row>
    <row r="3419" spans="4:4" x14ac:dyDescent="0.25">
      <c r="D3419" s="7"/>
    </row>
    <row r="3420" spans="4:4" x14ac:dyDescent="0.25">
      <c r="D3420" s="7"/>
    </row>
    <row r="3421" spans="4:4" x14ac:dyDescent="0.25">
      <c r="D3421" s="7"/>
    </row>
    <row r="3422" spans="4:4" x14ac:dyDescent="0.25">
      <c r="D3422" s="7"/>
    </row>
    <row r="3423" spans="4:4" x14ac:dyDescent="0.25">
      <c r="D3423" s="7"/>
    </row>
    <row r="3424" spans="4:4" x14ac:dyDescent="0.25">
      <c r="D3424" s="7"/>
    </row>
    <row r="3425" spans="4:4" x14ac:dyDescent="0.25">
      <c r="D3425" s="7"/>
    </row>
    <row r="3426" spans="4:4" x14ac:dyDescent="0.25">
      <c r="D3426" s="7"/>
    </row>
    <row r="3427" spans="4:4" x14ac:dyDescent="0.25">
      <c r="D3427" s="7"/>
    </row>
    <row r="3428" spans="4:4" x14ac:dyDescent="0.25">
      <c r="D3428" s="7"/>
    </row>
    <row r="3429" spans="4:4" x14ac:dyDescent="0.25">
      <c r="D3429" s="7"/>
    </row>
    <row r="3430" spans="4:4" x14ac:dyDescent="0.25">
      <c r="D3430" s="7"/>
    </row>
    <row r="3431" spans="4:4" x14ac:dyDescent="0.25">
      <c r="D3431" s="7"/>
    </row>
    <row r="3432" spans="4:4" x14ac:dyDescent="0.25">
      <c r="D3432" s="7"/>
    </row>
    <row r="3433" spans="4:4" x14ac:dyDescent="0.25">
      <c r="D3433" s="7"/>
    </row>
    <row r="3434" spans="4:4" x14ac:dyDescent="0.25">
      <c r="D3434" s="7"/>
    </row>
    <row r="3435" spans="4:4" x14ac:dyDescent="0.25">
      <c r="D3435" s="7"/>
    </row>
    <row r="3436" spans="4:4" x14ac:dyDescent="0.25">
      <c r="D3436" s="7"/>
    </row>
    <row r="3437" spans="4:4" x14ac:dyDescent="0.25">
      <c r="D3437" s="7"/>
    </row>
    <row r="3438" spans="4:4" x14ac:dyDescent="0.25">
      <c r="D3438" s="7"/>
    </row>
    <row r="3439" spans="4:4" x14ac:dyDescent="0.25">
      <c r="D3439" s="7"/>
    </row>
    <row r="3440" spans="4:4" x14ac:dyDescent="0.25">
      <c r="D3440" s="7"/>
    </row>
    <row r="3441" spans="4:4" x14ac:dyDescent="0.25">
      <c r="D3441" s="7"/>
    </row>
    <row r="3442" spans="4:4" x14ac:dyDescent="0.25">
      <c r="D3442" s="7"/>
    </row>
    <row r="3443" spans="4:4" x14ac:dyDescent="0.25">
      <c r="D3443" s="7"/>
    </row>
    <row r="3444" spans="4:4" x14ac:dyDescent="0.25">
      <c r="D3444" s="7"/>
    </row>
    <row r="3445" spans="4:4" x14ac:dyDescent="0.25">
      <c r="D3445" s="7"/>
    </row>
    <row r="3446" spans="4:4" x14ac:dyDescent="0.25">
      <c r="D3446" s="7"/>
    </row>
    <row r="3447" spans="4:4" x14ac:dyDescent="0.25">
      <c r="D3447" s="7"/>
    </row>
    <row r="3448" spans="4:4" x14ac:dyDescent="0.25">
      <c r="D3448" s="7"/>
    </row>
    <row r="3449" spans="4:4" x14ac:dyDescent="0.25">
      <c r="D3449" s="7"/>
    </row>
    <row r="3450" spans="4:4" x14ac:dyDescent="0.25">
      <c r="D3450" s="7"/>
    </row>
    <row r="3451" spans="4:4" x14ac:dyDescent="0.25">
      <c r="D3451" s="7"/>
    </row>
    <row r="3452" spans="4:4" x14ac:dyDescent="0.25">
      <c r="D3452" s="7"/>
    </row>
    <row r="3453" spans="4:4" x14ac:dyDescent="0.25">
      <c r="D3453" s="7"/>
    </row>
    <row r="3454" spans="4:4" x14ac:dyDescent="0.25">
      <c r="D3454" s="7"/>
    </row>
    <row r="3455" spans="4:4" x14ac:dyDescent="0.25">
      <c r="D3455" s="7"/>
    </row>
    <row r="3456" spans="4:4" x14ac:dyDescent="0.25">
      <c r="D3456" s="7"/>
    </row>
    <row r="3457" spans="4:4" x14ac:dyDescent="0.25">
      <c r="D3457" s="7"/>
    </row>
    <row r="3458" spans="4:4" x14ac:dyDescent="0.25">
      <c r="D3458" s="7"/>
    </row>
    <row r="3459" spans="4:4" x14ac:dyDescent="0.25">
      <c r="D3459" s="7"/>
    </row>
    <row r="3460" spans="4:4" x14ac:dyDescent="0.25">
      <c r="D3460" s="7"/>
    </row>
    <row r="3461" spans="4:4" x14ac:dyDescent="0.25">
      <c r="D3461" s="7"/>
    </row>
    <row r="3462" spans="4:4" x14ac:dyDescent="0.25">
      <c r="D3462" s="7"/>
    </row>
    <row r="3463" spans="4:4" x14ac:dyDescent="0.25">
      <c r="D3463" s="7"/>
    </row>
    <row r="3464" spans="4:4" x14ac:dyDescent="0.25">
      <c r="D3464" s="7"/>
    </row>
    <row r="3465" spans="4:4" x14ac:dyDescent="0.25">
      <c r="D3465" s="7"/>
    </row>
    <row r="3466" spans="4:4" x14ac:dyDescent="0.25">
      <c r="D3466" s="7"/>
    </row>
    <row r="3467" spans="4:4" x14ac:dyDescent="0.25">
      <c r="D3467" s="7"/>
    </row>
    <row r="3468" spans="4:4" x14ac:dyDescent="0.25">
      <c r="D3468" s="7"/>
    </row>
    <row r="3469" spans="4:4" x14ac:dyDescent="0.25">
      <c r="D3469" s="7"/>
    </row>
    <row r="3470" spans="4:4" x14ac:dyDescent="0.25">
      <c r="D3470" s="7"/>
    </row>
    <row r="3471" spans="4:4" x14ac:dyDescent="0.25">
      <c r="D3471" s="7"/>
    </row>
    <row r="3472" spans="4:4" x14ac:dyDescent="0.25">
      <c r="D3472" s="7"/>
    </row>
    <row r="3473" spans="4:4" x14ac:dyDescent="0.25">
      <c r="D3473" s="7"/>
    </row>
    <row r="3474" spans="4:4" x14ac:dyDescent="0.25">
      <c r="D3474" s="7"/>
    </row>
    <row r="3475" spans="4:4" x14ac:dyDescent="0.25">
      <c r="D3475" s="7"/>
    </row>
    <row r="3476" spans="4:4" x14ac:dyDescent="0.25">
      <c r="D3476" s="7"/>
    </row>
    <row r="3477" spans="4:4" x14ac:dyDescent="0.25">
      <c r="D3477" s="7"/>
    </row>
    <row r="3478" spans="4:4" x14ac:dyDescent="0.25">
      <c r="D3478" s="7"/>
    </row>
    <row r="3479" spans="4:4" x14ac:dyDescent="0.25">
      <c r="D3479" s="7"/>
    </row>
    <row r="3480" spans="4:4" x14ac:dyDescent="0.25">
      <c r="D3480" s="7"/>
    </row>
    <row r="3481" spans="4:4" x14ac:dyDescent="0.25">
      <c r="D3481" s="7"/>
    </row>
    <row r="3482" spans="4:4" x14ac:dyDescent="0.25">
      <c r="D3482" s="7"/>
    </row>
    <row r="3483" spans="4:4" x14ac:dyDescent="0.25">
      <c r="D3483" s="7"/>
    </row>
    <row r="3484" spans="4:4" x14ac:dyDescent="0.25">
      <c r="D3484" s="7"/>
    </row>
    <row r="3485" spans="4:4" x14ac:dyDescent="0.25">
      <c r="D3485" s="7"/>
    </row>
    <row r="3486" spans="4:4" x14ac:dyDescent="0.25">
      <c r="D3486" s="7"/>
    </row>
    <row r="3487" spans="4:4" x14ac:dyDescent="0.25">
      <c r="D3487" s="7"/>
    </row>
    <row r="3488" spans="4:4" x14ac:dyDescent="0.25">
      <c r="D3488" s="7"/>
    </row>
    <row r="3489" spans="4:4" x14ac:dyDescent="0.25">
      <c r="D3489" s="7"/>
    </row>
    <row r="3490" spans="4:4" x14ac:dyDescent="0.25">
      <c r="D3490" s="7"/>
    </row>
    <row r="3491" spans="4:4" x14ac:dyDescent="0.25">
      <c r="D3491" s="7"/>
    </row>
    <row r="3492" spans="4:4" x14ac:dyDescent="0.25">
      <c r="D3492" s="7"/>
    </row>
    <row r="3493" spans="4:4" x14ac:dyDescent="0.25">
      <c r="D3493" s="7"/>
    </row>
    <row r="3494" spans="4:4" x14ac:dyDescent="0.25">
      <c r="D3494" s="7"/>
    </row>
    <row r="3495" spans="4:4" x14ac:dyDescent="0.25">
      <c r="D3495" s="7"/>
    </row>
    <row r="3496" spans="4:4" x14ac:dyDescent="0.25">
      <c r="D3496" s="7"/>
    </row>
    <row r="3497" spans="4:4" x14ac:dyDescent="0.25">
      <c r="D3497" s="7"/>
    </row>
    <row r="3498" spans="4:4" x14ac:dyDescent="0.25">
      <c r="D3498" s="7"/>
    </row>
    <row r="3499" spans="4:4" x14ac:dyDescent="0.25">
      <c r="D3499" s="7"/>
    </row>
    <row r="3500" spans="4:4" x14ac:dyDescent="0.25">
      <c r="D3500" s="7"/>
    </row>
    <row r="3501" spans="4:4" x14ac:dyDescent="0.25">
      <c r="D3501" s="7"/>
    </row>
    <row r="3502" spans="4:4" x14ac:dyDescent="0.25">
      <c r="D3502" s="7"/>
    </row>
    <row r="3503" spans="4:4" x14ac:dyDescent="0.25">
      <c r="D3503" s="7"/>
    </row>
    <row r="3504" spans="4:4" x14ac:dyDescent="0.25">
      <c r="D3504" s="7"/>
    </row>
    <row r="3505" spans="4:4" x14ac:dyDescent="0.25">
      <c r="D3505" s="7"/>
    </row>
    <row r="3506" spans="4:4" x14ac:dyDescent="0.25">
      <c r="D3506" s="7"/>
    </row>
    <row r="3507" spans="4:4" x14ac:dyDescent="0.25">
      <c r="D3507" s="7"/>
    </row>
    <row r="3508" spans="4:4" x14ac:dyDescent="0.25">
      <c r="D3508" s="7"/>
    </row>
    <row r="3509" spans="4:4" x14ac:dyDescent="0.25">
      <c r="D3509" s="7"/>
    </row>
    <row r="3510" spans="4:4" x14ac:dyDescent="0.25">
      <c r="D3510" s="7"/>
    </row>
    <row r="3511" spans="4:4" x14ac:dyDescent="0.25">
      <c r="D3511" s="7"/>
    </row>
    <row r="3512" spans="4:4" x14ac:dyDescent="0.25">
      <c r="D3512" s="7"/>
    </row>
    <row r="3513" spans="4:4" x14ac:dyDescent="0.25">
      <c r="D3513" s="7"/>
    </row>
    <row r="3514" spans="4:4" x14ac:dyDescent="0.25">
      <c r="D3514" s="7"/>
    </row>
    <row r="3515" spans="4:4" x14ac:dyDescent="0.25">
      <c r="D3515" s="7"/>
    </row>
    <row r="3516" spans="4:4" x14ac:dyDescent="0.25">
      <c r="D3516" s="7"/>
    </row>
    <row r="3517" spans="4:4" x14ac:dyDescent="0.25">
      <c r="D3517" s="7"/>
    </row>
    <row r="3518" spans="4:4" x14ac:dyDescent="0.25">
      <c r="D3518" s="7"/>
    </row>
    <row r="3519" spans="4:4" x14ac:dyDescent="0.25">
      <c r="D3519" s="7"/>
    </row>
    <row r="3520" spans="4:4" x14ac:dyDescent="0.25">
      <c r="D3520" s="7"/>
    </row>
    <row r="3521" spans="4:4" x14ac:dyDescent="0.25">
      <c r="D3521" s="7"/>
    </row>
    <row r="3522" spans="4:4" x14ac:dyDescent="0.25">
      <c r="D3522" s="7"/>
    </row>
    <row r="3523" spans="4:4" x14ac:dyDescent="0.25">
      <c r="D3523" s="7"/>
    </row>
    <row r="3524" spans="4:4" x14ac:dyDescent="0.25">
      <c r="D3524" s="7"/>
    </row>
    <row r="3525" spans="4:4" x14ac:dyDescent="0.25">
      <c r="D3525" s="7"/>
    </row>
    <row r="3526" spans="4:4" x14ac:dyDescent="0.25">
      <c r="D3526" s="7"/>
    </row>
    <row r="3527" spans="4:4" x14ac:dyDescent="0.25">
      <c r="D3527" s="7"/>
    </row>
    <row r="3528" spans="4:4" x14ac:dyDescent="0.25">
      <c r="D3528" s="7"/>
    </row>
    <row r="3529" spans="4:4" x14ac:dyDescent="0.25">
      <c r="D3529" s="7"/>
    </row>
    <row r="3530" spans="4:4" x14ac:dyDescent="0.25">
      <c r="D3530" s="7"/>
    </row>
    <row r="3531" spans="4:4" x14ac:dyDescent="0.25">
      <c r="D3531" s="7"/>
    </row>
    <row r="3532" spans="4:4" x14ac:dyDescent="0.25">
      <c r="D3532" s="7"/>
    </row>
    <row r="3533" spans="4:4" x14ac:dyDescent="0.25">
      <c r="D3533" s="7"/>
    </row>
    <row r="3534" spans="4:4" x14ac:dyDescent="0.25">
      <c r="D3534" s="7"/>
    </row>
    <row r="3535" spans="4:4" x14ac:dyDescent="0.25">
      <c r="D3535" s="7"/>
    </row>
    <row r="3536" spans="4:4" x14ac:dyDescent="0.25">
      <c r="D3536" s="7"/>
    </row>
    <row r="3537" spans="4:4" x14ac:dyDescent="0.25">
      <c r="D3537" s="7"/>
    </row>
    <row r="3538" spans="4:4" x14ac:dyDescent="0.25">
      <c r="D3538" s="7"/>
    </row>
    <row r="3539" spans="4:4" x14ac:dyDescent="0.25">
      <c r="D3539" s="7"/>
    </row>
    <row r="3540" spans="4:4" x14ac:dyDescent="0.25">
      <c r="D3540" s="7"/>
    </row>
    <row r="3541" spans="4:4" x14ac:dyDescent="0.25">
      <c r="D3541" s="7"/>
    </row>
    <row r="3542" spans="4:4" x14ac:dyDescent="0.25">
      <c r="D3542" s="7"/>
    </row>
    <row r="3543" spans="4:4" x14ac:dyDescent="0.25">
      <c r="D3543" s="7"/>
    </row>
    <row r="3544" spans="4:4" x14ac:dyDescent="0.25">
      <c r="D3544" s="7"/>
    </row>
    <row r="3545" spans="4:4" x14ac:dyDescent="0.25">
      <c r="D3545" s="7"/>
    </row>
    <row r="3546" spans="4:4" x14ac:dyDescent="0.25">
      <c r="D3546" s="7"/>
    </row>
    <row r="3547" spans="4:4" x14ac:dyDescent="0.25">
      <c r="D3547" s="7"/>
    </row>
    <row r="3548" spans="4:4" x14ac:dyDescent="0.25">
      <c r="D3548" s="7"/>
    </row>
    <row r="3549" spans="4:4" x14ac:dyDescent="0.25">
      <c r="D3549" s="7"/>
    </row>
    <row r="3550" spans="4:4" x14ac:dyDescent="0.25">
      <c r="D3550" s="7"/>
    </row>
    <row r="3551" spans="4:4" x14ac:dyDescent="0.25">
      <c r="D3551" s="7"/>
    </row>
    <row r="3552" spans="4:4" x14ac:dyDescent="0.25">
      <c r="D3552" s="7"/>
    </row>
    <row r="3553" spans="4:4" x14ac:dyDescent="0.25">
      <c r="D3553" s="7"/>
    </row>
    <row r="3554" spans="4:4" x14ac:dyDescent="0.25">
      <c r="D3554" s="7"/>
    </row>
    <row r="3555" spans="4:4" x14ac:dyDescent="0.25">
      <c r="D3555" s="7"/>
    </row>
    <row r="3556" spans="4:4" x14ac:dyDescent="0.25">
      <c r="D3556" s="7"/>
    </row>
    <row r="3557" spans="4:4" x14ac:dyDescent="0.25">
      <c r="D3557" s="7"/>
    </row>
    <row r="3558" spans="4:4" x14ac:dyDescent="0.25">
      <c r="D3558" s="7"/>
    </row>
    <row r="3559" spans="4:4" x14ac:dyDescent="0.25">
      <c r="D3559" s="7"/>
    </row>
    <row r="3560" spans="4:4" x14ac:dyDescent="0.25">
      <c r="D3560" s="7"/>
    </row>
    <row r="3561" spans="4:4" x14ac:dyDescent="0.25">
      <c r="D3561" s="7"/>
    </row>
    <row r="3562" spans="4:4" x14ac:dyDescent="0.25">
      <c r="D3562" s="7"/>
    </row>
    <row r="3563" spans="4:4" x14ac:dyDescent="0.25">
      <c r="D3563" s="7"/>
    </row>
    <row r="3564" spans="4:4" x14ac:dyDescent="0.25">
      <c r="D3564" s="7"/>
    </row>
    <row r="3565" spans="4:4" x14ac:dyDescent="0.25">
      <c r="D3565" s="7"/>
    </row>
    <row r="3566" spans="4:4" x14ac:dyDescent="0.25">
      <c r="D3566" s="7"/>
    </row>
    <row r="3567" spans="4:4" x14ac:dyDescent="0.25">
      <c r="D3567" s="7"/>
    </row>
    <row r="3568" spans="4:4" x14ac:dyDescent="0.25">
      <c r="D3568" s="7"/>
    </row>
    <row r="3569" spans="4:4" x14ac:dyDescent="0.25">
      <c r="D3569" s="7"/>
    </row>
    <row r="3570" spans="4:4" x14ac:dyDescent="0.25">
      <c r="D3570" s="7"/>
    </row>
    <row r="3571" spans="4:4" x14ac:dyDescent="0.25">
      <c r="D3571" s="7"/>
    </row>
    <row r="3572" spans="4:4" x14ac:dyDescent="0.25">
      <c r="D3572" s="7"/>
    </row>
    <row r="3573" spans="4:4" x14ac:dyDescent="0.25">
      <c r="D3573" s="7"/>
    </row>
    <row r="3574" spans="4:4" x14ac:dyDescent="0.25">
      <c r="D3574" s="7"/>
    </row>
    <row r="3575" spans="4:4" x14ac:dyDescent="0.25">
      <c r="D3575" s="7"/>
    </row>
    <row r="3576" spans="4:4" x14ac:dyDescent="0.25">
      <c r="D3576" s="7"/>
    </row>
    <row r="3577" spans="4:4" x14ac:dyDescent="0.25">
      <c r="D3577" s="7"/>
    </row>
    <row r="3578" spans="4:4" x14ac:dyDescent="0.25">
      <c r="D3578" s="7"/>
    </row>
    <row r="3579" spans="4:4" x14ac:dyDescent="0.25">
      <c r="D3579" s="7"/>
    </row>
    <row r="3580" spans="4:4" x14ac:dyDescent="0.25">
      <c r="D3580" s="7"/>
    </row>
    <row r="3581" spans="4:4" x14ac:dyDescent="0.25">
      <c r="D3581" s="7"/>
    </row>
    <row r="3582" spans="4:4" x14ac:dyDescent="0.25">
      <c r="D3582" s="7"/>
    </row>
    <row r="3583" spans="4:4" x14ac:dyDescent="0.25">
      <c r="D3583" s="7"/>
    </row>
    <row r="3584" spans="4:4" x14ac:dyDescent="0.25">
      <c r="D3584" s="7"/>
    </row>
    <row r="3585" spans="4:4" x14ac:dyDescent="0.25">
      <c r="D3585" s="7"/>
    </row>
    <row r="3586" spans="4:4" x14ac:dyDescent="0.25">
      <c r="D3586" s="7"/>
    </row>
    <row r="3587" spans="4:4" x14ac:dyDescent="0.25">
      <c r="D3587" s="7"/>
    </row>
    <row r="3588" spans="4:4" x14ac:dyDescent="0.25">
      <c r="D3588" s="7"/>
    </row>
    <row r="3589" spans="4:4" x14ac:dyDescent="0.25">
      <c r="D3589" s="7"/>
    </row>
    <row r="3590" spans="4:4" x14ac:dyDescent="0.25">
      <c r="D3590" s="7"/>
    </row>
    <row r="3591" spans="4:4" x14ac:dyDescent="0.25">
      <c r="D3591" s="7"/>
    </row>
    <row r="3592" spans="4:4" x14ac:dyDescent="0.25">
      <c r="D3592" s="7"/>
    </row>
    <row r="3593" spans="4:4" x14ac:dyDescent="0.25">
      <c r="D3593" s="7"/>
    </row>
    <row r="3594" spans="4:4" x14ac:dyDescent="0.25">
      <c r="D3594" s="7"/>
    </row>
    <row r="3595" spans="4:4" x14ac:dyDescent="0.25">
      <c r="D3595" s="7"/>
    </row>
    <row r="3596" spans="4:4" x14ac:dyDescent="0.25">
      <c r="D3596" s="7"/>
    </row>
    <row r="3597" spans="4:4" x14ac:dyDescent="0.25">
      <c r="D3597" s="7"/>
    </row>
    <row r="3598" spans="4:4" x14ac:dyDescent="0.25">
      <c r="D3598" s="7"/>
    </row>
    <row r="3599" spans="4:4" x14ac:dyDescent="0.25">
      <c r="D3599" s="7"/>
    </row>
    <row r="3600" spans="4:4" x14ac:dyDescent="0.25">
      <c r="D3600" s="7"/>
    </row>
    <row r="3601" spans="4:4" x14ac:dyDescent="0.25">
      <c r="D3601" s="7"/>
    </row>
    <row r="3602" spans="4:4" x14ac:dyDescent="0.25">
      <c r="D3602" s="7"/>
    </row>
    <row r="3603" spans="4:4" x14ac:dyDescent="0.25">
      <c r="D3603" s="7"/>
    </row>
    <row r="3604" spans="4:4" x14ac:dyDescent="0.25">
      <c r="D3604" s="7"/>
    </row>
    <row r="3605" spans="4:4" x14ac:dyDescent="0.25">
      <c r="D3605" s="7"/>
    </row>
    <row r="3606" spans="4:4" x14ac:dyDescent="0.25">
      <c r="D3606" s="7"/>
    </row>
    <row r="3607" spans="4:4" x14ac:dyDescent="0.25">
      <c r="D3607" s="7"/>
    </row>
    <row r="3608" spans="4:4" x14ac:dyDescent="0.25">
      <c r="D3608" s="7"/>
    </row>
    <row r="3609" spans="4:4" x14ac:dyDescent="0.25">
      <c r="D3609" s="7"/>
    </row>
    <row r="3610" spans="4:4" x14ac:dyDescent="0.25">
      <c r="D3610" s="7"/>
    </row>
    <row r="3611" spans="4:4" x14ac:dyDescent="0.25">
      <c r="D3611" s="7"/>
    </row>
    <row r="3612" spans="4:4" x14ac:dyDescent="0.25">
      <c r="D3612" s="7"/>
    </row>
    <row r="3613" spans="4:4" x14ac:dyDescent="0.25">
      <c r="D3613" s="7"/>
    </row>
    <row r="3614" spans="4:4" x14ac:dyDescent="0.25">
      <c r="D3614" s="7"/>
    </row>
    <row r="3615" spans="4:4" x14ac:dyDescent="0.25">
      <c r="D3615" s="7"/>
    </row>
    <row r="3616" spans="4:4" x14ac:dyDescent="0.25">
      <c r="D3616" s="7"/>
    </row>
    <row r="3617" spans="4:4" x14ac:dyDescent="0.25">
      <c r="D3617" s="7"/>
    </row>
    <row r="3618" spans="4:4" x14ac:dyDescent="0.25">
      <c r="D3618" s="7"/>
    </row>
    <row r="3619" spans="4:4" x14ac:dyDescent="0.25">
      <c r="D3619" s="7"/>
    </row>
    <row r="3620" spans="4:4" x14ac:dyDescent="0.25">
      <c r="D3620" s="7"/>
    </row>
    <row r="3621" spans="4:4" x14ac:dyDescent="0.25">
      <c r="D3621" s="7"/>
    </row>
    <row r="3622" spans="4:4" x14ac:dyDescent="0.25">
      <c r="D3622" s="7"/>
    </row>
    <row r="3623" spans="4:4" x14ac:dyDescent="0.25">
      <c r="D3623" s="7"/>
    </row>
    <row r="3624" spans="4:4" x14ac:dyDescent="0.25">
      <c r="D3624" s="7"/>
    </row>
    <row r="3625" spans="4:4" x14ac:dyDescent="0.25">
      <c r="D3625" s="7"/>
    </row>
    <row r="3626" spans="4:4" x14ac:dyDescent="0.25">
      <c r="D3626" s="7"/>
    </row>
    <row r="3627" spans="4:4" x14ac:dyDescent="0.25">
      <c r="D3627" s="7"/>
    </row>
    <row r="3628" spans="4:4" x14ac:dyDescent="0.25">
      <c r="D3628" s="7"/>
    </row>
    <row r="3629" spans="4:4" x14ac:dyDescent="0.25">
      <c r="D3629" s="7"/>
    </row>
    <row r="3630" spans="4:4" x14ac:dyDescent="0.25">
      <c r="D3630" s="7"/>
    </row>
    <row r="3631" spans="4:4" x14ac:dyDescent="0.25">
      <c r="D3631" s="7"/>
    </row>
    <row r="3632" spans="4:4" x14ac:dyDescent="0.25">
      <c r="D3632" s="7"/>
    </row>
    <row r="3633" spans="4:4" x14ac:dyDescent="0.25">
      <c r="D3633" s="7"/>
    </row>
    <row r="3634" spans="4:4" x14ac:dyDescent="0.25">
      <c r="D3634" s="7"/>
    </row>
    <row r="3635" spans="4:4" x14ac:dyDescent="0.25">
      <c r="D3635" s="7"/>
    </row>
    <row r="3636" spans="4:4" x14ac:dyDescent="0.25">
      <c r="D3636" s="7"/>
    </row>
    <row r="3637" spans="4:4" x14ac:dyDescent="0.25">
      <c r="D3637" s="7"/>
    </row>
    <row r="3638" spans="4:4" x14ac:dyDescent="0.25">
      <c r="D3638" s="7"/>
    </row>
    <row r="3639" spans="4:4" x14ac:dyDescent="0.25">
      <c r="D3639" s="7"/>
    </row>
    <row r="3640" spans="4:4" x14ac:dyDescent="0.25">
      <c r="D3640" s="7"/>
    </row>
    <row r="3641" spans="4:4" x14ac:dyDescent="0.25">
      <c r="D3641" s="7"/>
    </row>
    <row r="3642" spans="4:4" x14ac:dyDescent="0.25">
      <c r="D3642" s="7"/>
    </row>
    <row r="3643" spans="4:4" x14ac:dyDescent="0.25">
      <c r="D3643" s="7"/>
    </row>
    <row r="3644" spans="4:4" x14ac:dyDescent="0.25">
      <c r="D3644" s="7"/>
    </row>
    <row r="3645" spans="4:4" x14ac:dyDescent="0.25">
      <c r="D3645" s="7"/>
    </row>
    <row r="3646" spans="4:4" x14ac:dyDescent="0.25">
      <c r="D3646" s="7"/>
    </row>
    <row r="3647" spans="4:4" x14ac:dyDescent="0.25">
      <c r="D3647" s="7"/>
    </row>
    <row r="3648" spans="4:4" x14ac:dyDescent="0.25">
      <c r="D3648" s="7"/>
    </row>
    <row r="3649" spans="4:4" x14ac:dyDescent="0.25">
      <c r="D3649" s="7"/>
    </row>
    <row r="3650" spans="4:4" x14ac:dyDescent="0.25">
      <c r="D3650" s="7"/>
    </row>
    <row r="3651" spans="4:4" x14ac:dyDescent="0.25">
      <c r="D3651" s="7"/>
    </row>
    <row r="3652" spans="4:4" x14ac:dyDescent="0.25">
      <c r="D3652" s="7"/>
    </row>
    <row r="3653" spans="4:4" x14ac:dyDescent="0.25">
      <c r="D3653" s="7"/>
    </row>
    <row r="3654" spans="4:4" x14ac:dyDescent="0.25">
      <c r="D3654" s="7"/>
    </row>
    <row r="3655" spans="4:4" x14ac:dyDescent="0.25">
      <c r="D3655" s="7"/>
    </row>
    <row r="3656" spans="4:4" x14ac:dyDescent="0.25">
      <c r="D3656" s="7"/>
    </row>
    <row r="3657" spans="4:4" x14ac:dyDescent="0.25">
      <c r="D3657" s="7"/>
    </row>
    <row r="3658" spans="4:4" x14ac:dyDescent="0.25">
      <c r="D3658" s="7"/>
    </row>
    <row r="3659" spans="4:4" x14ac:dyDescent="0.25">
      <c r="D3659" s="7"/>
    </row>
    <row r="3660" spans="4:4" x14ac:dyDescent="0.25">
      <c r="D3660" s="7"/>
    </row>
    <row r="3661" spans="4:4" x14ac:dyDescent="0.25">
      <c r="D3661" s="7"/>
    </row>
    <row r="3662" spans="4:4" x14ac:dyDescent="0.25">
      <c r="D3662" s="7"/>
    </row>
    <row r="3663" spans="4:4" x14ac:dyDescent="0.25">
      <c r="D3663" s="7"/>
    </row>
    <row r="3664" spans="4:4" x14ac:dyDescent="0.25">
      <c r="D3664" s="7"/>
    </row>
    <row r="3665" spans="4:4" x14ac:dyDescent="0.25">
      <c r="D3665" s="7"/>
    </row>
    <row r="3666" spans="4:4" x14ac:dyDescent="0.25">
      <c r="D3666" s="7"/>
    </row>
    <row r="3667" spans="4:4" x14ac:dyDescent="0.25">
      <c r="D3667" s="7"/>
    </row>
    <row r="3668" spans="4:4" x14ac:dyDescent="0.25">
      <c r="D3668" s="7"/>
    </row>
    <row r="3669" spans="4:4" x14ac:dyDescent="0.25">
      <c r="D3669" s="7"/>
    </row>
    <row r="3670" spans="4:4" x14ac:dyDescent="0.25">
      <c r="D3670" s="7"/>
    </row>
    <row r="3671" spans="4:4" x14ac:dyDescent="0.25">
      <c r="D3671" s="7"/>
    </row>
    <row r="3672" spans="4:4" x14ac:dyDescent="0.25">
      <c r="D3672" s="7"/>
    </row>
    <row r="3673" spans="4:4" x14ac:dyDescent="0.25">
      <c r="D3673" s="7"/>
    </row>
    <row r="3674" spans="4:4" x14ac:dyDescent="0.25">
      <c r="D3674" s="7"/>
    </row>
    <row r="3675" spans="4:4" x14ac:dyDescent="0.25">
      <c r="D3675" s="7"/>
    </row>
    <row r="3676" spans="4:4" x14ac:dyDescent="0.25">
      <c r="D3676" s="7"/>
    </row>
    <row r="3677" spans="4:4" x14ac:dyDescent="0.25">
      <c r="D3677" s="7"/>
    </row>
    <row r="3678" spans="4:4" x14ac:dyDescent="0.25">
      <c r="D3678" s="7"/>
    </row>
    <row r="3679" spans="4:4" x14ac:dyDescent="0.25">
      <c r="D3679" s="7"/>
    </row>
    <row r="3680" spans="4:4" x14ac:dyDescent="0.25">
      <c r="D3680" s="7"/>
    </row>
    <row r="3681" spans="4:4" x14ac:dyDescent="0.25">
      <c r="D3681" s="7"/>
    </row>
    <row r="3682" spans="4:4" x14ac:dyDescent="0.25">
      <c r="D3682" s="7"/>
    </row>
    <row r="3683" spans="4:4" x14ac:dyDescent="0.25">
      <c r="D3683" s="7"/>
    </row>
    <row r="3684" spans="4:4" x14ac:dyDescent="0.25">
      <c r="D3684" s="7"/>
    </row>
    <row r="3685" spans="4:4" x14ac:dyDescent="0.25">
      <c r="D3685" s="7"/>
    </row>
    <row r="3686" spans="4:4" x14ac:dyDescent="0.25">
      <c r="D3686" s="7"/>
    </row>
    <row r="3687" spans="4:4" x14ac:dyDescent="0.25">
      <c r="D3687" s="7"/>
    </row>
    <row r="3688" spans="4:4" x14ac:dyDescent="0.25">
      <c r="D3688" s="7"/>
    </row>
    <row r="3689" spans="4:4" x14ac:dyDescent="0.25">
      <c r="D3689" s="7"/>
    </row>
    <row r="3690" spans="4:4" x14ac:dyDescent="0.25">
      <c r="D3690" s="7"/>
    </row>
    <row r="3691" spans="4:4" x14ac:dyDescent="0.25">
      <c r="D3691" s="7"/>
    </row>
    <row r="3692" spans="4:4" x14ac:dyDescent="0.25">
      <c r="D3692" s="7"/>
    </row>
    <row r="3693" spans="4:4" x14ac:dyDescent="0.25">
      <c r="D3693" s="7"/>
    </row>
    <row r="3694" spans="4:4" x14ac:dyDescent="0.25">
      <c r="D3694" s="7"/>
    </row>
    <row r="3695" spans="4:4" x14ac:dyDescent="0.25">
      <c r="D3695" s="7"/>
    </row>
    <row r="3696" spans="4:4" x14ac:dyDescent="0.25">
      <c r="D3696" s="7"/>
    </row>
    <row r="3697" spans="4:4" x14ac:dyDescent="0.25">
      <c r="D3697" s="7"/>
    </row>
    <row r="3698" spans="4:4" x14ac:dyDescent="0.25">
      <c r="D3698" s="7"/>
    </row>
    <row r="3699" spans="4:4" x14ac:dyDescent="0.25">
      <c r="D3699" s="7"/>
    </row>
    <row r="3700" spans="4:4" x14ac:dyDescent="0.25">
      <c r="D3700" s="7"/>
    </row>
    <row r="3701" spans="4:4" x14ac:dyDescent="0.25">
      <c r="D3701" s="7"/>
    </row>
    <row r="3702" spans="4:4" x14ac:dyDescent="0.25">
      <c r="D3702" s="7"/>
    </row>
    <row r="3703" spans="4:4" x14ac:dyDescent="0.25">
      <c r="D3703" s="7"/>
    </row>
    <row r="3704" spans="4:4" x14ac:dyDescent="0.25">
      <c r="D3704" s="7"/>
    </row>
    <row r="3705" spans="4:4" x14ac:dyDescent="0.25">
      <c r="D3705" s="7"/>
    </row>
    <row r="3706" spans="4:4" x14ac:dyDescent="0.25">
      <c r="D3706" s="7"/>
    </row>
    <row r="3707" spans="4:4" x14ac:dyDescent="0.25">
      <c r="D3707" s="7"/>
    </row>
    <row r="3708" spans="4:4" x14ac:dyDescent="0.25">
      <c r="D3708" s="7"/>
    </row>
    <row r="3709" spans="4:4" x14ac:dyDescent="0.25">
      <c r="D3709" s="7"/>
    </row>
    <row r="3710" spans="4:4" x14ac:dyDescent="0.25">
      <c r="D3710" s="7"/>
    </row>
    <row r="3711" spans="4:4" x14ac:dyDescent="0.25">
      <c r="D3711" s="7"/>
    </row>
    <row r="3712" spans="4:4" x14ac:dyDescent="0.25">
      <c r="D3712" s="7"/>
    </row>
    <row r="3713" spans="4:4" x14ac:dyDescent="0.25">
      <c r="D3713" s="7"/>
    </row>
    <row r="3714" spans="4:4" x14ac:dyDescent="0.25">
      <c r="D3714" s="7"/>
    </row>
    <row r="3715" spans="4:4" x14ac:dyDescent="0.25">
      <c r="D3715" s="7"/>
    </row>
    <row r="3716" spans="4:4" x14ac:dyDescent="0.25">
      <c r="D3716" s="7"/>
    </row>
    <row r="3717" spans="4:4" x14ac:dyDescent="0.25">
      <c r="D3717" s="7"/>
    </row>
    <row r="3718" spans="4:4" x14ac:dyDescent="0.25">
      <c r="D3718" s="7"/>
    </row>
    <row r="3719" spans="4:4" x14ac:dyDescent="0.25">
      <c r="D3719" s="7"/>
    </row>
    <row r="3720" spans="4:4" x14ac:dyDescent="0.25">
      <c r="D3720" s="7"/>
    </row>
    <row r="3721" spans="4:4" x14ac:dyDescent="0.25">
      <c r="D3721" s="7"/>
    </row>
    <row r="3722" spans="4:4" x14ac:dyDescent="0.25">
      <c r="D3722" s="7"/>
    </row>
    <row r="3723" spans="4:4" x14ac:dyDescent="0.25">
      <c r="D3723" s="7"/>
    </row>
    <row r="3724" spans="4:4" x14ac:dyDescent="0.25">
      <c r="D3724" s="7"/>
    </row>
    <row r="3725" spans="4:4" x14ac:dyDescent="0.25">
      <c r="D3725" s="7"/>
    </row>
    <row r="3726" spans="4:4" x14ac:dyDescent="0.25">
      <c r="D3726" s="7"/>
    </row>
    <row r="3727" spans="4:4" x14ac:dyDescent="0.25">
      <c r="D3727" s="7"/>
    </row>
    <row r="3728" spans="4:4" x14ac:dyDescent="0.25">
      <c r="D3728" s="7"/>
    </row>
    <row r="3729" spans="4:4" x14ac:dyDescent="0.25">
      <c r="D3729" s="7"/>
    </row>
    <row r="3730" spans="4:4" x14ac:dyDescent="0.25">
      <c r="D3730" s="7"/>
    </row>
    <row r="3731" spans="4:4" x14ac:dyDescent="0.25">
      <c r="D3731" s="7"/>
    </row>
    <row r="3732" spans="4:4" x14ac:dyDescent="0.25">
      <c r="D3732" s="7"/>
    </row>
    <row r="3733" spans="4:4" x14ac:dyDescent="0.25">
      <c r="D3733" s="7"/>
    </row>
    <row r="3734" spans="4:4" x14ac:dyDescent="0.25">
      <c r="D3734" s="7"/>
    </row>
    <row r="3735" spans="4:4" x14ac:dyDescent="0.25">
      <c r="D3735" s="7"/>
    </row>
    <row r="3736" spans="4:4" x14ac:dyDescent="0.25">
      <c r="D3736" s="7"/>
    </row>
    <row r="3737" spans="4:4" x14ac:dyDescent="0.25">
      <c r="D3737" s="7"/>
    </row>
    <row r="3738" spans="4:4" x14ac:dyDescent="0.25">
      <c r="D3738" s="7"/>
    </row>
    <row r="3739" spans="4:4" x14ac:dyDescent="0.25">
      <c r="D3739" s="7"/>
    </row>
    <row r="3740" spans="4:4" x14ac:dyDescent="0.25">
      <c r="D3740" s="7"/>
    </row>
    <row r="3741" spans="4:4" x14ac:dyDescent="0.25">
      <c r="D3741" s="7"/>
    </row>
    <row r="3742" spans="4:4" x14ac:dyDescent="0.25">
      <c r="D3742" s="7"/>
    </row>
    <row r="3743" spans="4:4" x14ac:dyDescent="0.25">
      <c r="D3743" s="7"/>
    </row>
    <row r="3744" spans="4:4" x14ac:dyDescent="0.25">
      <c r="D3744" s="7"/>
    </row>
    <row r="3745" spans="4:4" x14ac:dyDescent="0.25">
      <c r="D3745" s="7"/>
    </row>
    <row r="3746" spans="4:4" x14ac:dyDescent="0.25">
      <c r="D3746" s="7"/>
    </row>
    <row r="3747" spans="4:4" x14ac:dyDescent="0.25">
      <c r="D3747" s="7"/>
    </row>
    <row r="3748" spans="4:4" x14ac:dyDescent="0.25">
      <c r="D3748" s="7"/>
    </row>
    <row r="3749" spans="4:4" x14ac:dyDescent="0.25">
      <c r="D3749" s="7"/>
    </row>
    <row r="3750" spans="4:4" x14ac:dyDescent="0.25">
      <c r="D3750" s="7"/>
    </row>
    <row r="3751" spans="4:4" x14ac:dyDescent="0.25">
      <c r="D3751" s="7"/>
    </row>
    <row r="3752" spans="4:4" x14ac:dyDescent="0.25">
      <c r="D3752" s="7"/>
    </row>
    <row r="3753" spans="4:4" x14ac:dyDescent="0.25">
      <c r="D3753" s="7"/>
    </row>
    <row r="3754" spans="4:4" x14ac:dyDescent="0.25">
      <c r="D3754" s="7"/>
    </row>
    <row r="3755" spans="4:4" x14ac:dyDescent="0.25">
      <c r="D3755" s="7"/>
    </row>
    <row r="3756" spans="4:4" x14ac:dyDescent="0.25">
      <c r="D3756" s="7"/>
    </row>
    <row r="3757" spans="4:4" x14ac:dyDescent="0.25">
      <c r="D3757" s="7"/>
    </row>
    <row r="3758" spans="4:4" x14ac:dyDescent="0.25">
      <c r="D3758" s="7"/>
    </row>
    <row r="3759" spans="4:4" x14ac:dyDescent="0.25">
      <c r="D3759" s="7"/>
    </row>
    <row r="3760" spans="4:4" x14ac:dyDescent="0.25">
      <c r="D3760" s="7"/>
    </row>
    <row r="3761" spans="4:4" x14ac:dyDescent="0.25">
      <c r="D3761" s="7"/>
    </row>
    <row r="3762" spans="4:4" x14ac:dyDescent="0.25">
      <c r="D3762" s="7"/>
    </row>
    <row r="3763" spans="4:4" x14ac:dyDescent="0.25">
      <c r="D3763" s="7"/>
    </row>
    <row r="3764" spans="4:4" x14ac:dyDescent="0.25">
      <c r="D3764" s="7"/>
    </row>
    <row r="3765" spans="4:4" x14ac:dyDescent="0.25">
      <c r="D3765" s="7"/>
    </row>
    <row r="3766" spans="4:4" x14ac:dyDescent="0.25">
      <c r="D3766" s="7"/>
    </row>
    <row r="3767" spans="4:4" x14ac:dyDescent="0.25">
      <c r="D3767" s="7"/>
    </row>
    <row r="3768" spans="4:4" x14ac:dyDescent="0.25">
      <c r="D3768" s="7"/>
    </row>
    <row r="3769" spans="4:4" x14ac:dyDescent="0.25">
      <c r="D3769" s="7"/>
    </row>
    <row r="3770" spans="4:4" x14ac:dyDescent="0.25">
      <c r="D3770" s="7"/>
    </row>
    <row r="3771" spans="4:4" x14ac:dyDescent="0.25">
      <c r="D3771" s="7"/>
    </row>
    <row r="3772" spans="4:4" x14ac:dyDescent="0.25">
      <c r="D3772" s="7"/>
    </row>
    <row r="3773" spans="4:4" x14ac:dyDescent="0.25">
      <c r="D3773" s="7"/>
    </row>
    <row r="3774" spans="4:4" x14ac:dyDescent="0.25">
      <c r="D3774" s="7"/>
    </row>
    <row r="3775" spans="4:4" x14ac:dyDescent="0.25">
      <c r="D3775" s="7"/>
    </row>
    <row r="3776" spans="4:4" x14ac:dyDescent="0.25">
      <c r="D3776" s="7"/>
    </row>
    <row r="3777" spans="4:4" x14ac:dyDescent="0.25">
      <c r="D3777" s="7"/>
    </row>
    <row r="3778" spans="4:4" x14ac:dyDescent="0.25">
      <c r="D3778" s="7"/>
    </row>
    <row r="3779" spans="4:4" x14ac:dyDescent="0.25">
      <c r="D3779" s="7"/>
    </row>
    <row r="3780" spans="4:4" x14ac:dyDescent="0.25">
      <c r="D3780" s="7"/>
    </row>
    <row r="3781" spans="4:4" x14ac:dyDescent="0.25">
      <c r="D3781" s="7"/>
    </row>
    <row r="3782" spans="4:4" x14ac:dyDescent="0.25">
      <c r="D3782" s="7"/>
    </row>
    <row r="3783" spans="4:4" x14ac:dyDescent="0.25">
      <c r="D3783" s="7"/>
    </row>
    <row r="3784" spans="4:4" x14ac:dyDescent="0.25">
      <c r="D3784" s="7"/>
    </row>
    <row r="3785" spans="4:4" x14ac:dyDescent="0.25">
      <c r="D3785" s="7"/>
    </row>
    <row r="3786" spans="4:4" x14ac:dyDescent="0.25">
      <c r="D3786" s="7"/>
    </row>
    <row r="3787" spans="4:4" x14ac:dyDescent="0.25">
      <c r="D3787" s="7"/>
    </row>
    <row r="3788" spans="4:4" x14ac:dyDescent="0.25">
      <c r="D3788" s="7"/>
    </row>
    <row r="3789" spans="4:4" x14ac:dyDescent="0.25">
      <c r="D3789" s="7"/>
    </row>
    <row r="3790" spans="4:4" x14ac:dyDescent="0.25">
      <c r="D3790" s="7"/>
    </row>
    <row r="3791" spans="4:4" x14ac:dyDescent="0.25">
      <c r="D3791" s="7"/>
    </row>
    <row r="3792" spans="4:4" x14ac:dyDescent="0.25">
      <c r="D3792" s="7"/>
    </row>
    <row r="3793" spans="4:4" x14ac:dyDescent="0.25">
      <c r="D3793" s="7"/>
    </row>
    <row r="3794" spans="4:4" x14ac:dyDescent="0.25">
      <c r="D3794" s="7"/>
    </row>
    <row r="3795" spans="4:4" x14ac:dyDescent="0.25">
      <c r="D3795" s="7"/>
    </row>
    <row r="3796" spans="4:4" x14ac:dyDescent="0.25">
      <c r="D3796" s="7"/>
    </row>
    <row r="3797" spans="4:4" x14ac:dyDescent="0.25">
      <c r="D3797" s="7"/>
    </row>
    <row r="3798" spans="4:4" x14ac:dyDescent="0.25">
      <c r="D3798" s="7"/>
    </row>
    <row r="3799" spans="4:4" x14ac:dyDescent="0.25">
      <c r="D3799" s="7"/>
    </row>
    <row r="3800" spans="4:4" x14ac:dyDescent="0.25">
      <c r="D3800" s="7"/>
    </row>
    <row r="3801" spans="4:4" x14ac:dyDescent="0.25">
      <c r="D3801" s="7"/>
    </row>
    <row r="3802" spans="4:4" x14ac:dyDescent="0.25">
      <c r="D3802" s="7"/>
    </row>
    <row r="3803" spans="4:4" x14ac:dyDescent="0.25">
      <c r="D3803" s="7"/>
    </row>
    <row r="3804" spans="4:4" x14ac:dyDescent="0.25">
      <c r="D3804" s="7"/>
    </row>
    <row r="3805" spans="4:4" x14ac:dyDescent="0.25">
      <c r="D3805" s="7"/>
    </row>
    <row r="3806" spans="4:4" x14ac:dyDescent="0.25">
      <c r="D3806" s="7"/>
    </row>
    <row r="3807" spans="4:4" x14ac:dyDescent="0.25">
      <c r="D3807" s="7"/>
    </row>
    <row r="3808" spans="4:4" x14ac:dyDescent="0.25">
      <c r="D3808" s="7"/>
    </row>
    <row r="3809" spans="4:4" x14ac:dyDescent="0.25">
      <c r="D3809" s="7"/>
    </row>
    <row r="3810" spans="4:4" x14ac:dyDescent="0.25">
      <c r="D3810" s="7"/>
    </row>
    <row r="3811" spans="4:4" x14ac:dyDescent="0.25">
      <c r="D3811" s="7"/>
    </row>
    <row r="3812" spans="4:4" x14ac:dyDescent="0.25">
      <c r="D3812" s="7"/>
    </row>
    <row r="3813" spans="4:4" x14ac:dyDescent="0.25">
      <c r="D3813" s="7"/>
    </row>
    <row r="3814" spans="4:4" x14ac:dyDescent="0.25">
      <c r="D3814" s="7"/>
    </row>
    <row r="3815" spans="4:4" x14ac:dyDescent="0.25">
      <c r="D3815" s="7"/>
    </row>
    <row r="3816" spans="4:4" x14ac:dyDescent="0.25">
      <c r="D3816" s="7"/>
    </row>
    <row r="3817" spans="4:4" x14ac:dyDescent="0.25">
      <c r="D3817" s="7"/>
    </row>
    <row r="3818" spans="4:4" x14ac:dyDescent="0.25">
      <c r="D3818" s="7"/>
    </row>
    <row r="3819" spans="4:4" x14ac:dyDescent="0.25">
      <c r="D3819" s="7"/>
    </row>
    <row r="3820" spans="4:4" x14ac:dyDescent="0.25">
      <c r="D3820" s="7"/>
    </row>
    <row r="3821" spans="4:4" x14ac:dyDescent="0.25">
      <c r="D3821" s="7"/>
    </row>
    <row r="3822" spans="4:4" x14ac:dyDescent="0.25">
      <c r="D3822" s="7"/>
    </row>
    <row r="3823" spans="4:4" x14ac:dyDescent="0.25">
      <c r="D3823" s="7"/>
    </row>
    <row r="3824" spans="4:4" x14ac:dyDescent="0.25">
      <c r="D3824" s="7"/>
    </row>
    <row r="3825" spans="4:4" x14ac:dyDescent="0.25">
      <c r="D3825" s="7"/>
    </row>
    <row r="3826" spans="4:4" x14ac:dyDescent="0.25">
      <c r="D3826" s="7"/>
    </row>
    <row r="3827" spans="4:4" x14ac:dyDescent="0.25">
      <c r="D3827" s="7"/>
    </row>
    <row r="3828" spans="4:4" x14ac:dyDescent="0.25">
      <c r="D3828" s="7"/>
    </row>
    <row r="3829" spans="4:4" x14ac:dyDescent="0.25">
      <c r="D3829" s="7"/>
    </row>
    <row r="3830" spans="4:4" x14ac:dyDescent="0.25">
      <c r="D3830" s="7"/>
    </row>
    <row r="3831" spans="4:4" x14ac:dyDescent="0.25">
      <c r="D3831" s="7"/>
    </row>
    <row r="3832" spans="4:4" x14ac:dyDescent="0.25">
      <c r="D3832" s="7"/>
    </row>
    <row r="3833" spans="4:4" x14ac:dyDescent="0.25">
      <c r="D3833" s="7"/>
    </row>
    <row r="3834" spans="4:4" x14ac:dyDescent="0.25">
      <c r="D3834" s="7"/>
    </row>
    <row r="3835" spans="4:4" x14ac:dyDescent="0.25">
      <c r="D3835" s="7"/>
    </row>
    <row r="3836" spans="4:4" x14ac:dyDescent="0.25">
      <c r="D3836" s="7"/>
    </row>
    <row r="3837" spans="4:4" x14ac:dyDescent="0.25">
      <c r="D3837" s="7"/>
    </row>
    <row r="3838" spans="4:4" x14ac:dyDescent="0.25">
      <c r="D3838" s="7"/>
    </row>
    <row r="3839" spans="4:4" x14ac:dyDescent="0.25">
      <c r="D3839" s="7"/>
    </row>
    <row r="3840" spans="4:4" x14ac:dyDescent="0.25">
      <c r="D3840" s="7"/>
    </row>
    <row r="3841" spans="4:4" x14ac:dyDescent="0.25">
      <c r="D3841" s="7"/>
    </row>
    <row r="3842" spans="4:4" x14ac:dyDescent="0.25">
      <c r="D3842" s="7"/>
    </row>
    <row r="3843" spans="4:4" x14ac:dyDescent="0.25">
      <c r="D3843" s="7"/>
    </row>
    <row r="3844" spans="4:4" x14ac:dyDescent="0.25">
      <c r="D3844" s="7"/>
    </row>
    <row r="3845" spans="4:4" x14ac:dyDescent="0.25">
      <c r="D3845" s="7"/>
    </row>
    <row r="3846" spans="4:4" x14ac:dyDescent="0.25">
      <c r="D3846" s="7"/>
    </row>
    <row r="3847" spans="4:4" x14ac:dyDescent="0.25">
      <c r="D3847" s="7"/>
    </row>
    <row r="3848" spans="4:4" x14ac:dyDescent="0.25">
      <c r="D3848" s="7"/>
    </row>
    <row r="3849" spans="4:4" x14ac:dyDescent="0.25">
      <c r="D3849" s="7"/>
    </row>
    <row r="3850" spans="4:4" x14ac:dyDescent="0.25">
      <c r="D3850" s="7"/>
    </row>
    <row r="3851" spans="4:4" x14ac:dyDescent="0.25">
      <c r="D3851" s="7"/>
    </row>
    <row r="3852" spans="4:4" x14ac:dyDescent="0.25">
      <c r="D3852" s="7"/>
    </row>
    <row r="3853" spans="4:4" x14ac:dyDescent="0.25">
      <c r="D3853" s="7"/>
    </row>
    <row r="3854" spans="4:4" x14ac:dyDescent="0.25">
      <c r="D3854" s="7"/>
    </row>
    <row r="3855" spans="4:4" x14ac:dyDescent="0.25">
      <c r="D3855" s="7"/>
    </row>
    <row r="3856" spans="4:4" x14ac:dyDescent="0.25">
      <c r="D3856" s="7"/>
    </row>
    <row r="3857" spans="4:4" x14ac:dyDescent="0.25">
      <c r="D3857" s="7"/>
    </row>
    <row r="3858" spans="4:4" x14ac:dyDescent="0.25">
      <c r="D3858" s="7"/>
    </row>
    <row r="3859" spans="4:4" x14ac:dyDescent="0.25">
      <c r="D3859" s="7"/>
    </row>
    <row r="3860" spans="4:4" x14ac:dyDescent="0.25">
      <c r="D3860" s="7"/>
    </row>
    <row r="3861" spans="4:4" x14ac:dyDescent="0.25">
      <c r="D3861" s="7"/>
    </row>
    <row r="3862" spans="4:4" x14ac:dyDescent="0.25">
      <c r="D3862" s="7"/>
    </row>
    <row r="3863" spans="4:4" x14ac:dyDescent="0.25">
      <c r="D3863" s="7"/>
    </row>
    <row r="3864" spans="4:4" x14ac:dyDescent="0.25">
      <c r="D3864" s="7"/>
    </row>
    <row r="3865" spans="4:4" x14ac:dyDescent="0.25">
      <c r="D3865" s="7"/>
    </row>
    <row r="3866" spans="4:4" x14ac:dyDescent="0.25">
      <c r="D3866" s="7"/>
    </row>
    <row r="3867" spans="4:4" x14ac:dyDescent="0.25">
      <c r="D3867" s="7"/>
    </row>
    <row r="3868" spans="4:4" x14ac:dyDescent="0.25">
      <c r="D3868" s="7"/>
    </row>
    <row r="3869" spans="4:4" x14ac:dyDescent="0.25">
      <c r="D3869" s="7"/>
    </row>
    <row r="3870" spans="4:4" x14ac:dyDescent="0.25">
      <c r="D3870" s="7"/>
    </row>
    <row r="3871" spans="4:4" x14ac:dyDescent="0.25">
      <c r="D3871" s="7"/>
    </row>
    <row r="3872" spans="4:4" x14ac:dyDescent="0.25">
      <c r="D3872" s="7"/>
    </row>
    <row r="3873" spans="4:4" x14ac:dyDescent="0.25">
      <c r="D3873" s="7"/>
    </row>
    <row r="3874" spans="4:4" x14ac:dyDescent="0.25">
      <c r="D3874" s="7"/>
    </row>
    <row r="3875" spans="4:4" x14ac:dyDescent="0.25">
      <c r="D3875" s="7"/>
    </row>
    <row r="3876" spans="4:4" x14ac:dyDescent="0.25">
      <c r="D3876" s="7"/>
    </row>
    <row r="3877" spans="4:4" x14ac:dyDescent="0.25">
      <c r="D3877" s="7"/>
    </row>
    <row r="3878" spans="4:4" x14ac:dyDescent="0.25">
      <c r="D3878" s="7"/>
    </row>
    <row r="3879" spans="4:4" x14ac:dyDescent="0.25">
      <c r="D3879" s="7"/>
    </row>
    <row r="3880" spans="4:4" x14ac:dyDescent="0.25">
      <c r="D3880" s="7"/>
    </row>
    <row r="3881" spans="4:4" x14ac:dyDescent="0.25">
      <c r="D3881" s="7"/>
    </row>
    <row r="3882" spans="4:4" x14ac:dyDescent="0.25">
      <c r="D3882" s="7"/>
    </row>
    <row r="3883" spans="4:4" x14ac:dyDescent="0.25">
      <c r="D3883" s="7"/>
    </row>
    <row r="3884" spans="4:4" x14ac:dyDescent="0.25">
      <c r="D3884" s="7"/>
    </row>
    <row r="3885" spans="4:4" x14ac:dyDescent="0.25">
      <c r="D3885" s="7"/>
    </row>
    <row r="3886" spans="4:4" x14ac:dyDescent="0.25">
      <c r="D3886" s="7"/>
    </row>
    <row r="3887" spans="4:4" x14ac:dyDescent="0.25">
      <c r="D3887" s="7"/>
    </row>
    <row r="3888" spans="4:4" x14ac:dyDescent="0.25">
      <c r="D3888" s="7"/>
    </row>
    <row r="3889" spans="4:4" x14ac:dyDescent="0.25">
      <c r="D3889" s="7"/>
    </row>
    <row r="3890" spans="4:4" x14ac:dyDescent="0.25">
      <c r="D3890" s="7"/>
    </row>
    <row r="3891" spans="4:4" x14ac:dyDescent="0.25">
      <c r="D3891" s="7"/>
    </row>
    <row r="3892" spans="4:4" x14ac:dyDescent="0.25">
      <c r="D3892" s="7"/>
    </row>
    <row r="3893" spans="4:4" x14ac:dyDescent="0.25">
      <c r="D3893" s="7"/>
    </row>
    <row r="3894" spans="4:4" x14ac:dyDescent="0.25">
      <c r="D3894" s="7"/>
    </row>
    <row r="3895" spans="4:4" x14ac:dyDescent="0.25">
      <c r="D3895" s="7"/>
    </row>
    <row r="3896" spans="4:4" x14ac:dyDescent="0.25">
      <c r="D3896" s="7"/>
    </row>
    <row r="3897" spans="4:4" x14ac:dyDescent="0.25">
      <c r="D3897" s="7"/>
    </row>
    <row r="3898" spans="4:4" x14ac:dyDescent="0.25">
      <c r="D3898" s="7"/>
    </row>
    <row r="3899" spans="4:4" x14ac:dyDescent="0.25">
      <c r="D3899" s="7"/>
    </row>
    <row r="3900" spans="4:4" x14ac:dyDescent="0.25">
      <c r="D3900" s="7"/>
    </row>
    <row r="3901" spans="4:4" x14ac:dyDescent="0.25">
      <c r="D3901" s="7"/>
    </row>
    <row r="3902" spans="4:4" x14ac:dyDescent="0.25">
      <c r="D3902" s="7"/>
    </row>
    <row r="3903" spans="4:4" x14ac:dyDescent="0.25">
      <c r="D3903" s="7"/>
    </row>
    <row r="3904" spans="4:4" x14ac:dyDescent="0.25">
      <c r="D3904" s="7"/>
    </row>
    <row r="3905" spans="4:4" x14ac:dyDescent="0.25">
      <c r="D3905" s="7"/>
    </row>
    <row r="3906" spans="4:4" x14ac:dyDescent="0.25">
      <c r="D3906" s="7"/>
    </row>
    <row r="3907" spans="4:4" x14ac:dyDescent="0.25">
      <c r="D3907" s="7"/>
    </row>
    <row r="3908" spans="4:4" x14ac:dyDescent="0.25">
      <c r="D3908" s="7"/>
    </row>
    <row r="3909" spans="4:4" x14ac:dyDescent="0.25">
      <c r="D3909" s="7"/>
    </row>
    <row r="3910" spans="4:4" x14ac:dyDescent="0.25">
      <c r="D3910" s="7"/>
    </row>
    <row r="3911" spans="4:4" x14ac:dyDescent="0.25">
      <c r="D3911" s="7"/>
    </row>
    <row r="3912" spans="4:4" x14ac:dyDescent="0.25">
      <c r="D3912" s="7"/>
    </row>
    <row r="3913" spans="4:4" x14ac:dyDescent="0.25">
      <c r="D3913" s="7"/>
    </row>
    <row r="3914" spans="4:4" x14ac:dyDescent="0.25">
      <c r="D3914" s="7"/>
    </row>
    <row r="3915" spans="4:4" x14ac:dyDescent="0.25">
      <c r="D3915" s="7"/>
    </row>
    <row r="3916" spans="4:4" x14ac:dyDescent="0.25">
      <c r="D3916" s="7"/>
    </row>
    <row r="3917" spans="4:4" x14ac:dyDescent="0.25">
      <c r="D3917" s="7"/>
    </row>
    <row r="3918" spans="4:4" x14ac:dyDescent="0.25">
      <c r="D3918" s="7"/>
    </row>
    <row r="3919" spans="4:4" x14ac:dyDescent="0.25">
      <c r="D3919" s="7"/>
    </row>
    <row r="3920" spans="4:4" x14ac:dyDescent="0.25">
      <c r="D3920" s="7"/>
    </row>
    <row r="3921" spans="4:4" x14ac:dyDescent="0.25">
      <c r="D3921" s="7"/>
    </row>
    <row r="3922" spans="4:4" x14ac:dyDescent="0.25">
      <c r="D3922" s="7"/>
    </row>
    <row r="3923" spans="4:4" x14ac:dyDescent="0.25">
      <c r="D3923" s="7"/>
    </row>
    <row r="3924" spans="4:4" x14ac:dyDescent="0.25">
      <c r="D3924" s="7"/>
    </row>
    <row r="3925" spans="4:4" x14ac:dyDescent="0.25">
      <c r="D3925" s="7"/>
    </row>
    <row r="3926" spans="4:4" x14ac:dyDescent="0.25">
      <c r="D3926" s="7"/>
    </row>
    <row r="3927" spans="4:4" x14ac:dyDescent="0.25">
      <c r="D3927" s="7"/>
    </row>
    <row r="3928" spans="4:4" x14ac:dyDescent="0.25">
      <c r="D3928" s="7"/>
    </row>
    <row r="3929" spans="4:4" x14ac:dyDescent="0.25">
      <c r="D3929" s="7"/>
    </row>
    <row r="3930" spans="4:4" x14ac:dyDescent="0.25">
      <c r="D3930" s="7"/>
    </row>
    <row r="3931" spans="4:4" x14ac:dyDescent="0.25">
      <c r="D3931" s="7"/>
    </row>
    <row r="3932" spans="4:4" x14ac:dyDescent="0.25">
      <c r="D3932" s="7"/>
    </row>
    <row r="3933" spans="4:4" x14ac:dyDescent="0.25">
      <c r="D3933" s="7"/>
    </row>
    <row r="3934" spans="4:4" x14ac:dyDescent="0.25">
      <c r="D3934" s="7"/>
    </row>
    <row r="3935" spans="4:4" x14ac:dyDescent="0.25">
      <c r="D3935" s="7"/>
    </row>
    <row r="3936" spans="4:4" x14ac:dyDescent="0.25">
      <c r="D3936" s="7"/>
    </row>
    <row r="3937" spans="4:4" x14ac:dyDescent="0.25">
      <c r="D3937" s="7"/>
    </row>
    <row r="3938" spans="4:4" x14ac:dyDescent="0.25">
      <c r="D3938" s="7"/>
    </row>
    <row r="3939" spans="4:4" x14ac:dyDescent="0.25">
      <c r="D3939" s="7"/>
    </row>
    <row r="3940" spans="4:4" x14ac:dyDescent="0.25">
      <c r="D3940" s="7"/>
    </row>
    <row r="3941" spans="4:4" x14ac:dyDescent="0.25">
      <c r="D3941" s="7"/>
    </row>
    <row r="3942" spans="4:4" x14ac:dyDescent="0.25">
      <c r="D3942" s="7"/>
    </row>
    <row r="3943" spans="4:4" x14ac:dyDescent="0.25">
      <c r="D3943" s="7"/>
    </row>
    <row r="3944" spans="4:4" x14ac:dyDescent="0.25">
      <c r="D3944" s="7"/>
    </row>
    <row r="3945" spans="4:4" x14ac:dyDescent="0.25">
      <c r="D3945" s="7"/>
    </row>
    <row r="3946" spans="4:4" x14ac:dyDescent="0.25">
      <c r="D3946" s="7"/>
    </row>
    <row r="3947" spans="4:4" x14ac:dyDescent="0.25">
      <c r="D3947" s="7"/>
    </row>
    <row r="3948" spans="4:4" x14ac:dyDescent="0.25">
      <c r="D3948" s="7"/>
    </row>
    <row r="3949" spans="4:4" x14ac:dyDescent="0.25">
      <c r="D3949" s="7"/>
    </row>
    <row r="3950" spans="4:4" x14ac:dyDescent="0.25">
      <c r="D3950" s="7"/>
    </row>
    <row r="3951" spans="4:4" x14ac:dyDescent="0.25">
      <c r="D3951" s="7"/>
    </row>
    <row r="3952" spans="4:4" x14ac:dyDescent="0.25">
      <c r="D3952" s="7"/>
    </row>
    <row r="3953" spans="4:4" x14ac:dyDescent="0.25">
      <c r="D3953" s="7"/>
    </row>
    <row r="3954" spans="4:4" x14ac:dyDescent="0.25">
      <c r="D3954" s="7"/>
    </row>
    <row r="3955" spans="4:4" x14ac:dyDescent="0.25">
      <c r="D3955" s="7"/>
    </row>
    <row r="3956" spans="4:4" x14ac:dyDescent="0.25">
      <c r="D3956" s="7"/>
    </row>
    <row r="3957" spans="4:4" x14ac:dyDescent="0.25">
      <c r="D3957" s="7"/>
    </row>
    <row r="3958" spans="4:4" x14ac:dyDescent="0.25">
      <c r="D3958" s="7"/>
    </row>
    <row r="3959" spans="4:4" x14ac:dyDescent="0.25">
      <c r="D3959" s="7"/>
    </row>
    <row r="3960" spans="4:4" x14ac:dyDescent="0.25">
      <c r="D3960" s="7"/>
    </row>
    <row r="3961" spans="4:4" x14ac:dyDescent="0.25">
      <c r="D3961" s="7"/>
    </row>
    <row r="3962" spans="4:4" x14ac:dyDescent="0.25">
      <c r="D3962" s="7"/>
    </row>
    <row r="3963" spans="4:4" x14ac:dyDescent="0.25">
      <c r="D3963" s="7"/>
    </row>
    <row r="3964" spans="4:4" x14ac:dyDescent="0.25">
      <c r="D3964" s="7"/>
    </row>
    <row r="3965" spans="4:4" x14ac:dyDescent="0.25">
      <c r="D3965" s="7"/>
    </row>
    <row r="3966" spans="4:4" x14ac:dyDescent="0.25">
      <c r="D3966" s="7"/>
    </row>
    <row r="3967" spans="4:4" x14ac:dyDescent="0.25">
      <c r="D3967" s="7"/>
    </row>
    <row r="3968" spans="4:4" x14ac:dyDescent="0.25">
      <c r="D3968" s="7"/>
    </row>
    <row r="3969" spans="4:4" x14ac:dyDescent="0.25">
      <c r="D3969" s="7"/>
    </row>
    <row r="3970" spans="4:4" x14ac:dyDescent="0.25">
      <c r="D3970" s="7"/>
    </row>
    <row r="3971" spans="4:4" x14ac:dyDescent="0.25">
      <c r="D3971" s="7"/>
    </row>
    <row r="3972" spans="4:4" x14ac:dyDescent="0.25">
      <c r="D3972" s="7"/>
    </row>
    <row r="3973" spans="4:4" x14ac:dyDescent="0.25">
      <c r="D3973" s="7"/>
    </row>
    <row r="3974" spans="4:4" x14ac:dyDescent="0.25">
      <c r="D3974" s="7"/>
    </row>
    <row r="3975" spans="4:4" x14ac:dyDescent="0.25">
      <c r="D3975" s="7"/>
    </row>
    <row r="3976" spans="4:4" x14ac:dyDescent="0.25">
      <c r="D3976" s="7"/>
    </row>
    <row r="3977" spans="4:4" x14ac:dyDescent="0.25">
      <c r="D3977" s="7"/>
    </row>
    <row r="3978" spans="4:4" x14ac:dyDescent="0.25">
      <c r="D3978" s="7"/>
    </row>
    <row r="3979" spans="4:4" x14ac:dyDescent="0.25">
      <c r="D3979" s="7"/>
    </row>
    <row r="3980" spans="4:4" x14ac:dyDescent="0.25">
      <c r="D3980" s="7"/>
    </row>
    <row r="3981" spans="4:4" x14ac:dyDescent="0.25">
      <c r="D3981" s="7"/>
    </row>
    <row r="3982" spans="4:4" x14ac:dyDescent="0.25">
      <c r="D3982" s="7"/>
    </row>
    <row r="3983" spans="4:4" x14ac:dyDescent="0.25">
      <c r="D3983" s="7"/>
    </row>
    <row r="3984" spans="4:4" x14ac:dyDescent="0.25">
      <c r="D3984" s="7"/>
    </row>
    <row r="3985" spans="4:4" x14ac:dyDescent="0.25">
      <c r="D3985" s="7"/>
    </row>
    <row r="3986" spans="4:4" x14ac:dyDescent="0.25">
      <c r="D3986" s="7"/>
    </row>
    <row r="3987" spans="4:4" x14ac:dyDescent="0.25">
      <c r="D3987" s="7"/>
    </row>
    <row r="3988" spans="4:4" x14ac:dyDescent="0.25">
      <c r="D3988" s="7"/>
    </row>
    <row r="3989" spans="4:4" x14ac:dyDescent="0.25">
      <c r="D3989" s="7"/>
    </row>
    <row r="3990" spans="4:4" x14ac:dyDescent="0.25">
      <c r="D3990" s="7"/>
    </row>
    <row r="3991" spans="4:4" x14ac:dyDescent="0.25">
      <c r="D3991" s="7"/>
    </row>
    <row r="3992" spans="4:4" x14ac:dyDescent="0.25">
      <c r="D3992" s="7"/>
    </row>
    <row r="3993" spans="4:4" x14ac:dyDescent="0.25">
      <c r="D3993" s="7"/>
    </row>
    <row r="3994" spans="4:4" x14ac:dyDescent="0.25">
      <c r="D3994" s="7"/>
    </row>
    <row r="3995" spans="4:4" x14ac:dyDescent="0.25">
      <c r="D3995" s="7"/>
    </row>
    <row r="3996" spans="4:4" x14ac:dyDescent="0.25">
      <c r="D3996" s="7"/>
    </row>
    <row r="3997" spans="4:4" x14ac:dyDescent="0.25">
      <c r="D3997" s="7"/>
    </row>
    <row r="3998" spans="4:4" x14ac:dyDescent="0.25">
      <c r="D3998" s="7"/>
    </row>
    <row r="3999" spans="4:4" x14ac:dyDescent="0.25">
      <c r="D3999" s="7"/>
    </row>
    <row r="4000" spans="4:4" x14ac:dyDescent="0.25">
      <c r="D4000" s="7"/>
    </row>
    <row r="4001" spans="4:4" x14ac:dyDescent="0.25">
      <c r="D4001" s="7"/>
    </row>
    <row r="4002" spans="4:4" x14ac:dyDescent="0.25">
      <c r="D4002" s="7"/>
    </row>
    <row r="4003" spans="4:4" x14ac:dyDescent="0.25">
      <c r="D4003" s="7"/>
    </row>
    <row r="4004" spans="4:4" x14ac:dyDescent="0.25">
      <c r="D4004" s="7"/>
    </row>
    <row r="4005" spans="4:4" x14ac:dyDescent="0.25">
      <c r="D4005" s="7"/>
    </row>
    <row r="4006" spans="4:4" x14ac:dyDescent="0.25">
      <c r="D4006" s="7"/>
    </row>
    <row r="4007" spans="4:4" x14ac:dyDescent="0.25">
      <c r="D4007" s="7"/>
    </row>
    <row r="4008" spans="4:4" x14ac:dyDescent="0.25">
      <c r="D4008" s="7"/>
    </row>
    <row r="4009" spans="4:4" x14ac:dyDescent="0.25">
      <c r="D4009" s="7"/>
    </row>
    <row r="4010" spans="4:4" x14ac:dyDescent="0.25">
      <c r="D4010" s="7"/>
    </row>
    <row r="4011" spans="4:4" x14ac:dyDescent="0.25">
      <c r="D4011" s="7"/>
    </row>
    <row r="4012" spans="4:4" x14ac:dyDescent="0.25">
      <c r="D4012" s="7"/>
    </row>
    <row r="4013" spans="4:4" x14ac:dyDescent="0.25">
      <c r="D4013" s="7"/>
    </row>
    <row r="4014" spans="4:4" x14ac:dyDescent="0.25">
      <c r="D4014" s="7"/>
    </row>
    <row r="4015" spans="4:4" x14ac:dyDescent="0.25">
      <c r="D4015" s="7"/>
    </row>
    <row r="4016" spans="4:4" x14ac:dyDescent="0.25">
      <c r="D4016" s="7"/>
    </row>
    <row r="4017" spans="4:4" x14ac:dyDescent="0.25">
      <c r="D4017" s="7"/>
    </row>
    <row r="4018" spans="4:4" x14ac:dyDescent="0.25">
      <c r="D4018" s="7"/>
    </row>
    <row r="4019" spans="4:4" x14ac:dyDescent="0.25">
      <c r="D4019" s="7"/>
    </row>
    <row r="4020" spans="4:4" x14ac:dyDescent="0.25">
      <c r="D4020" s="7"/>
    </row>
    <row r="4021" spans="4:4" x14ac:dyDescent="0.25">
      <c r="D4021" s="7"/>
    </row>
    <row r="4022" spans="4:4" x14ac:dyDescent="0.25">
      <c r="D4022" s="7"/>
    </row>
    <row r="4023" spans="4:4" x14ac:dyDescent="0.25">
      <c r="D4023" s="7"/>
    </row>
    <row r="4024" spans="4:4" x14ac:dyDescent="0.25">
      <c r="D4024" s="7"/>
    </row>
    <row r="4025" spans="4:4" x14ac:dyDescent="0.25">
      <c r="D4025" s="7"/>
    </row>
    <row r="4026" spans="4:4" x14ac:dyDescent="0.25">
      <c r="D4026" s="7"/>
    </row>
    <row r="4027" spans="4:4" x14ac:dyDescent="0.25">
      <c r="D4027" s="7"/>
    </row>
    <row r="4028" spans="4:4" x14ac:dyDescent="0.25">
      <c r="D4028" s="7"/>
    </row>
    <row r="4029" spans="4:4" x14ac:dyDescent="0.25">
      <c r="D4029" s="7"/>
    </row>
    <row r="4030" spans="4:4" x14ac:dyDescent="0.25">
      <c r="D4030" s="7"/>
    </row>
    <row r="4031" spans="4:4" x14ac:dyDescent="0.25">
      <c r="D4031" s="7"/>
    </row>
    <row r="4032" spans="4:4" x14ac:dyDescent="0.25">
      <c r="D4032" s="7"/>
    </row>
    <row r="4033" spans="4:4" x14ac:dyDescent="0.25">
      <c r="D4033" s="7"/>
    </row>
    <row r="4034" spans="4:4" x14ac:dyDescent="0.25">
      <c r="D4034" s="7"/>
    </row>
    <row r="4035" spans="4:4" x14ac:dyDescent="0.25">
      <c r="D4035" s="7"/>
    </row>
    <row r="4036" spans="4:4" x14ac:dyDescent="0.25">
      <c r="D4036" s="7"/>
    </row>
    <row r="4037" spans="4:4" x14ac:dyDescent="0.25">
      <c r="D4037" s="7"/>
    </row>
    <row r="4038" spans="4:4" x14ac:dyDescent="0.25">
      <c r="D4038" s="7"/>
    </row>
    <row r="4039" spans="4:4" x14ac:dyDescent="0.25">
      <c r="D4039" s="7"/>
    </row>
    <row r="4040" spans="4:4" x14ac:dyDescent="0.25">
      <c r="D4040" s="7"/>
    </row>
    <row r="4041" spans="4:4" x14ac:dyDescent="0.25">
      <c r="D4041" s="7"/>
    </row>
    <row r="4042" spans="4:4" x14ac:dyDescent="0.25">
      <c r="D4042" s="7"/>
    </row>
    <row r="4043" spans="4:4" x14ac:dyDescent="0.25">
      <c r="D4043" s="7"/>
    </row>
    <row r="4044" spans="4:4" x14ac:dyDescent="0.25">
      <c r="D4044" s="7"/>
    </row>
    <row r="4045" spans="4:4" x14ac:dyDescent="0.25">
      <c r="D4045" s="7"/>
    </row>
    <row r="4046" spans="4:4" x14ac:dyDescent="0.25">
      <c r="D4046" s="7"/>
    </row>
    <row r="4047" spans="4:4" x14ac:dyDescent="0.25">
      <c r="D4047" s="7"/>
    </row>
    <row r="4048" spans="4:4" x14ac:dyDescent="0.25">
      <c r="D4048" s="7"/>
    </row>
    <row r="4049" spans="4:4" x14ac:dyDescent="0.25">
      <c r="D4049" s="7"/>
    </row>
    <row r="4050" spans="4:4" x14ac:dyDescent="0.25">
      <c r="D4050" s="7"/>
    </row>
    <row r="4051" spans="4:4" x14ac:dyDescent="0.25">
      <c r="D4051" s="7"/>
    </row>
    <row r="4052" spans="4:4" x14ac:dyDescent="0.25">
      <c r="D4052" s="7"/>
    </row>
    <row r="4053" spans="4:4" x14ac:dyDescent="0.25">
      <c r="D4053" s="7"/>
    </row>
    <row r="4054" spans="4:4" x14ac:dyDescent="0.25">
      <c r="D4054" s="7"/>
    </row>
    <row r="4055" spans="4:4" x14ac:dyDescent="0.25">
      <c r="D4055" s="7"/>
    </row>
    <row r="4056" spans="4:4" x14ac:dyDescent="0.25">
      <c r="D4056" s="7"/>
    </row>
    <row r="4057" spans="4:4" x14ac:dyDescent="0.25">
      <c r="D4057" s="7"/>
    </row>
    <row r="4058" spans="4:4" x14ac:dyDescent="0.25">
      <c r="D4058" s="7"/>
    </row>
    <row r="4059" spans="4:4" x14ac:dyDescent="0.25">
      <c r="D4059" s="7"/>
    </row>
    <row r="4060" spans="4:4" x14ac:dyDescent="0.25">
      <c r="D4060" s="7"/>
    </row>
    <row r="4061" spans="4:4" x14ac:dyDescent="0.25">
      <c r="D4061" s="7"/>
    </row>
    <row r="4062" spans="4:4" x14ac:dyDescent="0.25">
      <c r="D4062" s="7"/>
    </row>
    <row r="4063" spans="4:4" x14ac:dyDescent="0.25">
      <c r="D4063" s="7"/>
    </row>
    <row r="4064" spans="4:4" x14ac:dyDescent="0.25">
      <c r="D4064" s="7"/>
    </row>
    <row r="4065" spans="4:4" x14ac:dyDescent="0.25">
      <c r="D4065" s="7"/>
    </row>
    <row r="4066" spans="4:4" x14ac:dyDescent="0.25">
      <c r="D4066" s="7"/>
    </row>
    <row r="4067" spans="4:4" x14ac:dyDescent="0.25">
      <c r="D4067" s="7"/>
    </row>
    <row r="4068" spans="4:4" x14ac:dyDescent="0.25">
      <c r="D4068" s="7"/>
    </row>
    <row r="4069" spans="4:4" x14ac:dyDescent="0.25">
      <c r="D4069" s="7"/>
    </row>
    <row r="4070" spans="4:4" x14ac:dyDescent="0.25">
      <c r="D4070" s="7"/>
    </row>
    <row r="4071" spans="4:4" x14ac:dyDescent="0.25">
      <c r="D4071" s="7"/>
    </row>
    <row r="4072" spans="4:4" x14ac:dyDescent="0.25">
      <c r="D4072" s="7"/>
    </row>
    <row r="4073" spans="4:4" x14ac:dyDescent="0.25">
      <c r="D4073" s="7"/>
    </row>
    <row r="4074" spans="4:4" x14ac:dyDescent="0.25">
      <c r="D4074" s="7"/>
    </row>
    <row r="4075" spans="4:4" x14ac:dyDescent="0.25">
      <c r="D4075" s="7"/>
    </row>
    <row r="4076" spans="4:4" x14ac:dyDescent="0.25">
      <c r="D4076" s="7"/>
    </row>
    <row r="4077" spans="4:4" x14ac:dyDescent="0.25">
      <c r="D4077" s="7"/>
    </row>
    <row r="4078" spans="4:4" x14ac:dyDescent="0.25">
      <c r="D4078" s="7"/>
    </row>
    <row r="4079" spans="4:4" x14ac:dyDescent="0.25">
      <c r="D4079" s="7"/>
    </row>
    <row r="4080" spans="4:4" x14ac:dyDescent="0.25">
      <c r="D4080" s="7"/>
    </row>
    <row r="4081" spans="4:4" x14ac:dyDescent="0.25">
      <c r="D4081" s="7"/>
    </row>
    <row r="4082" spans="4:4" x14ac:dyDescent="0.25">
      <c r="D4082" s="7"/>
    </row>
    <row r="4083" spans="4:4" x14ac:dyDescent="0.25">
      <c r="D4083" s="7"/>
    </row>
    <row r="4084" spans="4:4" x14ac:dyDescent="0.25">
      <c r="D4084" s="7"/>
    </row>
    <row r="4085" spans="4:4" x14ac:dyDescent="0.25">
      <c r="D4085" s="7"/>
    </row>
    <row r="4086" spans="4:4" x14ac:dyDescent="0.25">
      <c r="D4086" s="7"/>
    </row>
    <row r="4087" spans="4:4" x14ac:dyDescent="0.25">
      <c r="D4087" s="7"/>
    </row>
    <row r="4088" spans="4:4" x14ac:dyDescent="0.25">
      <c r="D4088" s="7"/>
    </row>
    <row r="4089" spans="4:4" x14ac:dyDescent="0.25">
      <c r="D4089" s="7"/>
    </row>
    <row r="4090" spans="4:4" x14ac:dyDescent="0.25">
      <c r="D4090" s="7"/>
    </row>
    <row r="4091" spans="4:4" x14ac:dyDescent="0.25">
      <c r="D4091" s="7"/>
    </row>
    <row r="4092" spans="4:4" x14ac:dyDescent="0.25">
      <c r="D4092" s="7"/>
    </row>
    <row r="4093" spans="4:4" x14ac:dyDescent="0.25">
      <c r="D4093" s="7"/>
    </row>
    <row r="4094" spans="4:4" x14ac:dyDescent="0.25">
      <c r="D4094" s="7"/>
    </row>
    <row r="4095" spans="4:4" x14ac:dyDescent="0.25">
      <c r="D4095" s="7"/>
    </row>
    <row r="4096" spans="4:4" x14ac:dyDescent="0.25">
      <c r="D4096" s="7"/>
    </row>
    <row r="4097" spans="4:4" x14ac:dyDescent="0.25">
      <c r="D4097" s="7"/>
    </row>
    <row r="4098" spans="4:4" x14ac:dyDescent="0.25">
      <c r="D4098" s="7"/>
    </row>
    <row r="4099" spans="4:4" x14ac:dyDescent="0.25">
      <c r="D4099" s="7"/>
    </row>
    <row r="4100" spans="4:4" x14ac:dyDescent="0.25">
      <c r="D4100" s="7"/>
    </row>
    <row r="4101" spans="4:4" x14ac:dyDescent="0.25">
      <c r="D4101" s="7"/>
    </row>
    <row r="4102" spans="4:4" x14ac:dyDescent="0.25">
      <c r="D4102" s="7"/>
    </row>
    <row r="4103" spans="4:4" x14ac:dyDescent="0.25">
      <c r="D4103" s="7"/>
    </row>
    <row r="4104" spans="4:4" x14ac:dyDescent="0.25">
      <c r="D4104" s="7"/>
    </row>
    <row r="4105" spans="4:4" x14ac:dyDescent="0.25">
      <c r="D4105" s="7"/>
    </row>
    <row r="4106" spans="4:4" x14ac:dyDescent="0.25">
      <c r="D4106" s="7"/>
    </row>
    <row r="4107" spans="4:4" x14ac:dyDescent="0.25">
      <c r="D4107" s="7"/>
    </row>
    <row r="4108" spans="4:4" x14ac:dyDescent="0.25">
      <c r="D4108" s="7"/>
    </row>
    <row r="4109" spans="4:4" x14ac:dyDescent="0.25">
      <c r="D4109" s="7"/>
    </row>
    <row r="4110" spans="4:4" x14ac:dyDescent="0.25">
      <c r="D4110" s="7"/>
    </row>
    <row r="4111" spans="4:4" x14ac:dyDescent="0.25">
      <c r="D4111" s="7"/>
    </row>
    <row r="4112" spans="4:4" x14ac:dyDescent="0.25">
      <c r="D4112" s="7"/>
    </row>
    <row r="4113" spans="4:4" x14ac:dyDescent="0.25">
      <c r="D4113" s="7"/>
    </row>
    <row r="4114" spans="4:4" x14ac:dyDescent="0.25">
      <c r="D4114" s="7"/>
    </row>
    <row r="4115" spans="4:4" x14ac:dyDescent="0.25">
      <c r="D4115" s="7"/>
    </row>
    <row r="4116" spans="4:4" x14ac:dyDescent="0.25">
      <c r="D4116" s="7"/>
    </row>
    <row r="4117" spans="4:4" x14ac:dyDescent="0.25">
      <c r="D4117" s="7"/>
    </row>
    <row r="4118" spans="4:4" x14ac:dyDescent="0.25">
      <c r="D4118" s="7"/>
    </row>
    <row r="4119" spans="4:4" x14ac:dyDescent="0.25">
      <c r="D4119" s="7"/>
    </row>
    <row r="4120" spans="4:4" x14ac:dyDescent="0.25">
      <c r="D4120" s="7"/>
    </row>
    <row r="4121" spans="4:4" x14ac:dyDescent="0.25">
      <c r="D4121" s="7"/>
    </row>
    <row r="4122" spans="4:4" x14ac:dyDescent="0.25">
      <c r="D4122" s="7"/>
    </row>
    <row r="4123" spans="4:4" x14ac:dyDescent="0.25">
      <c r="D4123" s="7"/>
    </row>
    <row r="4124" spans="4:4" x14ac:dyDescent="0.25">
      <c r="D4124" s="7"/>
    </row>
    <row r="4125" spans="4:4" x14ac:dyDescent="0.25">
      <c r="D4125" s="7"/>
    </row>
    <row r="4126" spans="4:4" x14ac:dyDescent="0.25">
      <c r="D4126" s="7"/>
    </row>
    <row r="4127" spans="4:4" x14ac:dyDescent="0.25">
      <c r="D4127" s="7"/>
    </row>
    <row r="4128" spans="4:4" x14ac:dyDescent="0.25">
      <c r="D4128" s="7"/>
    </row>
    <row r="4129" spans="4:4" x14ac:dyDescent="0.25">
      <c r="D4129" s="7"/>
    </row>
    <row r="4130" spans="4:4" x14ac:dyDescent="0.25">
      <c r="D4130" s="7"/>
    </row>
    <row r="4131" spans="4:4" x14ac:dyDescent="0.25">
      <c r="D4131" s="7"/>
    </row>
    <row r="4132" spans="4:4" x14ac:dyDescent="0.25">
      <c r="D4132" s="7"/>
    </row>
    <row r="4133" spans="4:4" x14ac:dyDescent="0.25">
      <c r="D4133" s="7"/>
    </row>
    <row r="4134" spans="4:4" x14ac:dyDescent="0.25">
      <c r="D4134" s="7"/>
    </row>
    <row r="4135" spans="4:4" x14ac:dyDescent="0.25">
      <c r="D4135" s="7"/>
    </row>
    <row r="4136" spans="4:4" x14ac:dyDescent="0.25">
      <c r="D4136" s="7"/>
    </row>
    <row r="4137" spans="4:4" x14ac:dyDescent="0.25">
      <c r="D4137" s="7"/>
    </row>
    <row r="4138" spans="4:4" x14ac:dyDescent="0.25">
      <c r="D4138" s="7"/>
    </row>
    <row r="4139" spans="4:4" x14ac:dyDescent="0.25">
      <c r="D4139" s="7"/>
    </row>
    <row r="4140" spans="4:4" x14ac:dyDescent="0.25">
      <c r="D4140" s="7"/>
    </row>
    <row r="4141" spans="4:4" x14ac:dyDescent="0.25">
      <c r="D4141" s="7"/>
    </row>
    <row r="4142" spans="4:4" x14ac:dyDescent="0.25">
      <c r="D4142" s="7"/>
    </row>
    <row r="4143" spans="4:4" x14ac:dyDescent="0.25">
      <c r="D4143" s="7"/>
    </row>
    <row r="4144" spans="4:4" x14ac:dyDescent="0.25">
      <c r="D4144" s="7"/>
    </row>
    <row r="4145" spans="4:4" x14ac:dyDescent="0.25">
      <c r="D4145" s="7"/>
    </row>
    <row r="4146" spans="4:4" x14ac:dyDescent="0.25">
      <c r="D4146" s="7"/>
    </row>
    <row r="4147" spans="4:4" x14ac:dyDescent="0.25">
      <c r="D4147" s="7"/>
    </row>
    <row r="4148" spans="4:4" x14ac:dyDescent="0.25">
      <c r="D4148" s="7"/>
    </row>
    <row r="4149" spans="4:4" x14ac:dyDescent="0.25">
      <c r="D4149" s="7"/>
    </row>
    <row r="4150" spans="4:4" x14ac:dyDescent="0.25">
      <c r="D4150" s="7"/>
    </row>
    <row r="4151" spans="4:4" x14ac:dyDescent="0.25">
      <c r="D4151" s="7"/>
    </row>
    <row r="4152" spans="4:4" x14ac:dyDescent="0.25">
      <c r="D4152" s="7"/>
    </row>
    <row r="4153" spans="4:4" x14ac:dyDescent="0.25">
      <c r="D4153" s="7"/>
    </row>
    <row r="4154" spans="4:4" x14ac:dyDescent="0.25">
      <c r="D4154" s="7"/>
    </row>
    <row r="4155" spans="4:4" x14ac:dyDescent="0.25">
      <c r="D4155" s="7"/>
    </row>
    <row r="4156" spans="4:4" x14ac:dyDescent="0.25">
      <c r="D4156" s="7"/>
    </row>
    <row r="4157" spans="4:4" x14ac:dyDescent="0.25">
      <c r="D4157" s="7"/>
    </row>
    <row r="4158" spans="4:4" x14ac:dyDescent="0.25">
      <c r="D4158" s="7"/>
    </row>
    <row r="4159" spans="4:4" x14ac:dyDescent="0.25">
      <c r="D4159" s="7"/>
    </row>
    <row r="4160" spans="4:4" x14ac:dyDescent="0.25">
      <c r="D4160" s="7"/>
    </row>
    <row r="4161" spans="4:4" x14ac:dyDescent="0.25">
      <c r="D4161" s="7"/>
    </row>
    <row r="4162" spans="4:4" x14ac:dyDescent="0.25">
      <c r="D4162" s="7"/>
    </row>
    <row r="4163" spans="4:4" x14ac:dyDescent="0.25">
      <c r="D4163" s="7"/>
    </row>
    <row r="4164" spans="4:4" x14ac:dyDescent="0.25">
      <c r="D4164" s="7"/>
    </row>
    <row r="4165" spans="4:4" x14ac:dyDescent="0.25">
      <c r="D4165" s="7"/>
    </row>
    <row r="4166" spans="4:4" x14ac:dyDescent="0.25">
      <c r="D4166" s="7"/>
    </row>
    <row r="4167" spans="4:4" x14ac:dyDescent="0.25">
      <c r="D4167" s="7"/>
    </row>
    <row r="4168" spans="4:4" x14ac:dyDescent="0.25">
      <c r="D4168" s="7"/>
    </row>
    <row r="4169" spans="4:4" x14ac:dyDescent="0.25">
      <c r="D4169" s="7"/>
    </row>
    <row r="4170" spans="4:4" x14ac:dyDescent="0.25">
      <c r="D4170" s="7"/>
    </row>
    <row r="4171" spans="4:4" x14ac:dyDescent="0.25">
      <c r="D4171" s="7"/>
    </row>
    <row r="4172" spans="4:4" x14ac:dyDescent="0.25">
      <c r="D4172" s="7"/>
    </row>
    <row r="4173" spans="4:4" x14ac:dyDescent="0.25">
      <c r="D4173" s="7"/>
    </row>
    <row r="4174" spans="4:4" x14ac:dyDescent="0.25">
      <c r="D4174" s="7"/>
    </row>
    <row r="4175" spans="4:4" x14ac:dyDescent="0.25">
      <c r="D4175" s="7"/>
    </row>
    <row r="4176" spans="4:4" x14ac:dyDescent="0.25">
      <c r="D4176" s="7"/>
    </row>
    <row r="4177" spans="4:4" x14ac:dyDescent="0.25">
      <c r="D4177" s="7"/>
    </row>
    <row r="4178" spans="4:4" x14ac:dyDescent="0.25">
      <c r="D4178" s="7"/>
    </row>
    <row r="4179" spans="4:4" x14ac:dyDescent="0.25">
      <c r="D4179" s="7"/>
    </row>
    <row r="4180" spans="4:4" x14ac:dyDescent="0.25">
      <c r="D4180" s="7"/>
    </row>
    <row r="4181" spans="4:4" x14ac:dyDescent="0.25">
      <c r="D4181" s="7"/>
    </row>
    <row r="4182" spans="4:4" x14ac:dyDescent="0.25">
      <c r="D4182" s="7"/>
    </row>
    <row r="4183" spans="4:4" x14ac:dyDescent="0.25">
      <c r="D4183" s="7"/>
    </row>
    <row r="4184" spans="4:4" x14ac:dyDescent="0.25">
      <c r="D4184" s="7"/>
    </row>
    <row r="4185" spans="4:4" x14ac:dyDescent="0.25">
      <c r="D4185" s="7"/>
    </row>
    <row r="4186" spans="4:4" x14ac:dyDescent="0.25">
      <c r="D4186" s="7"/>
    </row>
    <row r="4187" spans="4:4" x14ac:dyDescent="0.25">
      <c r="D4187" s="7"/>
    </row>
    <row r="4188" spans="4:4" x14ac:dyDescent="0.25">
      <c r="D4188" s="7"/>
    </row>
    <row r="4189" spans="4:4" x14ac:dyDescent="0.25">
      <c r="D4189" s="7"/>
    </row>
    <row r="4190" spans="4:4" x14ac:dyDescent="0.25">
      <c r="D4190" s="7"/>
    </row>
    <row r="4191" spans="4:4" x14ac:dyDescent="0.25">
      <c r="D4191" s="7"/>
    </row>
    <row r="4192" spans="4:4" x14ac:dyDescent="0.25">
      <c r="D4192" s="7"/>
    </row>
    <row r="4193" spans="4:4" x14ac:dyDescent="0.25">
      <c r="D4193" s="7"/>
    </row>
    <row r="4194" spans="4:4" x14ac:dyDescent="0.25">
      <c r="D4194" s="7"/>
    </row>
    <row r="4195" spans="4:4" x14ac:dyDescent="0.25">
      <c r="D4195" s="7"/>
    </row>
    <row r="4196" spans="4:4" x14ac:dyDescent="0.25">
      <c r="D4196" s="7"/>
    </row>
    <row r="4197" spans="4:4" x14ac:dyDescent="0.25">
      <c r="D4197" s="7"/>
    </row>
    <row r="4198" spans="4:4" x14ac:dyDescent="0.25">
      <c r="D4198" s="7"/>
    </row>
    <row r="4199" spans="4:4" x14ac:dyDescent="0.25">
      <c r="D4199" s="7"/>
    </row>
    <row r="4200" spans="4:4" x14ac:dyDescent="0.25">
      <c r="D4200" s="7"/>
    </row>
    <row r="4201" spans="4:4" x14ac:dyDescent="0.25">
      <c r="D4201" s="7"/>
    </row>
    <row r="4202" spans="4:4" x14ac:dyDescent="0.25">
      <c r="D4202" s="7"/>
    </row>
    <row r="4203" spans="4:4" x14ac:dyDescent="0.25">
      <c r="D4203" s="7"/>
    </row>
    <row r="4204" spans="4:4" x14ac:dyDescent="0.25">
      <c r="D4204" s="7"/>
    </row>
    <row r="4205" spans="4:4" x14ac:dyDescent="0.25">
      <c r="D4205" s="7"/>
    </row>
    <row r="4206" spans="4:4" x14ac:dyDescent="0.25">
      <c r="D4206" s="7"/>
    </row>
    <row r="4207" spans="4:4" x14ac:dyDescent="0.25">
      <c r="D4207" s="7"/>
    </row>
    <row r="4208" spans="4:4" x14ac:dyDescent="0.25">
      <c r="D4208" s="7"/>
    </row>
    <row r="4209" spans="4:4" x14ac:dyDescent="0.25">
      <c r="D4209" s="7"/>
    </row>
    <row r="4210" spans="4:4" x14ac:dyDescent="0.25">
      <c r="D4210" s="7"/>
    </row>
    <row r="4211" spans="4:4" x14ac:dyDescent="0.25">
      <c r="D4211" s="7"/>
    </row>
    <row r="4212" spans="4:4" x14ac:dyDescent="0.25">
      <c r="D4212" s="7"/>
    </row>
    <row r="4213" spans="4:4" x14ac:dyDescent="0.25">
      <c r="D4213" s="7"/>
    </row>
    <row r="4214" spans="4:4" x14ac:dyDescent="0.25">
      <c r="D4214" s="7"/>
    </row>
    <row r="4215" spans="4:4" x14ac:dyDescent="0.25">
      <c r="D4215" s="7"/>
    </row>
    <row r="4216" spans="4:4" x14ac:dyDescent="0.25">
      <c r="D4216" s="7"/>
    </row>
    <row r="4217" spans="4:4" x14ac:dyDescent="0.25">
      <c r="D4217" s="7"/>
    </row>
    <row r="4218" spans="4:4" x14ac:dyDescent="0.25">
      <c r="D4218" s="7"/>
    </row>
    <row r="4219" spans="4:4" x14ac:dyDescent="0.25">
      <c r="D4219" s="7"/>
    </row>
    <row r="4220" spans="4:4" x14ac:dyDescent="0.25">
      <c r="D4220" s="7"/>
    </row>
    <row r="4221" spans="4:4" x14ac:dyDescent="0.25">
      <c r="D4221" s="7"/>
    </row>
    <row r="4222" spans="4:4" x14ac:dyDescent="0.25">
      <c r="D4222" s="7"/>
    </row>
    <row r="4223" spans="4:4" x14ac:dyDescent="0.25">
      <c r="D4223" s="7"/>
    </row>
    <row r="4224" spans="4:4" x14ac:dyDescent="0.25">
      <c r="D4224" s="7"/>
    </row>
    <row r="4225" spans="4:4" x14ac:dyDescent="0.25">
      <c r="D4225" s="7"/>
    </row>
    <row r="4226" spans="4:4" x14ac:dyDescent="0.25">
      <c r="D4226" s="7"/>
    </row>
    <row r="4227" spans="4:4" x14ac:dyDescent="0.25">
      <c r="D4227" s="7"/>
    </row>
    <row r="4228" spans="4:4" x14ac:dyDescent="0.25">
      <c r="D4228" s="7"/>
    </row>
    <row r="4229" spans="4:4" x14ac:dyDescent="0.25">
      <c r="D4229" s="7"/>
    </row>
    <row r="4230" spans="4:4" x14ac:dyDescent="0.25">
      <c r="D4230" s="7"/>
    </row>
    <row r="4231" spans="4:4" x14ac:dyDescent="0.25">
      <c r="D4231" s="7"/>
    </row>
    <row r="4232" spans="4:4" x14ac:dyDescent="0.25">
      <c r="D4232" s="7"/>
    </row>
    <row r="4233" spans="4:4" x14ac:dyDescent="0.25">
      <c r="D4233" s="7"/>
    </row>
    <row r="4234" spans="4:4" x14ac:dyDescent="0.25">
      <c r="D4234" s="7"/>
    </row>
  </sheetData>
  <mergeCells count="9">
    <mergeCell ref="A6:A9"/>
    <mergeCell ref="E6:E8"/>
    <mergeCell ref="A1:C1"/>
    <mergeCell ref="E1:H1"/>
    <mergeCell ref="A2:B2"/>
    <mergeCell ref="E2:F2"/>
    <mergeCell ref="G2:H2"/>
    <mergeCell ref="A3:A5"/>
    <mergeCell ref="E3:E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BUNDLE STOCK </vt:lpstr>
      <vt:lpstr>ITEM CODE</vt:lpstr>
      <vt:lpstr>OVERALL</vt:lpstr>
      <vt:lpstr>SPRING</vt:lpstr>
      <vt:lpstr>SPRING COUNT</vt:lpstr>
      <vt:lpstr>SPRING WEIGHT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2026-03-03T11:35:29Z</dcterms:modified>
</cp:coreProperties>
</file>