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60" windowHeight="7680" firstSheet="1" activeTab="2"/>
  </bookViews>
  <sheets>
    <sheet name="CBEWIP" sheetId="2" r:id="rId1"/>
    <sheet name="WIP ENTRY" sheetId="10" r:id="rId2"/>
    <sheet name="OVERALL" sheetId="12" r:id="rId3"/>
    <sheet name="COTTON FELT CALCULATION" sheetId="20" r:id="rId4"/>
    <sheet name="STEEL WIRE PRINT" sheetId="13" r:id="rId5"/>
    <sheet name="NON-WOVEN" sheetId="14" r:id="rId6"/>
    <sheet name="PIN BOX" sheetId="16" r:id="rId7"/>
    <sheet name="CALCULATION" sheetId="7" r:id="rId8"/>
    <sheet name="Sheet2" sheetId="19" r:id="rId9"/>
    <sheet name="CONTTON FELT CALCULATION" sheetId="17" r:id="rId10"/>
  </sheets>
  <definedNames>
    <definedName name="_xlnm._FilterDatabase" localSheetId="0" hidden="1">CBEWIP!$A$1:$F$36</definedName>
    <definedName name="_xlnm.Print_Titles" localSheetId="0">CBEWIP!$1:$1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2" l="1"/>
  <c r="F46" i="12"/>
  <c r="D46" i="12"/>
  <c r="D46" i="2" s="1"/>
  <c r="AT19" i="10" l="1"/>
  <c r="D8" i="2" l="1"/>
  <c r="D9" i="2"/>
  <c r="D49" i="2"/>
  <c r="D57" i="2"/>
  <c r="D65" i="2"/>
  <c r="B68" i="2"/>
  <c r="B59" i="2"/>
  <c r="B60" i="2"/>
  <c r="B61" i="2"/>
  <c r="B62" i="2"/>
  <c r="B63" i="2"/>
  <c r="B64" i="2"/>
  <c r="B65" i="2"/>
  <c r="B66" i="2"/>
  <c r="B67" i="2"/>
  <c r="B55" i="2"/>
  <c r="B56" i="2"/>
  <c r="B57" i="2"/>
  <c r="B5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7" i="2"/>
  <c r="B48" i="2"/>
  <c r="B49" i="2"/>
  <c r="B50" i="2"/>
  <c r="B51" i="2"/>
  <c r="B52" i="2"/>
  <c r="B53" i="2"/>
  <c r="B54" i="2"/>
  <c r="B2" i="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47" i="12"/>
  <c r="F35" i="12"/>
  <c r="F35" i="2" s="1"/>
  <c r="F36" i="12"/>
  <c r="F36" i="2" s="1"/>
  <c r="F37" i="12"/>
  <c r="F37" i="2" s="1"/>
  <c r="F38" i="12"/>
  <c r="F38" i="2" s="1"/>
  <c r="F39" i="12"/>
  <c r="F39" i="2" s="1"/>
  <c r="F40" i="12"/>
  <c r="F40" i="2" s="1"/>
  <c r="F41" i="12"/>
  <c r="F41" i="2" s="1"/>
  <c r="F42" i="12"/>
  <c r="F42" i="2" s="1"/>
  <c r="F43" i="12"/>
  <c r="F43" i="2" s="1"/>
  <c r="F44" i="12"/>
  <c r="F44" i="2" s="1"/>
  <c r="F45" i="12"/>
  <c r="F45" i="2" s="1"/>
  <c r="F34" i="12"/>
  <c r="F34" i="2" s="1"/>
  <c r="F30" i="12"/>
  <c r="F30" i="2" s="1"/>
  <c r="F31" i="12"/>
  <c r="F31" i="2" s="1"/>
  <c r="F32" i="12"/>
  <c r="F32" i="2" s="1"/>
  <c r="F33" i="12"/>
  <c r="F33" i="2" s="1"/>
  <c r="F29" i="12"/>
  <c r="F29" i="2" s="1"/>
  <c r="D48" i="12"/>
  <c r="D48" i="2" s="1"/>
  <c r="D49" i="12"/>
  <c r="D50" i="12"/>
  <c r="D50" i="2" s="1"/>
  <c r="D51" i="12"/>
  <c r="D51" i="2" s="1"/>
  <c r="D52" i="12"/>
  <c r="D52" i="2" s="1"/>
  <c r="D53" i="12"/>
  <c r="D53" i="2" s="1"/>
  <c r="D54" i="12"/>
  <c r="D54" i="2" s="1"/>
  <c r="D55" i="12"/>
  <c r="D55" i="2" s="1"/>
  <c r="D56" i="12"/>
  <c r="D56" i="2" s="1"/>
  <c r="D57" i="12"/>
  <c r="D58" i="12"/>
  <c r="D58" i="2" s="1"/>
  <c r="D59" i="12"/>
  <c r="D59" i="2" s="1"/>
  <c r="D60" i="12"/>
  <c r="D60" i="2" s="1"/>
  <c r="D61" i="12"/>
  <c r="D61" i="2" s="1"/>
  <c r="D62" i="12"/>
  <c r="D62" i="2" s="1"/>
  <c r="D63" i="12"/>
  <c r="D63" i="2" s="1"/>
  <c r="D64" i="12"/>
  <c r="D64" i="2" s="1"/>
  <c r="D65" i="12"/>
  <c r="D66" i="12"/>
  <c r="D66" i="2" s="1"/>
  <c r="D67" i="12"/>
  <c r="D67" i="2" s="1"/>
  <c r="D68" i="12"/>
  <c r="D68" i="2" s="1"/>
  <c r="D47" i="12"/>
  <c r="D47" i="2" s="1"/>
  <c r="D35" i="12"/>
  <c r="D35" i="2" s="1"/>
  <c r="D36" i="12"/>
  <c r="D36" i="2" s="1"/>
  <c r="D37" i="12"/>
  <c r="D37" i="2" s="1"/>
  <c r="D38" i="12"/>
  <c r="D38" i="2" s="1"/>
  <c r="D39" i="12"/>
  <c r="D39" i="2" s="1"/>
  <c r="D40" i="12"/>
  <c r="D40" i="2" s="1"/>
  <c r="D41" i="12"/>
  <c r="D41" i="2" s="1"/>
  <c r="D42" i="12"/>
  <c r="D42" i="2" s="1"/>
  <c r="D43" i="12"/>
  <c r="D43" i="2" s="1"/>
  <c r="D44" i="12"/>
  <c r="D44" i="2" s="1"/>
  <c r="D45" i="12"/>
  <c r="D45" i="2" s="1"/>
  <c r="D34" i="12"/>
  <c r="D34" i="2" s="1"/>
  <c r="D30" i="12"/>
  <c r="D30" i="2" s="1"/>
  <c r="D31" i="12"/>
  <c r="D31" i="2" s="1"/>
  <c r="D32" i="12"/>
  <c r="D32" i="2" s="1"/>
  <c r="D33" i="12"/>
  <c r="D33" i="2" s="1"/>
  <c r="D29" i="12"/>
  <c r="D29" i="2" s="1"/>
  <c r="D21" i="12"/>
  <c r="D21" i="2" s="1"/>
  <c r="D22" i="12"/>
  <c r="D22" i="2" s="1"/>
  <c r="D23" i="12"/>
  <c r="D23" i="2" s="1"/>
  <c r="D24" i="12"/>
  <c r="D24" i="2" s="1"/>
  <c r="D25" i="12"/>
  <c r="D25" i="2" s="1"/>
  <c r="D26" i="12"/>
  <c r="D26" i="2" s="1"/>
  <c r="D27" i="12"/>
  <c r="D27" i="2" s="1"/>
  <c r="D28" i="12"/>
  <c r="D28" i="2" s="1"/>
  <c r="D20" i="12"/>
  <c r="D20" i="2" s="1"/>
  <c r="D13" i="12"/>
  <c r="D13" i="2" s="1"/>
  <c r="D14" i="12"/>
  <c r="D14" i="2" s="1"/>
  <c r="D15" i="12"/>
  <c r="D15" i="2" s="1"/>
  <c r="D16" i="12"/>
  <c r="D16" i="2" s="1"/>
  <c r="D17" i="12"/>
  <c r="D17" i="2" s="1"/>
  <c r="D18" i="12"/>
  <c r="D18" i="2" s="1"/>
  <c r="D19" i="12"/>
  <c r="D19" i="2" s="1"/>
  <c r="D12" i="12"/>
  <c r="D12" i="2" s="1"/>
  <c r="D3" i="12"/>
  <c r="D3" i="2" s="1"/>
  <c r="D4" i="12"/>
  <c r="D4" i="2" s="1"/>
  <c r="D5" i="12"/>
  <c r="D5" i="2" s="1"/>
  <c r="D6" i="12"/>
  <c r="D6" i="2" s="1"/>
  <c r="D7" i="12"/>
  <c r="D7" i="2" s="1"/>
  <c r="D8" i="12"/>
  <c r="D9" i="12"/>
  <c r="D10" i="12"/>
  <c r="D10" i="2" s="1"/>
  <c r="D11" i="12"/>
  <c r="D11" i="2" s="1"/>
  <c r="D2" i="12"/>
  <c r="D2" i="2" s="1"/>
  <c r="E23" i="20"/>
  <c r="G23" i="20" s="1"/>
  <c r="E22" i="20"/>
  <c r="G22" i="20" s="1"/>
  <c r="E21" i="20"/>
  <c r="G21" i="20" s="1"/>
  <c r="E20" i="20"/>
  <c r="G20" i="20" s="1"/>
  <c r="E19" i="20"/>
  <c r="G19" i="20" s="1"/>
  <c r="E18" i="20"/>
  <c r="G18" i="20" s="1"/>
  <c r="E17" i="20"/>
  <c r="G17" i="20" s="1"/>
  <c r="E16" i="20"/>
  <c r="G16" i="20" s="1"/>
  <c r="E15" i="20"/>
  <c r="G15" i="20" s="1"/>
  <c r="E14" i="20"/>
  <c r="G14" i="20" s="1"/>
  <c r="E13" i="20"/>
  <c r="G13" i="20" s="1"/>
  <c r="E12" i="20"/>
  <c r="G12" i="20" s="1"/>
  <c r="E11" i="20"/>
  <c r="G11" i="20" s="1"/>
  <c r="E10" i="20"/>
  <c r="G10" i="20" s="1"/>
  <c r="E9" i="20"/>
  <c r="G9" i="20" s="1"/>
  <c r="E8" i="20"/>
  <c r="G8" i="20" s="1"/>
  <c r="E7" i="20"/>
  <c r="G7" i="20" s="1"/>
  <c r="E6" i="20"/>
  <c r="G6" i="20" s="1"/>
  <c r="E5" i="20"/>
  <c r="G5" i="20" s="1"/>
  <c r="E4" i="20"/>
  <c r="G4" i="20" s="1"/>
  <c r="E3" i="20"/>
  <c r="G3" i="20" s="1"/>
  <c r="E2" i="20"/>
  <c r="G2" i="20" s="1"/>
  <c r="AV23" i="10" l="1"/>
  <c r="F47" i="12" s="1"/>
  <c r="F47" i="2" s="1"/>
  <c r="AV24" i="10"/>
  <c r="F48" i="12" s="1"/>
  <c r="F48" i="2" s="1"/>
  <c r="AV25" i="10"/>
  <c r="AV26" i="10"/>
  <c r="F50" i="12" s="1"/>
  <c r="F50" i="2" s="1"/>
  <c r="AV27" i="10"/>
  <c r="F51" i="12" s="1"/>
  <c r="F51" i="2" s="1"/>
  <c r="AV28" i="10"/>
  <c r="F52" i="12" s="1"/>
  <c r="F52" i="2" s="1"/>
  <c r="F49" i="12" l="1"/>
  <c r="F49" i="2" s="1"/>
  <c r="AV29" i="10"/>
  <c r="F53" i="12" s="1"/>
  <c r="F53" i="2" s="1"/>
  <c r="AV30" i="10"/>
  <c r="F54" i="12" s="1"/>
  <c r="F54" i="2" s="1"/>
  <c r="AV31" i="10"/>
  <c r="F55" i="12" s="1"/>
  <c r="F55" i="2" s="1"/>
  <c r="AV32" i="10"/>
  <c r="F56" i="12" s="1"/>
  <c r="F56" i="2" s="1"/>
  <c r="AV33" i="10"/>
  <c r="F57" i="12" s="1"/>
  <c r="F57" i="2" s="1"/>
  <c r="AV34" i="10"/>
  <c r="F58" i="12" s="1"/>
  <c r="F58" i="2" s="1"/>
  <c r="AV35" i="10"/>
  <c r="F59" i="12" s="1"/>
  <c r="F59" i="2" s="1"/>
  <c r="AV36" i="10"/>
  <c r="F60" i="12" s="1"/>
  <c r="F60" i="2" s="1"/>
  <c r="AV37" i="10"/>
  <c r="F61" i="12" s="1"/>
  <c r="F61" i="2" s="1"/>
  <c r="AV38" i="10"/>
  <c r="F62" i="12" s="1"/>
  <c r="F62" i="2" s="1"/>
  <c r="AV39" i="10"/>
  <c r="F63" i="12" s="1"/>
  <c r="F63" i="2" s="1"/>
  <c r="AV40" i="10"/>
  <c r="F64" i="12" s="1"/>
  <c r="F64" i="2" s="1"/>
  <c r="AV41" i="10"/>
  <c r="F65" i="12" s="1"/>
  <c r="F65" i="2" s="1"/>
  <c r="AV42" i="10"/>
  <c r="F66" i="12" s="1"/>
  <c r="F66" i="2" s="1"/>
  <c r="AV43" i="10"/>
  <c r="F67" i="12" s="1"/>
  <c r="F67" i="2" s="1"/>
  <c r="AV44" i="10"/>
  <c r="F68" i="12" s="1"/>
  <c r="F68" i="2" s="1"/>
  <c r="AV45" i="10" l="1"/>
  <c r="K37" i="17" l="1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3" i="17" l="1"/>
  <c r="E19" i="17" s="1"/>
  <c r="D128" i="13" l="1"/>
  <c r="D129" i="13"/>
  <c r="D130" i="13"/>
  <c r="D127" i="13"/>
  <c r="D125" i="13"/>
  <c r="D124" i="13"/>
  <c r="D123" i="13"/>
  <c r="D44" i="13"/>
  <c r="D45" i="13"/>
  <c r="D43" i="13"/>
  <c r="D41" i="13"/>
  <c r="D40" i="13"/>
  <c r="D39" i="13"/>
  <c r="D131" i="13" l="1"/>
  <c r="D46" i="13"/>
  <c r="E36" i="10" l="1"/>
  <c r="E4" i="12" s="1"/>
  <c r="F36" i="10"/>
  <c r="E5" i="12" s="1"/>
  <c r="G36" i="10"/>
  <c r="E6" i="12" s="1"/>
  <c r="E37" i="10"/>
  <c r="F4" i="12" s="1"/>
  <c r="F4" i="2" s="1"/>
  <c r="F37" i="10"/>
  <c r="F5" i="12" s="1"/>
  <c r="F5" i="2" s="1"/>
  <c r="G37" i="10"/>
  <c r="F6" i="12" s="1"/>
  <c r="F6" i="2" s="1"/>
  <c r="D36" i="10"/>
  <c r="E3" i="12" s="1"/>
  <c r="D37" i="10"/>
  <c r="F3" i="12" s="1"/>
  <c r="F3" i="2" s="1"/>
  <c r="D72" i="16" l="1"/>
  <c r="D71" i="16"/>
  <c r="D70" i="16"/>
  <c r="D64" i="16"/>
  <c r="D63" i="16"/>
  <c r="D62" i="16"/>
  <c r="D55" i="16"/>
  <c r="D54" i="16"/>
  <c r="D53" i="16"/>
  <c r="D48" i="16"/>
  <c r="D47" i="16"/>
  <c r="D46" i="16"/>
  <c r="D40" i="16"/>
  <c r="D39" i="16"/>
  <c r="D38" i="16"/>
  <c r="D31" i="16"/>
  <c r="D30" i="16"/>
  <c r="D29" i="16"/>
  <c r="D23" i="16"/>
  <c r="D22" i="16"/>
  <c r="D21" i="16"/>
  <c r="D15" i="16"/>
  <c r="D14" i="16"/>
  <c r="D13" i="16"/>
  <c r="D5" i="16"/>
  <c r="D4" i="16"/>
  <c r="D3" i="16"/>
  <c r="D208" i="14" l="1"/>
  <c r="D209" i="14"/>
  <c r="D207" i="14"/>
  <c r="D218" i="14"/>
  <c r="D219" i="14"/>
  <c r="D217" i="14"/>
  <c r="D215" i="14"/>
  <c r="D214" i="14"/>
  <c r="D213" i="14"/>
  <c r="D205" i="14"/>
  <c r="D203" i="14"/>
  <c r="D204" i="14"/>
  <c r="D198" i="14"/>
  <c r="D199" i="14"/>
  <c r="D197" i="14"/>
  <c r="D195" i="14"/>
  <c r="D194" i="14"/>
  <c r="D193" i="14"/>
  <c r="D164" i="14"/>
  <c r="D165" i="14"/>
  <c r="D166" i="14"/>
  <c r="D167" i="14"/>
  <c r="D168" i="14"/>
  <c r="D169" i="14"/>
  <c r="D170" i="14"/>
  <c r="D171" i="14"/>
  <c r="D172" i="14"/>
  <c r="D163" i="14"/>
  <c r="D181" i="14"/>
  <c r="D182" i="14"/>
  <c r="D183" i="14"/>
  <c r="D184" i="14"/>
  <c r="D185" i="14"/>
  <c r="D186" i="14"/>
  <c r="D187" i="14"/>
  <c r="D188" i="14"/>
  <c r="D189" i="14"/>
  <c r="D180" i="14"/>
  <c r="D178" i="14"/>
  <c r="D177" i="14"/>
  <c r="D176" i="14"/>
  <c r="D161" i="14"/>
  <c r="D160" i="14"/>
  <c r="D159" i="14"/>
  <c r="D151" i="14"/>
  <c r="D152" i="14"/>
  <c r="D153" i="14"/>
  <c r="D154" i="14"/>
  <c r="D155" i="14"/>
  <c r="D150" i="14"/>
  <c r="D142" i="14"/>
  <c r="D143" i="14"/>
  <c r="D144" i="14"/>
  <c r="D145" i="14"/>
  <c r="D146" i="14"/>
  <c r="D147" i="14"/>
  <c r="D148" i="14"/>
  <c r="D149" i="14"/>
  <c r="D141" i="14"/>
  <c r="D139" i="14"/>
  <c r="D138" i="14"/>
  <c r="D137" i="14"/>
  <c r="D125" i="14"/>
  <c r="D126" i="14"/>
  <c r="D127" i="14"/>
  <c r="D128" i="14"/>
  <c r="D129" i="14"/>
  <c r="D130" i="14"/>
  <c r="D131" i="14"/>
  <c r="D132" i="14"/>
  <c r="D133" i="14"/>
  <c r="D124" i="14"/>
  <c r="D122" i="14"/>
  <c r="D121" i="14"/>
  <c r="D120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02" i="14"/>
  <c r="D100" i="14"/>
  <c r="D99" i="14"/>
  <c r="D98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80" i="14"/>
  <c r="D78" i="14"/>
  <c r="D77" i="14"/>
  <c r="D76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58" i="14"/>
  <c r="D56" i="14"/>
  <c r="D55" i="14"/>
  <c r="D54" i="14"/>
  <c r="D42" i="14"/>
  <c r="D43" i="14"/>
  <c r="D44" i="14"/>
  <c r="D45" i="14"/>
  <c r="D46" i="14"/>
  <c r="D47" i="14"/>
  <c r="D48" i="14"/>
  <c r="D49" i="14"/>
  <c r="D50" i="14"/>
  <c r="D41" i="14"/>
  <c r="D39" i="14"/>
  <c r="D37" i="14"/>
  <c r="D38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19" i="14"/>
  <c r="D17" i="14"/>
  <c r="D16" i="14"/>
  <c r="D15" i="14"/>
  <c r="D210" i="14" l="1"/>
  <c r="D220" i="14"/>
  <c r="D200" i="14"/>
  <c r="D190" i="14"/>
  <c r="D173" i="14"/>
  <c r="D156" i="14"/>
  <c r="D134" i="14"/>
  <c r="D7" i="14"/>
  <c r="D8" i="14"/>
  <c r="D9" i="14"/>
  <c r="D10" i="14"/>
  <c r="D6" i="14"/>
  <c r="D4" i="14"/>
  <c r="D3" i="14"/>
  <c r="D2" i="14"/>
  <c r="D11" i="14" l="1"/>
  <c r="D73" i="14"/>
  <c r="D95" i="14"/>
  <c r="D117" i="14"/>
  <c r="D34" i="14"/>
  <c r="D51" i="14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14" i="13"/>
  <c r="D212" i="13"/>
  <c r="D211" i="13"/>
  <c r="D210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177" i="13"/>
  <c r="D175" i="13"/>
  <c r="D174" i="13"/>
  <c r="D173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40" i="13"/>
  <c r="D138" i="13"/>
  <c r="D137" i="13"/>
  <c r="D136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90" i="13"/>
  <c r="D88" i="13"/>
  <c r="D87" i="13"/>
  <c r="D86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53" i="13"/>
  <c r="D51" i="13"/>
  <c r="D50" i="13"/>
  <c r="D49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4" i="13"/>
  <c r="D3" i="13"/>
  <c r="D2" i="13"/>
  <c r="D244" i="13" l="1"/>
  <c r="D207" i="13"/>
  <c r="D170" i="13"/>
  <c r="D120" i="13"/>
  <c r="D83" i="13"/>
  <c r="D36" i="13"/>
  <c r="D6" i="7"/>
  <c r="Y36" i="10"/>
  <c r="E20" i="12" s="1"/>
  <c r="Y37" i="10"/>
  <c r="F20" i="12" s="1"/>
  <c r="F20" i="2" s="1"/>
  <c r="D42" i="16" l="1"/>
  <c r="D41" i="16" s="1"/>
  <c r="AA36" i="10" l="1"/>
  <c r="E22" i="12" s="1"/>
  <c r="AB36" i="10"/>
  <c r="E23" i="12" s="1"/>
  <c r="AC36" i="10"/>
  <c r="E24" i="12" s="1"/>
  <c r="AD36" i="10"/>
  <c r="E25" i="12" s="1"/>
  <c r="AE36" i="10"/>
  <c r="E26" i="12" s="1"/>
  <c r="AF36" i="10"/>
  <c r="E27" i="12" s="1"/>
  <c r="AG36" i="10"/>
  <c r="E28" i="12" s="1"/>
  <c r="AJ36" i="10"/>
  <c r="E29" i="12" s="1"/>
  <c r="AK36" i="10"/>
  <c r="E30" i="12" s="1"/>
  <c r="AL36" i="10"/>
  <c r="E31" i="12" s="1"/>
  <c r="AM36" i="10"/>
  <c r="E32" i="12" s="1"/>
  <c r="AN36" i="10"/>
  <c r="E33" i="12" s="1"/>
  <c r="AA37" i="10"/>
  <c r="F22" i="12" s="1"/>
  <c r="F22" i="2" s="1"/>
  <c r="AB37" i="10"/>
  <c r="F23" i="12" s="1"/>
  <c r="F23" i="2" s="1"/>
  <c r="AC37" i="10"/>
  <c r="F24" i="12" s="1"/>
  <c r="F24" i="2" s="1"/>
  <c r="AD37" i="10"/>
  <c r="F25" i="12" s="1"/>
  <c r="F25" i="2" s="1"/>
  <c r="AE37" i="10"/>
  <c r="F26" i="12" s="1"/>
  <c r="F26" i="2" s="1"/>
  <c r="AF37" i="10"/>
  <c r="F27" i="12" s="1"/>
  <c r="F27" i="2" s="1"/>
  <c r="AG37" i="10"/>
  <c r="F28" i="12" s="1"/>
  <c r="F28" i="2" s="1"/>
  <c r="AJ37" i="10"/>
  <c r="AK37" i="10"/>
  <c r="AL37" i="10"/>
  <c r="AM37" i="10"/>
  <c r="AN37" i="10"/>
  <c r="Z37" i="10"/>
  <c r="F21" i="12" s="1"/>
  <c r="F21" i="2" s="1"/>
  <c r="Z36" i="10"/>
  <c r="E21" i="12" s="1"/>
  <c r="P36" i="10"/>
  <c r="E13" i="12" s="1"/>
  <c r="Q36" i="10"/>
  <c r="E14" i="12" s="1"/>
  <c r="R36" i="10"/>
  <c r="E15" i="12" s="1"/>
  <c r="S36" i="10"/>
  <c r="E16" i="12" s="1"/>
  <c r="T36" i="10"/>
  <c r="E17" i="12" s="1"/>
  <c r="U36" i="10"/>
  <c r="E18" i="12" s="1"/>
  <c r="V36" i="10"/>
  <c r="E19" i="12" s="1"/>
  <c r="P37" i="10"/>
  <c r="F13" i="12" s="1"/>
  <c r="F13" i="2" s="1"/>
  <c r="Q37" i="10"/>
  <c r="F14" i="12" s="1"/>
  <c r="F14" i="2" s="1"/>
  <c r="R37" i="10"/>
  <c r="F15" i="12" s="1"/>
  <c r="F15" i="2" s="1"/>
  <c r="S37" i="10"/>
  <c r="F16" i="12" s="1"/>
  <c r="F16" i="2" s="1"/>
  <c r="T37" i="10"/>
  <c r="F17" i="12" s="1"/>
  <c r="F17" i="2" s="1"/>
  <c r="U37" i="10"/>
  <c r="F18" i="12" s="1"/>
  <c r="F18" i="2" s="1"/>
  <c r="V37" i="10"/>
  <c r="F19" i="12" s="1"/>
  <c r="F19" i="2" s="1"/>
  <c r="O37" i="10"/>
  <c r="F12" i="12" s="1"/>
  <c r="F12" i="2" s="1"/>
  <c r="O36" i="10"/>
  <c r="E12" i="12" s="1"/>
  <c r="D33" i="16" l="1"/>
  <c r="D32" i="16" s="1"/>
  <c r="D66" i="16"/>
  <c r="D65" i="16" s="1"/>
  <c r="D24" i="16"/>
  <c r="D56" i="16"/>
  <c r="D16" i="16"/>
  <c r="D73" i="16"/>
  <c r="D6" i="16"/>
  <c r="D49" i="16"/>
  <c r="H36" i="10"/>
  <c r="E7" i="12" s="1"/>
  <c r="I36" i="10"/>
  <c r="E8" i="12" s="1"/>
  <c r="J36" i="10"/>
  <c r="E9" i="12" s="1"/>
  <c r="K36" i="10"/>
  <c r="E10" i="12" s="1"/>
  <c r="L36" i="10"/>
  <c r="E11" i="12" s="1"/>
  <c r="H37" i="10"/>
  <c r="F7" i="12" s="1"/>
  <c r="F7" i="2" s="1"/>
  <c r="I37" i="10"/>
  <c r="F8" i="12" s="1"/>
  <c r="F8" i="2" s="1"/>
  <c r="J37" i="10"/>
  <c r="F9" i="12" s="1"/>
  <c r="F9" i="2" s="1"/>
  <c r="K37" i="10"/>
  <c r="F10" i="12" s="1"/>
  <c r="F10" i="2" s="1"/>
  <c r="L37" i="10"/>
  <c r="F11" i="12" s="1"/>
  <c r="F11" i="2" s="1"/>
  <c r="C37" i="10"/>
  <c r="F2" i="12" s="1"/>
  <c r="F2" i="2" s="1"/>
  <c r="C36" i="10"/>
  <c r="E2" i="12" s="1"/>
  <c r="D2" i="7" l="1"/>
  <c r="D5" i="7" l="1"/>
  <c r="D4" i="7" l="1"/>
  <c r="D3" i="7"/>
</calcChain>
</file>

<file path=xl/sharedStrings.xml><?xml version="1.0" encoding="utf-8"?>
<sst xmlns="http://schemas.openxmlformats.org/spreadsheetml/2006/main" count="650" uniqueCount="219">
  <si>
    <t>SI.No</t>
  </si>
  <si>
    <t>UOM</t>
  </si>
  <si>
    <t>STEEL</t>
  </si>
  <si>
    <t>NOS</t>
  </si>
  <si>
    <t>CBEWIP</t>
  </si>
  <si>
    <t>RML-HR24</t>
  </si>
  <si>
    <t>BOX</t>
  </si>
  <si>
    <t>RML-CL12B</t>
  </si>
  <si>
    <t>RML-CL85</t>
  </si>
  <si>
    <t>RML-POLY-GUM</t>
  </si>
  <si>
    <t>RMI-HGLUE</t>
  </si>
  <si>
    <t>KGS</t>
  </si>
  <si>
    <t>RML-STW-1.4MM</t>
  </si>
  <si>
    <t>RML-STW-1.8MM</t>
  </si>
  <si>
    <t>RML-STW-1.9MM</t>
  </si>
  <si>
    <t>RML-STW-2.1MM</t>
  </si>
  <si>
    <t>RML-STW-2.2MM</t>
  </si>
  <si>
    <t>RML-STW-2.3MM</t>
  </si>
  <si>
    <t>RML-STW-3.6MM</t>
  </si>
  <si>
    <t>RML-STRAP-ROLL</t>
  </si>
  <si>
    <t>RML-PAK-THRD</t>
  </si>
  <si>
    <t>RML-TAG-WHIT</t>
  </si>
  <si>
    <t>RM-NWN-POS-34CMX70GSM</t>
  </si>
  <si>
    <t>RM-NWN-POS-37CMX70GSM</t>
  </si>
  <si>
    <t>RM-NWN-POS-45CMX70GSM</t>
  </si>
  <si>
    <t>RM-NWN-POS-50CMX70GSM</t>
  </si>
  <si>
    <t>RM-NWN-POS-58CMX70GSM</t>
  </si>
  <si>
    <t>RML-NWN-70GSMX79"</t>
  </si>
  <si>
    <t>TOTAL</t>
  </si>
  <si>
    <t>STRAP ROLL</t>
  </si>
  <si>
    <t>CL-85</t>
  </si>
  <si>
    <t>CL-12B</t>
  </si>
  <si>
    <t>HR-24</t>
  </si>
  <si>
    <t>ITEM CODE</t>
  </si>
  <si>
    <t>BOX WEIGHT</t>
  </si>
  <si>
    <t>OPEN BOX WEIGHT</t>
  </si>
  <si>
    <t>NO.OF BOX OPEN BOX</t>
  </si>
  <si>
    <t>ITEM</t>
  </si>
  <si>
    <t>RM-NWN-POS-37CMX70GSM-GRN</t>
  </si>
  <si>
    <t>RM-NWN-POS-50CMX70GSM-GRN</t>
  </si>
  <si>
    <t>RML-STW-4.0MM</t>
  </si>
  <si>
    <t>RML-NWN-70GSMX76"</t>
  </si>
  <si>
    <t>RML-NWN-80GSMX82BLK</t>
  </si>
  <si>
    <t>RML-TEX-CLEANER</t>
  </si>
  <si>
    <t>RM-NWN-POS-54CMX70GSM</t>
  </si>
  <si>
    <t>RML-NWN-80GSMX8"</t>
  </si>
  <si>
    <t>S.NO</t>
  </si>
  <si>
    <t>TOTAL WEIGHT</t>
  </si>
  <si>
    <t>12B</t>
  </si>
  <si>
    <t>GUM</t>
  </si>
  <si>
    <t>S</t>
  </si>
  <si>
    <t>T</t>
  </si>
  <si>
    <t>W</t>
  </si>
  <si>
    <t>MC</t>
  </si>
  <si>
    <t>LTRS</t>
  </si>
  <si>
    <t>NO.OF ROLLS</t>
  </si>
  <si>
    <t>NO.OF BOX</t>
  </si>
  <si>
    <t>37G</t>
  </si>
  <si>
    <t>50G</t>
  </si>
  <si>
    <t>82BLK</t>
  </si>
  <si>
    <t>NON-WOVEN  STOCK DETAILS</t>
  </si>
  <si>
    <t>PIN BOX &amp; GUM ,TOKEN, STRAP ROLL , STOCK DETAILS</t>
  </si>
  <si>
    <t>STEEL WIRE STOCK DETAILS</t>
  </si>
  <si>
    <t>EPE SHEET STOCK DETAILS</t>
  </si>
  <si>
    <t>78X60</t>
  </si>
  <si>
    <t>78X72</t>
  </si>
  <si>
    <t>75X60</t>
  </si>
  <si>
    <t>75X72</t>
  </si>
  <si>
    <t>75X48</t>
  </si>
  <si>
    <t>SIZE</t>
  </si>
  <si>
    <t>72X36</t>
  </si>
  <si>
    <t>72X48</t>
  </si>
  <si>
    <t>72X60</t>
  </si>
  <si>
    <t>75X36</t>
  </si>
  <si>
    <t>78X36</t>
  </si>
  <si>
    <t>78X48</t>
  </si>
  <si>
    <t>KGS/NOS</t>
  </si>
  <si>
    <t>QTY</t>
  </si>
  <si>
    <t>ITEMCODE</t>
  </si>
  <si>
    <t>NO.0F ROLLS / BOX/CANE</t>
  </si>
  <si>
    <t>GLUE</t>
  </si>
  <si>
    <t>WAREHOUSE</t>
  </si>
  <si>
    <t>ITEM DESCRIPTION</t>
  </si>
  <si>
    <t>0.97 ltr</t>
  </si>
  <si>
    <t>1 kg</t>
  </si>
  <si>
    <t>DESCRIPTION</t>
  </si>
  <si>
    <t>SNO</t>
  </si>
  <si>
    <t>DECRIPTION</t>
  </si>
  <si>
    <t>QTY                                 (30 LTRS / CANE)</t>
  </si>
  <si>
    <t>QTY                                 (26KGS / CANE)</t>
  </si>
  <si>
    <t>NO.OF CANE</t>
  </si>
  <si>
    <t>NO.OF BAGS</t>
  </si>
  <si>
    <t>NO.OF BUNDLES</t>
  </si>
  <si>
    <t>RML-STW-1.7MM</t>
  </si>
  <si>
    <t>RML-STW-2.0MM</t>
  </si>
  <si>
    <t>L</t>
  </si>
  <si>
    <t>WEIGHT</t>
  </si>
  <si>
    <t>FIT FELT CALCULATION</t>
  </si>
  <si>
    <t xml:space="preserve">EXACT COTTON FELT STOCK DETAILS </t>
  </si>
  <si>
    <t>RMI-HCTNF-74.50X47.50</t>
  </si>
  <si>
    <t>RMI-HCTNF-74.50x59.50.</t>
  </si>
  <si>
    <t>RMI-HCTNF-74.50x71.50.</t>
  </si>
  <si>
    <t>RMI-HCTNF-77.50x59.50.</t>
  </si>
  <si>
    <t>RMI-HCTNF-77.50x71.50.</t>
  </si>
  <si>
    <t>RMI-HCTNF-71.50X35.50.</t>
  </si>
  <si>
    <t>RMI-HCTNF-71.50X47.50.</t>
  </si>
  <si>
    <t>RMI-HCTNF-71.50X59.50.</t>
  </si>
  <si>
    <t>RMI-HCTNF-74.50X29.50.</t>
  </si>
  <si>
    <t>RMI-HCTNF-74.50X35.50.</t>
  </si>
  <si>
    <t>RMI-HCTNF-77.50X35.50.</t>
  </si>
  <si>
    <t>RMI-HCTNF-77.50X65.50.</t>
  </si>
  <si>
    <t>RMI-HCTNF-77.50X47.50.</t>
  </si>
  <si>
    <t>75X30</t>
  </si>
  <si>
    <t>78X66</t>
  </si>
  <si>
    <t>RMI-HCTNF-71.50X71.50.</t>
  </si>
  <si>
    <t>72X72</t>
  </si>
  <si>
    <t>RMI-HCTNF-77.50X41.50.</t>
  </si>
  <si>
    <t>78X42</t>
  </si>
  <si>
    <t>RMI-HCTNF-83.50X71.50.</t>
  </si>
  <si>
    <t>84X72</t>
  </si>
  <si>
    <t>48X110</t>
  </si>
  <si>
    <t>RML-EPE-1040MMX105MMX25MM</t>
  </si>
  <si>
    <t>60X110</t>
  </si>
  <si>
    <t>RML-EPE-1345MMX105MMX25MM</t>
  </si>
  <si>
    <t>72X110</t>
  </si>
  <si>
    <t>RML-EPE-1650MMX105MMX25MM</t>
  </si>
  <si>
    <t>48X130</t>
  </si>
  <si>
    <t>RML-EPE-1040MMX125MMX25MM</t>
  </si>
  <si>
    <t>60X130</t>
  </si>
  <si>
    <t>RML-EPE-1345MMX125MMX25MM</t>
  </si>
  <si>
    <t>72X130</t>
  </si>
  <si>
    <t>RML-EPE-1650MMX125MMX25MM</t>
  </si>
  <si>
    <t>48X150</t>
  </si>
  <si>
    <t>RML-EPE-1040MMX145MMX25MM</t>
  </si>
  <si>
    <t>60X150</t>
  </si>
  <si>
    <t>RML-EPE-1345MMX145MMX25MM</t>
  </si>
  <si>
    <t>72X150</t>
  </si>
  <si>
    <t>RML-EPE-1650MMX145MMX25MM</t>
  </si>
  <si>
    <t>48X170</t>
  </si>
  <si>
    <t>RML-EPE-1040MMX165MMX25MM</t>
  </si>
  <si>
    <t>60X170</t>
  </si>
  <si>
    <t>RML-EPE-1345MMX165MMX25MM</t>
  </si>
  <si>
    <t>72X170</t>
  </si>
  <si>
    <t>RML-EPE-1650MMX165MMX25MM</t>
  </si>
  <si>
    <t>72X30</t>
  </si>
  <si>
    <t>RMI-HCTNF-71.50X29.50.</t>
  </si>
  <si>
    <t>72X42</t>
  </si>
  <si>
    <t>RMI-HCTNF-71.50X41.50.</t>
  </si>
  <si>
    <t>72X66</t>
  </si>
  <si>
    <t>RMI-HCTNF-71.50X65.50.</t>
  </si>
  <si>
    <t>75X42</t>
  </si>
  <si>
    <t>RMI-HCTNF-74.50X41.50.</t>
  </si>
  <si>
    <t>75X66</t>
  </si>
  <si>
    <t>RMI-HCTNF-74.50X65.50.</t>
  </si>
  <si>
    <t>78X30</t>
  </si>
  <si>
    <t>RMI-HCTNF-77.50X29.50</t>
  </si>
  <si>
    <t>PER COTTON FELT WEIGHT</t>
  </si>
  <si>
    <t>REQUIRED QTY</t>
  </si>
  <si>
    <t>74.50</t>
  </si>
  <si>
    <t>74.5</t>
  </si>
  <si>
    <t>RMI-HCTNF-74.50x65.50.</t>
  </si>
  <si>
    <t>71.5</t>
  </si>
  <si>
    <t>77.5</t>
  </si>
  <si>
    <t>29.5</t>
  </si>
  <si>
    <t>77.50</t>
  </si>
  <si>
    <t>59.50</t>
  </si>
  <si>
    <t>71.50</t>
  </si>
  <si>
    <t>83.5</t>
  </si>
  <si>
    <t>RML-EPE-1893X135X40</t>
  </si>
  <si>
    <t>74.5X135</t>
  </si>
  <si>
    <t>1.4 MM UPHOLSTRY STEEL WIRE</t>
  </si>
  <si>
    <t>STEEL WIRE 1.7 MMDIA.</t>
  </si>
  <si>
    <t>STEEL WIRE 1.8 MMDIA.</t>
  </si>
  <si>
    <t>STEEL WIRE 2.2 MM DIA.</t>
  </si>
  <si>
    <t>2.3 MM SPRING STEEL WIRE-GRADE II</t>
  </si>
  <si>
    <t>STEEL WIRE 3.6 MM DIA</t>
  </si>
  <si>
    <t>STEEL WIRE 4.0 MM DIA</t>
  </si>
  <si>
    <t>CLIPS CL-85 (8000 PCS/BOX)</t>
  </si>
  <si>
    <t>CLIPS CL-12B (13025 PCS/BOX)</t>
  </si>
  <si>
    <t>C-RINGS HR24 (10000 PCS/CTN)</t>
  </si>
  <si>
    <t>SOLVENT BASED RUBBER ADHESIVE (SPRAY GLUE)</t>
  </si>
  <si>
    <t>12MM PACKING STRAP ROLL</t>
  </si>
  <si>
    <t>Bag Stitching Thread</t>
  </si>
  <si>
    <t>WHITE COLOUR TAG</t>
  </si>
  <si>
    <t>TEXTILE CLEANER -MC</t>
  </si>
  <si>
    <t>HOT MELT ADHESIVE (GLUE)</t>
  </si>
  <si>
    <t>NON WOVEN FABRIC 70 GSM x 34 CM - WHITE</t>
  </si>
  <si>
    <t>NON WOVEN FABRIC 70 GSM x 37 CM - WHITE</t>
  </si>
  <si>
    <t>NON WOVEN FABRIC 70 GSM x 37 CM - GREEN</t>
  </si>
  <si>
    <t>NON WOVEN FABRIC 70 GSM x 45 CM - WHITE</t>
  </si>
  <si>
    <t>NON WOVEN FABRIC 70 GSM x 50 CM - GREEN</t>
  </si>
  <si>
    <t>NON WOVEN FABRIC 70 GSM x 54 CM - WHITE</t>
  </si>
  <si>
    <t>NON WOVEN FABRIC 70 GSM x 58 CM - GREEN</t>
  </si>
  <si>
    <t>NON WOVEN FABRIC 70 GSM x 76 INCH - WHITE</t>
  </si>
  <si>
    <t>NON WOVEN FABRIC 70 GSM x 79 INCH - WHITE</t>
  </si>
  <si>
    <t>NON WOVEN FABRIC 80 GSM x 82 INCH - BLACK</t>
  </si>
  <si>
    <t>NON WOVEN FABRIC 80 GSM x 8 INCH - WHITE</t>
  </si>
  <si>
    <t>EXPANDED POLYTHYLENE SHEETS 1893MMX135MMX40MM</t>
  </si>
  <si>
    <t>COTTON FELT 181.61CM X 74.93CM X 6MM - 700gsm ( 71.50" x 29.50" )</t>
  </si>
  <si>
    <t>COTTON FELT 181.61CM X 90.17CM X 6MM - 700gsm ( 71.50" x 35.50" )</t>
  </si>
  <si>
    <t>COTTON FELT 181.61CM X 105.41CM X 6MM - 700gsm ( 71.50" x 41.50" )</t>
  </si>
  <si>
    <t>COTTON FELT 181.61CM X 120.65CM X 6MM - 700gsm ( 71.50" x 47.50" )</t>
  </si>
  <si>
    <t>COTTON FELT 181.61CM X 151.13CM X 6MM - 700gsm ( 71.50" x 59.50" )</t>
  </si>
  <si>
    <t>COTTON FELT 181.61CM X 181.61CM X 6MM - 700gsm ( 71.50" x 71.50" )</t>
  </si>
  <si>
    <t>COTTON FELT 189.23CM X 74.93CM X 6MM - 700gsm ( 74.50" x 29.50" )</t>
  </si>
  <si>
    <t>COTTON FELT 189.23CM X 90.17CM X 6MM - 700gsm ( 74.50" x 35.50" )</t>
  </si>
  <si>
    <t>COTTON FELT 189.23CM X 105.41CM X 6MM - 700gsm ( 74.50" x 41.50" )</t>
  </si>
  <si>
    <t>COTTON FELT 189.23CM X 120.63CM X 6MM - 700gsm ( 74.50" x 47.50" )</t>
  </si>
  <si>
    <t>COTTON FELT 189.23CM X 151.13CM X 6MM - 700gsm ( 74.50" x 59.50" )</t>
  </si>
  <si>
    <t>COTTON FELT 189.23CM X 181.61CM X 6MM - 700gsm ( 74.50" x 71.50" )</t>
  </si>
  <si>
    <t>COTTON FELT 196.85CM X 90.17CM X 6MM - 700gsm ( 77.50" x 35.50" )</t>
  </si>
  <si>
    <t>COTTON FELT 196.85CM X 105.41CM X 6MM - 700gsm ( 77.50" x 41.50" )</t>
  </si>
  <si>
    <t>COTTON FELT 196.85CM X 120.65CM X 6MM - 700gsm ( 77.50" x 47.50" )</t>
  </si>
  <si>
    <t>COTTON FELT 196.85CM X 151.13CM X 6MM - 700gsm ( 77.50" x 59.50" )</t>
  </si>
  <si>
    <t>COTTON FELT 196.85CM X 166.37CM X 6MM - 700gsm ( 77.50" x 65.50" )</t>
  </si>
  <si>
    <t>COTTON FELT 196.85CM X 181.61CM X 6MM - 700gsm ( 77.50" x 71.50" )</t>
  </si>
  <si>
    <t>COTTON FELT 212.10CM X 181.61CM X 6MM - 700gsm ( 83.50" x 71.50" )</t>
  </si>
  <si>
    <t>RM-NWN-POS-62CMX70GSM</t>
  </si>
  <si>
    <t>NON WOVEN FABRIC 70 GSM x 62 CM -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</si>
</sst>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(#,##0\)"/>
    <numFmt numFmtId="165" formatCode="0.000"/>
  </numFmts>
  <fonts count="19">
    <font>
      <sz val="11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b/>
      <sz val="14"/>
      <color indexed="8"/>
      <name val="Bookman Old Style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20"/>
      <color theme="1"/>
      <name val="Bookman Old Style"/>
      <family val="1"/>
    </font>
    <font>
      <b/>
      <sz val="20"/>
      <name val="Bookman Old Style"/>
      <family val="1"/>
    </font>
    <font>
      <b/>
      <sz val="16"/>
      <color indexed="8"/>
      <name val="Bookman Old Style"/>
      <family val="1"/>
    </font>
    <font>
      <b/>
      <sz val="16"/>
      <color indexed="9"/>
      <name val="Bookman Old Style"/>
      <family val="1"/>
    </font>
    <font>
      <b/>
      <sz val="24"/>
      <color theme="1"/>
      <name val="Bookman Old Style"/>
      <family val="1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18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2" fillId="3" borderId="0" xfId="0" applyFont="1" applyFill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2" fontId="7" fillId="5" borderId="3" xfId="0" applyNumberFormat="1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2" fontId="6" fillId="5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2" fillId="3" borderId="14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2" fillId="3" borderId="9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2" fontId="7" fillId="5" borderId="9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3" borderId="24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>
      <alignment horizontal="center" vertical="center"/>
    </xf>
    <xf numFmtId="0" fontId="2" fillId="3" borderId="26" xfId="0" applyFont="1" applyFill="1" applyBorder="1" applyAlignment="1" applyProtection="1">
      <alignment horizontal="center" vertical="center" wrapText="1"/>
      <protection locked="0"/>
    </xf>
    <xf numFmtId="0" fontId="6" fillId="5" borderId="25" xfId="0" applyFont="1" applyFill="1" applyBorder="1" applyAlignment="1">
      <alignment horizontal="center" vertical="center" wrapText="1"/>
    </xf>
    <xf numFmtId="2" fontId="6" fillId="5" borderId="9" xfId="0" applyNumberFormat="1" applyFont="1" applyFill="1" applyBorder="1" applyAlignment="1">
      <alignment horizontal="center" vertical="center" wrapText="1"/>
    </xf>
    <xf numFmtId="0" fontId="2" fillId="3" borderId="28" xfId="0" applyFont="1" applyFill="1" applyBorder="1" applyAlignment="1" applyProtection="1">
      <alignment horizontal="center" vertical="center" wrapText="1"/>
      <protection locked="0"/>
    </xf>
    <xf numFmtId="0" fontId="6" fillId="5" borderId="18" xfId="0" applyFont="1" applyFill="1" applyBorder="1" applyAlignment="1">
      <alignment horizontal="center" vertical="center" wrapText="1"/>
    </xf>
    <xf numFmtId="2" fontId="6" fillId="5" borderId="16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8" fillId="5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3" borderId="17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16" xfId="0" applyFont="1" applyFill="1" applyBorder="1" applyAlignment="1" applyProtection="1">
      <alignment horizontal="center" vertical="center" wrapText="1"/>
      <protection locked="0"/>
    </xf>
    <xf numFmtId="0" fontId="10" fillId="3" borderId="7" xfId="0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>
      <alignment horizontal="center" vertical="center" wrapText="1"/>
    </xf>
    <xf numFmtId="0" fontId="10" fillId="3" borderId="24" xfId="0" applyFont="1" applyFill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/>
    </xf>
    <xf numFmtId="1" fontId="8" fillId="5" borderId="3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2" fontId="12" fillId="5" borderId="3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5" xfId="0" applyBorder="1"/>
    <xf numFmtId="0" fontId="0" fillId="0" borderId="18" xfId="0" applyBorder="1"/>
    <xf numFmtId="0" fontId="0" fillId="0" borderId="21" xfId="0" applyBorder="1"/>
    <xf numFmtId="0" fontId="6" fillId="4" borderId="20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27" xfId="0" applyBorder="1"/>
    <xf numFmtId="0" fontId="13" fillId="0" borderId="3" xfId="0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2" fontId="13" fillId="0" borderId="3" xfId="0" applyNumberFormat="1" applyFont="1" applyBorder="1" applyAlignment="1">
      <alignment horizontal="center" vertical="center"/>
    </xf>
    <xf numFmtId="0" fontId="0" fillId="0" borderId="29" xfId="0" applyBorder="1"/>
    <xf numFmtId="0" fontId="0" fillId="0" borderId="12" xfId="0" applyBorder="1"/>
    <xf numFmtId="0" fontId="0" fillId="0" borderId="30" xfId="0" applyBorder="1"/>
    <xf numFmtId="0" fontId="14" fillId="0" borderId="1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/>
    </xf>
    <xf numFmtId="0" fontId="2" fillId="3" borderId="29" xfId="0" applyFont="1" applyFill="1" applyBorder="1" applyAlignment="1" applyProtection="1">
      <alignment horizontal="center" vertical="center"/>
      <protection locked="0"/>
    </xf>
    <xf numFmtId="0" fontId="7" fillId="5" borderId="25" xfId="0" applyFont="1" applyFill="1" applyBorder="1" applyAlignment="1">
      <alignment horizontal="center" vertical="center"/>
    </xf>
    <xf numFmtId="0" fontId="2" fillId="3" borderId="30" xfId="0" applyFont="1" applyFill="1" applyBorder="1" applyAlignment="1" applyProtection="1">
      <alignment horizontal="center" vertical="center"/>
      <protection locked="0"/>
    </xf>
    <xf numFmtId="0" fontId="7" fillId="5" borderId="13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8" fillId="0" borderId="3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Fill="1" applyBorder="1" applyAlignment="1">
      <alignment horizontal="center" vertical="center"/>
    </xf>
    <xf numFmtId="165" fontId="7" fillId="5" borderId="9" xfId="0" applyNumberFormat="1" applyFont="1" applyFill="1" applyBorder="1" applyAlignment="1">
      <alignment horizontal="center" vertical="center"/>
    </xf>
    <xf numFmtId="165" fontId="7" fillId="5" borderId="3" xfId="0" applyNumberFormat="1" applyFont="1" applyFill="1" applyBorder="1" applyAlignment="1">
      <alignment horizontal="center" vertical="center"/>
    </xf>
    <xf numFmtId="165" fontId="7" fillId="5" borderId="16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5" borderId="3" xfId="0" applyFont="1" applyFill="1" applyBorder="1"/>
    <xf numFmtId="0" fontId="0" fillId="6" borderId="0" xfId="0" applyFill="1"/>
    <xf numFmtId="0" fontId="6" fillId="0" borderId="26" xfId="0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 wrapText="1"/>
    </xf>
    <xf numFmtId="0" fontId="18" fillId="0" borderId="0" xfId="1"/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7" fillId="0" borderId="1" xfId="1" applyFont="1" applyBorder="1" applyAlignment="1">
      <alignment horizontal="center"/>
    </xf>
    <xf numFmtId="0" fontId="17" fillId="0" borderId="1" xfId="1" applyFont="1" applyBorder="1" applyAlignment="1">
      <alignment horizontal="center" wrapText="1"/>
    </xf>
    <xf numFmtId="0" fontId="1" fillId="6" borderId="1" xfId="1" applyNumberFormat="1" applyFont="1" applyFill="1" applyBorder="1" applyAlignment="1" applyProtection="1">
      <alignment horizontal="center"/>
    </xf>
    <xf numFmtId="49" fontId="1" fillId="6" borderId="1" xfId="1" applyNumberFormat="1" applyFont="1" applyFill="1" applyBorder="1" applyAlignment="1" applyProtection="1">
      <alignment horizontal="center"/>
    </xf>
    <xf numFmtId="2" fontId="17" fillId="0" borderId="1" xfId="1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F68"/>
  <sheetViews>
    <sheetView topLeftCell="A49" zoomScale="85" zoomScaleNormal="85" workbookViewId="0">
      <selection activeCell="C31" sqref="C31"/>
    </sheetView>
  </sheetViews>
  <sheetFormatPr defaultRowHeight="15"/>
  <cols>
    <col min="1" max="1" width="10" customWidth="1"/>
    <col min="2" max="2" width="55.7109375" style="7" bestFit="1" customWidth="1"/>
    <col min="3" max="3" width="111.5703125" style="1" bestFit="1" customWidth="1"/>
    <col min="4" max="4" width="13.42578125" style="1" bestFit="1" customWidth="1"/>
    <col min="5" max="5" width="27.42578125" bestFit="1" customWidth="1"/>
    <col min="6" max="6" width="16.5703125" style="1" bestFit="1" customWidth="1"/>
  </cols>
  <sheetData>
    <row r="1" spans="1:6" ht="35.25" customHeight="1">
      <c r="A1" s="92" t="s">
        <v>0</v>
      </c>
      <c r="B1" s="92" t="s">
        <v>33</v>
      </c>
      <c r="C1" s="92" t="s">
        <v>82</v>
      </c>
      <c r="D1" s="92" t="s">
        <v>1</v>
      </c>
      <c r="E1" s="92" t="s">
        <v>81</v>
      </c>
      <c r="F1" s="92" t="s">
        <v>2</v>
      </c>
    </row>
    <row r="2" spans="1:6" s="126" customFormat="1" ht="24.95" customHeight="1">
      <c r="A2" s="125">
        <v>1</v>
      </c>
      <c r="B2" s="17" t="str">
        <f>+OVERALL!C2</f>
        <v>RML-STW-1.4MM</v>
      </c>
      <c r="C2" s="17" t="s">
        <v>170</v>
      </c>
      <c r="D2" s="17" t="str">
        <f>+OVERALL!D2</f>
        <v>KGS</v>
      </c>
      <c r="E2" s="17" t="s">
        <v>4</v>
      </c>
      <c r="F2" s="87">
        <f>+OVERALL!F2</f>
        <v>0</v>
      </c>
    </row>
    <row r="3" spans="1:6" s="126" customFormat="1" ht="24.95" customHeight="1">
      <c r="A3" s="125">
        <v>2</v>
      </c>
      <c r="B3" s="17" t="str">
        <f>+OVERALL!C3</f>
        <v>RML-STW-1.7MM</v>
      </c>
      <c r="C3" s="17" t="s">
        <v>171</v>
      </c>
      <c r="D3" s="17" t="str">
        <f>+OVERALL!D3</f>
        <v>KGS</v>
      </c>
      <c r="E3" s="17" t="s">
        <v>4</v>
      </c>
      <c r="F3" s="87">
        <f>+OVERALL!F3</f>
        <v>0</v>
      </c>
    </row>
    <row r="4" spans="1:6" s="126" customFormat="1" ht="24.95" customHeight="1">
      <c r="A4" s="125">
        <v>3</v>
      </c>
      <c r="B4" s="17" t="str">
        <f>+OVERALL!C4</f>
        <v>RML-STW-1.8MM</v>
      </c>
      <c r="C4" s="17" t="s">
        <v>172</v>
      </c>
      <c r="D4" s="17" t="str">
        <f>+OVERALL!D4</f>
        <v>KGS</v>
      </c>
      <c r="E4" s="17" t="s">
        <v>4</v>
      </c>
      <c r="F4" s="87">
        <f>+OVERALL!F4</f>
        <v>0</v>
      </c>
    </row>
    <row r="5" spans="1:6" s="126" customFormat="1" ht="24.95" customHeight="1">
      <c r="A5" s="125">
        <v>4</v>
      </c>
      <c r="B5" s="17" t="str">
        <f>+OVERALL!C5</f>
        <v>RML-STW-1.9MM</v>
      </c>
      <c r="C5" s="17" t="e">
        <v>#N/A</v>
      </c>
      <c r="D5" s="17" t="str">
        <f>+OVERALL!D5</f>
        <v>KGS</v>
      </c>
      <c r="E5" s="17" t="s">
        <v>4</v>
      </c>
      <c r="F5" s="87">
        <f>+OVERALL!F5</f>
        <v>0</v>
      </c>
    </row>
    <row r="6" spans="1:6" s="126" customFormat="1" ht="24.95" customHeight="1">
      <c r="A6" s="125">
        <v>5</v>
      </c>
      <c r="B6" s="17" t="str">
        <f>+OVERALL!C6</f>
        <v>RML-STW-2.0MM</v>
      </c>
      <c r="C6" s="17" t="e">
        <v>#N/A</v>
      </c>
      <c r="D6" s="17" t="str">
        <f>+OVERALL!D6</f>
        <v>KGS</v>
      </c>
      <c r="E6" s="17" t="s">
        <v>4</v>
      </c>
      <c r="F6" s="87">
        <f>+OVERALL!F6</f>
        <v>0</v>
      </c>
    </row>
    <row r="7" spans="1:6" s="126" customFormat="1" ht="24.95" customHeight="1">
      <c r="A7" s="125">
        <v>6</v>
      </c>
      <c r="B7" s="17" t="str">
        <f>+OVERALL!C7</f>
        <v>RML-STW-2.1MM</v>
      </c>
      <c r="C7" s="17" t="e">
        <v>#N/A</v>
      </c>
      <c r="D7" s="17" t="str">
        <f>+OVERALL!D7</f>
        <v>KGS</v>
      </c>
      <c r="E7" s="17" t="s">
        <v>4</v>
      </c>
      <c r="F7" s="87">
        <f>+OVERALL!F7</f>
        <v>0</v>
      </c>
    </row>
    <row r="8" spans="1:6" s="126" customFormat="1" ht="24.95" customHeight="1">
      <c r="A8" s="125">
        <v>7</v>
      </c>
      <c r="B8" s="17" t="str">
        <f>+OVERALL!C8</f>
        <v>RML-STW-2.2MM</v>
      </c>
      <c r="C8" s="17" t="s">
        <v>173</v>
      </c>
      <c r="D8" s="17" t="str">
        <f>+OVERALL!D8</f>
        <v>KGS</v>
      </c>
      <c r="E8" s="17" t="s">
        <v>4</v>
      </c>
      <c r="F8" s="87">
        <f>+OVERALL!F8</f>
        <v>0</v>
      </c>
    </row>
    <row r="9" spans="1:6" s="126" customFormat="1" ht="24.95" customHeight="1">
      <c r="A9" s="125">
        <v>8</v>
      </c>
      <c r="B9" s="17" t="str">
        <f>+OVERALL!C9</f>
        <v>RML-STW-2.3MM</v>
      </c>
      <c r="C9" s="17" t="s">
        <v>174</v>
      </c>
      <c r="D9" s="17" t="str">
        <f>+OVERALL!D9</f>
        <v>KGS</v>
      </c>
      <c r="E9" s="17" t="s">
        <v>4</v>
      </c>
      <c r="F9" s="87">
        <f>+OVERALL!F9</f>
        <v>0</v>
      </c>
    </row>
    <row r="10" spans="1:6" s="126" customFormat="1" ht="24.95" customHeight="1">
      <c r="A10" s="125">
        <v>9</v>
      </c>
      <c r="B10" s="17" t="str">
        <f>+OVERALL!C10</f>
        <v>RML-STW-3.6MM</v>
      </c>
      <c r="C10" s="17" t="s">
        <v>175</v>
      </c>
      <c r="D10" s="17" t="str">
        <f>+OVERALL!D10</f>
        <v>KGS</v>
      </c>
      <c r="E10" s="17" t="s">
        <v>4</v>
      </c>
      <c r="F10" s="87">
        <f>+OVERALL!F10</f>
        <v>0</v>
      </c>
    </row>
    <row r="11" spans="1:6" s="126" customFormat="1" ht="24.95" customHeight="1">
      <c r="A11" s="125">
        <v>10</v>
      </c>
      <c r="B11" s="17" t="str">
        <f>+OVERALL!C11</f>
        <v>RML-STW-4.0MM</v>
      </c>
      <c r="C11" s="17" t="s">
        <v>176</v>
      </c>
      <c r="D11" s="17" t="str">
        <f>+OVERALL!D11</f>
        <v>KGS</v>
      </c>
      <c r="E11" s="17" t="s">
        <v>4</v>
      </c>
      <c r="F11" s="87">
        <f>+OVERALL!F11</f>
        <v>0</v>
      </c>
    </row>
    <row r="12" spans="1:6" s="126" customFormat="1" ht="24.95" customHeight="1">
      <c r="A12" s="125">
        <v>11</v>
      </c>
      <c r="B12" s="17" t="str">
        <f>+OVERALL!C12</f>
        <v>RML-CL85</v>
      </c>
      <c r="C12" s="17" t="s">
        <v>177</v>
      </c>
      <c r="D12" s="17" t="str">
        <f>+OVERALL!D12</f>
        <v>BOX</v>
      </c>
      <c r="E12" s="17" t="s">
        <v>4</v>
      </c>
      <c r="F12" s="87">
        <f>+OVERALL!F12</f>
        <v>0</v>
      </c>
    </row>
    <row r="13" spans="1:6" s="126" customFormat="1" ht="24.95" customHeight="1">
      <c r="A13" s="125">
        <v>12</v>
      </c>
      <c r="B13" s="17" t="str">
        <f>+OVERALL!C13</f>
        <v>RML-CL12B</v>
      </c>
      <c r="C13" s="17" t="s">
        <v>178</v>
      </c>
      <c r="D13" s="17" t="str">
        <f>+OVERALL!D13</f>
        <v>BOX</v>
      </c>
      <c r="E13" s="17" t="s">
        <v>4</v>
      </c>
      <c r="F13" s="87">
        <f>+OVERALL!F13</f>
        <v>0</v>
      </c>
    </row>
    <row r="14" spans="1:6" s="126" customFormat="1" ht="24.95" customHeight="1">
      <c r="A14" s="125">
        <v>13</v>
      </c>
      <c r="B14" s="17" t="str">
        <f>+OVERALL!C14</f>
        <v>RML-HR24</v>
      </c>
      <c r="C14" s="17" t="s">
        <v>179</v>
      </c>
      <c r="D14" s="17" t="str">
        <f>+OVERALL!D14</f>
        <v>BOX</v>
      </c>
      <c r="E14" s="17" t="s">
        <v>4</v>
      </c>
      <c r="F14" s="87">
        <f>+OVERALL!F14</f>
        <v>0</v>
      </c>
    </row>
    <row r="15" spans="1:6" s="126" customFormat="1" ht="24.95" customHeight="1">
      <c r="A15" s="125">
        <v>14</v>
      </c>
      <c r="B15" s="17" t="str">
        <f>+OVERALL!C15</f>
        <v>RML-POLY-GUM</v>
      </c>
      <c r="C15" s="17" t="s">
        <v>180</v>
      </c>
      <c r="D15" s="17" t="str">
        <f>+OVERALL!D15</f>
        <v>LTRS</v>
      </c>
      <c r="E15" s="17" t="s">
        <v>4</v>
      </c>
      <c r="F15" s="87">
        <f>+OVERALL!F15</f>
        <v>0</v>
      </c>
    </row>
    <row r="16" spans="1:6" s="126" customFormat="1" ht="24.95" customHeight="1">
      <c r="A16" s="125">
        <v>15</v>
      </c>
      <c r="B16" s="17" t="str">
        <f>+OVERALL!C16</f>
        <v>RML-STRAP-ROLL</v>
      </c>
      <c r="C16" s="17" t="s">
        <v>181</v>
      </c>
      <c r="D16" s="17" t="str">
        <f>+OVERALL!D16</f>
        <v>NOS</v>
      </c>
      <c r="E16" s="17" t="s">
        <v>4</v>
      </c>
      <c r="F16" s="87">
        <f>+OVERALL!F16</f>
        <v>0</v>
      </c>
    </row>
    <row r="17" spans="1:6" s="126" customFormat="1" ht="24.95" customHeight="1">
      <c r="A17" s="125">
        <v>16</v>
      </c>
      <c r="B17" s="17" t="str">
        <f>+OVERALL!C17</f>
        <v>RML-PAK-THRD</v>
      </c>
      <c r="C17" s="17" t="s">
        <v>182</v>
      </c>
      <c r="D17" s="17" t="str">
        <f>+OVERALL!D17</f>
        <v>NOS</v>
      </c>
      <c r="E17" s="17" t="s">
        <v>4</v>
      </c>
      <c r="F17" s="87">
        <f>+OVERALL!F17</f>
        <v>0</v>
      </c>
    </row>
    <row r="18" spans="1:6" s="126" customFormat="1" ht="24.95" customHeight="1">
      <c r="A18" s="125">
        <v>17</v>
      </c>
      <c r="B18" s="17" t="str">
        <f>+OVERALL!C18</f>
        <v>RML-TAG-WHIT</v>
      </c>
      <c r="C18" s="17" t="s">
        <v>183</v>
      </c>
      <c r="D18" s="17" t="str">
        <f>+OVERALL!D18</f>
        <v>NOS</v>
      </c>
      <c r="E18" s="17" t="s">
        <v>4</v>
      </c>
      <c r="F18" s="87">
        <f>+OVERALL!F18</f>
        <v>0</v>
      </c>
    </row>
    <row r="19" spans="1:6" s="126" customFormat="1" ht="24.95" customHeight="1">
      <c r="A19" s="125">
        <v>18</v>
      </c>
      <c r="B19" s="17" t="str">
        <f>+OVERALL!C19</f>
        <v>RML-TEX-CLEANER</v>
      </c>
      <c r="C19" s="17" t="s">
        <v>184</v>
      </c>
      <c r="D19" s="17" t="str">
        <f>+OVERALL!D19</f>
        <v>LTRS</v>
      </c>
      <c r="E19" s="17" t="s">
        <v>4</v>
      </c>
      <c r="F19" s="87">
        <f>+OVERALL!F19</f>
        <v>0</v>
      </c>
    </row>
    <row r="20" spans="1:6" s="126" customFormat="1" ht="24.95" customHeight="1">
      <c r="A20" s="125">
        <v>19</v>
      </c>
      <c r="B20" s="17" t="str">
        <f>+OVERALL!C20</f>
        <v>RMI-HGLUE</v>
      </c>
      <c r="C20" s="17" t="s">
        <v>185</v>
      </c>
      <c r="D20" s="17" t="str">
        <f>+OVERALL!D20</f>
        <v>KGS</v>
      </c>
      <c r="E20" s="17" t="s">
        <v>4</v>
      </c>
      <c r="F20" s="87">
        <f>+OVERALL!F20</f>
        <v>0</v>
      </c>
    </row>
    <row r="21" spans="1:6" s="126" customFormat="1" ht="24.95" customHeight="1">
      <c r="A21" s="125">
        <v>20</v>
      </c>
      <c r="B21" s="17" t="str">
        <f>+OVERALL!C21</f>
        <v>RM-NWN-POS-34CMX70GSM</v>
      </c>
      <c r="C21" s="17" t="s">
        <v>186</v>
      </c>
      <c r="D21" s="17" t="str">
        <f>+OVERALL!D21</f>
        <v>KGS</v>
      </c>
      <c r="E21" s="17" t="s">
        <v>4</v>
      </c>
      <c r="F21" s="87">
        <f>+OVERALL!F21</f>
        <v>0</v>
      </c>
    </row>
    <row r="22" spans="1:6" s="126" customFormat="1" ht="24.95" customHeight="1">
      <c r="A22" s="125">
        <v>21</v>
      </c>
      <c r="B22" s="17" t="str">
        <f>+OVERALL!C22</f>
        <v>RM-NWN-POS-37CMX70GSM</v>
      </c>
      <c r="C22" s="17" t="s">
        <v>187</v>
      </c>
      <c r="D22" s="17" t="str">
        <f>+OVERALL!D22</f>
        <v>KGS</v>
      </c>
      <c r="E22" s="17" t="s">
        <v>4</v>
      </c>
      <c r="F22" s="87">
        <f>+OVERALL!F22</f>
        <v>0</v>
      </c>
    </row>
    <row r="23" spans="1:6" s="126" customFormat="1" ht="24.95" customHeight="1">
      <c r="A23" s="125">
        <v>22</v>
      </c>
      <c r="B23" s="17" t="str">
        <f>+OVERALL!C23</f>
        <v>RM-NWN-POS-37CMX70GSM-GRN</v>
      </c>
      <c r="C23" s="17" t="s">
        <v>188</v>
      </c>
      <c r="D23" s="17" t="str">
        <f>+OVERALL!D23</f>
        <v>KGS</v>
      </c>
      <c r="E23" s="17" t="s">
        <v>4</v>
      </c>
      <c r="F23" s="87">
        <f>+OVERALL!F23</f>
        <v>0</v>
      </c>
    </row>
    <row r="24" spans="1:6" s="126" customFormat="1" ht="24.95" customHeight="1">
      <c r="A24" s="125">
        <v>23</v>
      </c>
      <c r="B24" s="17" t="str">
        <f>+OVERALL!C24</f>
        <v>RM-NWN-POS-45CMX70GSM</v>
      </c>
      <c r="C24" s="17" t="s">
        <v>189</v>
      </c>
      <c r="D24" s="17" t="str">
        <f>+OVERALL!D24</f>
        <v>KGS</v>
      </c>
      <c r="E24" s="17" t="s">
        <v>4</v>
      </c>
      <c r="F24" s="87">
        <f>+OVERALL!F24</f>
        <v>0</v>
      </c>
    </row>
    <row r="25" spans="1:6" s="126" customFormat="1" ht="24.95" customHeight="1">
      <c r="A25" s="125">
        <v>24</v>
      </c>
      <c r="B25" s="17" t="str">
        <f>+OVERALL!C25</f>
        <v>RM-NWN-POS-50CMX70GSM</v>
      </c>
      <c r="C25" s="17" t="e">
        <v>#N/A</v>
      </c>
      <c r="D25" s="17" t="str">
        <f>+OVERALL!D25</f>
        <v>KGS</v>
      </c>
      <c r="E25" s="17" t="s">
        <v>4</v>
      </c>
      <c r="F25" s="87">
        <f>+OVERALL!F25</f>
        <v>0</v>
      </c>
    </row>
    <row r="26" spans="1:6" s="126" customFormat="1" ht="24.95" customHeight="1">
      <c r="A26" s="125">
        <v>25</v>
      </c>
      <c r="B26" s="17" t="str">
        <f>+OVERALL!C26</f>
        <v>RM-NWN-POS-50CMX70GSM-GRN</v>
      </c>
      <c r="C26" s="17" t="s">
        <v>190</v>
      </c>
      <c r="D26" s="17" t="str">
        <f>+OVERALL!D26</f>
        <v>KGS</v>
      </c>
      <c r="E26" s="17" t="s">
        <v>4</v>
      </c>
      <c r="F26" s="87">
        <f>+OVERALL!F26</f>
        <v>0</v>
      </c>
    </row>
    <row r="27" spans="1:6" s="126" customFormat="1" ht="24.95" customHeight="1">
      <c r="A27" s="125">
        <v>26</v>
      </c>
      <c r="B27" s="17" t="str">
        <f>+OVERALL!C27</f>
        <v>RM-NWN-POS-54CMX70GSM</v>
      </c>
      <c r="C27" s="17" t="s">
        <v>191</v>
      </c>
      <c r="D27" s="17" t="str">
        <f>+OVERALL!D27</f>
        <v>KGS</v>
      </c>
      <c r="E27" s="17" t="s">
        <v>4</v>
      </c>
      <c r="F27" s="87">
        <f>+OVERALL!F27</f>
        <v>0</v>
      </c>
    </row>
    <row r="28" spans="1:6" s="126" customFormat="1" ht="24.95" customHeight="1">
      <c r="A28" s="125">
        <v>27</v>
      </c>
      <c r="B28" s="17" t="str">
        <f>+OVERALL!C28</f>
        <v>RM-NWN-POS-58CMX70GSM</v>
      </c>
      <c r="C28" s="17" t="s">
        <v>192</v>
      </c>
      <c r="D28" s="17" t="str">
        <f>+OVERALL!D28</f>
        <v>KGS</v>
      </c>
      <c r="E28" s="17" t="s">
        <v>4</v>
      </c>
      <c r="F28" s="87">
        <f>+OVERALL!F28</f>
        <v>0</v>
      </c>
    </row>
    <row r="29" spans="1:6" s="126" customFormat="1" ht="24.95" customHeight="1">
      <c r="A29" s="125">
        <v>28</v>
      </c>
      <c r="B29" s="17" t="str">
        <f>+OVERALL!C29</f>
        <v>RML-NWN-70GSMX76"</v>
      </c>
      <c r="C29" s="17" t="s">
        <v>193</v>
      </c>
      <c r="D29" s="17" t="str">
        <f>+OVERALL!D29</f>
        <v>KGS</v>
      </c>
      <c r="E29" s="17" t="s">
        <v>4</v>
      </c>
      <c r="F29" s="87">
        <f>+OVERALL!F29</f>
        <v>0</v>
      </c>
    </row>
    <row r="30" spans="1:6" s="126" customFormat="1" ht="24.95" customHeight="1">
      <c r="A30" s="125">
        <v>29</v>
      </c>
      <c r="B30" s="17" t="str">
        <f>+OVERALL!C30</f>
        <v>RML-NWN-70GSMX79"</v>
      </c>
      <c r="C30" s="17" t="s">
        <v>194</v>
      </c>
      <c r="D30" s="17" t="str">
        <f>+OVERALL!D30</f>
        <v>KGS</v>
      </c>
      <c r="E30" s="17" t="s">
        <v>4</v>
      </c>
      <c r="F30" s="87">
        <f>+OVERALL!F30</f>
        <v>0</v>
      </c>
    </row>
    <row r="31" spans="1:6" s="126" customFormat="1" ht="24.95" customHeight="1">
      <c r="A31" s="125">
        <v>30</v>
      </c>
      <c r="B31" s="17" t="str">
        <f>+OVERALL!C31</f>
        <v>RM-NWN-POS-62CMX70GSM</v>
      </c>
      <c r="C31" s="17" t="s">
        <v>218</v>
      </c>
      <c r="D31" s="17" t="str">
        <f>+OVERALL!D31</f>
        <v>KGS</v>
      </c>
      <c r="E31" s="17" t="s">
        <v>4</v>
      </c>
      <c r="F31" s="87">
        <f>+OVERALL!F31</f>
        <v>0</v>
      </c>
    </row>
    <row r="32" spans="1:6" s="126" customFormat="1" ht="24.95" customHeight="1">
      <c r="A32" s="125">
        <v>31</v>
      </c>
      <c r="B32" s="17" t="str">
        <f>+OVERALL!C32</f>
        <v>RML-NWN-80GSMX82BLK</v>
      </c>
      <c r="C32" s="17" t="s">
        <v>195</v>
      </c>
      <c r="D32" s="17" t="str">
        <f>+OVERALL!D32</f>
        <v>KGS</v>
      </c>
      <c r="E32" s="17" t="s">
        <v>4</v>
      </c>
      <c r="F32" s="87">
        <f>+OVERALL!F32</f>
        <v>0</v>
      </c>
    </row>
    <row r="33" spans="1:6" s="126" customFormat="1" ht="24.95" customHeight="1">
      <c r="A33" s="125">
        <v>32</v>
      </c>
      <c r="B33" s="17" t="str">
        <f>+OVERALL!C33</f>
        <v>RML-NWN-80GSMX8"</v>
      </c>
      <c r="C33" s="17" t="s">
        <v>196</v>
      </c>
      <c r="D33" s="17" t="str">
        <f>+OVERALL!D33</f>
        <v>KGS</v>
      </c>
      <c r="E33" s="17" t="s">
        <v>4</v>
      </c>
      <c r="F33" s="87">
        <f>+OVERALL!F33</f>
        <v>0</v>
      </c>
    </row>
    <row r="34" spans="1:6" s="126" customFormat="1" ht="24.95" customHeight="1">
      <c r="A34" s="125">
        <v>33</v>
      </c>
      <c r="B34" s="17" t="str">
        <f>+OVERALL!C34</f>
        <v>RML-EPE-1040MMX105MMX25MM</v>
      </c>
      <c r="C34" s="17" t="e">
        <v>#N/A</v>
      </c>
      <c r="D34" s="17" t="str">
        <f>+OVERALL!D34</f>
        <v>NOS</v>
      </c>
      <c r="E34" s="17" t="s">
        <v>4</v>
      </c>
      <c r="F34" s="87">
        <f>+OVERALL!F34</f>
        <v>0</v>
      </c>
    </row>
    <row r="35" spans="1:6" s="126" customFormat="1" ht="24.95" customHeight="1">
      <c r="A35" s="125">
        <v>34</v>
      </c>
      <c r="B35" s="17" t="str">
        <f>+OVERALL!C35</f>
        <v>RML-EPE-1345MMX105MMX25MM</v>
      </c>
      <c r="C35" s="17" t="e">
        <v>#N/A</v>
      </c>
      <c r="D35" s="17" t="str">
        <f>+OVERALL!D35</f>
        <v>NOS</v>
      </c>
      <c r="E35" s="17" t="s">
        <v>4</v>
      </c>
      <c r="F35" s="87">
        <f>+OVERALL!F35</f>
        <v>0</v>
      </c>
    </row>
    <row r="36" spans="1:6" s="126" customFormat="1" ht="24.95" customHeight="1">
      <c r="A36" s="125">
        <v>35</v>
      </c>
      <c r="B36" s="17" t="str">
        <f>+OVERALL!C36</f>
        <v>RML-EPE-1650MMX105MMX25MM</v>
      </c>
      <c r="C36" s="17" t="e">
        <v>#N/A</v>
      </c>
      <c r="D36" s="17" t="str">
        <f>+OVERALL!D36</f>
        <v>NOS</v>
      </c>
      <c r="E36" s="17" t="s">
        <v>4</v>
      </c>
      <c r="F36" s="87">
        <f>+OVERALL!F36</f>
        <v>0</v>
      </c>
    </row>
    <row r="37" spans="1:6" ht="18">
      <c r="A37" s="125">
        <v>36</v>
      </c>
      <c r="B37" s="17" t="str">
        <f>+OVERALL!C37</f>
        <v>RML-EPE-1040MMX125MMX25MM</v>
      </c>
      <c r="C37" s="17" t="e">
        <v>#N/A</v>
      </c>
      <c r="D37" s="17" t="str">
        <f>+OVERALL!D37</f>
        <v>NOS</v>
      </c>
      <c r="E37" s="17" t="s">
        <v>4</v>
      </c>
      <c r="F37" s="87">
        <f>+OVERALL!F37</f>
        <v>0</v>
      </c>
    </row>
    <row r="38" spans="1:6" ht="18">
      <c r="A38" s="125">
        <v>37</v>
      </c>
      <c r="B38" s="17" t="str">
        <f>+OVERALL!C38</f>
        <v>RML-EPE-1345MMX125MMX25MM</v>
      </c>
      <c r="C38" s="17" t="e">
        <v>#N/A</v>
      </c>
      <c r="D38" s="17" t="str">
        <f>+OVERALL!D38</f>
        <v>NOS</v>
      </c>
      <c r="E38" s="17" t="s">
        <v>4</v>
      </c>
      <c r="F38" s="87">
        <f>+OVERALL!F38</f>
        <v>0</v>
      </c>
    </row>
    <row r="39" spans="1:6" ht="18">
      <c r="A39" s="125">
        <v>38</v>
      </c>
      <c r="B39" s="17" t="str">
        <f>+OVERALL!C39</f>
        <v>RML-EPE-1650MMX125MMX25MM</v>
      </c>
      <c r="C39" s="17" t="e">
        <v>#N/A</v>
      </c>
      <c r="D39" s="17" t="str">
        <f>+OVERALL!D39</f>
        <v>NOS</v>
      </c>
      <c r="E39" s="17" t="s">
        <v>4</v>
      </c>
      <c r="F39" s="87">
        <f>+OVERALL!F39</f>
        <v>0</v>
      </c>
    </row>
    <row r="40" spans="1:6" ht="18">
      <c r="A40" s="125">
        <v>39</v>
      </c>
      <c r="B40" s="17" t="str">
        <f>+OVERALL!C40</f>
        <v>RML-EPE-1040MMX145MMX25MM</v>
      </c>
      <c r="C40" s="17" t="e">
        <v>#N/A</v>
      </c>
      <c r="D40" s="17" t="str">
        <f>+OVERALL!D40</f>
        <v>NOS</v>
      </c>
      <c r="E40" s="17" t="s">
        <v>4</v>
      </c>
      <c r="F40" s="87">
        <f>+OVERALL!F40</f>
        <v>0</v>
      </c>
    </row>
    <row r="41" spans="1:6" ht="15" customHeight="1">
      <c r="A41" s="125">
        <v>40</v>
      </c>
      <c r="B41" s="17" t="str">
        <f>+OVERALL!C41</f>
        <v>RML-EPE-1345MMX145MMX25MM</v>
      </c>
      <c r="C41" s="17" t="e">
        <v>#N/A</v>
      </c>
      <c r="D41" s="17" t="str">
        <f>+OVERALL!D41</f>
        <v>NOS</v>
      </c>
      <c r="E41" s="17" t="s">
        <v>4</v>
      </c>
      <c r="F41" s="87">
        <f>+OVERALL!F41</f>
        <v>0</v>
      </c>
    </row>
    <row r="42" spans="1:6" ht="18">
      <c r="A42" s="125">
        <v>41</v>
      </c>
      <c r="B42" s="17" t="str">
        <f>+OVERALL!C42</f>
        <v>RML-EPE-1650MMX145MMX25MM</v>
      </c>
      <c r="C42" s="17" t="e">
        <v>#N/A</v>
      </c>
      <c r="D42" s="17" t="str">
        <f>+OVERALL!D42</f>
        <v>NOS</v>
      </c>
      <c r="E42" s="17" t="s">
        <v>4</v>
      </c>
      <c r="F42" s="87">
        <f>+OVERALL!F42</f>
        <v>0</v>
      </c>
    </row>
    <row r="43" spans="1:6" ht="18">
      <c r="A43" s="125">
        <v>42</v>
      </c>
      <c r="B43" s="17" t="str">
        <f>+OVERALL!C43</f>
        <v>RML-EPE-1040MMX165MMX25MM</v>
      </c>
      <c r="C43" s="17" t="e">
        <v>#N/A</v>
      </c>
      <c r="D43" s="17" t="str">
        <f>+OVERALL!D43</f>
        <v>NOS</v>
      </c>
      <c r="E43" s="17" t="s">
        <v>4</v>
      </c>
      <c r="F43" s="87">
        <f>+OVERALL!F43</f>
        <v>0</v>
      </c>
    </row>
    <row r="44" spans="1:6" ht="18">
      <c r="A44" s="125">
        <v>43</v>
      </c>
      <c r="B44" s="17" t="str">
        <f>+OVERALL!C44</f>
        <v>RML-EPE-1345MMX165MMX25MM</v>
      </c>
      <c r="C44" s="17" t="e">
        <v>#N/A</v>
      </c>
      <c r="D44" s="17" t="str">
        <f>+OVERALL!D44</f>
        <v>NOS</v>
      </c>
      <c r="E44" s="17" t="s">
        <v>4</v>
      </c>
      <c r="F44" s="87">
        <f>+OVERALL!F44</f>
        <v>0</v>
      </c>
    </row>
    <row r="45" spans="1:6" ht="18">
      <c r="A45" s="125">
        <v>44</v>
      </c>
      <c r="B45" s="17" t="str">
        <f>+OVERALL!C45</f>
        <v>RML-EPE-1650MMX165MMX25MM</v>
      </c>
      <c r="C45" s="17" t="e">
        <v>#N/A</v>
      </c>
      <c r="D45" s="17" t="str">
        <f>+OVERALL!D45</f>
        <v>NOS</v>
      </c>
      <c r="E45" s="17" t="s">
        <v>4</v>
      </c>
      <c r="F45" s="87">
        <f>+OVERALL!F45</f>
        <v>0</v>
      </c>
    </row>
    <row r="46" spans="1:6" ht="18">
      <c r="A46" s="125">
        <v>45</v>
      </c>
      <c r="B46" s="17" t="str">
        <f>+OVERALL!C46</f>
        <v>RML-EPE-1893X135X40</v>
      </c>
      <c r="C46" s="17" t="s">
        <v>197</v>
      </c>
      <c r="D46" s="17" t="str">
        <f>+OVERALL!D46</f>
        <v>NOS</v>
      </c>
      <c r="E46" s="17" t="s">
        <v>4</v>
      </c>
      <c r="F46" s="87"/>
    </row>
    <row r="47" spans="1:6" ht="18">
      <c r="A47" s="125">
        <v>46</v>
      </c>
      <c r="B47" s="17" t="str">
        <f>+OVERALL!C47</f>
        <v>RMI-HCTNF-71.50X29.50.</v>
      </c>
      <c r="C47" s="17" t="s">
        <v>198</v>
      </c>
      <c r="D47" s="17" t="str">
        <f>+OVERALL!D47</f>
        <v>KGS</v>
      </c>
      <c r="E47" s="17" t="s">
        <v>4</v>
      </c>
      <c r="F47" s="87">
        <f>+OVERALL!F47</f>
        <v>0</v>
      </c>
    </row>
    <row r="48" spans="1:6" ht="18">
      <c r="A48" s="125">
        <v>47</v>
      </c>
      <c r="B48" s="17" t="str">
        <f>+OVERALL!C48</f>
        <v>RMI-HCTNF-71.50X35.50.</v>
      </c>
      <c r="C48" s="17" t="s">
        <v>199</v>
      </c>
      <c r="D48" s="17" t="str">
        <f>+OVERALL!D48</f>
        <v>KGS</v>
      </c>
      <c r="E48" s="17" t="s">
        <v>4</v>
      </c>
      <c r="F48" s="87">
        <f>+OVERALL!F48</f>
        <v>0</v>
      </c>
    </row>
    <row r="49" spans="1:6" ht="18">
      <c r="A49" s="125">
        <v>48</v>
      </c>
      <c r="B49" s="17" t="str">
        <f>+OVERALL!C49</f>
        <v>RMI-HCTNF-71.50X41.50.</v>
      </c>
      <c r="C49" s="17" t="s">
        <v>200</v>
      </c>
      <c r="D49" s="17" t="str">
        <f>+OVERALL!D49</f>
        <v>KGS</v>
      </c>
      <c r="E49" s="17" t="s">
        <v>4</v>
      </c>
      <c r="F49" s="87">
        <f>+OVERALL!F49</f>
        <v>0</v>
      </c>
    </row>
    <row r="50" spans="1:6" ht="18">
      <c r="A50" s="125">
        <v>49</v>
      </c>
      <c r="B50" s="17" t="str">
        <f>+OVERALL!C50</f>
        <v>RMI-HCTNF-71.50X47.50.</v>
      </c>
      <c r="C50" s="17" t="s">
        <v>201</v>
      </c>
      <c r="D50" s="17" t="str">
        <f>+OVERALL!D50</f>
        <v>KGS</v>
      </c>
      <c r="E50" s="17" t="s">
        <v>4</v>
      </c>
      <c r="F50" s="87">
        <f>+OVERALL!F50</f>
        <v>0</v>
      </c>
    </row>
    <row r="51" spans="1:6" s="156" customFormat="1" ht="18">
      <c r="A51" s="125">
        <v>50</v>
      </c>
      <c r="B51" s="17" t="str">
        <f>+OVERALL!C51</f>
        <v>RMI-HCTNF-71.50X59.50.</v>
      </c>
      <c r="C51" s="17" t="s">
        <v>202</v>
      </c>
      <c r="D51" s="17" t="str">
        <f>+OVERALL!D51</f>
        <v>KGS</v>
      </c>
      <c r="E51" s="17" t="s">
        <v>4</v>
      </c>
      <c r="F51" s="87">
        <f>+OVERALL!F51</f>
        <v>0</v>
      </c>
    </row>
    <row r="52" spans="1:6" s="156" customFormat="1" ht="18">
      <c r="A52" s="125">
        <v>51</v>
      </c>
      <c r="B52" s="17" t="str">
        <f>+OVERALL!C52</f>
        <v>RMI-HCTNF-71.50X65.50.</v>
      </c>
      <c r="C52" s="17" t="e">
        <v>#N/A</v>
      </c>
      <c r="D52" s="17" t="str">
        <f>+OVERALL!D52</f>
        <v>KGS</v>
      </c>
      <c r="E52" s="17" t="s">
        <v>4</v>
      </c>
      <c r="F52" s="87">
        <f>+OVERALL!F52</f>
        <v>0</v>
      </c>
    </row>
    <row r="53" spans="1:6" s="156" customFormat="1" ht="18">
      <c r="A53" s="125">
        <v>52</v>
      </c>
      <c r="B53" s="17" t="str">
        <f>+OVERALL!C53</f>
        <v>RMI-HCTNF-71.50X71.50.</v>
      </c>
      <c r="C53" s="17" t="s">
        <v>203</v>
      </c>
      <c r="D53" s="17" t="str">
        <f>+OVERALL!D53</f>
        <v>KGS</v>
      </c>
      <c r="E53" s="17" t="s">
        <v>4</v>
      </c>
      <c r="F53" s="87">
        <f>+OVERALL!F53</f>
        <v>0</v>
      </c>
    </row>
    <row r="54" spans="1:6" s="156" customFormat="1" ht="18">
      <c r="A54" s="125">
        <v>53</v>
      </c>
      <c r="B54" s="17" t="str">
        <f>+OVERALL!C54</f>
        <v>RMI-HCTNF-74.50X29.50.</v>
      </c>
      <c r="C54" s="17" t="s">
        <v>204</v>
      </c>
      <c r="D54" s="17" t="str">
        <f>+OVERALL!D54</f>
        <v>KGS</v>
      </c>
      <c r="E54" s="17" t="s">
        <v>4</v>
      </c>
      <c r="F54" s="87">
        <f>+OVERALL!F54</f>
        <v>0</v>
      </c>
    </row>
    <row r="55" spans="1:6" s="156" customFormat="1" ht="18">
      <c r="A55" s="125">
        <v>54</v>
      </c>
      <c r="B55" s="17" t="str">
        <f>+OVERALL!C55</f>
        <v>RMI-HCTNF-74.50X35.50.</v>
      </c>
      <c r="C55" s="17" t="s">
        <v>205</v>
      </c>
      <c r="D55" s="17" t="str">
        <f>+OVERALL!D55</f>
        <v>KGS</v>
      </c>
      <c r="E55" s="17" t="s">
        <v>4</v>
      </c>
      <c r="F55" s="87">
        <f>+OVERALL!F55</f>
        <v>0</v>
      </c>
    </row>
    <row r="56" spans="1:6" s="156" customFormat="1" ht="18">
      <c r="A56" s="125">
        <v>55</v>
      </c>
      <c r="B56" s="17" t="str">
        <f>+OVERALL!C56</f>
        <v>RMI-HCTNF-74.50X41.50.</v>
      </c>
      <c r="C56" s="17" t="s">
        <v>206</v>
      </c>
      <c r="D56" s="17" t="str">
        <f>+OVERALL!D56</f>
        <v>KGS</v>
      </c>
      <c r="E56" s="17" t="s">
        <v>4</v>
      </c>
      <c r="F56" s="87">
        <f>+OVERALL!F56</f>
        <v>0</v>
      </c>
    </row>
    <row r="57" spans="1:6" s="156" customFormat="1" ht="18">
      <c r="A57" s="125">
        <v>56</v>
      </c>
      <c r="B57" s="17" t="str">
        <f>+OVERALL!C57</f>
        <v>RMI-HCTNF-74.50X47.50</v>
      </c>
      <c r="C57" s="17" t="s">
        <v>207</v>
      </c>
      <c r="D57" s="17" t="str">
        <f>+OVERALL!D57</f>
        <v>KGS</v>
      </c>
      <c r="E57" s="17" t="s">
        <v>4</v>
      </c>
      <c r="F57" s="87">
        <f>+OVERALL!F57</f>
        <v>0</v>
      </c>
    </row>
    <row r="58" spans="1:6" s="156" customFormat="1" ht="18">
      <c r="A58" s="125">
        <v>57</v>
      </c>
      <c r="B58" s="17" t="str">
        <f>+OVERALL!C58</f>
        <v>RMI-HCTNF-74.50x59.50.</v>
      </c>
      <c r="C58" s="17" t="s">
        <v>208</v>
      </c>
      <c r="D58" s="17" t="str">
        <f>+OVERALL!D58</f>
        <v>KGS</v>
      </c>
      <c r="E58" s="17" t="s">
        <v>4</v>
      </c>
      <c r="F58" s="87">
        <f>+OVERALL!F58</f>
        <v>0</v>
      </c>
    </row>
    <row r="59" spans="1:6" s="156" customFormat="1" ht="18">
      <c r="A59" s="125">
        <v>58</v>
      </c>
      <c r="B59" s="17" t="str">
        <f>+OVERALL!C59</f>
        <v>RMI-HCTNF-74.50X65.50.</v>
      </c>
      <c r="C59" s="17" t="e">
        <v>#N/A</v>
      </c>
      <c r="D59" s="17" t="str">
        <f>+OVERALL!D59</f>
        <v>KGS</v>
      </c>
      <c r="E59" s="17" t="s">
        <v>4</v>
      </c>
      <c r="F59" s="87">
        <f>+OVERALL!F59</f>
        <v>0</v>
      </c>
    </row>
    <row r="60" spans="1:6" s="156" customFormat="1" ht="18">
      <c r="A60" s="125">
        <v>59</v>
      </c>
      <c r="B60" s="17" t="str">
        <f>+OVERALL!C60</f>
        <v>RMI-HCTNF-74.50x71.50.</v>
      </c>
      <c r="C60" s="17" t="s">
        <v>209</v>
      </c>
      <c r="D60" s="17" t="str">
        <f>+OVERALL!D60</f>
        <v>KGS</v>
      </c>
      <c r="E60" s="17" t="s">
        <v>4</v>
      </c>
      <c r="F60" s="87">
        <f>+OVERALL!F60</f>
        <v>0</v>
      </c>
    </row>
    <row r="61" spans="1:6" s="156" customFormat="1" ht="18">
      <c r="A61" s="125">
        <v>60</v>
      </c>
      <c r="B61" s="17" t="str">
        <f>+OVERALL!C61</f>
        <v>RMI-HCTNF-77.50X29.50</v>
      </c>
      <c r="C61" s="17" t="e">
        <v>#N/A</v>
      </c>
      <c r="D61" s="17" t="str">
        <f>+OVERALL!D61</f>
        <v>KGS</v>
      </c>
      <c r="E61" s="17" t="s">
        <v>4</v>
      </c>
      <c r="F61" s="87">
        <f>+OVERALL!F61</f>
        <v>0</v>
      </c>
    </row>
    <row r="62" spans="1:6" s="156" customFormat="1" ht="18">
      <c r="A62" s="125">
        <v>61</v>
      </c>
      <c r="B62" s="17" t="str">
        <f>+OVERALL!C62</f>
        <v>RMI-HCTNF-77.50X35.50.</v>
      </c>
      <c r="C62" s="17" t="s">
        <v>210</v>
      </c>
      <c r="D62" s="17" t="str">
        <f>+OVERALL!D62</f>
        <v>KGS</v>
      </c>
      <c r="E62" s="17" t="s">
        <v>4</v>
      </c>
      <c r="F62" s="87">
        <f>+OVERALL!F62</f>
        <v>0</v>
      </c>
    </row>
    <row r="63" spans="1:6" s="156" customFormat="1" ht="18">
      <c r="A63" s="125">
        <v>62</v>
      </c>
      <c r="B63" s="17" t="str">
        <f>+OVERALL!C63</f>
        <v>RMI-HCTNF-77.50X41.50.</v>
      </c>
      <c r="C63" s="17" t="s">
        <v>211</v>
      </c>
      <c r="D63" s="17" t="str">
        <f>+OVERALL!D63</f>
        <v>KGS</v>
      </c>
      <c r="E63" s="17" t="s">
        <v>4</v>
      </c>
      <c r="F63" s="87">
        <f>+OVERALL!F63</f>
        <v>0</v>
      </c>
    </row>
    <row r="64" spans="1:6" s="156" customFormat="1" ht="18">
      <c r="A64" s="125">
        <v>63</v>
      </c>
      <c r="B64" s="17" t="str">
        <f>+OVERALL!C64</f>
        <v>RMI-HCTNF-77.50X47.50.</v>
      </c>
      <c r="C64" s="17" t="s">
        <v>212</v>
      </c>
      <c r="D64" s="17" t="str">
        <f>+OVERALL!D64</f>
        <v>KGS</v>
      </c>
      <c r="E64" s="17" t="s">
        <v>4</v>
      </c>
      <c r="F64" s="87">
        <f>+OVERALL!F64</f>
        <v>0</v>
      </c>
    </row>
    <row r="65" spans="1:6" s="156" customFormat="1" ht="18">
      <c r="A65" s="125">
        <v>64</v>
      </c>
      <c r="B65" s="17" t="str">
        <f>+OVERALL!C65</f>
        <v>RMI-HCTNF-77.50x59.50.</v>
      </c>
      <c r="C65" s="17" t="s">
        <v>213</v>
      </c>
      <c r="D65" s="17" t="str">
        <f>+OVERALL!D65</f>
        <v>KGS</v>
      </c>
      <c r="E65" s="17" t="s">
        <v>4</v>
      </c>
      <c r="F65" s="87">
        <f>+OVERALL!F65</f>
        <v>0</v>
      </c>
    </row>
    <row r="66" spans="1:6" s="156" customFormat="1" ht="18">
      <c r="A66" s="125">
        <v>65</v>
      </c>
      <c r="B66" s="17" t="str">
        <f>+OVERALL!C66</f>
        <v>RMI-HCTNF-77.50X65.50.</v>
      </c>
      <c r="C66" s="17" t="s">
        <v>214</v>
      </c>
      <c r="D66" s="17" t="str">
        <f>+OVERALL!D66</f>
        <v>KGS</v>
      </c>
      <c r="E66" s="17" t="s">
        <v>4</v>
      </c>
      <c r="F66" s="87">
        <f>+OVERALL!F66</f>
        <v>0</v>
      </c>
    </row>
    <row r="67" spans="1:6" s="156" customFormat="1" ht="18">
      <c r="A67" s="125">
        <v>66</v>
      </c>
      <c r="B67" s="17" t="str">
        <f>+OVERALL!C67</f>
        <v>RMI-HCTNF-77.50x71.50.</v>
      </c>
      <c r="C67" s="17" t="s">
        <v>215</v>
      </c>
      <c r="D67" s="17" t="str">
        <f>+OVERALL!D67</f>
        <v>KGS</v>
      </c>
      <c r="E67" s="17" t="s">
        <v>4</v>
      </c>
      <c r="F67" s="87">
        <f>+OVERALL!F67</f>
        <v>0</v>
      </c>
    </row>
    <row r="68" spans="1:6" s="156" customFormat="1" ht="18">
      <c r="A68" s="125">
        <v>67</v>
      </c>
      <c r="B68" s="17" t="str">
        <f>+OVERALL!C68</f>
        <v>RMI-HCTNF-83.50X71.50.</v>
      </c>
      <c r="C68" s="17" t="s">
        <v>216</v>
      </c>
      <c r="D68" s="17" t="str">
        <f>+OVERALL!D68</f>
        <v>KGS</v>
      </c>
      <c r="E68" s="17" t="s">
        <v>4</v>
      </c>
      <c r="F68" s="87">
        <f>+OVERALL!F68</f>
        <v>0</v>
      </c>
    </row>
  </sheetData>
  <pageMargins left="0.15748031496062992" right="0" top="0.23622047244094491" bottom="0" header="0.31496062992125984" footer="0.31496062992125984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A70"/>
  <sheetViews>
    <sheetView zoomScale="70" zoomScaleNormal="70" workbookViewId="0">
      <selection activeCell="C37" sqref="C37"/>
    </sheetView>
  </sheetViews>
  <sheetFormatPr defaultRowHeight="18"/>
  <cols>
    <col min="1" max="1" width="9.140625" style="13"/>
    <col min="2" max="2" width="18.140625" style="13" customWidth="1"/>
    <col min="3" max="3" width="28.28515625" style="13" customWidth="1"/>
    <col min="4" max="4" width="26.42578125" style="13" customWidth="1"/>
    <col min="5" max="6" width="26.42578125" style="13" bestFit="1" customWidth="1"/>
    <col min="7" max="7" width="26.42578125" style="13" customWidth="1"/>
    <col min="8" max="8" width="26.42578125" style="13" bestFit="1" customWidth="1"/>
    <col min="9" max="12" width="26.5703125" style="13" bestFit="1" customWidth="1"/>
    <col min="13" max="13" width="3.140625" style="13" customWidth="1"/>
    <col min="14" max="14" width="15.28515625" style="13" customWidth="1"/>
    <col min="15" max="15" width="22" style="25" customWidth="1"/>
    <col min="16" max="16" width="18.7109375" style="25" customWidth="1"/>
    <col min="17" max="17" width="19.28515625" style="25" customWidth="1"/>
    <col min="18" max="18" width="26" style="25" customWidth="1"/>
    <col min="19" max="19" width="29.85546875" style="25" customWidth="1"/>
    <col min="20" max="20" width="26.42578125" style="25" customWidth="1"/>
    <col min="21" max="21" width="24.42578125" style="25" customWidth="1"/>
    <col min="22" max="22" width="31.28515625" style="25" customWidth="1"/>
    <col min="23" max="23" width="3.7109375" style="25" customWidth="1"/>
    <col min="24" max="24" width="17.140625" style="25" customWidth="1"/>
    <col min="25" max="25" width="19.42578125" style="25" customWidth="1"/>
    <col min="26" max="26" width="24.42578125" style="25" customWidth="1"/>
    <col min="27" max="27" width="23.7109375" style="25" customWidth="1"/>
    <col min="28" max="28" width="28" style="25" customWidth="1"/>
    <col min="29" max="30" width="27" style="25" customWidth="1"/>
    <col min="31" max="31" width="33.42578125" style="25" customWidth="1"/>
    <col min="32" max="32" width="27" style="25" customWidth="1"/>
    <col min="33" max="33" width="31.7109375" style="25" customWidth="1"/>
    <col min="34" max="34" width="3.85546875" style="25" customWidth="1"/>
    <col min="35" max="40" width="25.7109375" style="25" customWidth="1"/>
    <col min="41" max="42" width="6.5703125" style="25" customWidth="1"/>
    <col min="43" max="43" width="19" style="25" customWidth="1"/>
    <col min="44" max="44" width="64.7109375" style="25" customWidth="1"/>
    <col min="45" max="45" width="23" style="25" customWidth="1"/>
    <col min="46" max="46" width="20" style="25" customWidth="1"/>
    <col min="47" max="48" width="30.7109375" style="25" bestFit="1" customWidth="1"/>
    <col min="49" max="49" width="33.140625" style="25" bestFit="1" customWidth="1"/>
    <col min="50" max="50" width="19.140625" style="25" bestFit="1" customWidth="1"/>
    <col min="51" max="51" width="9.140625" style="25" bestFit="1" customWidth="1"/>
    <col min="52" max="52" width="30.7109375" style="25" bestFit="1" customWidth="1"/>
    <col min="53" max="53" width="28.85546875" style="13" bestFit="1" customWidth="1"/>
    <col min="54" max="54" width="25.28515625" style="13" bestFit="1" customWidth="1"/>
    <col min="55" max="55" width="24.5703125" style="13" bestFit="1" customWidth="1"/>
    <col min="56" max="56" width="28.85546875" style="13" bestFit="1" customWidth="1"/>
    <col min="57" max="60" width="37.28515625" style="13" bestFit="1" customWidth="1"/>
    <col min="61" max="16384" width="9.140625" style="13"/>
  </cols>
  <sheetData>
    <row r="1" spans="2:47" ht="18.75" thickBot="1"/>
    <row r="2" spans="2:47" ht="18.75" thickBot="1">
      <c r="B2" s="14"/>
      <c r="C2" s="29">
        <v>1.4</v>
      </c>
      <c r="D2" s="10">
        <v>1.7</v>
      </c>
      <c r="E2" s="15">
        <v>1.8</v>
      </c>
      <c r="F2" s="29">
        <v>1.9</v>
      </c>
      <c r="G2" s="10">
        <v>2</v>
      </c>
      <c r="H2" s="15">
        <v>2.1</v>
      </c>
      <c r="I2" s="10">
        <v>2.2000000000000002</v>
      </c>
      <c r="J2" s="15">
        <v>2.2999999999999998</v>
      </c>
      <c r="K2" s="10">
        <v>3.6</v>
      </c>
      <c r="L2" s="63">
        <v>4</v>
      </c>
      <c r="N2" s="29"/>
      <c r="O2" s="14">
        <v>85</v>
      </c>
      <c r="P2" s="51" t="s">
        <v>48</v>
      </c>
      <c r="Q2" s="14">
        <v>24</v>
      </c>
      <c r="R2" s="51" t="s">
        <v>49</v>
      </c>
      <c r="S2" s="14" t="s">
        <v>50</v>
      </c>
      <c r="T2" s="51" t="s">
        <v>51</v>
      </c>
      <c r="U2" s="14" t="s">
        <v>52</v>
      </c>
      <c r="V2" s="14" t="s">
        <v>53</v>
      </c>
      <c r="W2" s="15"/>
      <c r="X2" s="14"/>
      <c r="Y2" s="33" t="s">
        <v>80</v>
      </c>
      <c r="Z2" s="10">
        <v>34</v>
      </c>
      <c r="AA2" s="10">
        <v>37</v>
      </c>
      <c r="AB2" s="10" t="s">
        <v>57</v>
      </c>
      <c r="AC2" s="15">
        <v>45</v>
      </c>
      <c r="AD2" s="10">
        <v>50</v>
      </c>
      <c r="AE2" s="15" t="s">
        <v>58</v>
      </c>
      <c r="AF2" s="10">
        <v>54</v>
      </c>
      <c r="AG2" s="63">
        <v>58</v>
      </c>
      <c r="AH2" s="15"/>
      <c r="AI2" s="14"/>
      <c r="AJ2" s="10">
        <v>76</v>
      </c>
      <c r="AK2" s="10">
        <v>79</v>
      </c>
      <c r="AL2" s="10">
        <v>82</v>
      </c>
      <c r="AM2" s="10" t="s">
        <v>59</v>
      </c>
      <c r="AN2" s="10">
        <v>8</v>
      </c>
    </row>
    <row r="3" spans="2:47" ht="24.75" customHeight="1" thickBot="1">
      <c r="B3" s="169" t="s">
        <v>46</v>
      </c>
      <c r="C3" s="173" t="s">
        <v>62</v>
      </c>
      <c r="D3" s="174"/>
      <c r="E3" s="174"/>
      <c r="F3" s="174"/>
      <c r="G3" s="174"/>
      <c r="H3" s="174"/>
      <c r="I3" s="174"/>
      <c r="J3" s="174"/>
      <c r="K3" s="174"/>
      <c r="L3" s="175"/>
      <c r="N3" s="171" t="s">
        <v>46</v>
      </c>
      <c r="O3" s="173" t="s">
        <v>61</v>
      </c>
      <c r="P3" s="174"/>
      <c r="Q3" s="174"/>
      <c r="R3" s="174"/>
      <c r="S3" s="174"/>
      <c r="T3" s="174"/>
      <c r="U3" s="174"/>
      <c r="V3" s="175"/>
      <c r="W3" s="26"/>
      <c r="X3" s="169" t="s">
        <v>46</v>
      </c>
      <c r="Y3" s="89"/>
      <c r="Z3" s="45" t="s">
        <v>60</v>
      </c>
      <c r="AA3" s="45"/>
      <c r="AB3" s="45"/>
      <c r="AC3" s="26"/>
      <c r="AD3" s="45"/>
      <c r="AE3" s="26"/>
      <c r="AF3" s="45"/>
      <c r="AG3" s="12"/>
      <c r="AH3" s="26"/>
      <c r="AI3" s="169" t="s">
        <v>46</v>
      </c>
      <c r="AJ3" s="45"/>
      <c r="AK3" s="45"/>
      <c r="AL3" s="45"/>
      <c r="AM3" s="45"/>
      <c r="AN3" s="45"/>
    </row>
    <row r="4" spans="2:47" ht="54.75" thickBot="1">
      <c r="B4" s="170"/>
      <c r="C4" s="130" t="s">
        <v>12</v>
      </c>
      <c r="D4" s="8" t="s">
        <v>93</v>
      </c>
      <c r="E4" s="9" t="s">
        <v>13</v>
      </c>
      <c r="F4" s="130" t="s">
        <v>14</v>
      </c>
      <c r="G4" s="8" t="s">
        <v>94</v>
      </c>
      <c r="H4" s="9" t="s">
        <v>15</v>
      </c>
      <c r="I4" s="8" t="s">
        <v>16</v>
      </c>
      <c r="J4" s="9" t="s">
        <v>17</v>
      </c>
      <c r="K4" s="8" t="s">
        <v>18</v>
      </c>
      <c r="L4" s="132" t="s">
        <v>40</v>
      </c>
      <c r="N4" s="172"/>
      <c r="O4" s="46" t="s">
        <v>8</v>
      </c>
      <c r="P4" s="27" t="s">
        <v>7</v>
      </c>
      <c r="Q4" s="46" t="s">
        <v>5</v>
      </c>
      <c r="R4" s="27" t="s">
        <v>9</v>
      </c>
      <c r="S4" s="46" t="s">
        <v>19</v>
      </c>
      <c r="T4" s="27" t="s">
        <v>20</v>
      </c>
      <c r="U4" s="46" t="s">
        <v>21</v>
      </c>
      <c r="V4" s="46" t="s">
        <v>43</v>
      </c>
      <c r="W4" s="28"/>
      <c r="X4" s="170"/>
      <c r="Y4" s="62" t="s">
        <v>10</v>
      </c>
      <c r="Z4" s="62" t="s">
        <v>22</v>
      </c>
      <c r="AA4" s="62" t="s">
        <v>23</v>
      </c>
      <c r="AB4" s="62" t="s">
        <v>38</v>
      </c>
      <c r="AC4" s="64" t="s">
        <v>24</v>
      </c>
      <c r="AD4" s="62" t="s">
        <v>25</v>
      </c>
      <c r="AE4" s="64" t="s">
        <v>39</v>
      </c>
      <c r="AF4" s="62" t="s">
        <v>44</v>
      </c>
      <c r="AG4" s="67" t="s">
        <v>26</v>
      </c>
      <c r="AH4" s="64"/>
      <c r="AI4" s="170"/>
      <c r="AJ4" s="62" t="s">
        <v>41</v>
      </c>
      <c r="AK4" s="62" t="s">
        <v>27</v>
      </c>
      <c r="AL4" s="62" t="s">
        <v>217</v>
      </c>
      <c r="AM4" s="62" t="s">
        <v>42</v>
      </c>
      <c r="AN4" s="62" t="s">
        <v>45</v>
      </c>
      <c r="AQ4" s="180" t="s">
        <v>63</v>
      </c>
      <c r="AR4" s="181"/>
      <c r="AS4" s="181"/>
      <c r="AT4" s="182"/>
    </row>
    <row r="5" spans="2:47" ht="21" thickBot="1">
      <c r="B5" s="10" t="s">
        <v>1</v>
      </c>
      <c r="C5" s="130" t="s">
        <v>11</v>
      </c>
      <c r="D5" s="8" t="s">
        <v>11</v>
      </c>
      <c r="E5" s="132" t="s">
        <v>11</v>
      </c>
      <c r="F5" s="130" t="s">
        <v>11</v>
      </c>
      <c r="G5" s="8" t="s">
        <v>11</v>
      </c>
      <c r="H5" s="132" t="s">
        <v>11</v>
      </c>
      <c r="I5" s="8" t="s">
        <v>11</v>
      </c>
      <c r="J5" s="130" t="s">
        <v>11</v>
      </c>
      <c r="K5" s="8" t="s">
        <v>11</v>
      </c>
      <c r="L5" s="132" t="s">
        <v>11</v>
      </c>
      <c r="M5" s="16"/>
      <c r="N5" s="29" t="s">
        <v>1</v>
      </c>
      <c r="O5" s="47" t="s">
        <v>6</v>
      </c>
      <c r="P5" s="52" t="s">
        <v>6</v>
      </c>
      <c r="Q5" s="47" t="s">
        <v>6</v>
      </c>
      <c r="R5" s="52" t="s">
        <v>54</v>
      </c>
      <c r="S5" s="47" t="s">
        <v>3</v>
      </c>
      <c r="T5" s="52" t="s">
        <v>3</v>
      </c>
      <c r="U5" s="47" t="s">
        <v>3</v>
      </c>
      <c r="V5" s="47" t="s">
        <v>54</v>
      </c>
      <c r="W5" s="32"/>
      <c r="X5" s="29" t="s">
        <v>1</v>
      </c>
      <c r="Y5" s="29" t="s">
        <v>11</v>
      </c>
      <c r="Z5" s="47" t="s">
        <v>11</v>
      </c>
      <c r="AA5" s="47" t="s">
        <v>11</v>
      </c>
      <c r="AB5" s="47" t="s">
        <v>11</v>
      </c>
      <c r="AC5" s="52" t="s">
        <v>11</v>
      </c>
      <c r="AD5" s="47" t="s">
        <v>11</v>
      </c>
      <c r="AE5" s="52" t="s">
        <v>11</v>
      </c>
      <c r="AF5" s="47" t="s">
        <v>11</v>
      </c>
      <c r="AG5" s="58" t="s">
        <v>11</v>
      </c>
      <c r="AH5" s="52"/>
      <c r="AI5" s="29" t="s">
        <v>1</v>
      </c>
      <c r="AJ5" s="47" t="s">
        <v>11</v>
      </c>
      <c r="AK5" s="47" t="s">
        <v>11</v>
      </c>
      <c r="AL5" s="47" t="s">
        <v>11</v>
      </c>
      <c r="AM5" s="47" t="s">
        <v>11</v>
      </c>
      <c r="AN5" s="47" t="s">
        <v>11</v>
      </c>
      <c r="AQ5" s="77" t="s">
        <v>69</v>
      </c>
      <c r="AR5" s="78" t="s">
        <v>78</v>
      </c>
      <c r="AS5" s="78" t="s">
        <v>1</v>
      </c>
      <c r="AT5" s="79" t="s">
        <v>77</v>
      </c>
      <c r="AU5" s="27"/>
    </row>
    <row r="6" spans="2:47" ht="24.95" customHeight="1">
      <c r="B6" s="19">
        <v>1</v>
      </c>
      <c r="C6" s="21"/>
      <c r="D6" s="19"/>
      <c r="E6" s="19"/>
      <c r="F6" s="30"/>
      <c r="G6" s="19"/>
      <c r="H6" s="21"/>
      <c r="I6" s="19"/>
      <c r="J6" s="21"/>
      <c r="K6" s="19"/>
      <c r="L6" s="20"/>
      <c r="N6" s="30">
        <v>1</v>
      </c>
      <c r="O6" s="48"/>
      <c r="P6" s="53"/>
      <c r="Q6" s="48"/>
      <c r="R6" s="53"/>
      <c r="S6" s="48"/>
      <c r="T6" s="53"/>
      <c r="U6" s="48"/>
      <c r="V6" s="48"/>
      <c r="X6" s="30">
        <v>1</v>
      </c>
      <c r="Y6" s="30"/>
      <c r="Z6" s="48"/>
      <c r="AA6" s="48"/>
      <c r="AB6" s="48"/>
      <c r="AC6" s="53"/>
      <c r="AD6" s="48"/>
      <c r="AE6" s="53"/>
      <c r="AF6" s="48"/>
      <c r="AG6" s="59"/>
      <c r="AH6" s="53"/>
      <c r="AI6" s="30">
        <v>1</v>
      </c>
      <c r="AJ6" s="48"/>
      <c r="AK6" s="48"/>
      <c r="AL6" s="48"/>
      <c r="AM6" s="48"/>
      <c r="AN6" s="48"/>
      <c r="AQ6" s="70" t="s">
        <v>120</v>
      </c>
      <c r="AR6" s="80" t="s">
        <v>121</v>
      </c>
      <c r="AS6" s="81" t="s">
        <v>3</v>
      </c>
      <c r="AT6" s="82"/>
    </row>
    <row r="7" spans="2:47" ht="24.95" customHeight="1">
      <c r="B7" s="22">
        <v>2</v>
      </c>
      <c r="C7" s="24"/>
      <c r="D7" s="22"/>
      <c r="E7" s="22"/>
      <c r="F7" s="31"/>
      <c r="G7" s="22"/>
      <c r="H7" s="24"/>
      <c r="I7" s="22"/>
      <c r="J7" s="24"/>
      <c r="K7" s="22"/>
      <c r="L7" s="23"/>
      <c r="N7" s="31">
        <v>2</v>
      </c>
      <c r="O7" s="49"/>
      <c r="P7" s="54"/>
      <c r="Q7" s="49"/>
      <c r="R7" s="54"/>
      <c r="S7" s="49"/>
      <c r="T7" s="54"/>
      <c r="U7" s="49"/>
      <c r="V7" s="49"/>
      <c r="X7" s="31">
        <v>2</v>
      </c>
      <c r="Y7" s="31"/>
      <c r="Z7" s="49"/>
      <c r="AA7" s="49"/>
      <c r="AB7" s="49"/>
      <c r="AC7" s="54"/>
      <c r="AD7" s="49"/>
      <c r="AE7" s="54"/>
      <c r="AF7" s="49"/>
      <c r="AG7" s="60"/>
      <c r="AH7" s="54"/>
      <c r="AI7" s="31">
        <v>2</v>
      </c>
      <c r="AJ7" s="49"/>
      <c r="AK7" s="49"/>
      <c r="AL7" s="49"/>
      <c r="AM7" s="49"/>
      <c r="AN7" s="49"/>
      <c r="AQ7" s="71" t="s">
        <v>122</v>
      </c>
      <c r="AR7" s="83" t="s">
        <v>123</v>
      </c>
      <c r="AS7" s="81" t="s">
        <v>3</v>
      </c>
      <c r="AT7" s="84"/>
    </row>
    <row r="8" spans="2:47" ht="24.95" customHeight="1">
      <c r="B8" s="19">
        <v>3</v>
      </c>
      <c r="C8" s="24"/>
      <c r="D8" s="22"/>
      <c r="E8" s="22"/>
      <c r="F8" s="31"/>
      <c r="G8" s="22"/>
      <c r="H8" s="24"/>
      <c r="I8" s="22"/>
      <c r="J8" s="24"/>
      <c r="K8" s="22"/>
      <c r="L8" s="23"/>
      <c r="N8" s="30">
        <v>3</v>
      </c>
      <c r="O8" s="49"/>
      <c r="P8" s="54"/>
      <c r="Q8" s="49"/>
      <c r="R8" s="54"/>
      <c r="S8" s="49"/>
      <c r="T8" s="54"/>
      <c r="U8" s="49"/>
      <c r="V8" s="49"/>
      <c r="X8" s="30">
        <v>3</v>
      </c>
      <c r="Y8" s="30"/>
      <c r="Z8" s="49"/>
      <c r="AA8" s="49"/>
      <c r="AB8" s="49"/>
      <c r="AC8" s="54"/>
      <c r="AD8" s="49"/>
      <c r="AE8" s="54"/>
      <c r="AF8" s="49"/>
      <c r="AG8" s="60"/>
      <c r="AH8" s="54"/>
      <c r="AI8" s="30">
        <v>3</v>
      </c>
      <c r="AJ8" s="49"/>
      <c r="AK8" s="49"/>
      <c r="AL8" s="49"/>
      <c r="AM8" s="49"/>
      <c r="AN8" s="49"/>
      <c r="AQ8" s="71" t="s">
        <v>124</v>
      </c>
      <c r="AR8" s="83" t="s">
        <v>125</v>
      </c>
      <c r="AS8" s="81" t="s">
        <v>3</v>
      </c>
      <c r="AT8" s="84"/>
    </row>
    <row r="9" spans="2:47" ht="24.95" customHeight="1">
      <c r="B9" s="22">
        <v>4</v>
      </c>
      <c r="C9" s="24"/>
      <c r="D9" s="22"/>
      <c r="E9" s="22"/>
      <c r="F9" s="31"/>
      <c r="G9" s="22"/>
      <c r="H9" s="24"/>
      <c r="I9" s="22"/>
      <c r="J9" s="24"/>
      <c r="K9" s="22"/>
      <c r="L9" s="23"/>
      <c r="N9" s="31">
        <v>4</v>
      </c>
      <c r="O9" s="49"/>
      <c r="P9" s="54"/>
      <c r="Q9" s="49"/>
      <c r="R9" s="54"/>
      <c r="S9" s="49"/>
      <c r="T9" s="54"/>
      <c r="U9" s="49"/>
      <c r="V9" s="49"/>
      <c r="X9" s="31">
        <v>4</v>
      </c>
      <c r="Y9" s="31"/>
      <c r="Z9" s="49"/>
      <c r="AA9" s="49"/>
      <c r="AB9" s="49"/>
      <c r="AC9" s="54"/>
      <c r="AD9" s="49"/>
      <c r="AE9" s="54"/>
      <c r="AF9" s="49"/>
      <c r="AG9" s="60"/>
      <c r="AH9" s="54"/>
      <c r="AI9" s="31">
        <v>4</v>
      </c>
      <c r="AJ9" s="49"/>
      <c r="AK9" s="49"/>
      <c r="AL9" s="49"/>
      <c r="AM9" s="49"/>
      <c r="AN9" s="49"/>
      <c r="AQ9" s="71" t="s">
        <v>126</v>
      </c>
      <c r="AR9" s="83" t="s">
        <v>127</v>
      </c>
      <c r="AS9" s="81" t="s">
        <v>3</v>
      </c>
      <c r="AT9" s="84"/>
    </row>
    <row r="10" spans="2:47" ht="24.95" customHeight="1">
      <c r="B10" s="19">
        <v>5</v>
      </c>
      <c r="C10" s="24"/>
      <c r="D10" s="22"/>
      <c r="E10" s="22"/>
      <c r="F10" s="31"/>
      <c r="G10" s="22"/>
      <c r="H10" s="24"/>
      <c r="I10" s="22"/>
      <c r="J10" s="24"/>
      <c r="K10" s="22"/>
      <c r="L10" s="23"/>
      <c r="N10" s="31">
        <v>5</v>
      </c>
      <c r="O10" s="49"/>
      <c r="P10" s="54"/>
      <c r="Q10" s="49"/>
      <c r="R10" s="54"/>
      <c r="S10" s="49"/>
      <c r="T10" s="54"/>
      <c r="U10" s="49"/>
      <c r="V10" s="49"/>
      <c r="X10" s="30">
        <v>5</v>
      </c>
      <c r="Y10" s="30"/>
      <c r="Z10" s="49"/>
      <c r="AA10" s="49"/>
      <c r="AB10" s="49"/>
      <c r="AC10" s="54"/>
      <c r="AD10" s="49"/>
      <c r="AE10" s="54"/>
      <c r="AF10" s="49"/>
      <c r="AG10" s="60"/>
      <c r="AH10" s="54"/>
      <c r="AI10" s="30">
        <v>5</v>
      </c>
      <c r="AJ10" s="49"/>
      <c r="AK10" s="49"/>
      <c r="AL10" s="49"/>
      <c r="AM10" s="49"/>
      <c r="AN10" s="49"/>
      <c r="AQ10" s="71" t="s">
        <v>128</v>
      </c>
      <c r="AR10" s="83" t="s">
        <v>129</v>
      </c>
      <c r="AS10" s="81" t="s">
        <v>3</v>
      </c>
      <c r="AT10" s="84"/>
    </row>
    <row r="11" spans="2:47" ht="24.95" customHeight="1">
      <c r="B11" s="22">
        <v>6</v>
      </c>
      <c r="C11" s="24"/>
      <c r="D11" s="22"/>
      <c r="E11" s="22"/>
      <c r="F11" s="31"/>
      <c r="G11" s="22"/>
      <c r="H11" s="24"/>
      <c r="I11" s="22"/>
      <c r="J11" s="24"/>
      <c r="K11" s="22"/>
      <c r="L11" s="23"/>
      <c r="N11" s="31">
        <v>6</v>
      </c>
      <c r="O11" s="49"/>
      <c r="P11" s="54"/>
      <c r="Q11" s="49"/>
      <c r="R11" s="54"/>
      <c r="S11" s="49"/>
      <c r="T11" s="54"/>
      <c r="U11" s="49"/>
      <c r="V11" s="49"/>
      <c r="X11" s="31">
        <v>6</v>
      </c>
      <c r="Y11" s="31"/>
      <c r="Z11" s="49"/>
      <c r="AA11" s="49"/>
      <c r="AB11" s="49"/>
      <c r="AC11" s="54"/>
      <c r="AD11" s="49"/>
      <c r="AE11" s="54"/>
      <c r="AF11" s="49"/>
      <c r="AG11" s="60"/>
      <c r="AH11" s="54"/>
      <c r="AI11" s="31">
        <v>6</v>
      </c>
      <c r="AJ11" s="49"/>
      <c r="AK11" s="49"/>
      <c r="AL11" s="49"/>
      <c r="AM11" s="49"/>
      <c r="AN11" s="49"/>
      <c r="AQ11" s="71" t="s">
        <v>130</v>
      </c>
      <c r="AR11" s="83" t="s">
        <v>131</v>
      </c>
      <c r="AS11" s="81" t="s">
        <v>3</v>
      </c>
      <c r="AT11" s="84"/>
    </row>
    <row r="12" spans="2:47" ht="24.95" customHeight="1">
      <c r="B12" s="19">
        <v>7</v>
      </c>
      <c r="C12" s="24"/>
      <c r="D12" s="22"/>
      <c r="E12" s="22"/>
      <c r="F12" s="31"/>
      <c r="G12" s="22"/>
      <c r="H12" s="24"/>
      <c r="I12" s="22"/>
      <c r="J12" s="24"/>
      <c r="K12" s="22"/>
      <c r="L12" s="23"/>
      <c r="N12" s="31">
        <v>7</v>
      </c>
      <c r="O12" s="49"/>
      <c r="P12" s="54"/>
      <c r="Q12" s="49"/>
      <c r="R12" s="54"/>
      <c r="S12" s="49"/>
      <c r="T12" s="54"/>
      <c r="U12" s="49"/>
      <c r="V12" s="49"/>
      <c r="X12" s="30">
        <v>7</v>
      </c>
      <c r="Y12" s="30"/>
      <c r="Z12" s="49"/>
      <c r="AA12" s="49"/>
      <c r="AB12" s="49"/>
      <c r="AC12" s="54"/>
      <c r="AD12" s="49"/>
      <c r="AE12" s="54"/>
      <c r="AF12" s="49"/>
      <c r="AG12" s="60"/>
      <c r="AH12" s="54"/>
      <c r="AI12" s="30">
        <v>7</v>
      </c>
      <c r="AJ12" s="49"/>
      <c r="AK12" s="49"/>
      <c r="AL12" s="49"/>
      <c r="AM12" s="49"/>
      <c r="AN12" s="49"/>
      <c r="AQ12" s="73" t="s">
        <v>132</v>
      </c>
      <c r="AR12" s="85" t="s">
        <v>133</v>
      </c>
      <c r="AS12" s="81" t="s">
        <v>3</v>
      </c>
      <c r="AT12" s="86"/>
    </row>
    <row r="13" spans="2:47" ht="24.95" customHeight="1">
      <c r="B13" s="22">
        <v>8</v>
      </c>
      <c r="C13" s="24"/>
      <c r="D13" s="22"/>
      <c r="E13" s="22"/>
      <c r="F13" s="31"/>
      <c r="G13" s="22"/>
      <c r="H13" s="24"/>
      <c r="I13" s="22"/>
      <c r="J13" s="24"/>
      <c r="K13" s="22"/>
      <c r="L13" s="23"/>
      <c r="N13" s="31">
        <v>8</v>
      </c>
      <c r="O13" s="49"/>
      <c r="P13" s="54"/>
      <c r="Q13" s="49"/>
      <c r="R13" s="54"/>
      <c r="S13" s="49"/>
      <c r="T13" s="54"/>
      <c r="U13" s="49"/>
      <c r="V13" s="49"/>
      <c r="X13" s="31">
        <v>8</v>
      </c>
      <c r="Y13" s="31"/>
      <c r="Z13" s="49"/>
      <c r="AA13" s="49"/>
      <c r="AB13" s="49"/>
      <c r="AC13" s="54"/>
      <c r="AD13" s="49"/>
      <c r="AE13" s="54"/>
      <c r="AF13" s="49"/>
      <c r="AG13" s="60"/>
      <c r="AH13" s="54"/>
      <c r="AI13" s="31">
        <v>8</v>
      </c>
      <c r="AJ13" s="49"/>
      <c r="AK13" s="49"/>
      <c r="AL13" s="49"/>
      <c r="AM13" s="49"/>
      <c r="AN13" s="49"/>
      <c r="AQ13" s="73" t="s">
        <v>134</v>
      </c>
      <c r="AR13" s="85" t="s">
        <v>135</v>
      </c>
      <c r="AS13" s="81" t="s">
        <v>3</v>
      </c>
      <c r="AT13" s="86"/>
    </row>
    <row r="14" spans="2:47" ht="24.95" customHeight="1">
      <c r="B14" s="19">
        <v>9</v>
      </c>
      <c r="C14" s="24"/>
      <c r="D14" s="22"/>
      <c r="E14" s="22"/>
      <c r="F14" s="31"/>
      <c r="G14" s="22"/>
      <c r="H14" s="24"/>
      <c r="I14" s="22"/>
      <c r="J14" s="24"/>
      <c r="K14" s="22"/>
      <c r="L14" s="23"/>
      <c r="N14" s="31">
        <v>9</v>
      </c>
      <c r="O14" s="49"/>
      <c r="P14" s="54"/>
      <c r="Q14" s="49"/>
      <c r="R14" s="54"/>
      <c r="S14" s="49"/>
      <c r="T14" s="54"/>
      <c r="U14" s="49"/>
      <c r="V14" s="49"/>
      <c r="X14" s="30">
        <v>9</v>
      </c>
      <c r="Y14" s="30"/>
      <c r="Z14" s="49"/>
      <c r="AA14" s="49"/>
      <c r="AB14" s="49"/>
      <c r="AC14" s="54"/>
      <c r="AD14" s="49"/>
      <c r="AE14" s="54"/>
      <c r="AF14" s="49"/>
      <c r="AG14" s="60"/>
      <c r="AH14" s="54"/>
      <c r="AI14" s="30">
        <v>9</v>
      </c>
      <c r="AJ14" s="49"/>
      <c r="AK14" s="49"/>
      <c r="AL14" s="49"/>
      <c r="AM14" s="49"/>
      <c r="AN14" s="49"/>
      <c r="AQ14" s="73" t="s">
        <v>136</v>
      </c>
      <c r="AR14" s="85" t="s">
        <v>137</v>
      </c>
      <c r="AS14" s="81" t="s">
        <v>3</v>
      </c>
      <c r="AT14" s="86"/>
    </row>
    <row r="15" spans="2:47" ht="24.95" customHeight="1">
      <c r="B15" s="22">
        <v>10</v>
      </c>
      <c r="C15" s="24"/>
      <c r="D15" s="22"/>
      <c r="E15" s="22"/>
      <c r="F15" s="31"/>
      <c r="G15" s="22"/>
      <c r="H15" s="24"/>
      <c r="I15" s="22"/>
      <c r="J15" s="24"/>
      <c r="K15" s="22"/>
      <c r="L15" s="23"/>
      <c r="N15" s="31">
        <v>10</v>
      </c>
      <c r="O15" s="49"/>
      <c r="P15" s="54"/>
      <c r="Q15" s="49"/>
      <c r="R15" s="54"/>
      <c r="S15" s="49"/>
      <c r="T15" s="54"/>
      <c r="U15" s="49"/>
      <c r="V15" s="49"/>
      <c r="X15" s="31">
        <v>10</v>
      </c>
      <c r="Y15" s="31"/>
      <c r="Z15" s="49"/>
      <c r="AA15" s="49"/>
      <c r="AB15" s="49"/>
      <c r="AC15" s="54"/>
      <c r="AD15" s="49"/>
      <c r="AE15" s="54"/>
      <c r="AF15" s="49"/>
      <c r="AG15" s="60"/>
      <c r="AH15" s="54"/>
      <c r="AI15" s="31">
        <v>10</v>
      </c>
      <c r="AJ15" s="49"/>
      <c r="AK15" s="49"/>
      <c r="AL15" s="49"/>
      <c r="AM15" s="49"/>
      <c r="AN15" s="49"/>
      <c r="AQ15" s="73" t="s">
        <v>138</v>
      </c>
      <c r="AR15" s="85" t="s">
        <v>139</v>
      </c>
      <c r="AS15" s="81" t="s">
        <v>3</v>
      </c>
      <c r="AT15" s="86"/>
    </row>
    <row r="16" spans="2:47" ht="24.95" customHeight="1">
      <c r="B16" s="19">
        <v>11</v>
      </c>
      <c r="C16" s="24"/>
      <c r="D16" s="22"/>
      <c r="E16" s="22"/>
      <c r="F16" s="31"/>
      <c r="G16" s="22"/>
      <c r="H16" s="24"/>
      <c r="I16" s="22"/>
      <c r="J16" s="24"/>
      <c r="K16" s="22"/>
      <c r="L16" s="23"/>
      <c r="N16" s="31">
        <v>11</v>
      </c>
      <c r="O16" s="49"/>
      <c r="P16" s="54"/>
      <c r="Q16" s="49"/>
      <c r="R16" s="54"/>
      <c r="S16" s="49"/>
      <c r="T16" s="54"/>
      <c r="U16" s="49"/>
      <c r="V16" s="49"/>
      <c r="X16" s="30">
        <v>11</v>
      </c>
      <c r="Y16" s="30"/>
      <c r="Z16" s="49"/>
      <c r="AA16" s="49"/>
      <c r="AB16" s="49"/>
      <c r="AC16" s="54"/>
      <c r="AD16" s="49"/>
      <c r="AE16" s="54"/>
      <c r="AF16" s="49"/>
      <c r="AG16" s="60"/>
      <c r="AH16" s="54"/>
      <c r="AI16" s="30">
        <v>11</v>
      </c>
      <c r="AJ16" s="49"/>
      <c r="AK16" s="49"/>
      <c r="AL16" s="49"/>
      <c r="AM16" s="49"/>
      <c r="AN16" s="49"/>
      <c r="AQ16" s="73" t="s">
        <v>140</v>
      </c>
      <c r="AR16" s="83" t="s">
        <v>141</v>
      </c>
      <c r="AS16" s="81" t="s">
        <v>3</v>
      </c>
      <c r="AT16" s="86"/>
    </row>
    <row r="17" spans="2:53" ht="30" customHeight="1">
      <c r="B17" s="22">
        <v>12</v>
      </c>
      <c r="C17" s="24"/>
      <c r="D17" s="22"/>
      <c r="E17" s="22"/>
      <c r="F17" s="31"/>
      <c r="G17" s="22"/>
      <c r="H17" s="24"/>
      <c r="I17" s="22"/>
      <c r="J17" s="24"/>
      <c r="K17" s="22"/>
      <c r="L17" s="23"/>
      <c r="N17" s="31">
        <v>12</v>
      </c>
      <c r="O17" s="49"/>
      <c r="P17" s="54"/>
      <c r="Q17" s="49"/>
      <c r="R17" s="54"/>
      <c r="S17" s="49"/>
      <c r="T17" s="54"/>
      <c r="U17" s="49"/>
      <c r="V17" s="49"/>
      <c r="X17" s="31">
        <v>12</v>
      </c>
      <c r="Y17" s="31"/>
      <c r="Z17" s="49"/>
      <c r="AA17" s="49"/>
      <c r="AB17" s="49"/>
      <c r="AC17" s="54"/>
      <c r="AD17" s="49"/>
      <c r="AE17" s="54"/>
      <c r="AF17" s="49"/>
      <c r="AG17" s="60"/>
      <c r="AH17" s="54"/>
      <c r="AI17" s="31">
        <v>12</v>
      </c>
      <c r="AJ17" s="49"/>
      <c r="AK17" s="49"/>
      <c r="AL17" s="49"/>
      <c r="AM17" s="49"/>
      <c r="AN17" s="49"/>
      <c r="AQ17" s="73" t="s">
        <v>142</v>
      </c>
      <c r="AR17" s="83" t="s">
        <v>143</v>
      </c>
      <c r="AS17" s="81" t="s">
        <v>3</v>
      </c>
      <c r="AT17" s="86"/>
      <c r="BA17" s="25"/>
    </row>
    <row r="18" spans="2:53" ht="24.95" customHeight="1" thickBot="1">
      <c r="B18" s="19">
        <v>13</v>
      </c>
      <c r="C18" s="24"/>
      <c r="D18" s="22"/>
      <c r="E18" s="22"/>
      <c r="F18" s="31"/>
      <c r="G18" s="22"/>
      <c r="H18" s="24"/>
      <c r="I18" s="22"/>
      <c r="J18" s="24"/>
      <c r="K18" s="22"/>
      <c r="L18" s="23"/>
      <c r="N18" s="31">
        <v>13</v>
      </c>
      <c r="O18" s="49"/>
      <c r="P18" s="54"/>
      <c r="Q18" s="49"/>
      <c r="R18" s="54"/>
      <c r="S18" s="49"/>
      <c r="T18" s="54"/>
      <c r="U18" s="49"/>
      <c r="V18" s="49"/>
      <c r="X18" s="30">
        <v>13</v>
      </c>
      <c r="Y18" s="30"/>
      <c r="Z18" s="49"/>
      <c r="AA18" s="49"/>
      <c r="AB18" s="49"/>
      <c r="AC18" s="54"/>
      <c r="AD18" s="49"/>
      <c r="AE18" s="54"/>
      <c r="AF18" s="49"/>
      <c r="AG18" s="60"/>
      <c r="AH18" s="54"/>
      <c r="AI18" s="30">
        <v>13</v>
      </c>
      <c r="AJ18" s="49"/>
      <c r="AK18" s="49"/>
      <c r="AL18" s="49"/>
      <c r="AM18" s="49"/>
      <c r="AN18" s="49"/>
      <c r="AQ18" s="73" t="s">
        <v>169</v>
      </c>
      <c r="AR18" s="83" t="s">
        <v>168</v>
      </c>
      <c r="AS18" s="81" t="s">
        <v>3</v>
      </c>
      <c r="AT18" s="86"/>
      <c r="BA18" s="25"/>
    </row>
    <row r="19" spans="2:53" ht="24.95" customHeight="1" thickBot="1">
      <c r="B19" s="22">
        <v>14</v>
      </c>
      <c r="C19" s="24"/>
      <c r="D19" s="22"/>
      <c r="E19" s="22"/>
      <c r="F19" s="31"/>
      <c r="G19" s="22"/>
      <c r="H19" s="24"/>
      <c r="I19" s="22"/>
      <c r="J19" s="24"/>
      <c r="K19" s="22"/>
      <c r="L19" s="23"/>
      <c r="N19" s="31">
        <v>14</v>
      </c>
      <c r="O19" s="49"/>
      <c r="P19" s="54"/>
      <c r="Q19" s="49"/>
      <c r="R19" s="54"/>
      <c r="S19" s="49"/>
      <c r="T19" s="54"/>
      <c r="U19" s="49"/>
      <c r="V19" s="49"/>
      <c r="X19" s="31">
        <v>14</v>
      </c>
      <c r="Y19" s="31"/>
      <c r="Z19" s="49"/>
      <c r="AA19" s="49"/>
      <c r="AB19" s="49"/>
      <c r="AC19" s="54"/>
      <c r="AD19" s="49"/>
      <c r="AE19" s="54"/>
      <c r="AF19" s="49"/>
      <c r="AG19" s="60"/>
      <c r="AH19" s="54"/>
      <c r="AI19" s="31">
        <v>14</v>
      </c>
      <c r="AJ19" s="49"/>
      <c r="AK19" s="49"/>
      <c r="AL19" s="49"/>
      <c r="AM19" s="49"/>
      <c r="AN19" s="49"/>
      <c r="AQ19" s="40"/>
      <c r="AR19" s="178" t="s">
        <v>28</v>
      </c>
      <c r="AS19" s="179"/>
      <c r="AT19" s="91">
        <f>SUM(AT6:AT18)</f>
        <v>0</v>
      </c>
      <c r="BA19" s="25"/>
    </row>
    <row r="20" spans="2:53" ht="24.95" customHeight="1" thickBot="1">
      <c r="B20" s="19">
        <v>15</v>
      </c>
      <c r="C20" s="24"/>
      <c r="D20" s="22"/>
      <c r="E20" s="22"/>
      <c r="F20" s="31"/>
      <c r="G20" s="22"/>
      <c r="H20" s="24"/>
      <c r="I20" s="22"/>
      <c r="J20" s="24"/>
      <c r="K20" s="22"/>
      <c r="L20" s="23"/>
      <c r="N20" s="31">
        <v>15</v>
      </c>
      <c r="O20" s="49"/>
      <c r="P20" s="54"/>
      <c r="Q20" s="49"/>
      <c r="R20" s="54"/>
      <c r="S20" s="49"/>
      <c r="T20" s="54"/>
      <c r="U20" s="49"/>
      <c r="V20" s="49"/>
      <c r="X20" s="30">
        <v>15</v>
      </c>
      <c r="Y20" s="30"/>
      <c r="Z20" s="49"/>
      <c r="AA20" s="49"/>
      <c r="AB20" s="49"/>
      <c r="AC20" s="54"/>
      <c r="AD20" s="49"/>
      <c r="AE20" s="54"/>
      <c r="AF20" s="49"/>
      <c r="AG20" s="60"/>
      <c r="AH20" s="54"/>
      <c r="AI20" s="30">
        <v>15</v>
      </c>
      <c r="AJ20" s="49"/>
      <c r="AK20" s="49"/>
      <c r="AL20" s="49"/>
      <c r="AM20" s="49"/>
      <c r="AN20" s="49"/>
      <c r="BA20" s="25"/>
    </row>
    <row r="21" spans="2:53" ht="24.95" customHeight="1" thickBot="1">
      <c r="B21" s="22">
        <v>16</v>
      </c>
      <c r="C21" s="24"/>
      <c r="D21" s="22"/>
      <c r="E21" s="22"/>
      <c r="F21" s="31"/>
      <c r="G21" s="22"/>
      <c r="H21" s="24"/>
      <c r="I21" s="22"/>
      <c r="J21" s="24"/>
      <c r="K21" s="22"/>
      <c r="L21" s="23"/>
      <c r="N21" s="31">
        <v>16</v>
      </c>
      <c r="O21" s="49"/>
      <c r="P21" s="54"/>
      <c r="Q21" s="49"/>
      <c r="R21" s="54"/>
      <c r="S21" s="49"/>
      <c r="T21" s="54"/>
      <c r="U21" s="49"/>
      <c r="V21" s="49"/>
      <c r="X21" s="31">
        <v>16</v>
      </c>
      <c r="Y21" s="31"/>
      <c r="Z21" s="49"/>
      <c r="AA21" s="49"/>
      <c r="AB21" s="49"/>
      <c r="AC21" s="54"/>
      <c r="AD21" s="49"/>
      <c r="AE21" s="54"/>
      <c r="AF21" s="49"/>
      <c r="AG21" s="60"/>
      <c r="AH21" s="54"/>
      <c r="AI21" s="31">
        <v>16</v>
      </c>
      <c r="AJ21" s="49"/>
      <c r="AK21" s="49"/>
      <c r="AL21" s="49"/>
      <c r="AM21" s="49"/>
      <c r="AN21" s="49"/>
      <c r="AQ21" s="183" t="s">
        <v>98</v>
      </c>
      <c r="AR21" s="184"/>
      <c r="AS21" s="184"/>
      <c r="AT21" s="185"/>
      <c r="AU21" s="184"/>
      <c r="AV21" s="186"/>
      <c r="BA21" s="25"/>
    </row>
    <row r="22" spans="2:53" ht="24.95" customHeight="1" thickBot="1">
      <c r="B22" s="19">
        <v>17</v>
      </c>
      <c r="C22" s="24"/>
      <c r="D22" s="22"/>
      <c r="E22" s="22"/>
      <c r="F22" s="31"/>
      <c r="G22" s="22"/>
      <c r="H22" s="24"/>
      <c r="I22" s="22"/>
      <c r="J22" s="24"/>
      <c r="K22" s="22"/>
      <c r="L22" s="23"/>
      <c r="N22" s="31">
        <v>17</v>
      </c>
      <c r="O22" s="49"/>
      <c r="P22" s="54"/>
      <c r="Q22" s="49"/>
      <c r="R22" s="54"/>
      <c r="S22" s="49"/>
      <c r="T22" s="54"/>
      <c r="U22" s="49"/>
      <c r="V22" s="49"/>
      <c r="X22" s="30">
        <v>17</v>
      </c>
      <c r="Y22" s="30"/>
      <c r="Z22" s="49"/>
      <c r="AA22" s="49"/>
      <c r="AB22" s="49"/>
      <c r="AC22" s="54"/>
      <c r="AD22" s="49"/>
      <c r="AE22" s="54"/>
      <c r="AF22" s="49"/>
      <c r="AG22" s="60"/>
      <c r="AH22" s="54"/>
      <c r="AI22" s="30">
        <v>17</v>
      </c>
      <c r="AJ22" s="49"/>
      <c r="AK22" s="49"/>
      <c r="AL22" s="49"/>
      <c r="AM22" s="49"/>
      <c r="AN22" s="49"/>
      <c r="AQ22" s="75" t="s">
        <v>69</v>
      </c>
      <c r="AR22" s="76" t="s">
        <v>33</v>
      </c>
      <c r="AS22" s="127" t="s">
        <v>1</v>
      </c>
      <c r="AT22" s="128" t="s">
        <v>76</v>
      </c>
      <c r="AU22" s="76" t="s">
        <v>77</v>
      </c>
      <c r="AV22" s="75" t="s">
        <v>47</v>
      </c>
      <c r="BA22" s="25"/>
    </row>
    <row r="23" spans="2:53" ht="24.95" customHeight="1">
      <c r="B23" s="22">
        <v>18</v>
      </c>
      <c r="C23" s="24"/>
      <c r="D23" s="22"/>
      <c r="E23" s="22"/>
      <c r="F23" s="31"/>
      <c r="G23" s="22"/>
      <c r="H23" s="24"/>
      <c r="I23" s="22"/>
      <c r="J23" s="24"/>
      <c r="K23" s="22"/>
      <c r="L23" s="23"/>
      <c r="N23" s="31">
        <v>18</v>
      </c>
      <c r="O23" s="49"/>
      <c r="P23" s="54"/>
      <c r="Q23" s="49"/>
      <c r="R23" s="54"/>
      <c r="S23" s="49"/>
      <c r="T23" s="54"/>
      <c r="U23" s="49"/>
      <c r="V23" s="49"/>
      <c r="X23" s="31">
        <v>18</v>
      </c>
      <c r="Y23" s="31"/>
      <c r="Z23" s="49"/>
      <c r="AA23" s="49"/>
      <c r="AB23" s="49"/>
      <c r="AC23" s="54"/>
      <c r="AD23" s="49"/>
      <c r="AE23" s="54"/>
      <c r="AF23" s="49"/>
      <c r="AG23" s="60"/>
      <c r="AH23" s="54"/>
      <c r="AI23" s="31">
        <v>18</v>
      </c>
      <c r="AJ23" s="49"/>
      <c r="AK23" s="49"/>
      <c r="AL23" s="49"/>
      <c r="AM23" s="49"/>
      <c r="AN23" s="49"/>
      <c r="AQ23" s="148" t="s">
        <v>144</v>
      </c>
      <c r="AR23" s="151" t="s">
        <v>145</v>
      </c>
      <c r="AS23" s="149" t="s">
        <v>11</v>
      </c>
      <c r="AT23" s="160">
        <v>0.95256261099999984</v>
      </c>
      <c r="AU23" s="151"/>
      <c r="AV23" s="168">
        <f>+AU23*AT23</f>
        <v>0</v>
      </c>
      <c r="BA23" s="25"/>
    </row>
    <row r="24" spans="2:53" ht="24.95" customHeight="1">
      <c r="B24" s="19">
        <v>19</v>
      </c>
      <c r="C24" s="24"/>
      <c r="D24" s="22"/>
      <c r="E24" s="22"/>
      <c r="F24" s="31"/>
      <c r="G24" s="22"/>
      <c r="H24" s="24"/>
      <c r="I24" s="22"/>
      <c r="J24" s="24"/>
      <c r="K24" s="22"/>
      <c r="L24" s="23"/>
      <c r="N24" s="31">
        <v>19</v>
      </c>
      <c r="O24" s="49"/>
      <c r="P24" s="54"/>
      <c r="Q24" s="49"/>
      <c r="R24" s="54"/>
      <c r="S24" s="49"/>
      <c r="T24" s="54"/>
      <c r="U24" s="49"/>
      <c r="V24" s="49"/>
      <c r="X24" s="30">
        <v>19</v>
      </c>
      <c r="Y24" s="30"/>
      <c r="Z24" s="49"/>
      <c r="AA24" s="49"/>
      <c r="AB24" s="49"/>
      <c r="AC24" s="54"/>
      <c r="AD24" s="49"/>
      <c r="AE24" s="54"/>
      <c r="AF24" s="49"/>
      <c r="AG24" s="60"/>
      <c r="AH24" s="54"/>
      <c r="AI24" s="30">
        <v>19</v>
      </c>
      <c r="AJ24" s="49"/>
      <c r="AK24" s="49"/>
      <c r="AL24" s="49"/>
      <c r="AM24" s="49"/>
      <c r="AN24" s="49"/>
      <c r="AQ24" s="72" t="s">
        <v>70</v>
      </c>
      <c r="AR24" s="152" t="s">
        <v>104</v>
      </c>
      <c r="AS24" s="147" t="s">
        <v>11</v>
      </c>
      <c r="AT24" s="129">
        <v>1.146304159</v>
      </c>
      <c r="AU24" s="152"/>
      <c r="AV24" s="168">
        <f t="shared" ref="AV24:AV44" si="0">+AU24*AT24</f>
        <v>0</v>
      </c>
      <c r="BA24" s="25"/>
    </row>
    <row r="25" spans="2:53" ht="24.95" customHeight="1">
      <c r="B25" s="22">
        <v>20</v>
      </c>
      <c r="C25" s="24"/>
      <c r="D25" s="22"/>
      <c r="E25" s="22"/>
      <c r="F25" s="31"/>
      <c r="G25" s="22"/>
      <c r="H25" s="24"/>
      <c r="I25" s="22"/>
      <c r="J25" s="24"/>
      <c r="K25" s="22"/>
      <c r="L25" s="23"/>
      <c r="N25" s="31">
        <v>20</v>
      </c>
      <c r="O25" s="49"/>
      <c r="P25" s="54"/>
      <c r="Q25" s="49"/>
      <c r="R25" s="54"/>
      <c r="S25" s="49"/>
      <c r="T25" s="54"/>
      <c r="U25" s="49"/>
      <c r="V25" s="49"/>
      <c r="X25" s="31">
        <v>20</v>
      </c>
      <c r="Y25" s="31"/>
      <c r="Z25" s="49"/>
      <c r="AA25" s="49"/>
      <c r="AB25" s="49"/>
      <c r="AC25" s="54"/>
      <c r="AD25" s="49"/>
      <c r="AE25" s="54"/>
      <c r="AF25" s="49"/>
      <c r="AG25" s="60"/>
      <c r="AH25" s="54"/>
      <c r="AI25" s="31">
        <v>20</v>
      </c>
      <c r="AJ25" s="49"/>
      <c r="AK25" s="49"/>
      <c r="AL25" s="49"/>
      <c r="AM25" s="49"/>
      <c r="AN25" s="49"/>
      <c r="AQ25" s="146" t="s">
        <v>146</v>
      </c>
      <c r="AR25" s="153" t="s">
        <v>147</v>
      </c>
      <c r="AS25" s="147" t="s">
        <v>11</v>
      </c>
      <c r="AT25" s="158">
        <v>1.3400457069999998</v>
      </c>
      <c r="AU25" s="153"/>
      <c r="AV25" s="168">
        <f t="shared" si="0"/>
        <v>0</v>
      </c>
      <c r="BA25" s="25"/>
    </row>
    <row r="26" spans="2:53" ht="24.95" customHeight="1">
      <c r="B26" s="19">
        <v>21</v>
      </c>
      <c r="C26" s="24"/>
      <c r="D26" s="22"/>
      <c r="E26" s="22"/>
      <c r="F26" s="31"/>
      <c r="G26" s="22"/>
      <c r="H26" s="24"/>
      <c r="I26" s="22"/>
      <c r="J26" s="24"/>
      <c r="K26" s="22"/>
      <c r="L26" s="23"/>
      <c r="N26" s="31">
        <v>21</v>
      </c>
      <c r="O26" s="49"/>
      <c r="P26" s="54"/>
      <c r="Q26" s="49"/>
      <c r="R26" s="54"/>
      <c r="S26" s="49"/>
      <c r="T26" s="54"/>
      <c r="U26" s="49"/>
      <c r="V26" s="49"/>
      <c r="X26" s="30">
        <v>21</v>
      </c>
      <c r="Y26" s="30"/>
      <c r="Z26" s="49"/>
      <c r="AA26" s="49"/>
      <c r="AB26" s="49"/>
      <c r="AC26" s="54"/>
      <c r="AD26" s="49"/>
      <c r="AE26" s="54"/>
      <c r="AF26" s="49"/>
      <c r="AG26" s="60"/>
      <c r="AH26" s="54"/>
      <c r="AI26" s="30">
        <v>21</v>
      </c>
      <c r="AJ26" s="49"/>
      <c r="AK26" s="49"/>
      <c r="AL26" s="49"/>
      <c r="AM26" s="49"/>
      <c r="AN26" s="49"/>
      <c r="AQ26" s="72" t="s">
        <v>71</v>
      </c>
      <c r="AR26" s="152" t="s">
        <v>105</v>
      </c>
      <c r="AS26" s="147" t="s">
        <v>11</v>
      </c>
      <c r="AT26" s="129">
        <v>1.533787255</v>
      </c>
      <c r="AU26" s="152"/>
      <c r="AV26" s="168">
        <f t="shared" si="0"/>
        <v>0</v>
      </c>
      <c r="BA26" s="25"/>
    </row>
    <row r="27" spans="2:53" ht="24.95" customHeight="1">
      <c r="B27" s="22">
        <v>22</v>
      </c>
      <c r="C27" s="24"/>
      <c r="D27" s="22"/>
      <c r="E27" s="22"/>
      <c r="F27" s="31"/>
      <c r="G27" s="22"/>
      <c r="H27" s="24"/>
      <c r="I27" s="22"/>
      <c r="J27" s="24"/>
      <c r="K27" s="22"/>
      <c r="L27" s="23"/>
      <c r="N27" s="31">
        <v>22</v>
      </c>
      <c r="O27" s="49"/>
      <c r="P27" s="54"/>
      <c r="Q27" s="49"/>
      <c r="R27" s="54"/>
      <c r="S27" s="49"/>
      <c r="T27" s="54"/>
      <c r="U27" s="49"/>
      <c r="V27" s="49"/>
      <c r="X27" s="31">
        <v>22</v>
      </c>
      <c r="Y27" s="31"/>
      <c r="Z27" s="49"/>
      <c r="AA27" s="49"/>
      <c r="AB27" s="49"/>
      <c r="AC27" s="54"/>
      <c r="AD27" s="49"/>
      <c r="AE27" s="54"/>
      <c r="AF27" s="49"/>
      <c r="AG27" s="60"/>
      <c r="AH27" s="54"/>
      <c r="AI27" s="31">
        <v>22</v>
      </c>
      <c r="AJ27" s="49"/>
      <c r="AK27" s="49"/>
      <c r="AL27" s="49"/>
      <c r="AM27" s="49"/>
      <c r="AN27" s="49"/>
      <c r="AQ27" s="72" t="s">
        <v>72</v>
      </c>
      <c r="AR27" s="152" t="s">
        <v>106</v>
      </c>
      <c r="AS27" s="147" t="s">
        <v>11</v>
      </c>
      <c r="AT27" s="129">
        <v>1.921270351</v>
      </c>
      <c r="AU27" s="152"/>
      <c r="AV27" s="168">
        <f t="shared" si="0"/>
        <v>0</v>
      </c>
      <c r="BA27" s="25"/>
    </row>
    <row r="28" spans="2:53" ht="24.95" customHeight="1">
      <c r="B28" s="19">
        <v>23</v>
      </c>
      <c r="C28" s="24"/>
      <c r="D28" s="22"/>
      <c r="E28" s="22"/>
      <c r="F28" s="31"/>
      <c r="G28" s="22"/>
      <c r="H28" s="24"/>
      <c r="I28" s="22"/>
      <c r="J28" s="24"/>
      <c r="K28" s="22"/>
      <c r="L28" s="23"/>
      <c r="N28" s="31">
        <v>23</v>
      </c>
      <c r="O28" s="49"/>
      <c r="P28" s="54"/>
      <c r="Q28" s="49"/>
      <c r="R28" s="54"/>
      <c r="S28" s="49"/>
      <c r="T28" s="54"/>
      <c r="U28" s="49"/>
      <c r="V28" s="49"/>
      <c r="X28" s="30">
        <v>23</v>
      </c>
      <c r="Y28" s="30"/>
      <c r="Z28" s="49"/>
      <c r="AA28" s="49"/>
      <c r="AB28" s="49"/>
      <c r="AC28" s="54"/>
      <c r="AD28" s="49"/>
      <c r="AE28" s="54"/>
      <c r="AF28" s="49"/>
      <c r="AG28" s="60"/>
      <c r="AH28" s="54"/>
      <c r="AI28" s="30">
        <v>23</v>
      </c>
      <c r="AJ28" s="49"/>
      <c r="AK28" s="49"/>
      <c r="AL28" s="49"/>
      <c r="AM28" s="49"/>
      <c r="AN28" s="49"/>
      <c r="AQ28" s="146" t="s">
        <v>148</v>
      </c>
      <c r="AR28" s="153" t="s">
        <v>149</v>
      </c>
      <c r="AS28" s="147" t="s">
        <v>11</v>
      </c>
      <c r="AT28" s="158">
        <v>2.1150118989999998</v>
      </c>
      <c r="AU28" s="153"/>
      <c r="AV28" s="168">
        <f t="shared" si="0"/>
        <v>0</v>
      </c>
      <c r="BA28" s="25"/>
    </row>
    <row r="29" spans="2:53" ht="24.95" customHeight="1">
      <c r="B29" s="22">
        <v>24</v>
      </c>
      <c r="C29" s="24"/>
      <c r="D29" s="22"/>
      <c r="E29" s="24"/>
      <c r="F29" s="31"/>
      <c r="G29" s="22"/>
      <c r="H29" s="24"/>
      <c r="I29" s="22"/>
      <c r="J29" s="24"/>
      <c r="K29" s="22"/>
      <c r="L29" s="23"/>
      <c r="N29" s="31">
        <v>24</v>
      </c>
      <c r="O29" s="49"/>
      <c r="P29" s="54"/>
      <c r="Q29" s="49"/>
      <c r="R29" s="54"/>
      <c r="S29" s="49"/>
      <c r="T29" s="54"/>
      <c r="U29" s="49"/>
      <c r="V29" s="49"/>
      <c r="X29" s="31">
        <v>24</v>
      </c>
      <c r="Y29" s="31"/>
      <c r="Z29" s="49"/>
      <c r="AA29" s="49"/>
      <c r="AB29" s="49"/>
      <c r="AC29" s="54"/>
      <c r="AD29" s="49"/>
      <c r="AE29" s="54"/>
      <c r="AF29" s="49"/>
      <c r="AG29" s="60"/>
      <c r="AH29" s="54"/>
      <c r="AI29" s="31">
        <v>24</v>
      </c>
      <c r="AJ29" s="49"/>
      <c r="AK29" s="49"/>
      <c r="AL29" s="49"/>
      <c r="AM29" s="49"/>
      <c r="AN29" s="49"/>
      <c r="AQ29" s="72" t="s">
        <v>115</v>
      </c>
      <c r="AR29" s="152" t="s">
        <v>114</v>
      </c>
      <c r="AS29" s="147" t="s">
        <v>11</v>
      </c>
      <c r="AT29" s="129">
        <v>2.3087534469999995</v>
      </c>
      <c r="AU29" s="152"/>
      <c r="AV29" s="168">
        <f t="shared" si="0"/>
        <v>0</v>
      </c>
    </row>
    <row r="30" spans="2:53" ht="24.95" customHeight="1">
      <c r="B30" s="19">
        <v>25</v>
      </c>
      <c r="C30" s="24"/>
      <c r="D30" s="22"/>
      <c r="E30" s="24"/>
      <c r="F30" s="31"/>
      <c r="G30" s="22"/>
      <c r="H30" s="24"/>
      <c r="I30" s="22"/>
      <c r="J30" s="24"/>
      <c r="K30" s="22"/>
      <c r="L30" s="23"/>
      <c r="N30" s="31">
        <v>25</v>
      </c>
      <c r="O30" s="49"/>
      <c r="P30" s="54"/>
      <c r="Q30" s="49"/>
      <c r="R30" s="54"/>
      <c r="S30" s="49"/>
      <c r="T30" s="54"/>
      <c r="U30" s="49"/>
      <c r="V30" s="49"/>
      <c r="X30" s="30">
        <v>25</v>
      </c>
      <c r="Y30" s="30"/>
      <c r="Z30" s="49"/>
      <c r="AA30" s="49"/>
      <c r="AB30" s="49"/>
      <c r="AC30" s="54"/>
      <c r="AD30" s="49"/>
      <c r="AE30" s="54"/>
      <c r="AF30" s="49"/>
      <c r="AG30" s="60"/>
      <c r="AH30" s="54"/>
      <c r="AI30" s="30">
        <v>25</v>
      </c>
      <c r="AJ30" s="49"/>
      <c r="AK30" s="49"/>
      <c r="AL30" s="49"/>
      <c r="AM30" s="49"/>
      <c r="AN30" s="49"/>
      <c r="AQ30" s="72" t="s">
        <v>112</v>
      </c>
      <c r="AR30" s="152" t="s">
        <v>107</v>
      </c>
      <c r="AS30" s="147" t="s">
        <v>11</v>
      </c>
      <c r="AT30" s="129">
        <v>0.99253027299999985</v>
      </c>
      <c r="AU30" s="152"/>
      <c r="AV30" s="168">
        <f t="shared" si="0"/>
        <v>0</v>
      </c>
    </row>
    <row r="31" spans="2:53" ht="24.95" customHeight="1">
      <c r="B31" s="22">
        <v>26</v>
      </c>
      <c r="C31" s="24"/>
      <c r="D31" s="22"/>
      <c r="E31" s="24"/>
      <c r="F31" s="31"/>
      <c r="G31" s="22"/>
      <c r="H31" s="24"/>
      <c r="I31" s="22"/>
      <c r="J31" s="24"/>
      <c r="K31" s="22"/>
      <c r="L31" s="23"/>
      <c r="N31" s="31">
        <v>26</v>
      </c>
      <c r="O31" s="49"/>
      <c r="P31" s="54"/>
      <c r="Q31" s="49"/>
      <c r="R31" s="54"/>
      <c r="S31" s="49"/>
      <c r="T31" s="54"/>
      <c r="U31" s="49"/>
      <c r="V31" s="49"/>
      <c r="X31" s="31">
        <v>26</v>
      </c>
      <c r="Y31" s="31"/>
      <c r="Z31" s="49"/>
      <c r="AA31" s="49"/>
      <c r="AB31" s="49"/>
      <c r="AC31" s="54"/>
      <c r="AD31" s="49"/>
      <c r="AE31" s="54"/>
      <c r="AF31" s="49"/>
      <c r="AG31" s="60"/>
      <c r="AH31" s="54"/>
      <c r="AI31" s="31">
        <v>26</v>
      </c>
      <c r="AJ31" s="49"/>
      <c r="AK31" s="49"/>
      <c r="AL31" s="49"/>
      <c r="AM31" s="49"/>
      <c r="AN31" s="49"/>
      <c r="AQ31" s="72" t="s">
        <v>73</v>
      </c>
      <c r="AR31" s="152" t="s">
        <v>108</v>
      </c>
      <c r="AS31" s="147" t="s">
        <v>11</v>
      </c>
      <c r="AT31" s="129">
        <v>1.1944008369999999</v>
      </c>
      <c r="AU31" s="152"/>
      <c r="AV31" s="168">
        <f t="shared" si="0"/>
        <v>0</v>
      </c>
    </row>
    <row r="32" spans="2:53" ht="24.95" customHeight="1">
      <c r="B32" s="19">
        <v>27</v>
      </c>
      <c r="C32" s="24"/>
      <c r="D32" s="22"/>
      <c r="E32" s="24"/>
      <c r="F32" s="31"/>
      <c r="G32" s="22"/>
      <c r="H32" s="24"/>
      <c r="I32" s="22"/>
      <c r="J32" s="24"/>
      <c r="K32" s="22"/>
      <c r="L32" s="23"/>
      <c r="N32" s="31">
        <v>27</v>
      </c>
      <c r="O32" s="49"/>
      <c r="P32" s="54"/>
      <c r="Q32" s="49"/>
      <c r="R32" s="54"/>
      <c r="S32" s="49"/>
      <c r="T32" s="54"/>
      <c r="U32" s="49"/>
      <c r="V32" s="49"/>
      <c r="X32" s="30">
        <v>27</v>
      </c>
      <c r="Y32" s="30"/>
      <c r="Z32" s="49"/>
      <c r="AA32" s="49"/>
      <c r="AB32" s="49"/>
      <c r="AC32" s="54"/>
      <c r="AD32" s="49"/>
      <c r="AE32" s="54"/>
      <c r="AF32" s="49"/>
      <c r="AG32" s="60"/>
      <c r="AH32" s="54"/>
      <c r="AI32" s="30">
        <v>27</v>
      </c>
      <c r="AJ32" s="49"/>
      <c r="AK32" s="49"/>
      <c r="AL32" s="49"/>
      <c r="AM32" s="49"/>
      <c r="AN32" s="49"/>
      <c r="AQ32" s="146" t="s">
        <v>150</v>
      </c>
      <c r="AR32" s="153" t="s">
        <v>151</v>
      </c>
      <c r="AS32" s="147" t="s">
        <v>11</v>
      </c>
      <c r="AT32" s="158">
        <v>1.3962714009999997</v>
      </c>
      <c r="AU32" s="153"/>
      <c r="AV32" s="168">
        <f t="shared" si="0"/>
        <v>0</v>
      </c>
    </row>
    <row r="33" spans="2:52" ht="24.95" customHeight="1">
      <c r="B33" s="22">
        <v>28</v>
      </c>
      <c r="C33" s="24"/>
      <c r="D33" s="22"/>
      <c r="E33" s="24"/>
      <c r="F33" s="31"/>
      <c r="G33" s="22"/>
      <c r="H33" s="24"/>
      <c r="I33" s="22"/>
      <c r="J33" s="24"/>
      <c r="K33" s="22"/>
      <c r="L33" s="23"/>
      <c r="N33" s="31">
        <v>28</v>
      </c>
      <c r="O33" s="49"/>
      <c r="P33" s="54"/>
      <c r="Q33" s="49"/>
      <c r="R33" s="54"/>
      <c r="S33" s="49"/>
      <c r="T33" s="54"/>
      <c r="U33" s="49"/>
      <c r="V33" s="49"/>
      <c r="X33" s="31">
        <v>28</v>
      </c>
      <c r="Y33" s="31"/>
      <c r="Z33" s="49"/>
      <c r="AA33" s="49"/>
      <c r="AB33" s="49"/>
      <c r="AC33" s="54"/>
      <c r="AD33" s="49"/>
      <c r="AE33" s="54"/>
      <c r="AF33" s="49"/>
      <c r="AG33" s="60"/>
      <c r="AH33" s="54"/>
      <c r="AI33" s="31">
        <v>28</v>
      </c>
      <c r="AJ33" s="49"/>
      <c r="AK33" s="49"/>
      <c r="AL33" s="49"/>
      <c r="AM33" s="49"/>
      <c r="AN33" s="49"/>
      <c r="AQ33" s="72" t="s">
        <v>68</v>
      </c>
      <c r="AR33" s="152" t="s">
        <v>99</v>
      </c>
      <c r="AS33" s="147" t="s">
        <v>11</v>
      </c>
      <c r="AT33" s="129">
        <v>1.5981419649999997</v>
      </c>
      <c r="AU33" s="152"/>
      <c r="AV33" s="168">
        <f t="shared" si="0"/>
        <v>0</v>
      </c>
      <c r="AW33" s="13"/>
      <c r="AX33" s="13"/>
      <c r="AY33" s="13"/>
      <c r="AZ33" s="13"/>
    </row>
    <row r="34" spans="2:52" ht="24.95" customHeight="1">
      <c r="B34" s="19">
        <v>29</v>
      </c>
      <c r="C34" s="24"/>
      <c r="D34" s="22"/>
      <c r="E34" s="24"/>
      <c r="F34" s="31"/>
      <c r="G34" s="22"/>
      <c r="H34" s="24"/>
      <c r="I34" s="22"/>
      <c r="J34" s="24"/>
      <c r="K34" s="22"/>
      <c r="L34" s="23"/>
      <c r="N34" s="31">
        <v>29</v>
      </c>
      <c r="O34" s="49"/>
      <c r="P34" s="54"/>
      <c r="Q34" s="49"/>
      <c r="R34" s="54"/>
      <c r="S34" s="49"/>
      <c r="T34" s="54"/>
      <c r="U34" s="49"/>
      <c r="V34" s="49"/>
      <c r="X34" s="30">
        <v>29</v>
      </c>
      <c r="Y34" s="30"/>
      <c r="Z34" s="49"/>
      <c r="AA34" s="49"/>
      <c r="AB34" s="49"/>
      <c r="AC34" s="54"/>
      <c r="AD34" s="49"/>
      <c r="AE34" s="54"/>
      <c r="AF34" s="49"/>
      <c r="AG34" s="60"/>
      <c r="AH34" s="54"/>
      <c r="AI34" s="30">
        <v>29</v>
      </c>
      <c r="AJ34" s="49"/>
      <c r="AK34" s="49"/>
      <c r="AL34" s="49"/>
      <c r="AM34" s="49"/>
      <c r="AN34" s="49"/>
      <c r="AQ34" s="72" t="s">
        <v>66</v>
      </c>
      <c r="AR34" s="152" t="s">
        <v>100</v>
      </c>
      <c r="AS34" s="147" t="s">
        <v>11</v>
      </c>
      <c r="AT34" s="129">
        <v>2.001883093</v>
      </c>
      <c r="AU34" s="152"/>
      <c r="AV34" s="168">
        <f t="shared" si="0"/>
        <v>0</v>
      </c>
      <c r="AW34" s="13"/>
      <c r="AX34" s="13"/>
      <c r="AY34" s="13"/>
      <c r="AZ34" s="13"/>
    </row>
    <row r="35" spans="2:52" ht="24.95" customHeight="1" thickBot="1">
      <c r="B35" s="22">
        <v>30</v>
      </c>
      <c r="C35" s="24"/>
      <c r="D35" s="22"/>
      <c r="E35" s="24"/>
      <c r="F35" s="31"/>
      <c r="G35" s="22"/>
      <c r="H35" s="24"/>
      <c r="I35" s="22"/>
      <c r="J35" s="24"/>
      <c r="K35" s="22"/>
      <c r="L35" s="23"/>
      <c r="N35" s="31">
        <v>30</v>
      </c>
      <c r="O35" s="50"/>
      <c r="P35" s="55"/>
      <c r="Q35" s="50"/>
      <c r="R35" s="55"/>
      <c r="S35" s="50"/>
      <c r="T35" s="55"/>
      <c r="U35" s="50"/>
      <c r="V35" s="50"/>
      <c r="X35" s="34">
        <v>30</v>
      </c>
      <c r="Y35" s="34"/>
      <c r="Z35" s="50"/>
      <c r="AA35" s="50"/>
      <c r="AB35" s="50"/>
      <c r="AC35" s="55"/>
      <c r="AD35" s="50"/>
      <c r="AE35" s="55"/>
      <c r="AF35" s="50"/>
      <c r="AG35" s="61"/>
      <c r="AH35" s="55"/>
      <c r="AI35" s="34">
        <v>30</v>
      </c>
      <c r="AJ35" s="50"/>
      <c r="AK35" s="50"/>
      <c r="AL35" s="50"/>
      <c r="AM35" s="50"/>
      <c r="AN35" s="50"/>
      <c r="AQ35" s="146" t="s">
        <v>152</v>
      </c>
      <c r="AR35" s="153" t="s">
        <v>153</v>
      </c>
      <c r="AS35" s="147" t="s">
        <v>11</v>
      </c>
      <c r="AT35" s="158">
        <v>2.2037536569999996</v>
      </c>
      <c r="AU35" s="153"/>
      <c r="AV35" s="168">
        <f t="shared" si="0"/>
        <v>0</v>
      </c>
      <c r="AW35" s="13"/>
      <c r="AX35" s="13"/>
      <c r="AY35" s="13"/>
      <c r="AZ35" s="13"/>
    </row>
    <row r="36" spans="2:52" ht="47.25" thickBot="1">
      <c r="B36" s="36" t="s">
        <v>55</v>
      </c>
      <c r="C36" s="131">
        <f t="shared" ref="C36:L36" si="1">COUNT(C6:C35)</f>
        <v>0</v>
      </c>
      <c r="D36" s="133">
        <f t="shared" si="1"/>
        <v>0</v>
      </c>
      <c r="E36" s="131">
        <f t="shared" si="1"/>
        <v>0</v>
      </c>
      <c r="F36" s="133">
        <f t="shared" si="1"/>
        <v>0</v>
      </c>
      <c r="G36" s="131">
        <f t="shared" si="1"/>
        <v>0</v>
      </c>
      <c r="H36" s="133">
        <f t="shared" si="1"/>
        <v>0</v>
      </c>
      <c r="I36" s="35">
        <f t="shared" si="1"/>
        <v>0</v>
      </c>
      <c r="J36" s="131">
        <f t="shared" si="1"/>
        <v>0</v>
      </c>
      <c r="K36" s="133">
        <f t="shared" si="1"/>
        <v>0</v>
      </c>
      <c r="L36" s="35">
        <f t="shared" si="1"/>
        <v>0</v>
      </c>
      <c r="N36" s="39" t="s">
        <v>56</v>
      </c>
      <c r="O36" s="36">
        <f t="shared" ref="O36:V36" si="2">COUNT(O6:O35)</f>
        <v>0</v>
      </c>
      <c r="P36" s="56">
        <f t="shared" si="2"/>
        <v>0</v>
      </c>
      <c r="Q36" s="36">
        <f t="shared" si="2"/>
        <v>0</v>
      </c>
      <c r="R36" s="56">
        <f t="shared" si="2"/>
        <v>0</v>
      </c>
      <c r="S36" s="36">
        <f t="shared" si="2"/>
        <v>0</v>
      </c>
      <c r="T36" s="56">
        <f t="shared" si="2"/>
        <v>0</v>
      </c>
      <c r="U36" s="36">
        <f t="shared" si="2"/>
        <v>0</v>
      </c>
      <c r="V36" s="36">
        <f t="shared" si="2"/>
        <v>0</v>
      </c>
      <c r="X36" s="42" t="s">
        <v>55</v>
      </c>
      <c r="Y36" s="38">
        <f t="shared" ref="Y36:AG36" si="3">COUNT(Y6:Y35)</f>
        <v>0</v>
      </c>
      <c r="Z36" s="38">
        <f t="shared" si="3"/>
        <v>0</v>
      </c>
      <c r="AA36" s="38">
        <f t="shared" si="3"/>
        <v>0</v>
      </c>
      <c r="AB36" s="38">
        <f t="shared" si="3"/>
        <v>0</v>
      </c>
      <c r="AC36" s="65">
        <f t="shared" si="3"/>
        <v>0</v>
      </c>
      <c r="AD36" s="38">
        <f t="shared" si="3"/>
        <v>0</v>
      </c>
      <c r="AE36" s="65">
        <f t="shared" si="3"/>
        <v>0</v>
      </c>
      <c r="AF36" s="38">
        <f t="shared" si="3"/>
        <v>0</v>
      </c>
      <c r="AG36" s="68">
        <f t="shared" si="3"/>
        <v>0</v>
      </c>
      <c r="AH36" s="65"/>
      <c r="AI36" s="42" t="s">
        <v>55</v>
      </c>
      <c r="AJ36" s="38">
        <f>COUNT(AJ6:AJ35)</f>
        <v>0</v>
      </c>
      <c r="AK36" s="38">
        <f>COUNT(AK6:AK35)</f>
        <v>0</v>
      </c>
      <c r="AL36" s="38">
        <f>COUNT(AL6:AL35)</f>
        <v>0</v>
      </c>
      <c r="AM36" s="38">
        <f>COUNT(AM6:AM35)</f>
        <v>0</v>
      </c>
      <c r="AN36" s="38">
        <f>COUNT(AN6:AN35)</f>
        <v>0</v>
      </c>
      <c r="AQ36" s="72" t="s">
        <v>67</v>
      </c>
      <c r="AR36" s="152" t="s">
        <v>101</v>
      </c>
      <c r="AS36" s="147" t="s">
        <v>11</v>
      </c>
      <c r="AT36" s="129">
        <v>2.4056242209999996</v>
      </c>
      <c r="AU36" s="152"/>
      <c r="AV36" s="168">
        <f t="shared" si="0"/>
        <v>0</v>
      </c>
    </row>
    <row r="37" spans="2:52" ht="47.25" thickBot="1">
      <c r="B37" s="37" t="s">
        <v>47</v>
      </c>
      <c r="C37" s="143">
        <f t="shared" ref="C37:L37" si="4">SUM(C6:C35)</f>
        <v>0</v>
      </c>
      <c r="D37" s="144">
        <f t="shared" si="4"/>
        <v>0</v>
      </c>
      <c r="E37" s="143">
        <f t="shared" si="4"/>
        <v>0</v>
      </c>
      <c r="F37" s="144">
        <f t="shared" si="4"/>
        <v>0</v>
      </c>
      <c r="G37" s="143">
        <f t="shared" si="4"/>
        <v>0</v>
      </c>
      <c r="H37" s="144">
        <f t="shared" si="4"/>
        <v>0</v>
      </c>
      <c r="I37" s="145">
        <f t="shared" si="4"/>
        <v>0</v>
      </c>
      <c r="J37" s="143">
        <f t="shared" si="4"/>
        <v>0</v>
      </c>
      <c r="K37" s="144">
        <f t="shared" si="4"/>
        <v>0</v>
      </c>
      <c r="L37" s="145">
        <f t="shared" si="4"/>
        <v>0</v>
      </c>
      <c r="N37" s="40" t="s">
        <v>47</v>
      </c>
      <c r="O37" s="41">
        <f t="shared" ref="O37:V37" si="5">+SUM(O6:O35)</f>
        <v>0</v>
      </c>
      <c r="P37" s="57">
        <f t="shared" si="5"/>
        <v>0</v>
      </c>
      <c r="Q37" s="41">
        <f t="shared" si="5"/>
        <v>0</v>
      </c>
      <c r="R37" s="57">
        <f t="shared" si="5"/>
        <v>0</v>
      </c>
      <c r="S37" s="41">
        <f t="shared" si="5"/>
        <v>0</v>
      </c>
      <c r="T37" s="57">
        <f t="shared" si="5"/>
        <v>0</v>
      </c>
      <c r="U37" s="41">
        <f t="shared" si="5"/>
        <v>0</v>
      </c>
      <c r="V37" s="41">
        <f t="shared" si="5"/>
        <v>0</v>
      </c>
      <c r="X37" s="43" t="s">
        <v>47</v>
      </c>
      <c r="Y37" s="44">
        <f t="shared" ref="Y37:AG37" si="6">SUM(Y6:Y35)</f>
        <v>0</v>
      </c>
      <c r="Z37" s="44">
        <f t="shared" si="6"/>
        <v>0</v>
      </c>
      <c r="AA37" s="44">
        <f t="shared" si="6"/>
        <v>0</v>
      </c>
      <c r="AB37" s="44">
        <f t="shared" si="6"/>
        <v>0</v>
      </c>
      <c r="AC37" s="66">
        <f t="shared" si="6"/>
        <v>0</v>
      </c>
      <c r="AD37" s="44">
        <f t="shared" si="6"/>
        <v>0</v>
      </c>
      <c r="AE37" s="66">
        <f t="shared" si="6"/>
        <v>0</v>
      </c>
      <c r="AF37" s="44">
        <f t="shared" si="6"/>
        <v>0</v>
      </c>
      <c r="AG37" s="69">
        <f t="shared" si="6"/>
        <v>0</v>
      </c>
      <c r="AH37" s="66"/>
      <c r="AI37" s="43" t="s">
        <v>47</v>
      </c>
      <c r="AJ37" s="44">
        <f>SUM(AJ6:AJ35)</f>
        <v>0</v>
      </c>
      <c r="AK37" s="44">
        <f>SUM(AK6:AK35)</f>
        <v>0</v>
      </c>
      <c r="AL37" s="44">
        <f>SUM(AL6:AL35)</f>
        <v>0</v>
      </c>
      <c r="AM37" s="44">
        <f>SUM(AM6:AM35)</f>
        <v>0</v>
      </c>
      <c r="AN37" s="44">
        <f>SUM(AN6:AN35)</f>
        <v>0</v>
      </c>
      <c r="AQ37" s="146" t="s">
        <v>154</v>
      </c>
      <c r="AR37" s="153" t="s">
        <v>155</v>
      </c>
      <c r="AS37" s="147" t="s">
        <v>11</v>
      </c>
      <c r="AT37" s="158">
        <v>1.0324979350000001</v>
      </c>
      <c r="AU37" s="153"/>
      <c r="AV37" s="168">
        <f t="shared" si="0"/>
        <v>0</v>
      </c>
    </row>
    <row r="38" spans="2:52" ht="23.25">
      <c r="AQ38" s="72" t="s">
        <v>74</v>
      </c>
      <c r="AR38" s="152" t="s">
        <v>109</v>
      </c>
      <c r="AS38" s="147" t="s">
        <v>11</v>
      </c>
      <c r="AT38" s="129">
        <v>1.2424975149999999</v>
      </c>
      <c r="AU38" s="152"/>
      <c r="AV38" s="168">
        <f t="shared" si="0"/>
        <v>0</v>
      </c>
    </row>
    <row r="39" spans="2:52" ht="23.25">
      <c r="AQ39" s="72" t="s">
        <v>117</v>
      </c>
      <c r="AR39" s="152" t="s">
        <v>116</v>
      </c>
      <c r="AS39" s="147" t="s">
        <v>11</v>
      </c>
      <c r="AT39" s="129">
        <v>1.4524970949999998</v>
      </c>
      <c r="AU39" s="152"/>
      <c r="AV39" s="168">
        <f t="shared" si="0"/>
        <v>0</v>
      </c>
    </row>
    <row r="40" spans="2:52" ht="23.25">
      <c r="AQ40" s="72" t="s">
        <v>75</v>
      </c>
      <c r="AR40" s="152" t="s">
        <v>111</v>
      </c>
      <c r="AS40" s="147" t="s">
        <v>11</v>
      </c>
      <c r="AT40" s="129">
        <v>1.6624966749999999</v>
      </c>
      <c r="AU40" s="152"/>
      <c r="AV40" s="168">
        <f t="shared" si="0"/>
        <v>0</v>
      </c>
    </row>
    <row r="41" spans="2:52" ht="23.25">
      <c r="AQ41" s="72" t="s">
        <v>64</v>
      </c>
      <c r="AR41" s="152" t="s">
        <v>102</v>
      </c>
      <c r="AS41" s="147" t="s">
        <v>11</v>
      </c>
      <c r="AT41" s="129">
        <v>2.0824958349999996</v>
      </c>
      <c r="AU41" s="152"/>
      <c r="AV41" s="168">
        <f t="shared" si="0"/>
        <v>0</v>
      </c>
    </row>
    <row r="42" spans="2:52" ht="23.25">
      <c r="AQ42" s="72" t="s">
        <v>113</v>
      </c>
      <c r="AR42" s="152" t="s">
        <v>110</v>
      </c>
      <c r="AS42" s="147" t="s">
        <v>11</v>
      </c>
      <c r="AT42" s="129">
        <v>2.2924954149999999</v>
      </c>
      <c r="AU42" s="152"/>
      <c r="AV42" s="168">
        <f t="shared" si="0"/>
        <v>0</v>
      </c>
    </row>
    <row r="43" spans="2:52" ht="23.25">
      <c r="AQ43" s="72" t="s">
        <v>65</v>
      </c>
      <c r="AR43" s="152" t="s">
        <v>103</v>
      </c>
      <c r="AS43" s="147" t="s">
        <v>11</v>
      </c>
      <c r="AT43" s="129">
        <v>2.5024949950000002</v>
      </c>
      <c r="AU43" s="152"/>
      <c r="AV43" s="168">
        <f t="shared" si="0"/>
        <v>0</v>
      </c>
    </row>
    <row r="44" spans="2:52" ht="24" thickBot="1">
      <c r="AQ44" s="150" t="s">
        <v>119</v>
      </c>
      <c r="AR44" s="154" t="s">
        <v>118</v>
      </c>
      <c r="AS44" s="157" t="s">
        <v>11</v>
      </c>
      <c r="AT44" s="159">
        <v>2.6962365429999999</v>
      </c>
      <c r="AU44" s="154"/>
      <c r="AV44" s="168">
        <f t="shared" si="0"/>
        <v>0</v>
      </c>
    </row>
    <row r="45" spans="2:52" ht="27" thickBot="1">
      <c r="AQ45" s="155"/>
      <c r="AR45" s="176" t="s">
        <v>28</v>
      </c>
      <c r="AS45" s="176"/>
      <c r="AT45" s="177"/>
      <c r="AU45" s="90"/>
      <c r="AV45" s="74">
        <f>SUM(AV23:AV44)</f>
        <v>0</v>
      </c>
    </row>
    <row r="70" ht="18" customHeight="1"/>
  </sheetData>
  <mergeCells count="10">
    <mergeCell ref="X3:X4"/>
    <mergeCell ref="B3:B4"/>
    <mergeCell ref="N3:N4"/>
    <mergeCell ref="C3:L3"/>
    <mergeCell ref="AR45:AT45"/>
    <mergeCell ref="AI3:AI4"/>
    <mergeCell ref="AR19:AS19"/>
    <mergeCell ref="AQ4:AT4"/>
    <mergeCell ref="AQ21:AV21"/>
    <mergeCell ref="O3:V3"/>
  </mergeCells>
  <pageMargins left="0.16" right="0.28000000000000003" top="0.39" bottom="0.28999999999999998" header="0.22" footer="0.16"/>
  <pageSetup paperSize="9" scal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8"/>
  <sheetViews>
    <sheetView tabSelected="1" topLeftCell="A25" workbookViewId="0">
      <selection activeCell="E2" sqref="E2:F39"/>
    </sheetView>
  </sheetViews>
  <sheetFormatPr defaultRowHeight="18"/>
  <cols>
    <col min="1" max="1" width="9.140625" style="13"/>
    <col min="2" max="2" width="8.140625" style="13" bestFit="1" customWidth="1"/>
    <col min="3" max="3" width="52" style="13" customWidth="1"/>
    <col min="4" max="4" width="11.42578125" style="13" customWidth="1"/>
    <col min="5" max="5" width="21.42578125" style="13" bestFit="1" customWidth="1"/>
    <col min="6" max="6" width="21" style="13" customWidth="1"/>
    <col min="7" max="16384" width="9.140625" style="13"/>
  </cols>
  <sheetData>
    <row r="1" spans="2:6" ht="42.75" customHeight="1">
      <c r="B1" s="18" t="s">
        <v>46</v>
      </c>
      <c r="C1" s="18" t="s">
        <v>33</v>
      </c>
      <c r="D1" s="18" t="s">
        <v>1</v>
      </c>
      <c r="E1" s="88" t="s">
        <v>79</v>
      </c>
      <c r="F1" s="18" t="s">
        <v>77</v>
      </c>
    </row>
    <row r="2" spans="2:6">
      <c r="B2" s="18">
        <v>1</v>
      </c>
      <c r="C2" s="17" t="s">
        <v>12</v>
      </c>
      <c r="D2" s="17" t="str">
        <f>+HLOOKUP(C2,'WIP ENTRY'!$C$4:$L$5,2,0)</f>
        <v>KGS</v>
      </c>
      <c r="E2" s="17">
        <f>+HLOOKUP(C2,'WIP ENTRY'!$C$4:$L$36,33,0)</f>
        <v>0</v>
      </c>
      <c r="F2" s="87">
        <f>+HLOOKUP(C2,'WIP ENTRY'!$C$4:$L$37,34,0)</f>
        <v>0</v>
      </c>
    </row>
    <row r="3" spans="2:6">
      <c r="B3" s="18">
        <v>2</v>
      </c>
      <c r="C3" s="17" t="s">
        <v>93</v>
      </c>
      <c r="D3" s="17" t="str">
        <f>+HLOOKUP(C3,'WIP ENTRY'!$C$4:$L$5,2,0)</f>
        <v>KGS</v>
      </c>
      <c r="E3" s="17">
        <f>+HLOOKUP(C3,'WIP ENTRY'!$C$4:$L$36,33,0)</f>
        <v>0</v>
      </c>
      <c r="F3" s="87">
        <f>+HLOOKUP(C3,'WIP ENTRY'!$C$4:$L$37,34,0)</f>
        <v>0</v>
      </c>
    </row>
    <row r="4" spans="2:6">
      <c r="B4" s="18">
        <v>3</v>
      </c>
      <c r="C4" s="17" t="s">
        <v>13</v>
      </c>
      <c r="D4" s="17" t="str">
        <f>+HLOOKUP(C4,'WIP ENTRY'!$C$4:$L$5,2,0)</f>
        <v>KGS</v>
      </c>
      <c r="E4" s="17">
        <f>+HLOOKUP(C4,'WIP ENTRY'!$C$4:$L$36,33,0)</f>
        <v>0</v>
      </c>
      <c r="F4" s="87">
        <f>+HLOOKUP(C4,'WIP ENTRY'!$C$4:$L$37,34,0)</f>
        <v>0</v>
      </c>
    </row>
    <row r="5" spans="2:6">
      <c r="B5" s="18">
        <v>4</v>
      </c>
      <c r="C5" s="17" t="s">
        <v>14</v>
      </c>
      <c r="D5" s="17" t="str">
        <f>+HLOOKUP(C5,'WIP ENTRY'!$C$4:$L$5,2,0)</f>
        <v>KGS</v>
      </c>
      <c r="E5" s="17">
        <f>+HLOOKUP(C5,'WIP ENTRY'!$C$4:$L$36,33,0)</f>
        <v>0</v>
      </c>
      <c r="F5" s="87">
        <f>+HLOOKUP(C5,'WIP ENTRY'!$C$4:$L$37,34,0)</f>
        <v>0</v>
      </c>
    </row>
    <row r="6" spans="2:6">
      <c r="B6" s="18">
        <v>5</v>
      </c>
      <c r="C6" s="17" t="s">
        <v>94</v>
      </c>
      <c r="D6" s="17" t="str">
        <f>+HLOOKUP(C6,'WIP ENTRY'!$C$4:$L$5,2,0)</f>
        <v>KGS</v>
      </c>
      <c r="E6" s="17">
        <f>+HLOOKUP(C6,'WIP ENTRY'!$C$4:$L$36,33,0)</f>
        <v>0</v>
      </c>
      <c r="F6" s="87">
        <f>+HLOOKUP(C6,'WIP ENTRY'!$C$4:$L$37,34,0)</f>
        <v>0</v>
      </c>
    </row>
    <row r="7" spans="2:6">
      <c r="B7" s="18">
        <v>6</v>
      </c>
      <c r="C7" s="17" t="s">
        <v>15</v>
      </c>
      <c r="D7" s="17" t="str">
        <f>+HLOOKUP(C7,'WIP ENTRY'!$C$4:$L$5,2,0)</f>
        <v>KGS</v>
      </c>
      <c r="E7" s="17">
        <f>+HLOOKUP(C7,'WIP ENTRY'!$C$4:$L$36,33,0)</f>
        <v>0</v>
      </c>
      <c r="F7" s="87">
        <f>+HLOOKUP(C7,'WIP ENTRY'!$C$4:$L$37,34,0)</f>
        <v>0</v>
      </c>
    </row>
    <row r="8" spans="2:6">
      <c r="B8" s="18">
        <v>7</v>
      </c>
      <c r="C8" s="17" t="s">
        <v>16</v>
      </c>
      <c r="D8" s="17" t="str">
        <f>+HLOOKUP(C8,'WIP ENTRY'!$C$4:$L$5,2,0)</f>
        <v>KGS</v>
      </c>
      <c r="E8" s="17">
        <f>+HLOOKUP(C8,'WIP ENTRY'!$C$4:$L$36,33,0)</f>
        <v>0</v>
      </c>
      <c r="F8" s="87">
        <f>+HLOOKUP(C8,'WIP ENTRY'!$C$4:$L$37,34,0)</f>
        <v>0</v>
      </c>
    </row>
    <row r="9" spans="2:6">
      <c r="B9" s="18">
        <v>8</v>
      </c>
      <c r="C9" s="17" t="s">
        <v>17</v>
      </c>
      <c r="D9" s="17" t="str">
        <f>+HLOOKUP(C9,'WIP ENTRY'!$C$4:$L$5,2,0)</f>
        <v>KGS</v>
      </c>
      <c r="E9" s="17">
        <f>+HLOOKUP(C9,'WIP ENTRY'!$C$4:$L$36,33,0)</f>
        <v>0</v>
      </c>
      <c r="F9" s="87">
        <f>+HLOOKUP(C9,'WIP ENTRY'!$C$4:$L$37,34,0)</f>
        <v>0</v>
      </c>
    </row>
    <row r="10" spans="2:6">
      <c r="B10" s="18">
        <v>9</v>
      </c>
      <c r="C10" s="17" t="s">
        <v>18</v>
      </c>
      <c r="D10" s="17" t="str">
        <f>+HLOOKUP(C10,'WIP ENTRY'!$C$4:$L$5,2,0)</f>
        <v>KGS</v>
      </c>
      <c r="E10" s="17">
        <f>+HLOOKUP(C10,'WIP ENTRY'!$C$4:$L$36,33,0)</f>
        <v>0</v>
      </c>
      <c r="F10" s="87">
        <f>+HLOOKUP(C10,'WIP ENTRY'!$C$4:$L$37,34,0)</f>
        <v>0</v>
      </c>
    </row>
    <row r="11" spans="2:6">
      <c r="B11" s="18">
        <v>10</v>
      </c>
      <c r="C11" s="17" t="s">
        <v>40</v>
      </c>
      <c r="D11" s="17" t="str">
        <f>+HLOOKUP(C11,'WIP ENTRY'!$C$4:$L$5,2,0)</f>
        <v>KGS</v>
      </c>
      <c r="E11" s="17">
        <f>+HLOOKUP(C11,'WIP ENTRY'!$C$4:$L$36,33,0)</f>
        <v>0</v>
      </c>
      <c r="F11" s="87">
        <f>+HLOOKUP(C11,'WIP ENTRY'!$C$4:$L$37,34,0)</f>
        <v>0</v>
      </c>
    </row>
    <row r="12" spans="2:6">
      <c r="B12" s="18">
        <v>11</v>
      </c>
      <c r="C12" s="162" t="s">
        <v>8</v>
      </c>
      <c r="D12" s="17" t="str">
        <f>+HLOOKUP(C12,'WIP ENTRY'!$O$4:$V$5,2,0)</f>
        <v>BOX</v>
      </c>
      <c r="E12" s="17">
        <f>+HLOOKUP(C12,'WIP ENTRY'!$O$4:$V$36,33,0)</f>
        <v>0</v>
      </c>
      <c r="F12" s="87">
        <f>+HLOOKUP(C12,'WIP ENTRY'!$O$4:$V$37,34,0)</f>
        <v>0</v>
      </c>
    </row>
    <row r="13" spans="2:6">
      <c r="B13" s="18">
        <v>12</v>
      </c>
      <c r="C13" s="162" t="s">
        <v>7</v>
      </c>
      <c r="D13" s="17" t="str">
        <f>+HLOOKUP(C13,'WIP ENTRY'!$O$4:$V$5,2,0)</f>
        <v>BOX</v>
      </c>
      <c r="E13" s="17">
        <f>+HLOOKUP(C13,'WIP ENTRY'!$O$4:$V$36,33,0)</f>
        <v>0</v>
      </c>
      <c r="F13" s="87">
        <f>+HLOOKUP(C13,'WIP ENTRY'!$O$4:$V$37,34,0)</f>
        <v>0</v>
      </c>
    </row>
    <row r="14" spans="2:6">
      <c r="B14" s="18">
        <v>13</v>
      </c>
      <c r="C14" s="162" t="s">
        <v>5</v>
      </c>
      <c r="D14" s="17" t="str">
        <f>+HLOOKUP(C14,'WIP ENTRY'!$O$4:$V$5,2,0)</f>
        <v>BOX</v>
      </c>
      <c r="E14" s="17">
        <f>+HLOOKUP(C14,'WIP ENTRY'!$O$4:$V$36,33,0)</f>
        <v>0</v>
      </c>
      <c r="F14" s="87">
        <f>+HLOOKUP(C14,'WIP ENTRY'!$O$4:$V$37,34,0)</f>
        <v>0</v>
      </c>
    </row>
    <row r="15" spans="2:6">
      <c r="B15" s="18">
        <v>14</v>
      </c>
      <c r="C15" s="162" t="s">
        <v>9</v>
      </c>
      <c r="D15" s="17" t="str">
        <f>+HLOOKUP(C15,'WIP ENTRY'!$O$4:$V$5,2,0)</f>
        <v>LTRS</v>
      </c>
      <c r="E15" s="17">
        <f>+HLOOKUP(C15,'WIP ENTRY'!$O$4:$V$36,33,0)</f>
        <v>0</v>
      </c>
      <c r="F15" s="87">
        <f>+HLOOKUP(C15,'WIP ENTRY'!$O$4:$V$37,34,0)</f>
        <v>0</v>
      </c>
    </row>
    <row r="16" spans="2:6">
      <c r="B16" s="18">
        <v>15</v>
      </c>
      <c r="C16" s="162" t="s">
        <v>19</v>
      </c>
      <c r="D16" s="17" t="str">
        <f>+HLOOKUP(C16,'WIP ENTRY'!$O$4:$V$5,2,0)</f>
        <v>NOS</v>
      </c>
      <c r="E16" s="17">
        <f>+HLOOKUP(C16,'WIP ENTRY'!$O$4:$V$36,33,0)</f>
        <v>0</v>
      </c>
      <c r="F16" s="87">
        <f>+HLOOKUP(C16,'WIP ENTRY'!$O$4:$V$37,34,0)</f>
        <v>0</v>
      </c>
    </row>
    <row r="17" spans="2:6">
      <c r="B17" s="18">
        <v>16</v>
      </c>
      <c r="C17" s="162" t="s">
        <v>20</v>
      </c>
      <c r="D17" s="17" t="str">
        <f>+HLOOKUP(C17,'WIP ENTRY'!$O$4:$V$5,2,0)</f>
        <v>NOS</v>
      </c>
      <c r="E17" s="17">
        <f>+HLOOKUP(C17,'WIP ENTRY'!$O$4:$V$36,33,0)</f>
        <v>0</v>
      </c>
      <c r="F17" s="87">
        <f>+HLOOKUP(C17,'WIP ENTRY'!$O$4:$V$37,34,0)</f>
        <v>0</v>
      </c>
    </row>
    <row r="18" spans="2:6">
      <c r="B18" s="18">
        <v>17</v>
      </c>
      <c r="C18" s="162" t="s">
        <v>21</v>
      </c>
      <c r="D18" s="17" t="str">
        <f>+HLOOKUP(C18,'WIP ENTRY'!$O$4:$V$5,2,0)</f>
        <v>NOS</v>
      </c>
      <c r="E18" s="17">
        <f>+HLOOKUP(C18,'WIP ENTRY'!$O$4:$V$36,33,0)</f>
        <v>0</v>
      </c>
      <c r="F18" s="87">
        <f>+HLOOKUP(C18,'WIP ENTRY'!$O$4:$V$37,34,0)</f>
        <v>0</v>
      </c>
    </row>
    <row r="19" spans="2:6">
      <c r="B19" s="18">
        <v>18</v>
      </c>
      <c r="C19" s="162" t="s">
        <v>43</v>
      </c>
      <c r="D19" s="17" t="str">
        <f>+HLOOKUP(C19,'WIP ENTRY'!$O$4:$V$5,2,0)</f>
        <v>LTRS</v>
      </c>
      <c r="E19" s="17">
        <f>+HLOOKUP(C19,'WIP ENTRY'!$O$4:$V$36,33,0)</f>
        <v>0</v>
      </c>
      <c r="F19" s="87">
        <f>+HLOOKUP(C19,'WIP ENTRY'!$O$4:$V$37,34,0)</f>
        <v>0</v>
      </c>
    </row>
    <row r="20" spans="2:6">
      <c r="B20" s="18">
        <v>19</v>
      </c>
      <c r="C20" s="162" t="s">
        <v>10</v>
      </c>
      <c r="D20" s="17" t="str">
        <f>HLOOKUP(C20,'WIP ENTRY'!$Y$4:$AG$5,2,0)</f>
        <v>KGS</v>
      </c>
      <c r="E20" s="17">
        <f>HLOOKUP(C20,'WIP ENTRY'!$Y$4:$AG$36,33,0)</f>
        <v>0</v>
      </c>
      <c r="F20" s="87">
        <f>+HLOOKUP(C20,'WIP ENTRY'!$Y$4:$AG$37,34,0)</f>
        <v>0</v>
      </c>
    </row>
    <row r="21" spans="2:6">
      <c r="B21" s="18">
        <v>20</v>
      </c>
      <c r="C21" s="162" t="s">
        <v>22</v>
      </c>
      <c r="D21" s="17" t="str">
        <f>HLOOKUP(C21,'WIP ENTRY'!$Y$4:$AG$5,2,0)</f>
        <v>KGS</v>
      </c>
      <c r="E21" s="17">
        <f>HLOOKUP(C21,'WIP ENTRY'!$Y$4:$AG$36,33,0)</f>
        <v>0</v>
      </c>
      <c r="F21" s="87">
        <f>+HLOOKUP(C21,'WIP ENTRY'!$Y$4:$AG$37,34,0)</f>
        <v>0</v>
      </c>
    </row>
    <row r="22" spans="2:6">
      <c r="B22" s="18">
        <v>21</v>
      </c>
      <c r="C22" s="162" t="s">
        <v>23</v>
      </c>
      <c r="D22" s="17" t="str">
        <f>HLOOKUP(C22,'WIP ENTRY'!$Y$4:$AG$5,2,0)</f>
        <v>KGS</v>
      </c>
      <c r="E22" s="17">
        <f>HLOOKUP(C22,'WIP ENTRY'!$Y$4:$AG$36,33,0)</f>
        <v>0</v>
      </c>
      <c r="F22" s="87">
        <f>+HLOOKUP(C22,'WIP ENTRY'!$Y$4:$AG$37,34,0)</f>
        <v>0</v>
      </c>
    </row>
    <row r="23" spans="2:6">
      <c r="B23" s="18">
        <v>22</v>
      </c>
      <c r="C23" s="162" t="s">
        <v>38</v>
      </c>
      <c r="D23" s="17" t="str">
        <f>HLOOKUP(C23,'WIP ENTRY'!$Y$4:$AG$5,2,0)</f>
        <v>KGS</v>
      </c>
      <c r="E23" s="17">
        <f>HLOOKUP(C23,'WIP ENTRY'!$Y$4:$AG$36,33,0)</f>
        <v>0</v>
      </c>
      <c r="F23" s="87">
        <f>+HLOOKUP(C23,'WIP ENTRY'!$Y$4:$AG$37,34,0)</f>
        <v>0</v>
      </c>
    </row>
    <row r="24" spans="2:6">
      <c r="B24" s="18">
        <v>23</v>
      </c>
      <c r="C24" s="162" t="s">
        <v>24</v>
      </c>
      <c r="D24" s="17" t="str">
        <f>HLOOKUP(C24,'WIP ENTRY'!$Y$4:$AG$5,2,0)</f>
        <v>KGS</v>
      </c>
      <c r="E24" s="17">
        <f>HLOOKUP(C24,'WIP ENTRY'!$Y$4:$AG$36,33,0)</f>
        <v>0</v>
      </c>
      <c r="F24" s="87">
        <f>+HLOOKUP(C24,'WIP ENTRY'!$Y$4:$AG$37,34,0)</f>
        <v>0</v>
      </c>
    </row>
    <row r="25" spans="2:6">
      <c r="B25" s="18">
        <v>24</v>
      </c>
      <c r="C25" s="162" t="s">
        <v>25</v>
      </c>
      <c r="D25" s="17" t="str">
        <f>HLOOKUP(C25,'WIP ENTRY'!$Y$4:$AG$5,2,0)</f>
        <v>KGS</v>
      </c>
      <c r="E25" s="17">
        <f>HLOOKUP(C25,'WIP ENTRY'!$Y$4:$AG$36,33,0)</f>
        <v>0</v>
      </c>
      <c r="F25" s="87">
        <f>+HLOOKUP(C25,'WIP ENTRY'!$Y$4:$AG$37,34,0)</f>
        <v>0</v>
      </c>
    </row>
    <row r="26" spans="2:6">
      <c r="B26" s="18">
        <v>25</v>
      </c>
      <c r="C26" s="162" t="s">
        <v>39</v>
      </c>
      <c r="D26" s="17" t="str">
        <f>HLOOKUP(C26,'WIP ENTRY'!$Y$4:$AG$5,2,0)</f>
        <v>KGS</v>
      </c>
      <c r="E26" s="17">
        <f>HLOOKUP(C26,'WIP ENTRY'!$Y$4:$AG$36,33,0)</f>
        <v>0</v>
      </c>
      <c r="F26" s="87">
        <f>+HLOOKUP(C26,'WIP ENTRY'!$Y$4:$AG$37,34,0)</f>
        <v>0</v>
      </c>
    </row>
    <row r="27" spans="2:6">
      <c r="B27" s="18">
        <v>26</v>
      </c>
      <c r="C27" s="162" t="s">
        <v>44</v>
      </c>
      <c r="D27" s="17" t="str">
        <f>HLOOKUP(C27,'WIP ENTRY'!$Y$4:$AG$5,2,0)</f>
        <v>KGS</v>
      </c>
      <c r="E27" s="17">
        <f>HLOOKUP(C27,'WIP ENTRY'!$Y$4:$AG$36,33,0)</f>
        <v>0</v>
      </c>
      <c r="F27" s="87">
        <f>+HLOOKUP(C27,'WIP ENTRY'!$Y$4:$AG$37,34,0)</f>
        <v>0</v>
      </c>
    </row>
    <row r="28" spans="2:6">
      <c r="B28" s="18">
        <v>27</v>
      </c>
      <c r="C28" s="162" t="s">
        <v>26</v>
      </c>
      <c r="D28" s="17" t="str">
        <f>HLOOKUP(C28,'WIP ENTRY'!$Y$4:$AG$5,2,0)</f>
        <v>KGS</v>
      </c>
      <c r="E28" s="17">
        <f>HLOOKUP(C28,'WIP ENTRY'!$Y$4:$AG$36,33,0)</f>
        <v>0</v>
      </c>
      <c r="F28" s="87">
        <f>+HLOOKUP(C28,'WIP ENTRY'!$Y$4:$AG$37,34,0)</f>
        <v>0</v>
      </c>
    </row>
    <row r="29" spans="2:6">
      <c r="B29" s="18">
        <v>28</v>
      </c>
      <c r="C29" s="162" t="s">
        <v>41</v>
      </c>
      <c r="D29" s="162" t="str">
        <f>+HLOOKUP(C29,'WIP ENTRY'!$AJ$4:$AN$5,2,0)</f>
        <v>KGS</v>
      </c>
      <c r="E29" s="162">
        <f>HLOOKUP(C29,'WIP ENTRY'!$AJ$4:$AN$36,33,0)</f>
        <v>0</v>
      </c>
      <c r="F29" s="162">
        <f>+HLOOKUP(C29,'WIP ENTRY'!$AJ$4:$AN$37,5,0)</f>
        <v>0</v>
      </c>
    </row>
    <row r="30" spans="2:6">
      <c r="B30" s="18">
        <v>29</v>
      </c>
      <c r="C30" s="162" t="s">
        <v>27</v>
      </c>
      <c r="D30" s="162" t="str">
        <f>+HLOOKUP(C30,'WIP ENTRY'!$AJ$4:$AN$5,2,0)</f>
        <v>KGS</v>
      </c>
      <c r="E30" s="162">
        <f>HLOOKUP(C30,'WIP ENTRY'!$AJ$4:$AN$36,33,0)</f>
        <v>0</v>
      </c>
      <c r="F30" s="162">
        <f>+HLOOKUP(C30,'WIP ENTRY'!$AJ$4:$AN$37,5,0)</f>
        <v>0</v>
      </c>
    </row>
    <row r="31" spans="2:6">
      <c r="B31" s="18">
        <v>30</v>
      </c>
      <c r="C31" s="162" t="s">
        <v>217</v>
      </c>
      <c r="D31" s="162" t="str">
        <f>+HLOOKUP(C31,'WIP ENTRY'!$AJ$4:$AN$5,2,0)</f>
        <v>KGS</v>
      </c>
      <c r="E31" s="162">
        <f>HLOOKUP(C31,'WIP ENTRY'!$AJ$4:$AN$36,33,0)</f>
        <v>0</v>
      </c>
      <c r="F31" s="162">
        <f>+HLOOKUP(C31,'WIP ENTRY'!$AJ$4:$AN$37,5,0)</f>
        <v>0</v>
      </c>
    </row>
    <row r="32" spans="2:6">
      <c r="B32" s="18">
        <v>31</v>
      </c>
      <c r="C32" s="162" t="s">
        <v>42</v>
      </c>
      <c r="D32" s="162" t="str">
        <f>+HLOOKUP(C32,'WIP ENTRY'!$AJ$4:$AN$5,2,0)</f>
        <v>KGS</v>
      </c>
      <c r="E32" s="162">
        <f>HLOOKUP(C32,'WIP ENTRY'!$AJ$4:$AN$36,33,0)</f>
        <v>0</v>
      </c>
      <c r="F32" s="162">
        <f>+HLOOKUP(C32,'WIP ENTRY'!$AJ$4:$AN$37,5,0)</f>
        <v>0</v>
      </c>
    </row>
    <row r="33" spans="2:6">
      <c r="B33" s="18">
        <v>32</v>
      </c>
      <c r="C33" s="162" t="s">
        <v>45</v>
      </c>
      <c r="D33" s="162" t="str">
        <f>+HLOOKUP(C33,'WIP ENTRY'!$AJ$4:$AN$5,2,0)</f>
        <v>KGS</v>
      </c>
      <c r="E33" s="162">
        <f>HLOOKUP(C33,'WIP ENTRY'!$AJ$4:$AN$36,33,0)</f>
        <v>0</v>
      </c>
      <c r="F33" s="162">
        <f>+HLOOKUP(C33,'WIP ENTRY'!$AJ$4:$AN$37,5,0)</f>
        <v>0</v>
      </c>
    </row>
    <row r="34" spans="2:6">
      <c r="B34" s="18">
        <v>33</v>
      </c>
      <c r="C34" s="18" t="s">
        <v>121</v>
      </c>
      <c r="D34" s="18" t="str">
        <f>VLOOKUP(C34,'WIP ENTRY'!AR6:AS17,2,0)</f>
        <v>NOS</v>
      </c>
      <c r="E34" s="17"/>
      <c r="F34" s="18">
        <f>+VLOOKUP(C34,'WIP ENTRY'!$AR$6:$AT$18,3,0)</f>
        <v>0</v>
      </c>
    </row>
    <row r="35" spans="2:6">
      <c r="B35" s="18">
        <v>34</v>
      </c>
      <c r="C35" s="18" t="s">
        <v>123</v>
      </c>
      <c r="D35" s="18" t="str">
        <f>VLOOKUP(C35,'WIP ENTRY'!AR7:AS18,2,0)</f>
        <v>NOS</v>
      </c>
      <c r="E35" s="17"/>
      <c r="F35" s="18">
        <f>+VLOOKUP(C35,'WIP ENTRY'!$AR$6:$AT$18,3,0)</f>
        <v>0</v>
      </c>
    </row>
    <row r="36" spans="2:6">
      <c r="B36" s="18">
        <v>35</v>
      </c>
      <c r="C36" s="18" t="s">
        <v>125</v>
      </c>
      <c r="D36" s="18" t="str">
        <f>VLOOKUP(C36,'WIP ENTRY'!AR8:AS19,2,0)</f>
        <v>NOS</v>
      </c>
      <c r="E36" s="17"/>
      <c r="F36" s="18">
        <f>+VLOOKUP(C36,'WIP ENTRY'!$AR$6:$AT$18,3,0)</f>
        <v>0</v>
      </c>
    </row>
    <row r="37" spans="2:6">
      <c r="B37" s="18">
        <v>36</v>
      </c>
      <c r="C37" s="18" t="s">
        <v>127</v>
      </c>
      <c r="D37" s="18" t="str">
        <f>VLOOKUP(C37,'WIP ENTRY'!AR9:AS20,2,0)</f>
        <v>NOS</v>
      </c>
      <c r="E37" s="17"/>
      <c r="F37" s="18">
        <f>+VLOOKUP(C37,'WIP ENTRY'!$AR$6:$AT$18,3,0)</f>
        <v>0</v>
      </c>
    </row>
    <row r="38" spans="2:6">
      <c r="B38" s="18">
        <v>37</v>
      </c>
      <c r="C38" s="18" t="s">
        <v>129</v>
      </c>
      <c r="D38" s="18" t="str">
        <f>VLOOKUP(C38,'WIP ENTRY'!AR10:AS21,2,0)</f>
        <v>NOS</v>
      </c>
      <c r="E38" s="17"/>
      <c r="F38" s="18">
        <f>+VLOOKUP(C38,'WIP ENTRY'!$AR$6:$AT$18,3,0)</f>
        <v>0</v>
      </c>
    </row>
    <row r="39" spans="2:6">
      <c r="B39" s="18">
        <v>38</v>
      </c>
      <c r="C39" s="18" t="s">
        <v>131</v>
      </c>
      <c r="D39" s="18" t="str">
        <f>VLOOKUP(C39,'WIP ENTRY'!AR11:AS22,2,0)</f>
        <v>NOS</v>
      </c>
      <c r="E39" s="17"/>
      <c r="F39" s="18">
        <f>+VLOOKUP(C39,'WIP ENTRY'!$AR$6:$AT$18,3,0)</f>
        <v>0</v>
      </c>
    </row>
    <row r="40" spans="2:6">
      <c r="B40" s="18">
        <v>39</v>
      </c>
      <c r="C40" s="18" t="s">
        <v>133</v>
      </c>
      <c r="D40" s="18" t="str">
        <f>VLOOKUP(C40,'WIP ENTRY'!AR12:AS23,2,0)</f>
        <v>NOS</v>
      </c>
      <c r="E40" s="17"/>
      <c r="F40" s="18">
        <f>+VLOOKUP(C40,'WIP ENTRY'!$AR$6:$AT$18,3,0)</f>
        <v>0</v>
      </c>
    </row>
    <row r="41" spans="2:6">
      <c r="B41" s="18">
        <v>40</v>
      </c>
      <c r="C41" s="18" t="s">
        <v>135</v>
      </c>
      <c r="D41" s="18" t="str">
        <f>VLOOKUP(C41,'WIP ENTRY'!AR13:AS24,2,0)</f>
        <v>NOS</v>
      </c>
      <c r="E41" s="17"/>
      <c r="F41" s="18">
        <f>+VLOOKUP(C41,'WIP ENTRY'!$AR$6:$AT$18,3,0)</f>
        <v>0</v>
      </c>
    </row>
    <row r="42" spans="2:6">
      <c r="B42" s="18">
        <v>41</v>
      </c>
      <c r="C42" s="18" t="s">
        <v>137</v>
      </c>
      <c r="D42" s="18" t="str">
        <f>VLOOKUP(C42,'WIP ENTRY'!AR14:AS25,2,0)</f>
        <v>NOS</v>
      </c>
      <c r="E42" s="17"/>
      <c r="F42" s="18">
        <f>+VLOOKUP(C42,'WIP ENTRY'!$AR$6:$AT$18,3,0)</f>
        <v>0</v>
      </c>
    </row>
    <row r="43" spans="2:6">
      <c r="B43" s="18">
        <v>42</v>
      </c>
      <c r="C43" s="18" t="s">
        <v>139</v>
      </c>
      <c r="D43" s="18" t="str">
        <f>VLOOKUP(C43,'WIP ENTRY'!AR15:AS26,2,0)</f>
        <v>NOS</v>
      </c>
      <c r="E43" s="17"/>
      <c r="F43" s="18">
        <f>+VLOOKUP(C43,'WIP ENTRY'!$AR$6:$AT$18,3,0)</f>
        <v>0</v>
      </c>
    </row>
    <row r="44" spans="2:6">
      <c r="B44" s="18">
        <v>43</v>
      </c>
      <c r="C44" s="18" t="s">
        <v>141</v>
      </c>
      <c r="D44" s="18" t="str">
        <f>VLOOKUP(C44,'WIP ENTRY'!AR16:AS27,2,0)</f>
        <v>NOS</v>
      </c>
      <c r="E44" s="17"/>
      <c r="F44" s="18">
        <f>+VLOOKUP(C44,'WIP ENTRY'!$AR$6:$AT$18,3,0)</f>
        <v>0</v>
      </c>
    </row>
    <row r="45" spans="2:6">
      <c r="B45" s="18">
        <v>44</v>
      </c>
      <c r="C45" s="18" t="s">
        <v>143</v>
      </c>
      <c r="D45" s="18" t="str">
        <f>VLOOKUP(C45,'WIP ENTRY'!AR17:AS28,2,0)</f>
        <v>NOS</v>
      </c>
      <c r="E45" s="17"/>
      <c r="F45" s="18">
        <f>+VLOOKUP(C45,'WIP ENTRY'!$AR$6:$AT$18,3,0)</f>
        <v>0</v>
      </c>
    </row>
    <row r="46" spans="2:6">
      <c r="B46" s="18">
        <v>45</v>
      </c>
      <c r="C46" s="18" t="s">
        <v>168</v>
      </c>
      <c r="D46" s="18" t="str">
        <f>VLOOKUP(C46,'WIP ENTRY'!AR18:AS29,2,0)</f>
        <v>NOS</v>
      </c>
      <c r="E46" s="17"/>
      <c r="F46" s="18">
        <f>+VLOOKUP(C46,'WIP ENTRY'!$AR$6:$AT$18,3,0)</f>
        <v>0</v>
      </c>
    </row>
    <row r="47" spans="2:6">
      <c r="B47" s="18">
        <v>45</v>
      </c>
      <c r="C47" s="18" t="s">
        <v>145</v>
      </c>
      <c r="D47" s="18" t="str">
        <f>+VLOOKUP(C47,'WIP ENTRY'!AR23:AS44,2,0)</f>
        <v>KGS</v>
      </c>
      <c r="E47" s="17">
        <f>+VLOOKUP(C47,'WIP ENTRY'!AR23:AU44,4,0)</f>
        <v>0</v>
      </c>
      <c r="F47" s="87">
        <f>VLOOKUP(C47,'WIP ENTRY'!AR23:AV44,5,0)</f>
        <v>0</v>
      </c>
    </row>
    <row r="48" spans="2:6">
      <c r="B48" s="18">
        <v>46</v>
      </c>
      <c r="C48" s="18" t="s">
        <v>104</v>
      </c>
      <c r="D48" s="18" t="str">
        <f>+VLOOKUP(C48,'WIP ENTRY'!AR24:AS45,2,0)</f>
        <v>KGS</v>
      </c>
      <c r="E48" s="17">
        <f>+VLOOKUP(C48,'WIP ENTRY'!AR24:AU45,4,0)</f>
        <v>0</v>
      </c>
      <c r="F48" s="87">
        <f>VLOOKUP(C48,'WIP ENTRY'!AR24:AV45,5,0)</f>
        <v>0</v>
      </c>
    </row>
    <row r="49" spans="2:6">
      <c r="B49" s="18">
        <v>47</v>
      </c>
      <c r="C49" s="18" t="s">
        <v>147</v>
      </c>
      <c r="D49" s="18" t="str">
        <f>+VLOOKUP(C49,'WIP ENTRY'!AR25:AS46,2,0)</f>
        <v>KGS</v>
      </c>
      <c r="E49" s="17">
        <f>+VLOOKUP(C49,'WIP ENTRY'!AR25:AU46,4,0)</f>
        <v>0</v>
      </c>
      <c r="F49" s="87">
        <f>VLOOKUP(C49,'WIP ENTRY'!AR25:AV46,5,0)</f>
        <v>0</v>
      </c>
    </row>
    <row r="50" spans="2:6">
      <c r="B50" s="18">
        <v>48</v>
      </c>
      <c r="C50" s="18" t="s">
        <v>105</v>
      </c>
      <c r="D50" s="18" t="str">
        <f>+VLOOKUP(C50,'WIP ENTRY'!AR26:AS47,2,0)</f>
        <v>KGS</v>
      </c>
      <c r="E50" s="17">
        <f>+VLOOKUP(C50,'WIP ENTRY'!AR26:AU47,4,0)</f>
        <v>0</v>
      </c>
      <c r="F50" s="87">
        <f>VLOOKUP(C50,'WIP ENTRY'!AR26:AV47,5,0)</f>
        <v>0</v>
      </c>
    </row>
    <row r="51" spans="2:6">
      <c r="B51" s="18">
        <v>49</v>
      </c>
      <c r="C51" s="18" t="s">
        <v>106</v>
      </c>
      <c r="D51" s="18" t="str">
        <f>+VLOOKUP(C51,'WIP ENTRY'!AR27:AS48,2,0)</f>
        <v>KGS</v>
      </c>
      <c r="E51" s="17">
        <f>+VLOOKUP(C51,'WIP ENTRY'!AR27:AU48,4,0)</f>
        <v>0</v>
      </c>
      <c r="F51" s="87">
        <f>VLOOKUP(C51,'WIP ENTRY'!AR27:AV48,5,0)</f>
        <v>0</v>
      </c>
    </row>
    <row r="52" spans="2:6">
      <c r="B52" s="18">
        <v>50</v>
      </c>
      <c r="C52" s="18" t="s">
        <v>149</v>
      </c>
      <c r="D52" s="18" t="str">
        <f>+VLOOKUP(C52,'WIP ENTRY'!AR28:AS49,2,0)</f>
        <v>KGS</v>
      </c>
      <c r="E52" s="17">
        <f>+VLOOKUP(C52,'WIP ENTRY'!AR28:AU49,4,0)</f>
        <v>0</v>
      </c>
      <c r="F52" s="87">
        <f>VLOOKUP(C52,'WIP ENTRY'!AR28:AV49,5,0)</f>
        <v>0</v>
      </c>
    </row>
    <row r="53" spans="2:6">
      <c r="B53" s="18">
        <v>51</v>
      </c>
      <c r="C53" s="18" t="s">
        <v>114</v>
      </c>
      <c r="D53" s="18" t="str">
        <f>+VLOOKUP(C53,'WIP ENTRY'!AR29:AS50,2,0)</f>
        <v>KGS</v>
      </c>
      <c r="E53" s="17">
        <f>+VLOOKUP(C53,'WIP ENTRY'!AR29:AU50,4,0)</f>
        <v>0</v>
      </c>
      <c r="F53" s="87">
        <f>VLOOKUP(C53,'WIP ENTRY'!AR29:AV50,5,0)</f>
        <v>0</v>
      </c>
    </row>
    <row r="54" spans="2:6">
      <c r="B54" s="18">
        <v>52</v>
      </c>
      <c r="C54" s="18" t="s">
        <v>107</v>
      </c>
      <c r="D54" s="18" t="str">
        <f>+VLOOKUP(C54,'WIP ENTRY'!AR30:AS51,2,0)</f>
        <v>KGS</v>
      </c>
      <c r="E54" s="17">
        <f>+VLOOKUP(C54,'WIP ENTRY'!AR30:AU51,4,0)</f>
        <v>0</v>
      </c>
      <c r="F54" s="87">
        <f>VLOOKUP(C54,'WIP ENTRY'!AR30:AV51,5,0)</f>
        <v>0</v>
      </c>
    </row>
    <row r="55" spans="2:6">
      <c r="B55" s="18">
        <v>53</v>
      </c>
      <c r="C55" s="18" t="s">
        <v>108</v>
      </c>
      <c r="D55" s="18" t="str">
        <f>+VLOOKUP(C55,'WIP ENTRY'!AR31:AS52,2,0)</f>
        <v>KGS</v>
      </c>
      <c r="E55" s="17">
        <f>+VLOOKUP(C55,'WIP ENTRY'!AR31:AU52,4,0)</f>
        <v>0</v>
      </c>
      <c r="F55" s="87">
        <f>VLOOKUP(C55,'WIP ENTRY'!AR31:AV52,5,0)</f>
        <v>0</v>
      </c>
    </row>
    <row r="56" spans="2:6">
      <c r="B56" s="18">
        <v>54</v>
      </c>
      <c r="C56" s="18" t="s">
        <v>151</v>
      </c>
      <c r="D56" s="18" t="str">
        <f>+VLOOKUP(C56,'WIP ENTRY'!AR32:AS53,2,0)</f>
        <v>KGS</v>
      </c>
      <c r="E56" s="17">
        <f>+VLOOKUP(C56,'WIP ENTRY'!AR32:AU53,4,0)</f>
        <v>0</v>
      </c>
      <c r="F56" s="87">
        <f>VLOOKUP(C56,'WIP ENTRY'!AR32:AV53,5,0)</f>
        <v>0</v>
      </c>
    </row>
    <row r="57" spans="2:6">
      <c r="B57" s="18">
        <v>55</v>
      </c>
      <c r="C57" s="18" t="s">
        <v>99</v>
      </c>
      <c r="D57" s="18" t="str">
        <f>+VLOOKUP(C57,'WIP ENTRY'!AR33:AS54,2,0)</f>
        <v>KGS</v>
      </c>
      <c r="E57" s="17">
        <f>+VLOOKUP(C57,'WIP ENTRY'!AR33:AU54,4,0)</f>
        <v>0</v>
      </c>
      <c r="F57" s="87">
        <f>VLOOKUP(C57,'WIP ENTRY'!AR33:AV54,5,0)</f>
        <v>0</v>
      </c>
    </row>
    <row r="58" spans="2:6">
      <c r="B58" s="18">
        <v>56</v>
      </c>
      <c r="C58" s="18" t="s">
        <v>100</v>
      </c>
      <c r="D58" s="18" t="str">
        <f>+VLOOKUP(C58,'WIP ENTRY'!AR34:AS55,2,0)</f>
        <v>KGS</v>
      </c>
      <c r="E58" s="17">
        <f>+VLOOKUP(C58,'WIP ENTRY'!AR34:AU55,4,0)</f>
        <v>0</v>
      </c>
      <c r="F58" s="87">
        <f>VLOOKUP(C58,'WIP ENTRY'!AR34:AV55,5,0)</f>
        <v>0</v>
      </c>
    </row>
    <row r="59" spans="2:6">
      <c r="B59" s="18">
        <v>57</v>
      </c>
      <c r="C59" s="18" t="s">
        <v>153</v>
      </c>
      <c r="D59" s="18" t="str">
        <f>+VLOOKUP(C59,'WIP ENTRY'!AR35:AS56,2,0)</f>
        <v>KGS</v>
      </c>
      <c r="E59" s="17">
        <f>+VLOOKUP(C59,'WIP ENTRY'!AR35:AU56,4,0)</f>
        <v>0</v>
      </c>
      <c r="F59" s="87">
        <f>VLOOKUP(C59,'WIP ENTRY'!AR35:AV56,5,0)</f>
        <v>0</v>
      </c>
    </row>
    <row r="60" spans="2:6">
      <c r="B60" s="18">
        <v>58</v>
      </c>
      <c r="C60" s="18" t="s">
        <v>101</v>
      </c>
      <c r="D60" s="18" t="str">
        <f>+VLOOKUP(C60,'WIP ENTRY'!AR36:AS57,2,0)</f>
        <v>KGS</v>
      </c>
      <c r="E60" s="17">
        <f>+VLOOKUP(C60,'WIP ENTRY'!AR36:AU57,4,0)</f>
        <v>0</v>
      </c>
      <c r="F60" s="87">
        <f>VLOOKUP(C60,'WIP ENTRY'!AR36:AV57,5,0)</f>
        <v>0</v>
      </c>
    </row>
    <row r="61" spans="2:6">
      <c r="B61" s="18">
        <v>59</v>
      </c>
      <c r="C61" s="18" t="s">
        <v>155</v>
      </c>
      <c r="D61" s="18" t="str">
        <f>+VLOOKUP(C61,'WIP ENTRY'!AR37:AS58,2,0)</f>
        <v>KGS</v>
      </c>
      <c r="E61" s="17">
        <f>+VLOOKUP(C61,'WIP ENTRY'!AR37:AU58,4,0)</f>
        <v>0</v>
      </c>
      <c r="F61" s="87">
        <f>VLOOKUP(C61,'WIP ENTRY'!AR37:AV58,5,0)</f>
        <v>0</v>
      </c>
    </row>
    <row r="62" spans="2:6">
      <c r="B62" s="18">
        <v>60</v>
      </c>
      <c r="C62" s="18" t="s">
        <v>109</v>
      </c>
      <c r="D62" s="18" t="str">
        <f>+VLOOKUP(C62,'WIP ENTRY'!AR38:AS59,2,0)</f>
        <v>KGS</v>
      </c>
      <c r="E62" s="17">
        <f>+VLOOKUP(C62,'WIP ENTRY'!AR38:AU59,4,0)</f>
        <v>0</v>
      </c>
      <c r="F62" s="87">
        <f>VLOOKUP(C62,'WIP ENTRY'!AR38:AV59,5,0)</f>
        <v>0</v>
      </c>
    </row>
    <row r="63" spans="2:6">
      <c r="B63" s="18">
        <v>61</v>
      </c>
      <c r="C63" s="18" t="s">
        <v>116</v>
      </c>
      <c r="D63" s="18" t="str">
        <f>+VLOOKUP(C63,'WIP ENTRY'!AR39:AS60,2,0)</f>
        <v>KGS</v>
      </c>
      <c r="E63" s="17">
        <f>+VLOOKUP(C63,'WIP ENTRY'!AR39:AU60,4,0)</f>
        <v>0</v>
      </c>
      <c r="F63" s="87">
        <f>VLOOKUP(C63,'WIP ENTRY'!AR39:AV60,5,0)</f>
        <v>0</v>
      </c>
    </row>
    <row r="64" spans="2:6">
      <c r="B64" s="18">
        <v>62</v>
      </c>
      <c r="C64" s="18" t="s">
        <v>111</v>
      </c>
      <c r="D64" s="18" t="str">
        <f>+VLOOKUP(C64,'WIP ENTRY'!AR40:AS61,2,0)</f>
        <v>KGS</v>
      </c>
      <c r="E64" s="17">
        <f>+VLOOKUP(C64,'WIP ENTRY'!AR40:AU61,4,0)</f>
        <v>0</v>
      </c>
      <c r="F64" s="87">
        <f>VLOOKUP(C64,'WIP ENTRY'!AR40:AV61,5,0)</f>
        <v>0</v>
      </c>
    </row>
    <row r="65" spans="2:6">
      <c r="B65" s="18">
        <v>63</v>
      </c>
      <c r="C65" s="18" t="s">
        <v>102</v>
      </c>
      <c r="D65" s="18" t="str">
        <f>+VLOOKUP(C65,'WIP ENTRY'!AR41:AS62,2,0)</f>
        <v>KGS</v>
      </c>
      <c r="E65" s="17">
        <f>+VLOOKUP(C65,'WIP ENTRY'!AR41:AU62,4,0)</f>
        <v>0</v>
      </c>
      <c r="F65" s="87">
        <f>VLOOKUP(C65,'WIP ENTRY'!AR41:AV62,5,0)</f>
        <v>0</v>
      </c>
    </row>
    <row r="66" spans="2:6">
      <c r="B66" s="18">
        <v>64</v>
      </c>
      <c r="C66" s="18" t="s">
        <v>110</v>
      </c>
      <c r="D66" s="18" t="str">
        <f>+VLOOKUP(C66,'WIP ENTRY'!AR42:AS63,2,0)</f>
        <v>KGS</v>
      </c>
      <c r="E66" s="17">
        <f>+VLOOKUP(C66,'WIP ENTRY'!AR42:AU63,4,0)</f>
        <v>0</v>
      </c>
      <c r="F66" s="87">
        <f>VLOOKUP(C66,'WIP ENTRY'!AR42:AV63,5,0)</f>
        <v>0</v>
      </c>
    </row>
    <row r="67" spans="2:6">
      <c r="B67" s="18">
        <v>65</v>
      </c>
      <c r="C67" s="18" t="s">
        <v>103</v>
      </c>
      <c r="D67" s="18" t="str">
        <f>+VLOOKUP(C67,'WIP ENTRY'!AR43:AS64,2,0)</f>
        <v>KGS</v>
      </c>
      <c r="E67" s="17">
        <f>+VLOOKUP(C67,'WIP ENTRY'!AR43:AU64,4,0)</f>
        <v>0</v>
      </c>
      <c r="F67" s="87">
        <f>VLOOKUP(C67,'WIP ENTRY'!AR43:AV64,5,0)</f>
        <v>0</v>
      </c>
    </row>
    <row r="68" spans="2:6">
      <c r="B68" s="18">
        <v>66</v>
      </c>
      <c r="C68" s="18" t="s">
        <v>118</v>
      </c>
      <c r="D68" s="18" t="str">
        <f>+VLOOKUP(C68,'WIP ENTRY'!AR44:AS65,2,0)</f>
        <v>KGS</v>
      </c>
      <c r="E68" s="17">
        <f>+VLOOKUP(C68,'WIP ENTRY'!AR44:AU65,4,0)</f>
        <v>0</v>
      </c>
      <c r="F68" s="87">
        <f>VLOOKUP(C68,'WIP ENTRY'!AR44:AV65,5,0)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H13" sqref="H13"/>
    </sheetView>
  </sheetViews>
  <sheetFormatPr defaultColWidth="9" defaultRowHeight="15"/>
  <cols>
    <col min="1" max="1" width="11.140625" style="161" bestFit="1" customWidth="1"/>
    <col min="2" max="3" width="9.85546875" style="161" bestFit="1" customWidth="1"/>
    <col min="4" max="4" width="40" style="161" bestFit="1" customWidth="1"/>
    <col min="5" max="5" width="12.5703125" style="161" customWidth="1"/>
    <col min="6" max="6" width="23.28515625" style="161" bestFit="1" customWidth="1"/>
    <col min="7" max="7" width="20.42578125" style="161" bestFit="1" customWidth="1"/>
    <col min="8" max="16384" width="9" style="161"/>
  </cols>
  <sheetData>
    <row r="1" spans="1:7" ht="31.5" customHeight="1">
      <c r="A1" s="163"/>
      <c r="B1" s="163"/>
      <c r="C1" s="163"/>
      <c r="D1" s="163"/>
      <c r="E1" s="164" t="s">
        <v>156</v>
      </c>
      <c r="F1" s="164" t="s">
        <v>157</v>
      </c>
      <c r="G1" s="163"/>
    </row>
    <row r="2" spans="1:7" ht="31.5" customHeight="1">
      <c r="A2" s="165" t="s">
        <v>144</v>
      </c>
      <c r="B2" s="165">
        <v>71.5</v>
      </c>
      <c r="C2" s="165">
        <v>29.5</v>
      </c>
      <c r="D2" s="166" t="s">
        <v>145</v>
      </c>
      <c r="E2" s="167">
        <f>700*(B2)*(C2)*0.0254*0.0254/1000</f>
        <v>0.95256261099999984</v>
      </c>
      <c r="F2" s="164"/>
      <c r="G2" s="163">
        <f>F2*E2</f>
        <v>0</v>
      </c>
    </row>
    <row r="3" spans="1:7" ht="18">
      <c r="A3" s="165" t="s">
        <v>70</v>
      </c>
      <c r="B3" s="165">
        <v>71.5</v>
      </c>
      <c r="C3" s="165">
        <v>35.5</v>
      </c>
      <c r="D3" s="166" t="s">
        <v>104</v>
      </c>
      <c r="E3" s="167">
        <f>700*(B3)*(C3)*0.0254*0.0254/1000</f>
        <v>1.146304159</v>
      </c>
      <c r="F3" s="163"/>
      <c r="G3" s="163">
        <f>F3*E3</f>
        <v>0</v>
      </c>
    </row>
    <row r="4" spans="1:7" ht="18">
      <c r="A4" s="165" t="s">
        <v>146</v>
      </c>
      <c r="B4" s="165">
        <v>71.5</v>
      </c>
      <c r="C4" s="165">
        <v>41.5</v>
      </c>
      <c r="D4" s="166" t="s">
        <v>147</v>
      </c>
      <c r="E4" s="167">
        <f>700*(B4)*(C4)*0.0254*0.0254/1000</f>
        <v>1.3400457069999998</v>
      </c>
      <c r="F4" s="163"/>
      <c r="G4" s="163">
        <f>F4*E4</f>
        <v>0</v>
      </c>
    </row>
    <row r="5" spans="1:7" ht="18">
      <c r="A5" s="165" t="s">
        <v>71</v>
      </c>
      <c r="B5" s="165">
        <v>71.5</v>
      </c>
      <c r="C5" s="165">
        <v>47.5</v>
      </c>
      <c r="D5" s="166" t="s">
        <v>105</v>
      </c>
      <c r="E5" s="167">
        <f t="shared" ref="E5:E23" si="0">700*(B5)*(C5)*0.0254*0.0254/1000</f>
        <v>1.533787255</v>
      </c>
      <c r="F5" s="163"/>
      <c r="G5" s="163">
        <f t="shared" ref="G5:G23" si="1">F5*E5</f>
        <v>0</v>
      </c>
    </row>
    <row r="6" spans="1:7" ht="18">
      <c r="A6" s="165" t="s">
        <v>72</v>
      </c>
      <c r="B6" s="165">
        <v>71.5</v>
      </c>
      <c r="C6" s="165">
        <v>59.5</v>
      </c>
      <c r="D6" s="166" t="s">
        <v>106</v>
      </c>
      <c r="E6" s="167">
        <f t="shared" si="0"/>
        <v>1.921270351</v>
      </c>
      <c r="F6" s="163"/>
      <c r="G6" s="163">
        <f t="shared" si="1"/>
        <v>0</v>
      </c>
    </row>
    <row r="7" spans="1:7" ht="18">
      <c r="A7" s="165" t="s">
        <v>148</v>
      </c>
      <c r="B7" s="165">
        <v>71.5</v>
      </c>
      <c r="C7" s="165">
        <v>65.5</v>
      </c>
      <c r="D7" s="166" t="s">
        <v>149</v>
      </c>
      <c r="E7" s="167">
        <f t="shared" si="0"/>
        <v>2.1150118989999998</v>
      </c>
      <c r="F7" s="163"/>
      <c r="G7" s="163">
        <f t="shared" si="1"/>
        <v>0</v>
      </c>
    </row>
    <row r="8" spans="1:7" ht="18">
      <c r="A8" s="165" t="s">
        <v>115</v>
      </c>
      <c r="B8" s="165">
        <v>71.5</v>
      </c>
      <c r="C8" s="165">
        <v>71.5</v>
      </c>
      <c r="D8" s="166" t="s">
        <v>114</v>
      </c>
      <c r="E8" s="167">
        <f t="shared" si="0"/>
        <v>2.3087534469999995</v>
      </c>
      <c r="F8" s="163"/>
      <c r="G8" s="163">
        <f t="shared" si="1"/>
        <v>0</v>
      </c>
    </row>
    <row r="9" spans="1:7" ht="18">
      <c r="A9" s="165" t="s">
        <v>112</v>
      </c>
      <c r="B9" s="165">
        <v>74.5</v>
      </c>
      <c r="C9" s="165">
        <v>29.5</v>
      </c>
      <c r="D9" s="166" t="s">
        <v>107</v>
      </c>
      <c r="E9" s="167">
        <f t="shared" si="0"/>
        <v>0.99253027299999985</v>
      </c>
      <c r="F9" s="163"/>
      <c r="G9" s="163">
        <f t="shared" si="1"/>
        <v>0</v>
      </c>
    </row>
    <row r="10" spans="1:7" ht="18">
      <c r="A10" s="165" t="s">
        <v>73</v>
      </c>
      <c r="B10" s="165">
        <v>74.5</v>
      </c>
      <c r="C10" s="165">
        <v>35.5</v>
      </c>
      <c r="D10" s="166" t="s">
        <v>108</v>
      </c>
      <c r="E10" s="167">
        <f t="shared" si="0"/>
        <v>1.1944008369999999</v>
      </c>
      <c r="F10" s="163"/>
      <c r="G10" s="163">
        <f t="shared" si="1"/>
        <v>0</v>
      </c>
    </row>
    <row r="11" spans="1:7" ht="18">
      <c r="A11" s="165" t="s">
        <v>150</v>
      </c>
      <c r="B11" s="165">
        <v>74.5</v>
      </c>
      <c r="C11" s="165">
        <v>41.5</v>
      </c>
      <c r="D11" s="166" t="s">
        <v>151</v>
      </c>
      <c r="E11" s="167">
        <f t="shared" si="0"/>
        <v>1.3962714009999997</v>
      </c>
      <c r="F11" s="163"/>
      <c r="G11" s="163">
        <f t="shared" si="1"/>
        <v>0</v>
      </c>
    </row>
    <row r="12" spans="1:7" ht="18">
      <c r="A12" s="166" t="s">
        <v>68</v>
      </c>
      <c r="B12" s="166" t="s">
        <v>158</v>
      </c>
      <c r="C12" s="165">
        <v>47.5</v>
      </c>
      <c r="D12" s="166" t="s">
        <v>99</v>
      </c>
      <c r="E12" s="167">
        <f t="shared" si="0"/>
        <v>1.5981419649999997</v>
      </c>
      <c r="F12" s="163"/>
      <c r="G12" s="163">
        <f t="shared" si="1"/>
        <v>0</v>
      </c>
    </row>
    <row r="13" spans="1:7" ht="18">
      <c r="A13" s="166" t="s">
        <v>66</v>
      </c>
      <c r="B13" s="166" t="s">
        <v>158</v>
      </c>
      <c r="C13" s="165">
        <v>59.5</v>
      </c>
      <c r="D13" s="166" t="s">
        <v>100</v>
      </c>
      <c r="E13" s="167">
        <f t="shared" si="0"/>
        <v>2.001883093</v>
      </c>
      <c r="F13" s="163"/>
      <c r="G13" s="163">
        <f t="shared" si="1"/>
        <v>0</v>
      </c>
    </row>
    <row r="14" spans="1:7" ht="18">
      <c r="A14" s="166" t="s">
        <v>152</v>
      </c>
      <c r="B14" s="166" t="s">
        <v>159</v>
      </c>
      <c r="C14" s="165">
        <v>65.5</v>
      </c>
      <c r="D14" s="166" t="s">
        <v>160</v>
      </c>
      <c r="E14" s="167">
        <f t="shared" si="0"/>
        <v>2.2037536569999996</v>
      </c>
      <c r="F14" s="163"/>
      <c r="G14" s="163">
        <f t="shared" si="1"/>
        <v>0</v>
      </c>
    </row>
    <row r="15" spans="1:7" ht="18">
      <c r="A15" s="166" t="s">
        <v>67</v>
      </c>
      <c r="B15" s="166" t="s">
        <v>159</v>
      </c>
      <c r="C15" s="166" t="s">
        <v>161</v>
      </c>
      <c r="D15" s="166" t="s">
        <v>101</v>
      </c>
      <c r="E15" s="167">
        <f t="shared" si="0"/>
        <v>2.4056242209999996</v>
      </c>
      <c r="F15" s="163"/>
      <c r="G15" s="163">
        <f t="shared" si="1"/>
        <v>0</v>
      </c>
    </row>
    <row r="16" spans="1:7" ht="18">
      <c r="A16" s="166" t="s">
        <v>154</v>
      </c>
      <c r="B16" s="166" t="s">
        <v>162</v>
      </c>
      <c r="C16" s="166" t="s">
        <v>163</v>
      </c>
      <c r="D16" s="166" t="s">
        <v>155</v>
      </c>
      <c r="E16" s="167">
        <f t="shared" si="0"/>
        <v>1.0324979350000001</v>
      </c>
      <c r="F16" s="163"/>
      <c r="G16" s="163">
        <f t="shared" si="1"/>
        <v>0</v>
      </c>
    </row>
    <row r="17" spans="1:7" ht="18">
      <c r="A17" s="165" t="s">
        <v>74</v>
      </c>
      <c r="B17" s="165">
        <v>77.5</v>
      </c>
      <c r="C17" s="165">
        <v>35.5</v>
      </c>
      <c r="D17" s="166" t="s">
        <v>109</v>
      </c>
      <c r="E17" s="167">
        <f t="shared" si="0"/>
        <v>1.2424975149999999</v>
      </c>
      <c r="F17" s="163"/>
      <c r="G17" s="163">
        <f t="shared" si="1"/>
        <v>0</v>
      </c>
    </row>
    <row r="18" spans="1:7" ht="18">
      <c r="A18" s="165" t="s">
        <v>117</v>
      </c>
      <c r="B18" s="165">
        <v>77.5</v>
      </c>
      <c r="C18" s="165">
        <v>41.5</v>
      </c>
      <c r="D18" s="166" t="s">
        <v>116</v>
      </c>
      <c r="E18" s="167">
        <f t="shared" si="0"/>
        <v>1.4524970949999998</v>
      </c>
      <c r="F18" s="163"/>
      <c r="G18" s="163">
        <f t="shared" si="1"/>
        <v>0</v>
      </c>
    </row>
    <row r="19" spans="1:7" ht="18">
      <c r="A19" s="165" t="s">
        <v>75</v>
      </c>
      <c r="B19" s="165">
        <v>77.5</v>
      </c>
      <c r="C19" s="165">
        <v>47.5</v>
      </c>
      <c r="D19" s="166" t="s">
        <v>111</v>
      </c>
      <c r="E19" s="167">
        <f t="shared" si="0"/>
        <v>1.6624966749999999</v>
      </c>
      <c r="F19" s="163"/>
      <c r="G19" s="163">
        <f t="shared" si="1"/>
        <v>0</v>
      </c>
    </row>
    <row r="20" spans="1:7" ht="18">
      <c r="A20" s="166" t="s">
        <v>64</v>
      </c>
      <c r="B20" s="166" t="s">
        <v>164</v>
      </c>
      <c r="C20" s="166" t="s">
        <v>165</v>
      </c>
      <c r="D20" s="166" t="s">
        <v>102</v>
      </c>
      <c r="E20" s="167">
        <f t="shared" si="0"/>
        <v>2.0824958349999996</v>
      </c>
      <c r="F20" s="163"/>
      <c r="G20" s="163">
        <f t="shared" si="1"/>
        <v>0</v>
      </c>
    </row>
    <row r="21" spans="1:7" ht="18">
      <c r="A21" s="165" t="s">
        <v>113</v>
      </c>
      <c r="B21" s="165">
        <v>77.5</v>
      </c>
      <c r="C21" s="165">
        <v>65.5</v>
      </c>
      <c r="D21" s="166" t="s">
        <v>110</v>
      </c>
      <c r="E21" s="167">
        <f t="shared" si="0"/>
        <v>2.2924954149999999</v>
      </c>
      <c r="F21" s="163"/>
      <c r="G21" s="163">
        <f t="shared" si="1"/>
        <v>0</v>
      </c>
    </row>
    <row r="22" spans="1:7" ht="18">
      <c r="A22" s="166" t="s">
        <v>65</v>
      </c>
      <c r="B22" s="166" t="s">
        <v>164</v>
      </c>
      <c r="C22" s="166" t="s">
        <v>166</v>
      </c>
      <c r="D22" s="166" t="s">
        <v>103</v>
      </c>
      <c r="E22" s="167">
        <f t="shared" si="0"/>
        <v>2.5024949950000002</v>
      </c>
      <c r="F22" s="163"/>
      <c r="G22" s="163">
        <f t="shared" si="1"/>
        <v>0</v>
      </c>
    </row>
    <row r="23" spans="1:7" ht="18">
      <c r="A23" s="166" t="s">
        <v>119</v>
      </c>
      <c r="B23" s="166" t="s">
        <v>167</v>
      </c>
      <c r="C23" s="166" t="s">
        <v>161</v>
      </c>
      <c r="D23" s="166" t="s">
        <v>118</v>
      </c>
      <c r="E23" s="167">
        <f t="shared" si="0"/>
        <v>2.6962365429999999</v>
      </c>
      <c r="F23" s="163"/>
      <c r="G23" s="163">
        <f t="shared" si="1"/>
        <v>0</v>
      </c>
    </row>
  </sheetData>
  <conditionalFormatting sqref="A2:C2">
    <cfRule type="duplicateValues" dxfId="4" priority="1"/>
  </conditionalFormatting>
  <conditionalFormatting sqref="A23:C23">
    <cfRule type="duplicateValues" dxfId="3" priority="5"/>
  </conditionalFormatting>
  <conditionalFormatting sqref="C12:C14">
    <cfRule type="duplicateValues" dxfId="2" priority="2"/>
  </conditionalFormatting>
  <conditionalFormatting sqref="A21:C21 A17:C19 A3:C11">
    <cfRule type="duplicateValues" dxfId="1" priority="3"/>
  </conditionalFormatting>
  <conditionalFormatting sqref="A15:C16 A20:C20 A22:C22 A12:B14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D244"/>
  <sheetViews>
    <sheetView workbookViewId="0">
      <selection activeCell="A144" sqref="A144:XFD169"/>
    </sheetView>
  </sheetViews>
  <sheetFormatPr defaultColWidth="23.85546875" defaultRowHeight="26.25"/>
  <cols>
    <col min="1" max="2" width="4.42578125" style="93" customWidth="1"/>
    <col min="3" max="3" width="32.42578125" style="93" customWidth="1"/>
    <col min="4" max="4" width="81.5703125" style="93" customWidth="1"/>
    <col min="5" max="16384" width="23.85546875" style="93"/>
  </cols>
  <sheetData>
    <row r="1" spans="3:4" ht="27" thickBot="1">
      <c r="C1" s="183">
        <v>1</v>
      </c>
      <c r="D1" s="186"/>
    </row>
    <row r="2" spans="3:4" ht="27" thickBot="1">
      <c r="C2" s="99" t="s">
        <v>33</v>
      </c>
      <c r="D2" s="100" t="str">
        <f>+CBEWIP!B2</f>
        <v>RML-STW-1.4MM</v>
      </c>
    </row>
    <row r="3" spans="3:4" ht="27" thickBot="1">
      <c r="C3" s="97" t="s">
        <v>85</v>
      </c>
      <c r="D3" s="98" t="str">
        <f>+CBEWIP!C2</f>
        <v>1.4 MM UPHOLSTRY STEEL WIRE</v>
      </c>
    </row>
    <row r="4" spans="3:4" ht="27" thickBot="1">
      <c r="C4" s="97" t="s">
        <v>1</v>
      </c>
      <c r="D4" s="98" t="str">
        <f>+CBEWIP!D2</f>
        <v>KGS</v>
      </c>
    </row>
    <row r="5" spans="3:4" ht="27" thickBot="1">
      <c r="C5" s="95" t="s">
        <v>86</v>
      </c>
      <c r="D5" s="96" t="s">
        <v>77</v>
      </c>
    </row>
    <row r="6" spans="3:4">
      <c r="C6" s="94">
        <v>1</v>
      </c>
      <c r="D6" s="102">
        <f>+'WIP ENTRY'!C6</f>
        <v>0</v>
      </c>
    </row>
    <row r="7" spans="3:4">
      <c r="C7" s="94">
        <v>2</v>
      </c>
      <c r="D7" s="102">
        <f>+'WIP ENTRY'!C7</f>
        <v>0</v>
      </c>
    </row>
    <row r="8" spans="3:4">
      <c r="C8" s="94">
        <v>3</v>
      </c>
      <c r="D8" s="102">
        <f>+'WIP ENTRY'!C8</f>
        <v>0</v>
      </c>
    </row>
    <row r="9" spans="3:4">
      <c r="C9" s="94">
        <v>4</v>
      </c>
      <c r="D9" s="102">
        <f>+'WIP ENTRY'!C9</f>
        <v>0</v>
      </c>
    </row>
    <row r="10" spans="3:4">
      <c r="C10" s="94">
        <v>5</v>
      </c>
      <c r="D10" s="102">
        <f>+'WIP ENTRY'!C10</f>
        <v>0</v>
      </c>
    </row>
    <row r="11" spans="3:4">
      <c r="C11" s="94">
        <v>6</v>
      </c>
      <c r="D11" s="102">
        <f>+'WIP ENTRY'!C11</f>
        <v>0</v>
      </c>
    </row>
    <row r="12" spans="3:4">
      <c r="C12" s="94">
        <v>7</v>
      </c>
      <c r="D12" s="102">
        <f>+'WIP ENTRY'!C12</f>
        <v>0</v>
      </c>
    </row>
    <row r="13" spans="3:4">
      <c r="C13" s="94">
        <v>8</v>
      </c>
      <c r="D13" s="102">
        <f>+'WIP ENTRY'!C13</f>
        <v>0</v>
      </c>
    </row>
    <row r="14" spans="3:4">
      <c r="C14" s="94">
        <v>9</v>
      </c>
      <c r="D14" s="102">
        <f>+'WIP ENTRY'!C14</f>
        <v>0</v>
      </c>
    </row>
    <row r="15" spans="3:4">
      <c r="C15" s="94">
        <v>10</v>
      </c>
      <c r="D15" s="102">
        <f>+'WIP ENTRY'!C15</f>
        <v>0</v>
      </c>
    </row>
    <row r="16" spans="3:4">
      <c r="C16" s="94">
        <v>11</v>
      </c>
      <c r="D16" s="102">
        <f>+'WIP ENTRY'!C16</f>
        <v>0</v>
      </c>
    </row>
    <row r="17" spans="3:4" ht="27" thickBot="1">
      <c r="C17" s="94">
        <v>12</v>
      </c>
      <c r="D17" s="102">
        <f>+'WIP ENTRY'!C17</f>
        <v>0</v>
      </c>
    </row>
    <row r="18" spans="3:4" hidden="1">
      <c r="C18" s="94">
        <v>13</v>
      </c>
      <c r="D18" s="102">
        <f>+'WIP ENTRY'!C18</f>
        <v>0</v>
      </c>
    </row>
    <row r="19" spans="3:4" hidden="1">
      <c r="C19" s="94">
        <v>14</v>
      </c>
      <c r="D19" s="102">
        <f>+'WIP ENTRY'!C19</f>
        <v>0</v>
      </c>
    </row>
    <row r="20" spans="3:4" hidden="1">
      <c r="C20" s="94">
        <v>15</v>
      </c>
      <c r="D20" s="102">
        <f>+'WIP ENTRY'!C20</f>
        <v>0</v>
      </c>
    </row>
    <row r="21" spans="3:4" hidden="1">
      <c r="C21" s="94">
        <v>16</v>
      </c>
      <c r="D21" s="102">
        <f>+'WIP ENTRY'!C21</f>
        <v>0</v>
      </c>
    </row>
    <row r="22" spans="3:4" hidden="1">
      <c r="C22" s="94">
        <v>17</v>
      </c>
      <c r="D22" s="102">
        <f>+'WIP ENTRY'!C22</f>
        <v>0</v>
      </c>
    </row>
    <row r="23" spans="3:4" hidden="1">
      <c r="C23" s="94">
        <v>18</v>
      </c>
      <c r="D23" s="102">
        <f>+'WIP ENTRY'!C23</f>
        <v>0</v>
      </c>
    </row>
    <row r="24" spans="3:4" hidden="1">
      <c r="C24" s="94">
        <v>19</v>
      </c>
      <c r="D24" s="102">
        <f>+'WIP ENTRY'!C24</f>
        <v>0</v>
      </c>
    </row>
    <row r="25" spans="3:4" hidden="1">
      <c r="C25" s="94">
        <v>20</v>
      </c>
      <c r="D25" s="102">
        <f>+'WIP ENTRY'!C25</f>
        <v>0</v>
      </c>
    </row>
    <row r="26" spans="3:4" hidden="1">
      <c r="C26" s="94">
        <v>21</v>
      </c>
      <c r="D26" s="102">
        <f>+'WIP ENTRY'!C26</f>
        <v>0</v>
      </c>
    </row>
    <row r="27" spans="3:4" hidden="1">
      <c r="C27" s="94">
        <v>22</v>
      </c>
      <c r="D27" s="102">
        <f>+'WIP ENTRY'!C27</f>
        <v>0</v>
      </c>
    </row>
    <row r="28" spans="3:4" hidden="1">
      <c r="C28" s="94">
        <v>23</v>
      </c>
      <c r="D28" s="102">
        <f>+'WIP ENTRY'!C28</f>
        <v>0</v>
      </c>
    </row>
    <row r="29" spans="3:4" hidden="1">
      <c r="C29" s="94">
        <v>24</v>
      </c>
      <c r="D29" s="102">
        <f>+'WIP ENTRY'!C29</f>
        <v>0</v>
      </c>
    </row>
    <row r="30" spans="3:4" hidden="1">
      <c r="C30" s="94">
        <v>25</v>
      </c>
      <c r="D30" s="102">
        <f>+'WIP ENTRY'!C30</f>
        <v>0</v>
      </c>
    </row>
    <row r="31" spans="3:4" hidden="1">
      <c r="C31" s="94">
        <v>26</v>
      </c>
      <c r="D31" s="102">
        <f>+'WIP ENTRY'!C31</f>
        <v>0</v>
      </c>
    </row>
    <row r="32" spans="3:4" hidden="1">
      <c r="C32" s="94">
        <v>27</v>
      </c>
      <c r="D32" s="102">
        <f>+'WIP ENTRY'!C32</f>
        <v>0</v>
      </c>
    </row>
    <row r="33" spans="3:4" hidden="1">
      <c r="C33" s="94">
        <v>28</v>
      </c>
      <c r="D33" s="102">
        <f>+'WIP ENTRY'!C33</f>
        <v>0</v>
      </c>
    </row>
    <row r="34" spans="3:4" hidden="1">
      <c r="C34" s="94">
        <v>29</v>
      </c>
      <c r="D34" s="102">
        <f>+'WIP ENTRY'!C34</f>
        <v>0</v>
      </c>
    </row>
    <row r="35" spans="3:4" ht="27" hidden="1" thickBot="1">
      <c r="C35" s="101">
        <v>30</v>
      </c>
      <c r="D35" s="102">
        <f>+'WIP ENTRY'!C35</f>
        <v>0</v>
      </c>
    </row>
    <row r="36" spans="3:4" ht="30.75" thickBot="1">
      <c r="C36" s="103" t="s">
        <v>28</v>
      </c>
      <c r="D36" s="104">
        <f>SUM(D6:D35)</f>
        <v>0</v>
      </c>
    </row>
    <row r="37" spans="3:4" ht="27" thickBot="1"/>
    <row r="38" spans="3:4" ht="27" thickBot="1">
      <c r="C38" s="183">
        <v>2</v>
      </c>
      <c r="D38" s="186"/>
    </row>
    <row r="39" spans="3:4" ht="27" thickBot="1">
      <c r="C39" s="99" t="s">
        <v>33</v>
      </c>
      <c r="D39" s="100" t="e">
        <f>+CBEWIP!#REF!</f>
        <v>#REF!</v>
      </c>
    </row>
    <row r="40" spans="3:4" ht="27" thickBot="1">
      <c r="C40" s="99" t="s">
        <v>85</v>
      </c>
      <c r="D40" s="100" t="e">
        <f>+CBEWIP!#REF!</f>
        <v>#REF!</v>
      </c>
    </row>
    <row r="41" spans="3:4" ht="27" thickBot="1">
      <c r="C41" s="97" t="s">
        <v>1</v>
      </c>
      <c r="D41" s="98" t="e">
        <f>+CBEWIP!#REF!</f>
        <v>#REF!</v>
      </c>
    </row>
    <row r="42" spans="3:4" ht="27" thickBot="1">
      <c r="C42" s="99" t="s">
        <v>46</v>
      </c>
      <c r="D42" s="100" t="s">
        <v>77</v>
      </c>
    </row>
    <row r="43" spans="3:4" ht="27" thickBot="1">
      <c r="C43" s="134">
        <v>1</v>
      </c>
      <c r="D43" s="137">
        <f>+'WIP ENTRY'!D6</f>
        <v>0</v>
      </c>
    </row>
    <row r="44" spans="3:4" ht="27" hidden="1" thickBot="1">
      <c r="C44" s="135">
        <v>2</v>
      </c>
      <c r="D44" s="137">
        <f>+'WIP ENTRY'!D7</f>
        <v>0</v>
      </c>
    </row>
    <row r="45" spans="3:4" ht="27" hidden="1" thickBot="1">
      <c r="C45" s="136">
        <v>3</v>
      </c>
      <c r="D45" s="137">
        <f>+'WIP ENTRY'!D8</f>
        <v>0</v>
      </c>
    </row>
    <row r="46" spans="3:4" ht="30.75" thickBot="1">
      <c r="C46" s="103" t="s">
        <v>28</v>
      </c>
      <c r="D46" s="104">
        <f>SUM(D43:D45)</f>
        <v>0</v>
      </c>
    </row>
    <row r="47" spans="3:4" ht="27" thickBot="1"/>
    <row r="48" spans="3:4" ht="27" thickBot="1">
      <c r="C48" s="183">
        <v>3</v>
      </c>
      <c r="D48" s="186"/>
    </row>
    <row r="49" spans="3:4" ht="27" thickBot="1">
      <c r="C49" s="99" t="s">
        <v>33</v>
      </c>
      <c r="D49" s="100" t="str">
        <f>+CBEWIP!B3</f>
        <v>RML-STW-1.7MM</v>
      </c>
    </row>
    <row r="50" spans="3:4" ht="27" thickBot="1">
      <c r="C50" s="97" t="s">
        <v>85</v>
      </c>
      <c r="D50" s="98" t="str">
        <f>+CBEWIP!C3</f>
        <v>STEEL WIRE 1.7 MMDIA.</v>
      </c>
    </row>
    <row r="51" spans="3:4" ht="27" thickBot="1">
      <c r="C51" s="97" t="s">
        <v>1</v>
      </c>
      <c r="D51" s="98" t="str">
        <f>+CBEWIP!D3</f>
        <v>KGS</v>
      </c>
    </row>
    <row r="52" spans="3:4" ht="27" thickBot="1">
      <c r="C52" s="95" t="s">
        <v>86</v>
      </c>
      <c r="D52" s="96" t="s">
        <v>77</v>
      </c>
    </row>
    <row r="53" spans="3:4">
      <c r="C53" s="94">
        <v>1</v>
      </c>
      <c r="D53" s="102">
        <f>+'WIP ENTRY'!E6</f>
        <v>0</v>
      </c>
    </row>
    <row r="54" spans="3:4">
      <c r="C54" s="94">
        <v>2</v>
      </c>
      <c r="D54" s="102">
        <f>+'WIP ENTRY'!E7</f>
        <v>0</v>
      </c>
    </row>
    <row r="55" spans="3:4">
      <c r="C55" s="94">
        <v>3</v>
      </c>
      <c r="D55" s="102">
        <f>+'WIP ENTRY'!E8</f>
        <v>0</v>
      </c>
    </row>
    <row r="56" spans="3:4">
      <c r="C56" s="94">
        <v>4</v>
      </c>
      <c r="D56" s="102">
        <f>+'WIP ENTRY'!E9</f>
        <v>0</v>
      </c>
    </row>
    <row r="57" spans="3:4">
      <c r="C57" s="94">
        <v>5</v>
      </c>
      <c r="D57" s="102">
        <f>+'WIP ENTRY'!E10</f>
        <v>0</v>
      </c>
    </row>
    <row r="58" spans="3:4" ht="27" thickBot="1">
      <c r="C58" s="94">
        <v>6</v>
      </c>
      <c r="D58" s="102">
        <f>+'WIP ENTRY'!E11</f>
        <v>0</v>
      </c>
    </row>
    <row r="59" spans="3:4" hidden="1">
      <c r="C59" s="94">
        <v>7</v>
      </c>
      <c r="D59" s="102">
        <f>+'WIP ENTRY'!E12</f>
        <v>0</v>
      </c>
    </row>
    <row r="60" spans="3:4" hidden="1">
      <c r="C60" s="94">
        <v>8</v>
      </c>
      <c r="D60" s="102">
        <f>+'WIP ENTRY'!E13</f>
        <v>0</v>
      </c>
    </row>
    <row r="61" spans="3:4" hidden="1">
      <c r="C61" s="94">
        <v>9</v>
      </c>
      <c r="D61" s="102">
        <f>+'WIP ENTRY'!E14</f>
        <v>0</v>
      </c>
    </row>
    <row r="62" spans="3:4" hidden="1">
      <c r="C62" s="94">
        <v>10</v>
      </c>
      <c r="D62" s="102">
        <f>+'WIP ENTRY'!E15</f>
        <v>0</v>
      </c>
    </row>
    <row r="63" spans="3:4" hidden="1">
      <c r="C63" s="94">
        <v>11</v>
      </c>
      <c r="D63" s="102">
        <f>+'WIP ENTRY'!E16</f>
        <v>0</v>
      </c>
    </row>
    <row r="64" spans="3:4" hidden="1">
      <c r="C64" s="94">
        <v>12</v>
      </c>
      <c r="D64" s="102">
        <f>+'WIP ENTRY'!E17</f>
        <v>0</v>
      </c>
    </row>
    <row r="65" spans="3:4" hidden="1">
      <c r="C65" s="94">
        <v>13</v>
      </c>
      <c r="D65" s="102">
        <f>+'WIP ENTRY'!E18</f>
        <v>0</v>
      </c>
    </row>
    <row r="66" spans="3:4" hidden="1">
      <c r="C66" s="94">
        <v>14</v>
      </c>
      <c r="D66" s="102">
        <f>+'WIP ENTRY'!E19</f>
        <v>0</v>
      </c>
    </row>
    <row r="67" spans="3:4" hidden="1">
      <c r="C67" s="94">
        <v>15</v>
      </c>
      <c r="D67" s="102">
        <f>+'WIP ENTRY'!E20</f>
        <v>0</v>
      </c>
    </row>
    <row r="68" spans="3:4" hidden="1">
      <c r="C68" s="94">
        <v>16</v>
      </c>
      <c r="D68" s="102">
        <f>+'WIP ENTRY'!E21</f>
        <v>0</v>
      </c>
    </row>
    <row r="69" spans="3:4" hidden="1">
      <c r="C69" s="94">
        <v>17</v>
      </c>
      <c r="D69" s="102">
        <f>+'WIP ENTRY'!E22</f>
        <v>0</v>
      </c>
    </row>
    <row r="70" spans="3:4" hidden="1">
      <c r="C70" s="94">
        <v>18</v>
      </c>
      <c r="D70" s="102">
        <f>+'WIP ENTRY'!E23</f>
        <v>0</v>
      </c>
    </row>
    <row r="71" spans="3:4" hidden="1">
      <c r="C71" s="94">
        <v>19</v>
      </c>
      <c r="D71" s="102">
        <f>+'WIP ENTRY'!E24</f>
        <v>0</v>
      </c>
    </row>
    <row r="72" spans="3:4" hidden="1">
      <c r="C72" s="94">
        <v>20</v>
      </c>
      <c r="D72" s="102">
        <f>+'WIP ENTRY'!E25</f>
        <v>0</v>
      </c>
    </row>
    <row r="73" spans="3:4" hidden="1">
      <c r="C73" s="94">
        <v>21</v>
      </c>
      <c r="D73" s="102">
        <f>+'WIP ENTRY'!E26</f>
        <v>0</v>
      </c>
    </row>
    <row r="74" spans="3:4" hidden="1">
      <c r="C74" s="94">
        <v>22</v>
      </c>
      <c r="D74" s="102">
        <f>+'WIP ENTRY'!E27</f>
        <v>0</v>
      </c>
    </row>
    <row r="75" spans="3:4" hidden="1">
      <c r="C75" s="94">
        <v>23</v>
      </c>
      <c r="D75" s="102">
        <f>+'WIP ENTRY'!E28</f>
        <v>0</v>
      </c>
    </row>
    <row r="76" spans="3:4" hidden="1">
      <c r="C76" s="94">
        <v>24</v>
      </c>
      <c r="D76" s="102">
        <f>+'WIP ENTRY'!E29</f>
        <v>0</v>
      </c>
    </row>
    <row r="77" spans="3:4" hidden="1">
      <c r="C77" s="94">
        <v>25</v>
      </c>
      <c r="D77" s="102">
        <f>+'WIP ENTRY'!E30</f>
        <v>0</v>
      </c>
    </row>
    <row r="78" spans="3:4" hidden="1">
      <c r="C78" s="94">
        <v>26</v>
      </c>
      <c r="D78" s="102">
        <f>+'WIP ENTRY'!E31</f>
        <v>0</v>
      </c>
    </row>
    <row r="79" spans="3:4" hidden="1">
      <c r="C79" s="94">
        <v>27</v>
      </c>
      <c r="D79" s="102">
        <f>+'WIP ENTRY'!E32</f>
        <v>0</v>
      </c>
    </row>
    <row r="80" spans="3:4" hidden="1">
      <c r="C80" s="94">
        <v>28</v>
      </c>
      <c r="D80" s="102">
        <f>+'WIP ENTRY'!E33</f>
        <v>0</v>
      </c>
    </row>
    <row r="81" spans="3:4" hidden="1">
      <c r="C81" s="94">
        <v>29</v>
      </c>
      <c r="D81" s="102">
        <f>+'WIP ENTRY'!E34</f>
        <v>0</v>
      </c>
    </row>
    <row r="82" spans="3:4" ht="27" hidden="1" thickBot="1">
      <c r="C82" s="101">
        <v>30</v>
      </c>
      <c r="D82" s="102">
        <f>+'WIP ENTRY'!E35</f>
        <v>0</v>
      </c>
    </row>
    <row r="83" spans="3:4" ht="30.75" thickBot="1">
      <c r="C83" s="103" t="s">
        <v>28</v>
      </c>
      <c r="D83" s="104">
        <f>SUM(D53:D82)</f>
        <v>0</v>
      </c>
    </row>
    <row r="84" spans="3:4" ht="27" thickBot="1"/>
    <row r="85" spans="3:4" ht="27" thickBot="1">
      <c r="C85" s="183">
        <v>4</v>
      </c>
      <c r="D85" s="186"/>
    </row>
    <row r="86" spans="3:4" ht="27" thickBot="1">
      <c r="C86" s="99" t="s">
        <v>33</v>
      </c>
      <c r="D86" s="100" t="e">
        <f>+CBEWIP!#REF!</f>
        <v>#REF!</v>
      </c>
    </row>
    <row r="87" spans="3:4" ht="27" thickBot="1">
      <c r="C87" s="97" t="s">
        <v>85</v>
      </c>
      <c r="D87" s="98" t="e">
        <f>+CBEWIP!#REF!</f>
        <v>#REF!</v>
      </c>
    </row>
    <row r="88" spans="3:4" ht="27" thickBot="1">
      <c r="C88" s="97" t="s">
        <v>1</v>
      </c>
      <c r="D88" s="98" t="e">
        <f>+CBEWIP!#REF!</f>
        <v>#REF!</v>
      </c>
    </row>
    <row r="89" spans="3:4" ht="27" thickBot="1">
      <c r="C89" s="95" t="s">
        <v>86</v>
      </c>
      <c r="D89" s="96" t="s">
        <v>77</v>
      </c>
    </row>
    <row r="90" spans="3:4">
      <c r="C90" s="94">
        <v>1</v>
      </c>
      <c r="D90" s="102">
        <f>+'WIP ENTRY'!F6</f>
        <v>0</v>
      </c>
    </row>
    <row r="91" spans="3:4" ht="27" thickBot="1">
      <c r="C91" s="94">
        <v>2</v>
      </c>
      <c r="D91" s="102">
        <f>+'WIP ENTRY'!F7</f>
        <v>0</v>
      </c>
    </row>
    <row r="92" spans="3:4" hidden="1">
      <c r="C92" s="94">
        <v>3</v>
      </c>
      <c r="D92" s="102">
        <f>+'WIP ENTRY'!F8</f>
        <v>0</v>
      </c>
    </row>
    <row r="93" spans="3:4" hidden="1">
      <c r="C93" s="94">
        <v>4</v>
      </c>
      <c r="D93" s="102">
        <f>+'WIP ENTRY'!F9</f>
        <v>0</v>
      </c>
    </row>
    <row r="94" spans="3:4" hidden="1">
      <c r="C94" s="94">
        <v>5</v>
      </c>
      <c r="D94" s="102">
        <f>+'WIP ENTRY'!F10</f>
        <v>0</v>
      </c>
    </row>
    <row r="95" spans="3:4" hidden="1">
      <c r="C95" s="94">
        <v>6</v>
      </c>
      <c r="D95" s="102">
        <f>+'WIP ENTRY'!F11</f>
        <v>0</v>
      </c>
    </row>
    <row r="96" spans="3:4" hidden="1">
      <c r="C96" s="94">
        <v>7</v>
      </c>
      <c r="D96" s="102">
        <f>+'WIP ENTRY'!F12</f>
        <v>0</v>
      </c>
    </row>
    <row r="97" spans="3:4" hidden="1">
      <c r="C97" s="94">
        <v>8</v>
      </c>
      <c r="D97" s="102">
        <f>+'WIP ENTRY'!F13</f>
        <v>0</v>
      </c>
    </row>
    <row r="98" spans="3:4" hidden="1">
      <c r="C98" s="94">
        <v>9</v>
      </c>
      <c r="D98" s="102">
        <f>+'WIP ENTRY'!F14</f>
        <v>0</v>
      </c>
    </row>
    <row r="99" spans="3:4" hidden="1">
      <c r="C99" s="94">
        <v>10</v>
      </c>
      <c r="D99" s="102">
        <f>+'WIP ENTRY'!F15</f>
        <v>0</v>
      </c>
    </row>
    <row r="100" spans="3:4" hidden="1">
      <c r="C100" s="94">
        <v>11</v>
      </c>
      <c r="D100" s="102">
        <f>+'WIP ENTRY'!F16</f>
        <v>0</v>
      </c>
    </row>
    <row r="101" spans="3:4" hidden="1">
      <c r="C101" s="94">
        <v>12</v>
      </c>
      <c r="D101" s="102">
        <f>+'WIP ENTRY'!F17</f>
        <v>0</v>
      </c>
    </row>
    <row r="102" spans="3:4" hidden="1">
      <c r="C102" s="94">
        <v>13</v>
      </c>
      <c r="D102" s="102">
        <f>+'WIP ENTRY'!F18</f>
        <v>0</v>
      </c>
    </row>
    <row r="103" spans="3:4" hidden="1">
      <c r="C103" s="94">
        <v>14</v>
      </c>
      <c r="D103" s="102">
        <f>+'WIP ENTRY'!F19</f>
        <v>0</v>
      </c>
    </row>
    <row r="104" spans="3:4" hidden="1">
      <c r="C104" s="94">
        <v>15</v>
      </c>
      <c r="D104" s="102">
        <f>+'WIP ENTRY'!F20</f>
        <v>0</v>
      </c>
    </row>
    <row r="105" spans="3:4" hidden="1">
      <c r="C105" s="94">
        <v>16</v>
      </c>
      <c r="D105" s="102">
        <f>+'WIP ENTRY'!F21</f>
        <v>0</v>
      </c>
    </row>
    <row r="106" spans="3:4" hidden="1">
      <c r="C106" s="94">
        <v>17</v>
      </c>
      <c r="D106" s="102">
        <f>+'WIP ENTRY'!F22</f>
        <v>0</v>
      </c>
    </row>
    <row r="107" spans="3:4" hidden="1">
      <c r="C107" s="94">
        <v>18</v>
      </c>
      <c r="D107" s="102">
        <f>+'WIP ENTRY'!F23</f>
        <v>0</v>
      </c>
    </row>
    <row r="108" spans="3:4" hidden="1">
      <c r="C108" s="94">
        <v>19</v>
      </c>
      <c r="D108" s="102">
        <f>+'WIP ENTRY'!F24</f>
        <v>0</v>
      </c>
    </row>
    <row r="109" spans="3:4" hidden="1">
      <c r="C109" s="94">
        <v>20</v>
      </c>
      <c r="D109" s="102">
        <f>+'WIP ENTRY'!F25</f>
        <v>0</v>
      </c>
    </row>
    <row r="110" spans="3:4" hidden="1">
      <c r="C110" s="94">
        <v>21</v>
      </c>
      <c r="D110" s="102">
        <f>+'WIP ENTRY'!F26</f>
        <v>0</v>
      </c>
    </row>
    <row r="111" spans="3:4" hidden="1">
      <c r="C111" s="94">
        <v>22</v>
      </c>
      <c r="D111" s="102">
        <f>+'WIP ENTRY'!F27</f>
        <v>0</v>
      </c>
    </row>
    <row r="112" spans="3:4" hidden="1">
      <c r="C112" s="94">
        <v>23</v>
      </c>
      <c r="D112" s="102">
        <f>+'WIP ENTRY'!F28</f>
        <v>0</v>
      </c>
    </row>
    <row r="113" spans="3:4" hidden="1">
      <c r="C113" s="94">
        <v>24</v>
      </c>
      <c r="D113" s="102">
        <f>+'WIP ENTRY'!F29</f>
        <v>0</v>
      </c>
    </row>
    <row r="114" spans="3:4" hidden="1">
      <c r="C114" s="94">
        <v>25</v>
      </c>
      <c r="D114" s="102">
        <f>+'WIP ENTRY'!F30</f>
        <v>0</v>
      </c>
    </row>
    <row r="115" spans="3:4" hidden="1">
      <c r="C115" s="94">
        <v>26</v>
      </c>
      <c r="D115" s="102">
        <f>+'WIP ENTRY'!F31</f>
        <v>0</v>
      </c>
    </row>
    <row r="116" spans="3:4" hidden="1">
      <c r="C116" s="94">
        <v>27</v>
      </c>
      <c r="D116" s="102">
        <f>+'WIP ENTRY'!F32</f>
        <v>0</v>
      </c>
    </row>
    <row r="117" spans="3:4" hidden="1">
      <c r="C117" s="94">
        <v>28</v>
      </c>
      <c r="D117" s="102">
        <f>+'WIP ENTRY'!F33</f>
        <v>0</v>
      </c>
    </row>
    <row r="118" spans="3:4" hidden="1">
      <c r="C118" s="94">
        <v>29</v>
      </c>
      <c r="D118" s="102">
        <f>+'WIP ENTRY'!F34</f>
        <v>0</v>
      </c>
    </row>
    <row r="119" spans="3:4" ht="27" hidden="1" thickBot="1">
      <c r="C119" s="101">
        <v>30</v>
      </c>
      <c r="D119" s="102">
        <f>+'WIP ENTRY'!F35</f>
        <v>0</v>
      </c>
    </row>
    <row r="120" spans="3:4" ht="30.75" thickBot="1">
      <c r="C120" s="103" t="s">
        <v>28</v>
      </c>
      <c r="D120" s="104">
        <f>SUM(D90:D119)</f>
        <v>0</v>
      </c>
    </row>
    <row r="121" spans="3:4" ht="27" thickBot="1"/>
    <row r="122" spans="3:4" ht="27" thickBot="1">
      <c r="C122" s="183">
        <v>5</v>
      </c>
      <c r="D122" s="186"/>
    </row>
    <row r="123" spans="3:4" ht="27" thickBot="1">
      <c r="C123" s="99" t="s">
        <v>33</v>
      </c>
      <c r="D123" s="100" t="str">
        <f>+CBEWIP!B4</f>
        <v>RML-STW-1.8MM</v>
      </c>
    </row>
    <row r="124" spans="3:4" ht="27" thickBot="1">
      <c r="C124" s="97" t="s">
        <v>85</v>
      </c>
      <c r="D124" s="98" t="str">
        <f>+CBEWIP!C4</f>
        <v>STEEL WIRE 1.8 MMDIA.</v>
      </c>
    </row>
    <row r="125" spans="3:4" ht="27" thickBot="1">
      <c r="C125" s="97" t="s">
        <v>1</v>
      </c>
      <c r="D125" s="98" t="str">
        <f>+CBEWIP!D4</f>
        <v>KGS</v>
      </c>
    </row>
    <row r="126" spans="3:4" ht="27" thickBot="1">
      <c r="C126" s="95" t="s">
        <v>86</v>
      </c>
      <c r="D126" s="96" t="s">
        <v>77</v>
      </c>
    </row>
    <row r="127" spans="3:4" ht="27" thickBot="1">
      <c r="C127" s="94">
        <v>1</v>
      </c>
      <c r="D127" s="102">
        <f>+'WIP ENTRY'!G6</f>
        <v>0</v>
      </c>
    </row>
    <row r="128" spans="3:4" hidden="1">
      <c r="C128" s="94">
        <v>2</v>
      </c>
      <c r="D128" s="102">
        <f>+'WIP ENTRY'!G7</f>
        <v>0</v>
      </c>
    </row>
    <row r="129" spans="3:4" hidden="1">
      <c r="C129" s="94">
        <v>3</v>
      </c>
      <c r="D129" s="102">
        <f>+'WIP ENTRY'!G8</f>
        <v>0</v>
      </c>
    </row>
    <row r="130" spans="3:4" ht="27" hidden="1" thickBot="1">
      <c r="C130" s="94">
        <v>4</v>
      </c>
      <c r="D130" s="102">
        <f>+'WIP ENTRY'!G9</f>
        <v>0</v>
      </c>
    </row>
    <row r="131" spans="3:4" ht="30.75" thickBot="1">
      <c r="C131" s="103" t="s">
        <v>28</v>
      </c>
      <c r="D131" s="104">
        <f>SUM(D127:D130)</f>
        <v>0</v>
      </c>
    </row>
    <row r="134" spans="3:4" ht="27" thickBot="1"/>
    <row r="135" spans="3:4" ht="27" thickBot="1">
      <c r="C135" s="183">
        <v>6</v>
      </c>
      <c r="D135" s="186"/>
    </row>
    <row r="136" spans="3:4" ht="27" thickBot="1">
      <c r="C136" s="99" t="s">
        <v>33</v>
      </c>
      <c r="D136" s="100" t="str">
        <f>+CBEWIP!B5</f>
        <v>RML-STW-1.9MM</v>
      </c>
    </row>
    <row r="137" spans="3:4" ht="27" thickBot="1">
      <c r="C137" s="97" t="s">
        <v>85</v>
      </c>
      <c r="D137" s="98" t="e">
        <f>+CBEWIP!C5</f>
        <v>#N/A</v>
      </c>
    </row>
    <row r="138" spans="3:4" ht="27" thickBot="1">
      <c r="C138" s="97" t="s">
        <v>1</v>
      </c>
      <c r="D138" s="98" t="str">
        <f>+CBEWIP!D5</f>
        <v>KGS</v>
      </c>
    </row>
    <row r="139" spans="3:4" ht="27" thickBot="1">
      <c r="C139" s="95" t="s">
        <v>86</v>
      </c>
      <c r="D139" s="96" t="s">
        <v>77</v>
      </c>
    </row>
    <row r="140" spans="3:4">
      <c r="C140" s="94">
        <v>1</v>
      </c>
      <c r="D140" s="102">
        <f>+'WIP ENTRY'!H6</f>
        <v>0</v>
      </c>
    </row>
    <row r="141" spans="3:4">
      <c r="C141" s="94">
        <v>2</v>
      </c>
      <c r="D141" s="102">
        <f>+'WIP ENTRY'!H7</f>
        <v>0</v>
      </c>
    </row>
    <row r="142" spans="3:4">
      <c r="C142" s="94">
        <v>3</v>
      </c>
      <c r="D142" s="102">
        <f>+'WIP ENTRY'!H8</f>
        <v>0</v>
      </c>
    </row>
    <row r="143" spans="3:4" ht="27" thickBot="1">
      <c r="C143" s="94">
        <v>4</v>
      </c>
      <c r="D143" s="102">
        <f>+'WIP ENTRY'!H9</f>
        <v>0</v>
      </c>
    </row>
    <row r="144" spans="3:4" hidden="1">
      <c r="C144" s="94">
        <v>5</v>
      </c>
      <c r="D144" s="102">
        <f>+'WIP ENTRY'!H10</f>
        <v>0</v>
      </c>
    </row>
    <row r="145" spans="3:4" hidden="1">
      <c r="C145" s="94">
        <v>6</v>
      </c>
      <c r="D145" s="102">
        <f>+'WIP ENTRY'!H11</f>
        <v>0</v>
      </c>
    </row>
    <row r="146" spans="3:4" hidden="1">
      <c r="C146" s="94">
        <v>7</v>
      </c>
      <c r="D146" s="102">
        <f>+'WIP ENTRY'!H12</f>
        <v>0</v>
      </c>
    </row>
    <row r="147" spans="3:4" hidden="1">
      <c r="C147" s="94">
        <v>8</v>
      </c>
      <c r="D147" s="102">
        <f>+'WIP ENTRY'!H13</f>
        <v>0</v>
      </c>
    </row>
    <row r="148" spans="3:4" hidden="1">
      <c r="C148" s="94">
        <v>9</v>
      </c>
      <c r="D148" s="102">
        <f>+'WIP ENTRY'!H14</f>
        <v>0</v>
      </c>
    </row>
    <row r="149" spans="3:4" hidden="1">
      <c r="C149" s="94">
        <v>10</v>
      </c>
      <c r="D149" s="102">
        <f>+'WIP ENTRY'!H15</f>
        <v>0</v>
      </c>
    </row>
    <row r="150" spans="3:4" hidden="1">
      <c r="C150" s="94">
        <v>11</v>
      </c>
      <c r="D150" s="102">
        <f>+'WIP ENTRY'!H16</f>
        <v>0</v>
      </c>
    </row>
    <row r="151" spans="3:4" hidden="1">
      <c r="C151" s="94">
        <v>12</v>
      </c>
      <c r="D151" s="102">
        <f>+'WIP ENTRY'!H17</f>
        <v>0</v>
      </c>
    </row>
    <row r="152" spans="3:4" hidden="1">
      <c r="C152" s="94">
        <v>13</v>
      </c>
      <c r="D152" s="102">
        <f>+'WIP ENTRY'!H18</f>
        <v>0</v>
      </c>
    </row>
    <row r="153" spans="3:4" hidden="1">
      <c r="C153" s="94">
        <v>14</v>
      </c>
      <c r="D153" s="102">
        <f>+'WIP ENTRY'!H19</f>
        <v>0</v>
      </c>
    </row>
    <row r="154" spans="3:4" hidden="1">
      <c r="C154" s="94">
        <v>15</v>
      </c>
      <c r="D154" s="102">
        <f>+'WIP ENTRY'!H20</f>
        <v>0</v>
      </c>
    </row>
    <row r="155" spans="3:4" hidden="1">
      <c r="C155" s="94">
        <v>16</v>
      </c>
      <c r="D155" s="102">
        <f>+'WIP ENTRY'!H21</f>
        <v>0</v>
      </c>
    </row>
    <row r="156" spans="3:4" hidden="1">
      <c r="C156" s="94">
        <v>17</v>
      </c>
      <c r="D156" s="102">
        <f>+'WIP ENTRY'!H22</f>
        <v>0</v>
      </c>
    </row>
    <row r="157" spans="3:4" hidden="1">
      <c r="C157" s="94">
        <v>18</v>
      </c>
      <c r="D157" s="102">
        <f>+'WIP ENTRY'!H23</f>
        <v>0</v>
      </c>
    </row>
    <row r="158" spans="3:4" hidden="1">
      <c r="C158" s="94">
        <v>19</v>
      </c>
      <c r="D158" s="102">
        <f>+'WIP ENTRY'!H24</f>
        <v>0</v>
      </c>
    </row>
    <row r="159" spans="3:4" hidden="1">
      <c r="C159" s="94">
        <v>20</v>
      </c>
      <c r="D159" s="102">
        <f>+'WIP ENTRY'!H25</f>
        <v>0</v>
      </c>
    </row>
    <row r="160" spans="3:4" hidden="1">
      <c r="C160" s="94">
        <v>21</v>
      </c>
      <c r="D160" s="102">
        <f>+'WIP ENTRY'!H26</f>
        <v>0</v>
      </c>
    </row>
    <row r="161" spans="3:4" hidden="1">
      <c r="C161" s="94">
        <v>22</v>
      </c>
      <c r="D161" s="102">
        <f>+'WIP ENTRY'!H27</f>
        <v>0</v>
      </c>
    </row>
    <row r="162" spans="3:4" hidden="1">
      <c r="C162" s="94">
        <v>23</v>
      </c>
      <c r="D162" s="102">
        <f>+'WIP ENTRY'!H28</f>
        <v>0</v>
      </c>
    </row>
    <row r="163" spans="3:4" hidden="1">
      <c r="C163" s="94">
        <v>24</v>
      </c>
      <c r="D163" s="102">
        <f>+'WIP ENTRY'!H29</f>
        <v>0</v>
      </c>
    </row>
    <row r="164" spans="3:4" hidden="1">
      <c r="C164" s="94">
        <v>25</v>
      </c>
      <c r="D164" s="102">
        <f>+'WIP ENTRY'!H30</f>
        <v>0</v>
      </c>
    </row>
    <row r="165" spans="3:4" hidden="1">
      <c r="C165" s="94">
        <v>26</v>
      </c>
      <c r="D165" s="102">
        <f>+'WIP ENTRY'!H31</f>
        <v>0</v>
      </c>
    </row>
    <row r="166" spans="3:4" hidden="1">
      <c r="C166" s="94">
        <v>27</v>
      </c>
      <c r="D166" s="102">
        <f>+'WIP ENTRY'!H32</f>
        <v>0</v>
      </c>
    </row>
    <row r="167" spans="3:4" hidden="1">
      <c r="C167" s="94">
        <v>28</v>
      </c>
      <c r="D167" s="102">
        <f>+'WIP ENTRY'!H33</f>
        <v>0</v>
      </c>
    </row>
    <row r="168" spans="3:4" hidden="1">
      <c r="C168" s="94">
        <v>29</v>
      </c>
      <c r="D168" s="102">
        <f>+'WIP ENTRY'!H34</f>
        <v>0</v>
      </c>
    </row>
    <row r="169" spans="3:4" ht="27" hidden="1" thickBot="1">
      <c r="C169" s="101">
        <v>30</v>
      </c>
      <c r="D169" s="102">
        <f>+'WIP ENTRY'!H35</f>
        <v>0</v>
      </c>
    </row>
    <row r="170" spans="3:4" ht="30.75" thickBot="1">
      <c r="C170" s="103" t="s">
        <v>28</v>
      </c>
      <c r="D170" s="104">
        <f>SUM(D140:D169)</f>
        <v>0</v>
      </c>
    </row>
    <row r="171" spans="3:4" ht="27" thickBot="1"/>
    <row r="172" spans="3:4" ht="27" thickBot="1">
      <c r="C172" s="183">
        <v>7</v>
      </c>
      <c r="D172" s="186"/>
    </row>
    <row r="173" spans="3:4" ht="27" thickBot="1">
      <c r="C173" s="99" t="s">
        <v>33</v>
      </c>
      <c r="D173" s="100" t="str">
        <f>+CBEWIP!B6</f>
        <v>RML-STW-2.0MM</v>
      </c>
    </row>
    <row r="174" spans="3:4" ht="27" thickBot="1">
      <c r="C174" s="97" t="s">
        <v>85</v>
      </c>
      <c r="D174" s="98" t="e">
        <f>+CBEWIP!C6</f>
        <v>#N/A</v>
      </c>
    </row>
    <row r="175" spans="3:4" ht="27" thickBot="1">
      <c r="C175" s="97" t="s">
        <v>1</v>
      </c>
      <c r="D175" s="98" t="str">
        <f>+CBEWIP!D6</f>
        <v>KGS</v>
      </c>
    </row>
    <row r="176" spans="3:4" ht="27" thickBot="1">
      <c r="C176" s="95" t="s">
        <v>86</v>
      </c>
      <c r="D176" s="96" t="s">
        <v>77</v>
      </c>
    </row>
    <row r="177" spans="3:4">
      <c r="C177" s="94">
        <v>1</v>
      </c>
      <c r="D177" s="102">
        <f>+'WIP ENTRY'!I6</f>
        <v>0</v>
      </c>
    </row>
    <row r="178" spans="3:4">
      <c r="C178" s="94">
        <v>2</v>
      </c>
      <c r="D178" s="102">
        <f>+'WIP ENTRY'!I7</f>
        <v>0</v>
      </c>
    </row>
    <row r="179" spans="3:4">
      <c r="C179" s="94">
        <v>3</v>
      </c>
      <c r="D179" s="102">
        <f>+'WIP ENTRY'!I8</f>
        <v>0</v>
      </c>
    </row>
    <row r="180" spans="3:4">
      <c r="C180" s="94">
        <v>4</v>
      </c>
      <c r="D180" s="102">
        <f>+'WIP ENTRY'!I9</f>
        <v>0</v>
      </c>
    </row>
    <row r="181" spans="3:4">
      <c r="C181" s="94">
        <v>5</v>
      </c>
      <c r="D181" s="102">
        <f>+'WIP ENTRY'!I10</f>
        <v>0</v>
      </c>
    </row>
    <row r="182" spans="3:4">
      <c r="C182" s="94">
        <v>6</v>
      </c>
      <c r="D182" s="102">
        <f>+'WIP ENTRY'!I11</f>
        <v>0</v>
      </c>
    </row>
    <row r="183" spans="3:4">
      <c r="C183" s="94">
        <v>7</v>
      </c>
      <c r="D183" s="102">
        <f>+'WIP ENTRY'!I12</f>
        <v>0</v>
      </c>
    </row>
    <row r="184" spans="3:4">
      <c r="C184" s="94">
        <v>8</v>
      </c>
      <c r="D184" s="102">
        <f>+'WIP ENTRY'!I13</f>
        <v>0</v>
      </c>
    </row>
    <row r="185" spans="3:4">
      <c r="C185" s="94">
        <v>9</v>
      </c>
      <c r="D185" s="102">
        <f>+'WIP ENTRY'!I14</f>
        <v>0</v>
      </c>
    </row>
    <row r="186" spans="3:4">
      <c r="C186" s="94">
        <v>10</v>
      </c>
      <c r="D186" s="102">
        <f>+'WIP ENTRY'!I15</f>
        <v>0</v>
      </c>
    </row>
    <row r="187" spans="3:4">
      <c r="C187" s="94">
        <v>11</v>
      </c>
      <c r="D187" s="102">
        <f>+'WIP ENTRY'!I16</f>
        <v>0</v>
      </c>
    </row>
    <row r="188" spans="3:4">
      <c r="C188" s="94">
        <v>12</v>
      </c>
      <c r="D188" s="102">
        <f>+'WIP ENTRY'!I17</f>
        <v>0</v>
      </c>
    </row>
    <row r="189" spans="3:4">
      <c r="C189" s="94">
        <v>13</v>
      </c>
      <c r="D189" s="102">
        <f>+'WIP ENTRY'!I18</f>
        <v>0</v>
      </c>
    </row>
    <row r="190" spans="3:4">
      <c r="C190" s="94">
        <v>14</v>
      </c>
      <c r="D190" s="102">
        <f>+'WIP ENTRY'!I19</f>
        <v>0</v>
      </c>
    </row>
    <row r="191" spans="3:4">
      <c r="C191" s="94">
        <v>15</v>
      </c>
      <c r="D191" s="102">
        <f>+'WIP ENTRY'!I20</f>
        <v>0</v>
      </c>
    </row>
    <row r="192" spans="3:4">
      <c r="C192" s="94">
        <v>16</v>
      </c>
      <c r="D192" s="102">
        <f>+'WIP ENTRY'!I21</f>
        <v>0</v>
      </c>
    </row>
    <row r="193" spans="3:4">
      <c r="C193" s="94">
        <v>17</v>
      </c>
      <c r="D193" s="102">
        <f>+'WIP ENTRY'!I22</f>
        <v>0</v>
      </c>
    </row>
    <row r="194" spans="3:4">
      <c r="C194" s="94">
        <v>18</v>
      </c>
      <c r="D194" s="102">
        <f>+'WIP ENTRY'!I23</f>
        <v>0</v>
      </c>
    </row>
    <row r="195" spans="3:4">
      <c r="C195" s="94">
        <v>19</v>
      </c>
      <c r="D195" s="102">
        <f>+'WIP ENTRY'!I24</f>
        <v>0</v>
      </c>
    </row>
    <row r="196" spans="3:4">
      <c r="C196" s="94">
        <v>20</v>
      </c>
      <c r="D196" s="102">
        <f>+'WIP ENTRY'!I25</f>
        <v>0</v>
      </c>
    </row>
    <row r="197" spans="3:4">
      <c r="C197" s="94">
        <v>21</v>
      </c>
      <c r="D197" s="102">
        <f>+'WIP ENTRY'!I26</f>
        <v>0</v>
      </c>
    </row>
    <row r="198" spans="3:4">
      <c r="C198" s="94">
        <v>22</v>
      </c>
      <c r="D198" s="102">
        <f>+'WIP ENTRY'!I27</f>
        <v>0</v>
      </c>
    </row>
    <row r="199" spans="3:4">
      <c r="C199" s="94">
        <v>23</v>
      </c>
      <c r="D199" s="102">
        <f>+'WIP ENTRY'!I28</f>
        <v>0</v>
      </c>
    </row>
    <row r="200" spans="3:4">
      <c r="C200" s="94">
        <v>24</v>
      </c>
      <c r="D200" s="102">
        <f>+'WIP ENTRY'!I29</f>
        <v>0</v>
      </c>
    </row>
    <row r="201" spans="3:4">
      <c r="C201" s="94">
        <v>25</v>
      </c>
      <c r="D201" s="102">
        <f>+'WIP ENTRY'!I30</f>
        <v>0</v>
      </c>
    </row>
    <row r="202" spans="3:4">
      <c r="C202" s="94">
        <v>26</v>
      </c>
      <c r="D202" s="102">
        <f>+'WIP ENTRY'!I31</f>
        <v>0</v>
      </c>
    </row>
    <row r="203" spans="3:4">
      <c r="C203" s="94">
        <v>27</v>
      </c>
      <c r="D203" s="102">
        <f>+'WIP ENTRY'!I32</f>
        <v>0</v>
      </c>
    </row>
    <row r="204" spans="3:4">
      <c r="C204" s="94">
        <v>28</v>
      </c>
      <c r="D204" s="102">
        <f>+'WIP ENTRY'!I33</f>
        <v>0</v>
      </c>
    </row>
    <row r="205" spans="3:4">
      <c r="C205" s="94">
        <v>29</v>
      </c>
      <c r="D205" s="102">
        <f>+'WIP ENTRY'!I34</f>
        <v>0</v>
      </c>
    </row>
    <row r="206" spans="3:4" ht="27" thickBot="1">
      <c r="C206" s="101">
        <v>30</v>
      </c>
      <c r="D206" s="102">
        <f>+'WIP ENTRY'!I35</f>
        <v>0</v>
      </c>
    </row>
    <row r="207" spans="3:4" ht="30.75" thickBot="1">
      <c r="C207" s="103" t="s">
        <v>28</v>
      </c>
      <c r="D207" s="104">
        <f>SUM(D177:D206)</f>
        <v>0</v>
      </c>
    </row>
    <row r="208" spans="3:4" ht="27" thickBot="1"/>
    <row r="209" spans="3:4" ht="27" thickBot="1">
      <c r="C209" s="183">
        <v>8</v>
      </c>
      <c r="D209" s="186"/>
    </row>
    <row r="210" spans="3:4" ht="27" thickBot="1">
      <c r="C210" s="99" t="s">
        <v>33</v>
      </c>
      <c r="D210" s="100" t="str">
        <f>+CBEWIP!B7</f>
        <v>RML-STW-2.1MM</v>
      </c>
    </row>
    <row r="211" spans="3:4" ht="27" thickBot="1">
      <c r="C211" s="97" t="s">
        <v>85</v>
      </c>
      <c r="D211" s="98" t="e">
        <f>+CBEWIP!C7</f>
        <v>#N/A</v>
      </c>
    </row>
    <row r="212" spans="3:4" ht="27" thickBot="1">
      <c r="C212" s="97" t="s">
        <v>1</v>
      </c>
      <c r="D212" s="98" t="str">
        <f>+CBEWIP!D7</f>
        <v>KGS</v>
      </c>
    </row>
    <row r="213" spans="3:4" ht="27" thickBot="1">
      <c r="C213" s="95" t="s">
        <v>86</v>
      </c>
      <c r="D213" s="96" t="s">
        <v>77</v>
      </c>
    </row>
    <row r="214" spans="3:4">
      <c r="C214" s="94">
        <v>1</v>
      </c>
      <c r="D214" s="102">
        <f>+'WIP ENTRY'!J6</f>
        <v>0</v>
      </c>
    </row>
    <row r="215" spans="3:4">
      <c r="C215" s="94">
        <v>2</v>
      </c>
      <c r="D215" s="102">
        <f>+'WIP ENTRY'!J7</f>
        <v>0</v>
      </c>
    </row>
    <row r="216" spans="3:4">
      <c r="C216" s="94">
        <v>3</v>
      </c>
      <c r="D216" s="102">
        <f>+'WIP ENTRY'!J8</f>
        <v>0</v>
      </c>
    </row>
    <row r="217" spans="3:4">
      <c r="C217" s="94">
        <v>4</v>
      </c>
      <c r="D217" s="102">
        <f>+'WIP ENTRY'!J9</f>
        <v>0</v>
      </c>
    </row>
    <row r="218" spans="3:4">
      <c r="C218" s="94">
        <v>5</v>
      </c>
      <c r="D218" s="102">
        <f>+'WIP ENTRY'!J10</f>
        <v>0</v>
      </c>
    </row>
    <row r="219" spans="3:4">
      <c r="C219" s="94">
        <v>6</v>
      </c>
      <c r="D219" s="102">
        <f>+'WIP ENTRY'!J11</f>
        <v>0</v>
      </c>
    </row>
    <row r="220" spans="3:4">
      <c r="C220" s="94">
        <v>7</v>
      </c>
      <c r="D220" s="102">
        <f>+'WIP ENTRY'!J12</f>
        <v>0</v>
      </c>
    </row>
    <row r="221" spans="3:4">
      <c r="C221" s="94">
        <v>8</v>
      </c>
      <c r="D221" s="102">
        <f>+'WIP ENTRY'!J13</f>
        <v>0</v>
      </c>
    </row>
    <row r="222" spans="3:4">
      <c r="C222" s="94">
        <v>9</v>
      </c>
      <c r="D222" s="102">
        <f>+'WIP ENTRY'!J14</f>
        <v>0</v>
      </c>
    </row>
    <row r="223" spans="3:4">
      <c r="C223" s="94">
        <v>10</v>
      </c>
      <c r="D223" s="102">
        <f>+'WIP ENTRY'!J15</f>
        <v>0</v>
      </c>
    </row>
    <row r="224" spans="3:4">
      <c r="C224" s="94">
        <v>11</v>
      </c>
      <c r="D224" s="102">
        <f>+'WIP ENTRY'!J16</f>
        <v>0</v>
      </c>
    </row>
    <row r="225" spans="3:4">
      <c r="C225" s="94">
        <v>12</v>
      </c>
      <c r="D225" s="102">
        <f>+'WIP ENTRY'!J17</f>
        <v>0</v>
      </c>
    </row>
    <row r="226" spans="3:4">
      <c r="C226" s="94">
        <v>13</v>
      </c>
      <c r="D226" s="102">
        <f>+'WIP ENTRY'!J18</f>
        <v>0</v>
      </c>
    </row>
    <row r="227" spans="3:4">
      <c r="C227" s="94">
        <v>14</v>
      </c>
      <c r="D227" s="102">
        <f>+'WIP ENTRY'!J19</f>
        <v>0</v>
      </c>
    </row>
    <row r="228" spans="3:4">
      <c r="C228" s="94">
        <v>15</v>
      </c>
      <c r="D228" s="102">
        <f>+'WIP ENTRY'!J20</f>
        <v>0</v>
      </c>
    </row>
    <row r="229" spans="3:4">
      <c r="C229" s="94">
        <v>16</v>
      </c>
      <c r="D229" s="102">
        <f>+'WIP ENTRY'!J21</f>
        <v>0</v>
      </c>
    </row>
    <row r="230" spans="3:4">
      <c r="C230" s="94">
        <v>17</v>
      </c>
      <c r="D230" s="102">
        <f>+'WIP ENTRY'!J22</f>
        <v>0</v>
      </c>
    </row>
    <row r="231" spans="3:4">
      <c r="C231" s="94">
        <v>18</v>
      </c>
      <c r="D231" s="102">
        <f>+'WIP ENTRY'!J23</f>
        <v>0</v>
      </c>
    </row>
    <row r="232" spans="3:4">
      <c r="C232" s="94">
        <v>19</v>
      </c>
      <c r="D232" s="102">
        <f>+'WIP ENTRY'!J24</f>
        <v>0</v>
      </c>
    </row>
    <row r="233" spans="3:4">
      <c r="C233" s="94">
        <v>20</v>
      </c>
      <c r="D233" s="102">
        <f>+'WIP ENTRY'!J25</f>
        <v>0</v>
      </c>
    </row>
    <row r="234" spans="3:4">
      <c r="C234" s="94">
        <v>21</v>
      </c>
      <c r="D234" s="102">
        <f>+'WIP ENTRY'!J26</f>
        <v>0</v>
      </c>
    </row>
    <row r="235" spans="3:4">
      <c r="C235" s="94">
        <v>22</v>
      </c>
      <c r="D235" s="102">
        <f>+'WIP ENTRY'!J27</f>
        <v>0</v>
      </c>
    </row>
    <row r="236" spans="3:4">
      <c r="C236" s="94">
        <v>23</v>
      </c>
      <c r="D236" s="102">
        <f>+'WIP ENTRY'!J28</f>
        <v>0</v>
      </c>
    </row>
    <row r="237" spans="3:4">
      <c r="C237" s="94">
        <v>24</v>
      </c>
      <c r="D237" s="102">
        <f>+'WIP ENTRY'!J29</f>
        <v>0</v>
      </c>
    </row>
    <row r="238" spans="3:4">
      <c r="C238" s="94">
        <v>25</v>
      </c>
      <c r="D238" s="102">
        <f>+'WIP ENTRY'!J30</f>
        <v>0</v>
      </c>
    </row>
    <row r="239" spans="3:4">
      <c r="C239" s="94">
        <v>26</v>
      </c>
      <c r="D239" s="102">
        <f>+'WIP ENTRY'!J31</f>
        <v>0</v>
      </c>
    </row>
    <row r="240" spans="3:4">
      <c r="C240" s="94">
        <v>27</v>
      </c>
      <c r="D240" s="102">
        <f>+'WIP ENTRY'!J32</f>
        <v>0</v>
      </c>
    </row>
    <row r="241" spans="3:4">
      <c r="C241" s="94">
        <v>28</v>
      </c>
      <c r="D241" s="102">
        <f>+'WIP ENTRY'!J33</f>
        <v>0</v>
      </c>
    </row>
    <row r="242" spans="3:4">
      <c r="C242" s="94">
        <v>29</v>
      </c>
      <c r="D242" s="102">
        <f>+'WIP ENTRY'!J34</f>
        <v>0</v>
      </c>
    </row>
    <row r="243" spans="3:4" ht="27" thickBot="1">
      <c r="C243" s="101">
        <v>30</v>
      </c>
      <c r="D243" s="102">
        <f>+'WIP ENTRY'!J35</f>
        <v>0</v>
      </c>
    </row>
    <row r="244" spans="3:4" ht="30.75" thickBot="1">
      <c r="C244" s="103" t="s">
        <v>28</v>
      </c>
      <c r="D244" s="104">
        <f>SUM(D214:D243)</f>
        <v>0</v>
      </c>
    </row>
  </sheetData>
  <mergeCells count="8">
    <mergeCell ref="C209:D209"/>
    <mergeCell ref="C1:D1"/>
    <mergeCell ref="C48:D48"/>
    <mergeCell ref="C85:D85"/>
    <mergeCell ref="C135:D135"/>
    <mergeCell ref="C172:D172"/>
    <mergeCell ref="C38:D38"/>
    <mergeCell ref="C122:D122"/>
  </mergeCells>
  <pageMargins left="0.7" right="0.7" top="0.33" bottom="0.37" header="0.3" footer="0.3"/>
  <pageSetup scale="13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D220"/>
  <sheetViews>
    <sheetView topLeftCell="A86" workbookViewId="0">
      <selection activeCell="E209" sqref="E209"/>
    </sheetView>
  </sheetViews>
  <sheetFormatPr defaultColWidth="23.85546875" defaultRowHeight="26.25"/>
  <cols>
    <col min="1" max="2" width="4.42578125" style="93" customWidth="1"/>
    <col min="3" max="3" width="32.42578125" style="93" customWidth="1"/>
    <col min="4" max="4" width="100.5703125" style="93" customWidth="1"/>
    <col min="5" max="16384" width="23.85546875" style="93"/>
  </cols>
  <sheetData>
    <row r="1" spans="3:4" ht="27" thickBot="1">
      <c r="C1" s="183">
        <v>1</v>
      </c>
      <c r="D1" s="186"/>
    </row>
    <row r="2" spans="3:4" ht="27" thickBot="1">
      <c r="C2" s="99" t="s">
        <v>33</v>
      </c>
      <c r="D2" s="100" t="str">
        <f>+CBEWIP!B15</f>
        <v>RML-POLY-GUM</v>
      </c>
    </row>
    <row r="3" spans="3:4" ht="27" thickBot="1">
      <c r="C3" s="97" t="s">
        <v>85</v>
      </c>
      <c r="D3" s="98" t="str">
        <f>+CBEWIP!C15</f>
        <v>SOLVENT BASED RUBBER ADHESIVE (SPRAY GLUE)</v>
      </c>
    </row>
    <row r="4" spans="3:4" ht="27" thickBot="1">
      <c r="C4" s="97" t="s">
        <v>1</v>
      </c>
      <c r="D4" s="98" t="str">
        <f>+CBEWIP!D15</f>
        <v>LTRS</v>
      </c>
    </row>
    <row r="5" spans="3:4" ht="27" thickBot="1">
      <c r="C5" s="95" t="s">
        <v>86</v>
      </c>
      <c r="D5" s="96" t="s">
        <v>77</v>
      </c>
    </row>
    <row r="6" spans="3:4">
      <c r="C6" s="94">
        <v>1</v>
      </c>
      <c r="D6" s="102">
        <f>+'WIP ENTRY'!Z6</f>
        <v>0</v>
      </c>
    </row>
    <row r="7" spans="3:4">
      <c r="C7" s="94">
        <v>2</v>
      </c>
      <c r="D7" s="102">
        <f>+'WIP ENTRY'!Z7</f>
        <v>0</v>
      </c>
    </row>
    <row r="8" spans="3:4">
      <c r="C8" s="94">
        <v>3</v>
      </c>
      <c r="D8" s="102">
        <f>+'WIP ENTRY'!Z8</f>
        <v>0</v>
      </c>
    </row>
    <row r="9" spans="3:4">
      <c r="C9" s="94">
        <v>4</v>
      </c>
      <c r="D9" s="102">
        <f>+'WIP ENTRY'!Z9</f>
        <v>0</v>
      </c>
    </row>
    <row r="10" spans="3:4" ht="27" thickBot="1">
      <c r="C10" s="94">
        <v>5</v>
      </c>
      <c r="D10" s="102">
        <f>+'WIP ENTRY'!Z10</f>
        <v>0</v>
      </c>
    </row>
    <row r="11" spans="3:4" ht="30.75" thickBot="1">
      <c r="C11" s="103" t="s">
        <v>28</v>
      </c>
      <c r="D11" s="104">
        <f>SUM(D6:D10)</f>
        <v>0</v>
      </c>
    </row>
    <row r="13" spans="3:4" ht="27" thickBot="1"/>
    <row r="14" spans="3:4" ht="27" thickBot="1">
      <c r="C14" s="183">
        <v>2</v>
      </c>
      <c r="D14" s="186"/>
    </row>
    <row r="15" spans="3:4" ht="27" thickBot="1">
      <c r="C15" s="99" t="s">
        <v>33</v>
      </c>
      <c r="D15" s="100" t="str">
        <f>+CBEWIP!B16</f>
        <v>RML-STRAP-ROLL</v>
      </c>
    </row>
    <row r="16" spans="3:4" ht="27" thickBot="1">
      <c r="C16" s="97" t="s">
        <v>85</v>
      </c>
      <c r="D16" s="98" t="str">
        <f>+CBEWIP!C16</f>
        <v>12MM PACKING STRAP ROLL</v>
      </c>
    </row>
    <row r="17" spans="3:4" ht="27" thickBot="1">
      <c r="C17" s="97" t="s">
        <v>1</v>
      </c>
      <c r="D17" s="98" t="str">
        <f>+CBEWIP!D16</f>
        <v>NOS</v>
      </c>
    </row>
    <row r="18" spans="3:4" ht="27" thickBot="1">
      <c r="C18" s="95" t="s">
        <v>86</v>
      </c>
      <c r="D18" s="96" t="s">
        <v>77</v>
      </c>
    </row>
    <row r="19" spans="3:4">
      <c r="C19" s="94">
        <v>1</v>
      </c>
      <c r="D19" s="102">
        <f>+'WIP ENTRY'!AA6</f>
        <v>0</v>
      </c>
    </row>
    <row r="20" spans="3:4">
      <c r="C20" s="94">
        <v>2</v>
      </c>
      <c r="D20" s="102">
        <f>+'WIP ENTRY'!AA7</f>
        <v>0</v>
      </c>
    </row>
    <row r="21" spans="3:4">
      <c r="C21" s="94">
        <v>3</v>
      </c>
      <c r="D21" s="102">
        <f>+'WIP ENTRY'!AA8</f>
        <v>0</v>
      </c>
    </row>
    <row r="22" spans="3:4">
      <c r="C22" s="94">
        <v>4</v>
      </c>
      <c r="D22" s="102">
        <f>+'WIP ENTRY'!AA9</f>
        <v>0</v>
      </c>
    </row>
    <row r="23" spans="3:4">
      <c r="C23" s="94">
        <v>5</v>
      </c>
      <c r="D23" s="102">
        <f>+'WIP ENTRY'!AA10</f>
        <v>0</v>
      </c>
    </row>
    <row r="24" spans="3:4">
      <c r="C24" s="94">
        <v>6</v>
      </c>
      <c r="D24" s="102">
        <f>+'WIP ENTRY'!AA11</f>
        <v>0</v>
      </c>
    </row>
    <row r="25" spans="3:4">
      <c r="C25" s="94">
        <v>7</v>
      </c>
      <c r="D25" s="102">
        <f>+'WIP ENTRY'!AA12</f>
        <v>0</v>
      </c>
    </row>
    <row r="26" spans="3:4">
      <c r="C26" s="94">
        <v>8</v>
      </c>
      <c r="D26" s="102">
        <f>+'WIP ENTRY'!AA13</f>
        <v>0</v>
      </c>
    </row>
    <row r="27" spans="3:4">
      <c r="C27" s="94">
        <v>9</v>
      </c>
      <c r="D27" s="102">
        <f>+'WIP ENTRY'!AA14</f>
        <v>0</v>
      </c>
    </row>
    <row r="28" spans="3:4">
      <c r="C28" s="94">
        <v>10</v>
      </c>
      <c r="D28" s="102">
        <f>+'WIP ENTRY'!AA15</f>
        <v>0</v>
      </c>
    </row>
    <row r="29" spans="3:4">
      <c r="C29" s="94">
        <v>11</v>
      </c>
      <c r="D29" s="102">
        <f>+'WIP ENTRY'!AA16</f>
        <v>0</v>
      </c>
    </row>
    <row r="30" spans="3:4">
      <c r="C30" s="94">
        <v>12</v>
      </c>
      <c r="D30" s="102">
        <f>+'WIP ENTRY'!AA17</f>
        <v>0</v>
      </c>
    </row>
    <row r="31" spans="3:4">
      <c r="C31" s="94">
        <v>13</v>
      </c>
      <c r="D31" s="102">
        <f>+'WIP ENTRY'!AA18</f>
        <v>0</v>
      </c>
    </row>
    <row r="32" spans="3:4">
      <c r="C32" s="94">
        <v>14</v>
      </c>
      <c r="D32" s="102">
        <f>+'WIP ENTRY'!AA19</f>
        <v>0</v>
      </c>
    </row>
    <row r="33" spans="3:4" ht="27" thickBot="1">
      <c r="C33" s="94">
        <v>15</v>
      </c>
      <c r="D33" s="102">
        <f>+'WIP ENTRY'!AA20</f>
        <v>0</v>
      </c>
    </row>
    <row r="34" spans="3:4" ht="30.75" thickBot="1">
      <c r="C34" s="103" t="s">
        <v>28</v>
      </c>
      <c r="D34" s="104">
        <f>SUM(D19:D33)</f>
        <v>0</v>
      </c>
    </row>
    <row r="35" spans="3:4" ht="27" thickBot="1"/>
    <row r="36" spans="3:4" ht="27" thickBot="1">
      <c r="C36" s="183">
        <v>3</v>
      </c>
      <c r="D36" s="186"/>
    </row>
    <row r="37" spans="3:4" ht="27" thickBot="1">
      <c r="C37" s="99" t="s">
        <v>33</v>
      </c>
      <c r="D37" s="100" t="str">
        <f>+CBEWIP!B17</f>
        <v>RML-PAK-THRD</v>
      </c>
    </row>
    <row r="38" spans="3:4" ht="27" thickBot="1">
      <c r="C38" s="97" t="s">
        <v>85</v>
      </c>
      <c r="D38" s="98" t="str">
        <f>+CBEWIP!C17</f>
        <v>Bag Stitching Thread</v>
      </c>
    </row>
    <row r="39" spans="3:4" ht="27" thickBot="1">
      <c r="C39" s="97" t="s">
        <v>1</v>
      </c>
      <c r="D39" s="98" t="str">
        <f>+CBEWIP!D17</f>
        <v>NOS</v>
      </c>
    </row>
    <row r="40" spans="3:4" ht="27" thickBot="1">
      <c r="C40" s="95" t="s">
        <v>86</v>
      </c>
      <c r="D40" s="96" t="s">
        <v>77</v>
      </c>
    </row>
    <row r="41" spans="3:4">
      <c r="C41" s="94">
        <v>1</v>
      </c>
      <c r="D41" s="102">
        <f>+'WIP ENTRY'!AB6</f>
        <v>0</v>
      </c>
    </row>
    <row r="42" spans="3:4">
      <c r="C42" s="94">
        <v>2</v>
      </c>
      <c r="D42" s="102">
        <f>+'WIP ENTRY'!AB7</f>
        <v>0</v>
      </c>
    </row>
    <row r="43" spans="3:4">
      <c r="C43" s="94">
        <v>3</v>
      </c>
      <c r="D43" s="102">
        <f>+'WIP ENTRY'!AB8</f>
        <v>0</v>
      </c>
    </row>
    <row r="44" spans="3:4">
      <c r="C44" s="94">
        <v>4</v>
      </c>
      <c r="D44" s="102">
        <f>+'WIP ENTRY'!AB9</f>
        <v>0</v>
      </c>
    </row>
    <row r="45" spans="3:4">
      <c r="C45" s="94">
        <v>5</v>
      </c>
      <c r="D45" s="102">
        <f>+'WIP ENTRY'!AB10</f>
        <v>0</v>
      </c>
    </row>
    <row r="46" spans="3:4">
      <c r="C46" s="94">
        <v>6</v>
      </c>
      <c r="D46" s="102">
        <f>+'WIP ENTRY'!AB11</f>
        <v>0</v>
      </c>
    </row>
    <row r="47" spans="3:4">
      <c r="C47" s="94">
        <v>7</v>
      </c>
      <c r="D47" s="102">
        <f>+'WIP ENTRY'!AB12</f>
        <v>0</v>
      </c>
    </row>
    <row r="48" spans="3:4">
      <c r="C48" s="94">
        <v>8</v>
      </c>
      <c r="D48" s="102">
        <f>+'WIP ENTRY'!AB13</f>
        <v>0</v>
      </c>
    </row>
    <row r="49" spans="3:4">
      <c r="C49" s="94">
        <v>9</v>
      </c>
      <c r="D49" s="102">
        <f>+'WIP ENTRY'!AB14</f>
        <v>0</v>
      </c>
    </row>
    <row r="50" spans="3:4" ht="27" thickBot="1">
      <c r="C50" s="94">
        <v>10</v>
      </c>
      <c r="D50" s="102">
        <f>+'WIP ENTRY'!AB15</f>
        <v>0</v>
      </c>
    </row>
    <row r="51" spans="3:4" ht="30.75" thickBot="1">
      <c r="C51" s="103" t="s">
        <v>28</v>
      </c>
      <c r="D51" s="104">
        <f>SUM(D41:D50)</f>
        <v>0</v>
      </c>
    </row>
    <row r="52" spans="3:4" ht="27" thickBot="1"/>
    <row r="53" spans="3:4" ht="27" thickBot="1">
      <c r="C53" s="183">
        <v>4</v>
      </c>
      <c r="D53" s="186"/>
    </row>
    <row r="54" spans="3:4" ht="27" thickBot="1">
      <c r="C54" s="99" t="s">
        <v>33</v>
      </c>
      <c r="D54" s="100" t="str">
        <f>+CBEWIP!B18</f>
        <v>RML-TAG-WHIT</v>
      </c>
    </row>
    <row r="55" spans="3:4" ht="27" thickBot="1">
      <c r="C55" s="97" t="s">
        <v>85</v>
      </c>
      <c r="D55" s="98" t="str">
        <f>+CBEWIP!C18</f>
        <v>WHITE COLOUR TAG</v>
      </c>
    </row>
    <row r="56" spans="3:4" ht="27" thickBot="1">
      <c r="C56" s="97" t="s">
        <v>1</v>
      </c>
      <c r="D56" s="98" t="str">
        <f>+CBEWIP!D18</f>
        <v>NOS</v>
      </c>
    </row>
    <row r="57" spans="3:4" ht="27" thickBot="1">
      <c r="C57" s="95" t="s">
        <v>86</v>
      </c>
      <c r="D57" s="96" t="s">
        <v>77</v>
      </c>
    </row>
    <row r="58" spans="3:4">
      <c r="C58" s="94">
        <v>1</v>
      </c>
      <c r="D58" s="102">
        <f>+'WIP ENTRY'!AC6</f>
        <v>0</v>
      </c>
    </row>
    <row r="59" spans="3:4">
      <c r="C59" s="94">
        <v>2</v>
      </c>
      <c r="D59" s="102">
        <f>+'WIP ENTRY'!AC7</f>
        <v>0</v>
      </c>
    </row>
    <row r="60" spans="3:4">
      <c r="C60" s="94">
        <v>3</v>
      </c>
      <c r="D60" s="102">
        <f>+'WIP ENTRY'!AC8</f>
        <v>0</v>
      </c>
    </row>
    <row r="61" spans="3:4">
      <c r="C61" s="94">
        <v>4</v>
      </c>
      <c r="D61" s="102">
        <f>+'WIP ENTRY'!AC9</f>
        <v>0</v>
      </c>
    </row>
    <row r="62" spans="3:4">
      <c r="C62" s="94">
        <v>5</v>
      </c>
      <c r="D62" s="102">
        <f>+'WIP ENTRY'!AC10</f>
        <v>0</v>
      </c>
    </row>
    <row r="63" spans="3:4">
      <c r="C63" s="94">
        <v>6</v>
      </c>
      <c r="D63" s="102">
        <f>+'WIP ENTRY'!AC11</f>
        <v>0</v>
      </c>
    </row>
    <row r="64" spans="3:4">
      <c r="C64" s="94">
        <v>7</v>
      </c>
      <c r="D64" s="102">
        <f>+'WIP ENTRY'!AC12</f>
        <v>0</v>
      </c>
    </row>
    <row r="65" spans="3:4">
      <c r="C65" s="94">
        <v>8</v>
      </c>
      <c r="D65" s="102">
        <f>+'WIP ENTRY'!AC13</f>
        <v>0</v>
      </c>
    </row>
    <row r="66" spans="3:4">
      <c r="C66" s="94">
        <v>9</v>
      </c>
      <c r="D66" s="102">
        <f>+'WIP ENTRY'!AC14</f>
        <v>0</v>
      </c>
    </row>
    <row r="67" spans="3:4">
      <c r="C67" s="94">
        <v>10</v>
      </c>
      <c r="D67" s="102">
        <f>+'WIP ENTRY'!AC15</f>
        <v>0</v>
      </c>
    </row>
    <row r="68" spans="3:4">
      <c r="C68" s="94">
        <v>11</v>
      </c>
      <c r="D68" s="102">
        <f>+'WIP ENTRY'!AC16</f>
        <v>0</v>
      </c>
    </row>
    <row r="69" spans="3:4">
      <c r="C69" s="94">
        <v>12</v>
      </c>
      <c r="D69" s="102">
        <f>+'WIP ENTRY'!AC17</f>
        <v>0</v>
      </c>
    </row>
    <row r="70" spans="3:4">
      <c r="C70" s="94">
        <v>13</v>
      </c>
      <c r="D70" s="102">
        <f>+'WIP ENTRY'!AC18</f>
        <v>0</v>
      </c>
    </row>
    <row r="71" spans="3:4">
      <c r="C71" s="94">
        <v>14</v>
      </c>
      <c r="D71" s="102">
        <f>+'WIP ENTRY'!AC19</f>
        <v>0</v>
      </c>
    </row>
    <row r="72" spans="3:4" ht="27" thickBot="1">
      <c r="C72" s="94">
        <v>15</v>
      </c>
      <c r="D72" s="102">
        <f>+'WIP ENTRY'!AC20</f>
        <v>0</v>
      </c>
    </row>
    <row r="73" spans="3:4" ht="30.75" thickBot="1">
      <c r="C73" s="103" t="s">
        <v>28</v>
      </c>
      <c r="D73" s="104">
        <f>SUM(D58:D72)</f>
        <v>0</v>
      </c>
    </row>
    <row r="74" spans="3:4" ht="27" thickBot="1"/>
    <row r="75" spans="3:4" ht="27" thickBot="1">
      <c r="C75" s="183">
        <v>5</v>
      </c>
      <c r="D75" s="186"/>
    </row>
    <row r="76" spans="3:4" ht="27" thickBot="1">
      <c r="C76" s="99" t="s">
        <v>33</v>
      </c>
      <c r="D76" s="100" t="str">
        <f>+CBEWIP!B19</f>
        <v>RML-TEX-CLEANER</v>
      </c>
    </row>
    <row r="77" spans="3:4" ht="27" thickBot="1">
      <c r="C77" s="97" t="s">
        <v>85</v>
      </c>
      <c r="D77" s="98" t="str">
        <f>+CBEWIP!C19</f>
        <v>TEXTILE CLEANER -MC</v>
      </c>
    </row>
    <row r="78" spans="3:4" ht="27" thickBot="1">
      <c r="C78" s="97" t="s">
        <v>1</v>
      </c>
      <c r="D78" s="98" t="str">
        <f>+CBEWIP!D19</f>
        <v>LTRS</v>
      </c>
    </row>
    <row r="79" spans="3:4" ht="27" thickBot="1">
      <c r="C79" s="95" t="s">
        <v>86</v>
      </c>
      <c r="D79" s="96" t="s">
        <v>77</v>
      </c>
    </row>
    <row r="80" spans="3:4">
      <c r="C80" s="94">
        <v>1</v>
      </c>
      <c r="D80" s="102">
        <f>+'WIP ENTRY'!AD6</f>
        <v>0</v>
      </c>
    </row>
    <row r="81" spans="3:4">
      <c r="C81" s="94">
        <v>2</v>
      </c>
      <c r="D81" s="102">
        <f>+'WIP ENTRY'!AD7</f>
        <v>0</v>
      </c>
    </row>
    <row r="82" spans="3:4">
      <c r="C82" s="94">
        <v>3</v>
      </c>
      <c r="D82" s="102">
        <f>+'WIP ENTRY'!AD8</f>
        <v>0</v>
      </c>
    </row>
    <row r="83" spans="3:4">
      <c r="C83" s="94">
        <v>4</v>
      </c>
      <c r="D83" s="102">
        <f>+'WIP ENTRY'!AD9</f>
        <v>0</v>
      </c>
    </row>
    <row r="84" spans="3:4">
      <c r="C84" s="94">
        <v>5</v>
      </c>
      <c r="D84" s="102">
        <f>+'WIP ENTRY'!AD10</f>
        <v>0</v>
      </c>
    </row>
    <row r="85" spans="3:4">
      <c r="C85" s="94">
        <v>6</v>
      </c>
      <c r="D85" s="102">
        <f>+'WIP ENTRY'!AD11</f>
        <v>0</v>
      </c>
    </row>
    <row r="86" spans="3:4">
      <c r="C86" s="94">
        <v>7</v>
      </c>
      <c r="D86" s="102">
        <f>+'WIP ENTRY'!AD12</f>
        <v>0</v>
      </c>
    </row>
    <row r="87" spans="3:4">
      <c r="C87" s="94">
        <v>8</v>
      </c>
      <c r="D87" s="102">
        <f>+'WIP ENTRY'!AD13</f>
        <v>0</v>
      </c>
    </row>
    <row r="88" spans="3:4">
      <c r="C88" s="94">
        <v>9</v>
      </c>
      <c r="D88" s="102">
        <f>+'WIP ENTRY'!AD14</f>
        <v>0</v>
      </c>
    </row>
    <row r="89" spans="3:4">
      <c r="C89" s="94">
        <v>10</v>
      </c>
      <c r="D89" s="102">
        <f>+'WIP ENTRY'!AD15</f>
        <v>0</v>
      </c>
    </row>
    <row r="90" spans="3:4">
      <c r="C90" s="94">
        <v>11</v>
      </c>
      <c r="D90" s="102">
        <f>+'WIP ENTRY'!AD16</f>
        <v>0</v>
      </c>
    </row>
    <row r="91" spans="3:4">
      <c r="C91" s="94">
        <v>12</v>
      </c>
      <c r="D91" s="102">
        <f>+'WIP ENTRY'!AD17</f>
        <v>0</v>
      </c>
    </row>
    <row r="92" spans="3:4">
      <c r="C92" s="94">
        <v>13</v>
      </c>
      <c r="D92" s="102">
        <f>+'WIP ENTRY'!AD18</f>
        <v>0</v>
      </c>
    </row>
    <row r="93" spans="3:4">
      <c r="C93" s="94">
        <v>14</v>
      </c>
      <c r="D93" s="102">
        <f>+'WIP ENTRY'!AD19</f>
        <v>0</v>
      </c>
    </row>
    <row r="94" spans="3:4" ht="27" thickBot="1">
      <c r="C94" s="94">
        <v>15</v>
      </c>
      <c r="D94" s="102">
        <f>+'WIP ENTRY'!AD20</f>
        <v>0</v>
      </c>
    </row>
    <row r="95" spans="3:4" ht="30.75" thickBot="1">
      <c r="C95" s="103" t="s">
        <v>28</v>
      </c>
      <c r="D95" s="104">
        <f>SUM(D80:D94)</f>
        <v>0</v>
      </c>
    </row>
    <row r="96" spans="3:4" ht="27" thickBot="1"/>
    <row r="97" spans="3:4" ht="27" thickBot="1">
      <c r="C97" s="183">
        <v>6</v>
      </c>
      <c r="D97" s="186"/>
    </row>
    <row r="98" spans="3:4" ht="27" thickBot="1">
      <c r="C98" s="99" t="s">
        <v>33</v>
      </c>
      <c r="D98" s="100" t="str">
        <f>+CBEWIP!B20</f>
        <v>RMI-HGLUE</v>
      </c>
    </row>
    <row r="99" spans="3:4" ht="27" thickBot="1">
      <c r="C99" s="97" t="s">
        <v>85</v>
      </c>
      <c r="D99" s="98" t="str">
        <f>+CBEWIP!C20</f>
        <v>HOT MELT ADHESIVE (GLUE)</v>
      </c>
    </row>
    <row r="100" spans="3:4" ht="27" thickBot="1">
      <c r="C100" s="97" t="s">
        <v>1</v>
      </c>
      <c r="D100" s="98" t="str">
        <f>+CBEWIP!D20</f>
        <v>KGS</v>
      </c>
    </row>
    <row r="101" spans="3:4" ht="27" thickBot="1">
      <c r="C101" s="95" t="s">
        <v>86</v>
      </c>
      <c r="D101" s="96" t="s">
        <v>77</v>
      </c>
    </row>
    <row r="102" spans="3:4">
      <c r="C102" s="94">
        <v>1</v>
      </c>
      <c r="D102" s="102">
        <f>+'WIP ENTRY'!AE6</f>
        <v>0</v>
      </c>
    </row>
    <row r="103" spans="3:4">
      <c r="C103" s="94">
        <v>2</v>
      </c>
      <c r="D103" s="102">
        <f>+'WIP ENTRY'!AE7</f>
        <v>0</v>
      </c>
    </row>
    <row r="104" spans="3:4">
      <c r="C104" s="94">
        <v>3</v>
      </c>
      <c r="D104" s="102">
        <f>+'WIP ENTRY'!AE8</f>
        <v>0</v>
      </c>
    </row>
    <row r="105" spans="3:4">
      <c r="C105" s="94">
        <v>4</v>
      </c>
      <c r="D105" s="102">
        <f>+'WIP ENTRY'!AE9</f>
        <v>0</v>
      </c>
    </row>
    <row r="106" spans="3:4">
      <c r="C106" s="94">
        <v>5</v>
      </c>
      <c r="D106" s="102">
        <f>+'WIP ENTRY'!AE10</f>
        <v>0</v>
      </c>
    </row>
    <row r="107" spans="3:4">
      <c r="C107" s="94">
        <v>6</v>
      </c>
      <c r="D107" s="102">
        <f>+'WIP ENTRY'!AE11</f>
        <v>0</v>
      </c>
    </row>
    <row r="108" spans="3:4">
      <c r="C108" s="94">
        <v>7</v>
      </c>
      <c r="D108" s="102">
        <f>+'WIP ENTRY'!AE12</f>
        <v>0</v>
      </c>
    </row>
    <row r="109" spans="3:4">
      <c r="C109" s="94">
        <v>8</v>
      </c>
      <c r="D109" s="102">
        <f>+'WIP ENTRY'!AE13</f>
        <v>0</v>
      </c>
    </row>
    <row r="110" spans="3:4">
      <c r="C110" s="94">
        <v>9</v>
      </c>
      <c r="D110" s="102">
        <f>+'WIP ENTRY'!AE14</f>
        <v>0</v>
      </c>
    </row>
    <row r="111" spans="3:4">
      <c r="C111" s="94">
        <v>10</v>
      </c>
      <c r="D111" s="102">
        <f>+'WIP ENTRY'!AE15</f>
        <v>0</v>
      </c>
    </row>
    <row r="112" spans="3:4">
      <c r="C112" s="94">
        <v>11</v>
      </c>
      <c r="D112" s="102">
        <f>+'WIP ENTRY'!AE16</f>
        <v>0</v>
      </c>
    </row>
    <row r="113" spans="3:4">
      <c r="C113" s="94">
        <v>12</v>
      </c>
      <c r="D113" s="102">
        <f>+'WIP ENTRY'!AE17</f>
        <v>0</v>
      </c>
    </row>
    <row r="114" spans="3:4">
      <c r="C114" s="94">
        <v>13</v>
      </c>
      <c r="D114" s="102">
        <f>+'WIP ENTRY'!AE18</f>
        <v>0</v>
      </c>
    </row>
    <row r="115" spans="3:4">
      <c r="C115" s="94">
        <v>14</v>
      </c>
      <c r="D115" s="102">
        <f>+'WIP ENTRY'!AE19</f>
        <v>0</v>
      </c>
    </row>
    <row r="116" spans="3:4" ht="27" thickBot="1">
      <c r="C116" s="94">
        <v>15</v>
      </c>
      <c r="D116" s="102">
        <f>+'WIP ENTRY'!AE20</f>
        <v>0</v>
      </c>
    </row>
    <row r="117" spans="3:4" ht="30.75" thickBot="1">
      <c r="C117" s="103" t="s">
        <v>28</v>
      </c>
      <c r="D117" s="104">
        <f>SUM(D102:D116)</f>
        <v>0</v>
      </c>
    </row>
    <row r="118" spans="3:4" ht="27" thickBot="1"/>
    <row r="119" spans="3:4" ht="27" thickBot="1">
      <c r="C119" s="183">
        <v>7</v>
      </c>
      <c r="D119" s="186"/>
    </row>
    <row r="120" spans="3:4" ht="27" thickBot="1">
      <c r="C120" s="99" t="s">
        <v>33</v>
      </c>
      <c r="D120" s="100" t="str">
        <f>+CBEWIP!B21</f>
        <v>RM-NWN-POS-34CMX70GSM</v>
      </c>
    </row>
    <row r="121" spans="3:4" ht="27" thickBot="1">
      <c r="C121" s="97" t="s">
        <v>85</v>
      </c>
      <c r="D121" s="98" t="str">
        <f>+CBEWIP!C21</f>
        <v>NON WOVEN FABRIC 70 GSM x 34 CM - WHITE</v>
      </c>
    </row>
    <row r="122" spans="3:4" ht="27" thickBot="1">
      <c r="C122" s="97" t="s">
        <v>1</v>
      </c>
      <c r="D122" s="98" t="str">
        <f>+CBEWIP!D21</f>
        <v>KGS</v>
      </c>
    </row>
    <row r="123" spans="3:4" ht="27" thickBot="1">
      <c r="C123" s="95" t="s">
        <v>86</v>
      </c>
      <c r="D123" s="96" t="s">
        <v>77</v>
      </c>
    </row>
    <row r="124" spans="3:4">
      <c r="C124" s="94">
        <v>1</v>
      </c>
      <c r="D124" s="102">
        <f>+'WIP ENTRY'!AF6</f>
        <v>0</v>
      </c>
    </row>
    <row r="125" spans="3:4">
      <c r="C125" s="94">
        <v>2</v>
      </c>
      <c r="D125" s="102">
        <f>+'WIP ENTRY'!AF7</f>
        <v>0</v>
      </c>
    </row>
    <row r="126" spans="3:4">
      <c r="C126" s="94">
        <v>3</v>
      </c>
      <c r="D126" s="102">
        <f>+'WIP ENTRY'!AF8</f>
        <v>0</v>
      </c>
    </row>
    <row r="127" spans="3:4">
      <c r="C127" s="94">
        <v>4</v>
      </c>
      <c r="D127" s="102">
        <f>+'WIP ENTRY'!AF9</f>
        <v>0</v>
      </c>
    </row>
    <row r="128" spans="3:4">
      <c r="C128" s="94">
        <v>5</v>
      </c>
      <c r="D128" s="102">
        <f>+'WIP ENTRY'!AF10</f>
        <v>0</v>
      </c>
    </row>
    <row r="129" spans="3:4">
      <c r="C129" s="94">
        <v>6</v>
      </c>
      <c r="D129" s="102">
        <f>+'WIP ENTRY'!AF11</f>
        <v>0</v>
      </c>
    </row>
    <row r="130" spans="3:4">
      <c r="C130" s="94">
        <v>7</v>
      </c>
      <c r="D130" s="102">
        <f>+'WIP ENTRY'!AF12</f>
        <v>0</v>
      </c>
    </row>
    <row r="131" spans="3:4">
      <c r="C131" s="94">
        <v>8</v>
      </c>
      <c r="D131" s="102">
        <f>+'WIP ENTRY'!AF13</f>
        <v>0</v>
      </c>
    </row>
    <row r="132" spans="3:4">
      <c r="C132" s="94">
        <v>9</v>
      </c>
      <c r="D132" s="102">
        <f>+'WIP ENTRY'!AF14</f>
        <v>0</v>
      </c>
    </row>
    <row r="133" spans="3:4" ht="27" thickBot="1">
      <c r="C133" s="94">
        <v>10</v>
      </c>
      <c r="D133" s="102">
        <f>+'WIP ENTRY'!AF15</f>
        <v>0</v>
      </c>
    </row>
    <row r="134" spans="3:4" ht="30.75" thickBot="1">
      <c r="C134" s="103" t="s">
        <v>28</v>
      </c>
      <c r="D134" s="104">
        <f>SUM(D124:D133)</f>
        <v>0</v>
      </c>
    </row>
    <row r="135" spans="3:4" ht="27" thickBot="1"/>
    <row r="136" spans="3:4" ht="27" thickBot="1">
      <c r="C136" s="183">
        <v>8</v>
      </c>
      <c r="D136" s="186"/>
    </row>
    <row r="137" spans="3:4" ht="27" thickBot="1">
      <c r="C137" s="99" t="s">
        <v>33</v>
      </c>
      <c r="D137" s="100" t="str">
        <f>+CBEWIP!B22</f>
        <v>RM-NWN-POS-37CMX70GSM</v>
      </c>
    </row>
    <row r="138" spans="3:4" ht="27" thickBot="1">
      <c r="C138" s="97" t="s">
        <v>85</v>
      </c>
      <c r="D138" s="98" t="str">
        <f>+CBEWIP!C22</f>
        <v>NON WOVEN FABRIC 70 GSM x 37 CM - WHITE</v>
      </c>
    </row>
    <row r="139" spans="3:4" ht="27" thickBot="1">
      <c r="C139" s="97" t="s">
        <v>1</v>
      </c>
      <c r="D139" s="98" t="str">
        <f>+CBEWIP!D22</f>
        <v>KGS</v>
      </c>
    </row>
    <row r="140" spans="3:4" ht="27" thickBot="1">
      <c r="C140" s="95" t="s">
        <v>86</v>
      </c>
      <c r="D140" s="96" t="s">
        <v>77</v>
      </c>
    </row>
    <row r="141" spans="3:4">
      <c r="C141" s="94">
        <v>1</v>
      </c>
      <c r="D141" s="102">
        <f>+'WIP ENTRY'!AG6</f>
        <v>0</v>
      </c>
    </row>
    <row r="142" spans="3:4">
      <c r="C142" s="94">
        <v>2</v>
      </c>
      <c r="D142" s="102">
        <f>+'WIP ENTRY'!AG7</f>
        <v>0</v>
      </c>
    </row>
    <row r="143" spans="3:4">
      <c r="C143" s="94">
        <v>3</v>
      </c>
      <c r="D143" s="102">
        <f>+'WIP ENTRY'!AG8</f>
        <v>0</v>
      </c>
    </row>
    <row r="144" spans="3:4">
      <c r="C144" s="94">
        <v>4</v>
      </c>
      <c r="D144" s="102">
        <f>+'WIP ENTRY'!AG9</f>
        <v>0</v>
      </c>
    </row>
    <row r="145" spans="3:4">
      <c r="C145" s="94">
        <v>5</v>
      </c>
      <c r="D145" s="102">
        <f>+'WIP ENTRY'!AG10</f>
        <v>0</v>
      </c>
    </row>
    <row r="146" spans="3:4">
      <c r="C146" s="94">
        <v>6</v>
      </c>
      <c r="D146" s="102">
        <f>+'WIP ENTRY'!AG11</f>
        <v>0</v>
      </c>
    </row>
    <row r="147" spans="3:4">
      <c r="C147" s="94">
        <v>7</v>
      </c>
      <c r="D147" s="102">
        <f>+'WIP ENTRY'!AG12</f>
        <v>0</v>
      </c>
    </row>
    <row r="148" spans="3:4">
      <c r="C148" s="94">
        <v>8</v>
      </c>
      <c r="D148" s="102">
        <f>+'WIP ENTRY'!AG13</f>
        <v>0</v>
      </c>
    </row>
    <row r="149" spans="3:4">
      <c r="C149" s="94">
        <v>9</v>
      </c>
      <c r="D149" s="102">
        <f>+'WIP ENTRY'!AG14</f>
        <v>0</v>
      </c>
    </row>
    <row r="150" spans="3:4">
      <c r="C150" s="94">
        <v>10</v>
      </c>
      <c r="D150" s="102">
        <f>+'WIP ENTRY'!AG15</f>
        <v>0</v>
      </c>
    </row>
    <row r="151" spans="3:4">
      <c r="C151" s="94">
        <v>11</v>
      </c>
      <c r="D151" s="102">
        <f>+'WIP ENTRY'!AG16</f>
        <v>0</v>
      </c>
    </row>
    <row r="152" spans="3:4">
      <c r="C152" s="94">
        <v>12</v>
      </c>
      <c r="D152" s="102">
        <f>+'WIP ENTRY'!AG17</f>
        <v>0</v>
      </c>
    </row>
    <row r="153" spans="3:4">
      <c r="C153" s="94">
        <v>13</v>
      </c>
      <c r="D153" s="102">
        <f>+'WIP ENTRY'!AG18</f>
        <v>0</v>
      </c>
    </row>
    <row r="154" spans="3:4">
      <c r="C154" s="94">
        <v>14</v>
      </c>
      <c r="D154" s="102">
        <f>+'WIP ENTRY'!AG19</f>
        <v>0</v>
      </c>
    </row>
    <row r="155" spans="3:4" ht="27" thickBot="1">
      <c r="C155" s="94">
        <v>15</v>
      </c>
      <c r="D155" s="102">
        <f>+'WIP ENTRY'!AG20</f>
        <v>0</v>
      </c>
    </row>
    <row r="156" spans="3:4" ht="30.75" thickBot="1">
      <c r="C156" s="103" t="s">
        <v>28</v>
      </c>
      <c r="D156" s="104">
        <f>SUM(D141:D155)</f>
        <v>0</v>
      </c>
    </row>
    <row r="157" spans="3:4" ht="27" thickBot="1"/>
    <row r="158" spans="3:4" ht="27" thickBot="1">
      <c r="C158" s="183">
        <v>9</v>
      </c>
      <c r="D158" s="186"/>
    </row>
    <row r="159" spans="3:4" ht="27" thickBot="1">
      <c r="C159" s="99" t="s">
        <v>33</v>
      </c>
      <c r="D159" s="100" t="str">
        <f>+CBEWIP!B23</f>
        <v>RM-NWN-POS-37CMX70GSM-GRN</v>
      </c>
    </row>
    <row r="160" spans="3:4" ht="27" thickBot="1">
      <c r="C160" s="97" t="s">
        <v>85</v>
      </c>
      <c r="D160" s="98" t="str">
        <f>+CBEWIP!C23</f>
        <v>NON WOVEN FABRIC 70 GSM x 37 CM - GREEN</v>
      </c>
    </row>
    <row r="161" spans="3:4" ht="27" thickBot="1">
      <c r="C161" s="97" t="s">
        <v>1</v>
      </c>
      <c r="D161" s="98" t="str">
        <f>+CBEWIP!D23</f>
        <v>KGS</v>
      </c>
    </row>
    <row r="162" spans="3:4" ht="27" thickBot="1">
      <c r="C162" s="95" t="s">
        <v>86</v>
      </c>
      <c r="D162" s="96" t="s">
        <v>77</v>
      </c>
    </row>
    <row r="163" spans="3:4">
      <c r="C163" s="94">
        <v>1</v>
      </c>
      <c r="D163" s="102">
        <f>+'WIP ENTRY'!AJ6</f>
        <v>0</v>
      </c>
    </row>
    <row r="164" spans="3:4">
      <c r="C164" s="94">
        <v>2</v>
      </c>
      <c r="D164" s="102">
        <f>+'WIP ENTRY'!AJ7</f>
        <v>0</v>
      </c>
    </row>
    <row r="165" spans="3:4">
      <c r="C165" s="94">
        <v>3</v>
      </c>
      <c r="D165" s="102">
        <f>+'WIP ENTRY'!AJ8</f>
        <v>0</v>
      </c>
    </row>
    <row r="166" spans="3:4">
      <c r="C166" s="94">
        <v>4</v>
      </c>
      <c r="D166" s="102">
        <f>+'WIP ENTRY'!AJ9</f>
        <v>0</v>
      </c>
    </row>
    <row r="167" spans="3:4">
      <c r="C167" s="94">
        <v>5</v>
      </c>
      <c r="D167" s="102">
        <f>+'WIP ENTRY'!AJ10</f>
        <v>0</v>
      </c>
    </row>
    <row r="168" spans="3:4">
      <c r="C168" s="94">
        <v>6</v>
      </c>
      <c r="D168" s="102">
        <f>+'WIP ENTRY'!AJ11</f>
        <v>0</v>
      </c>
    </row>
    <row r="169" spans="3:4">
      <c r="C169" s="94">
        <v>7</v>
      </c>
      <c r="D169" s="102">
        <f>+'WIP ENTRY'!AJ12</f>
        <v>0</v>
      </c>
    </row>
    <row r="170" spans="3:4">
      <c r="C170" s="94">
        <v>8</v>
      </c>
      <c r="D170" s="102">
        <f>+'WIP ENTRY'!AJ13</f>
        <v>0</v>
      </c>
    </row>
    <row r="171" spans="3:4">
      <c r="C171" s="94">
        <v>9</v>
      </c>
      <c r="D171" s="102">
        <f>+'WIP ENTRY'!AJ14</f>
        <v>0</v>
      </c>
    </row>
    <row r="172" spans="3:4" ht="27" thickBot="1">
      <c r="C172" s="94">
        <v>10</v>
      </c>
      <c r="D172" s="102">
        <f>+'WIP ENTRY'!AJ15</f>
        <v>0</v>
      </c>
    </row>
    <row r="173" spans="3:4" ht="30.75" thickBot="1">
      <c r="C173" s="103" t="s">
        <v>28</v>
      </c>
      <c r="D173" s="104">
        <f>SUM(D163:D172)</f>
        <v>0</v>
      </c>
    </row>
    <row r="174" spans="3:4" ht="27" thickBot="1"/>
    <row r="175" spans="3:4" ht="27" thickBot="1">
      <c r="C175" s="183">
        <v>10</v>
      </c>
      <c r="D175" s="186"/>
    </row>
    <row r="176" spans="3:4" ht="27" thickBot="1">
      <c r="C176" s="99" t="s">
        <v>33</v>
      </c>
      <c r="D176" s="100" t="str">
        <f>+CBEWIP!B24</f>
        <v>RM-NWN-POS-45CMX70GSM</v>
      </c>
    </row>
    <row r="177" spans="3:4" ht="27" thickBot="1">
      <c r="C177" s="97" t="s">
        <v>85</v>
      </c>
      <c r="D177" s="98" t="str">
        <f>+CBEWIP!C24</f>
        <v>NON WOVEN FABRIC 70 GSM x 45 CM - WHITE</v>
      </c>
    </row>
    <row r="178" spans="3:4" ht="27" thickBot="1">
      <c r="C178" s="97" t="s">
        <v>1</v>
      </c>
      <c r="D178" s="98" t="str">
        <f>+CBEWIP!D24</f>
        <v>KGS</v>
      </c>
    </row>
    <row r="179" spans="3:4" ht="27" thickBot="1">
      <c r="C179" s="95" t="s">
        <v>86</v>
      </c>
      <c r="D179" s="96" t="s">
        <v>77</v>
      </c>
    </row>
    <row r="180" spans="3:4">
      <c r="C180" s="94">
        <v>1</v>
      </c>
      <c r="D180" s="102">
        <f>+'WIP ENTRY'!AK6</f>
        <v>0</v>
      </c>
    </row>
    <row r="181" spans="3:4">
      <c r="C181" s="94">
        <v>2</v>
      </c>
      <c r="D181" s="102">
        <f>+'WIP ENTRY'!AK7</f>
        <v>0</v>
      </c>
    </row>
    <row r="182" spans="3:4">
      <c r="C182" s="94">
        <v>3</v>
      </c>
      <c r="D182" s="102">
        <f>+'WIP ENTRY'!AK8</f>
        <v>0</v>
      </c>
    </row>
    <row r="183" spans="3:4">
      <c r="C183" s="94">
        <v>4</v>
      </c>
      <c r="D183" s="102">
        <f>+'WIP ENTRY'!AK9</f>
        <v>0</v>
      </c>
    </row>
    <row r="184" spans="3:4">
      <c r="C184" s="94">
        <v>5</v>
      </c>
      <c r="D184" s="102">
        <f>+'WIP ENTRY'!AK10</f>
        <v>0</v>
      </c>
    </row>
    <row r="185" spans="3:4">
      <c r="C185" s="94">
        <v>6</v>
      </c>
      <c r="D185" s="102">
        <f>+'WIP ENTRY'!AK11</f>
        <v>0</v>
      </c>
    </row>
    <row r="186" spans="3:4">
      <c r="C186" s="94">
        <v>7</v>
      </c>
      <c r="D186" s="102">
        <f>+'WIP ENTRY'!AK12</f>
        <v>0</v>
      </c>
    </row>
    <row r="187" spans="3:4">
      <c r="C187" s="94">
        <v>8</v>
      </c>
      <c r="D187" s="102">
        <f>+'WIP ENTRY'!AK13</f>
        <v>0</v>
      </c>
    </row>
    <row r="188" spans="3:4">
      <c r="C188" s="94">
        <v>9</v>
      </c>
      <c r="D188" s="102">
        <f>+'WIP ENTRY'!AK14</f>
        <v>0</v>
      </c>
    </row>
    <row r="189" spans="3:4" ht="27" thickBot="1">
      <c r="C189" s="94">
        <v>10</v>
      </c>
      <c r="D189" s="102">
        <f>+'WIP ENTRY'!AK15</f>
        <v>0</v>
      </c>
    </row>
    <row r="190" spans="3:4" ht="30.75" thickBot="1">
      <c r="C190" s="103" t="s">
        <v>28</v>
      </c>
      <c r="D190" s="104">
        <f>SUM(D180:D189)</f>
        <v>0</v>
      </c>
    </row>
    <row r="191" spans="3:4" ht="27" thickBot="1"/>
    <row r="192" spans="3:4" ht="27" thickBot="1">
      <c r="C192" s="183">
        <v>10</v>
      </c>
      <c r="D192" s="186"/>
    </row>
    <row r="193" spans="3:4" ht="27" thickBot="1">
      <c r="C193" s="99" t="s">
        <v>33</v>
      </c>
      <c r="D193" s="100" t="str">
        <f>+CBEWIP!B25</f>
        <v>RM-NWN-POS-50CMX70GSM</v>
      </c>
    </row>
    <row r="194" spans="3:4" ht="27" thickBot="1">
      <c r="C194" s="97" t="s">
        <v>85</v>
      </c>
      <c r="D194" s="98" t="e">
        <f>+CBEWIP!C25</f>
        <v>#N/A</v>
      </c>
    </row>
    <row r="195" spans="3:4" ht="27" thickBot="1">
      <c r="C195" s="97" t="s">
        <v>1</v>
      </c>
      <c r="D195" s="98" t="str">
        <f>+CBEWIP!D25</f>
        <v>KGS</v>
      </c>
    </row>
    <row r="196" spans="3:4" ht="27" thickBot="1">
      <c r="C196" s="95" t="s">
        <v>86</v>
      </c>
      <c r="D196" s="96" t="s">
        <v>77</v>
      </c>
    </row>
    <row r="197" spans="3:4">
      <c r="C197" s="94">
        <v>1</v>
      </c>
      <c r="D197" s="102">
        <f>+'WIP ENTRY'!AL6</f>
        <v>0</v>
      </c>
    </row>
    <row r="198" spans="3:4">
      <c r="C198" s="94">
        <v>2</v>
      </c>
      <c r="D198" s="102">
        <f>+'WIP ENTRY'!AL7</f>
        <v>0</v>
      </c>
    </row>
    <row r="199" spans="3:4" ht="27" thickBot="1">
      <c r="C199" s="94">
        <v>3</v>
      </c>
      <c r="D199" s="102">
        <f>+'WIP ENTRY'!AL8</f>
        <v>0</v>
      </c>
    </row>
    <row r="200" spans="3:4" ht="30.75" thickBot="1">
      <c r="C200" s="103" t="s">
        <v>28</v>
      </c>
      <c r="D200" s="104">
        <f>SUM(D197:D199)</f>
        <v>0</v>
      </c>
    </row>
    <row r="201" spans="3:4" ht="27" thickBot="1"/>
    <row r="202" spans="3:4" ht="27" thickBot="1">
      <c r="C202" s="183">
        <v>11</v>
      </c>
      <c r="D202" s="186"/>
    </row>
    <row r="203" spans="3:4" ht="27" thickBot="1">
      <c r="C203" s="99" t="s">
        <v>33</v>
      </c>
      <c r="D203" s="100" t="str">
        <f>+CBEWIP!B26</f>
        <v>RM-NWN-POS-50CMX70GSM-GRN</v>
      </c>
    </row>
    <row r="204" spans="3:4" ht="27" thickBot="1">
      <c r="C204" s="97" t="s">
        <v>85</v>
      </c>
      <c r="D204" s="98" t="str">
        <f>+CBEWIP!C26</f>
        <v>NON WOVEN FABRIC 70 GSM x 50 CM - GREEN</v>
      </c>
    </row>
    <row r="205" spans="3:4" ht="27" thickBot="1">
      <c r="C205" s="97" t="s">
        <v>1</v>
      </c>
      <c r="D205" s="98" t="str">
        <f>+CBEWIP!D26</f>
        <v>KGS</v>
      </c>
    </row>
    <row r="206" spans="3:4" ht="27" thickBot="1">
      <c r="C206" s="95" t="s">
        <v>86</v>
      </c>
      <c r="D206" s="96" t="s">
        <v>77</v>
      </c>
    </row>
    <row r="207" spans="3:4">
      <c r="C207" s="94">
        <v>1</v>
      </c>
      <c r="D207" s="102">
        <f>+'WIP ENTRY'!AM6</f>
        <v>0</v>
      </c>
    </row>
    <row r="208" spans="3:4">
      <c r="C208" s="94">
        <v>2</v>
      </c>
      <c r="D208" s="102">
        <f>+'WIP ENTRY'!AM7</f>
        <v>0</v>
      </c>
    </row>
    <row r="209" spans="3:4" ht="27" thickBot="1">
      <c r="C209" s="94">
        <v>3</v>
      </c>
      <c r="D209" s="102">
        <f>+'WIP ENTRY'!AM8</f>
        <v>0</v>
      </c>
    </row>
    <row r="210" spans="3:4" ht="30.75" thickBot="1">
      <c r="C210" s="103" t="s">
        <v>28</v>
      </c>
      <c r="D210" s="104">
        <f>SUM(D207:D209)</f>
        <v>0</v>
      </c>
    </row>
    <row r="211" spans="3:4" ht="27" thickBot="1"/>
    <row r="212" spans="3:4" ht="27" thickBot="1">
      <c r="C212" s="183">
        <v>12</v>
      </c>
      <c r="D212" s="186"/>
    </row>
    <row r="213" spans="3:4" ht="27" thickBot="1">
      <c r="C213" s="99" t="s">
        <v>33</v>
      </c>
      <c r="D213" s="100" t="str">
        <f>+CBEWIP!B27</f>
        <v>RM-NWN-POS-54CMX70GSM</v>
      </c>
    </row>
    <row r="214" spans="3:4" ht="27" thickBot="1">
      <c r="C214" s="97" t="s">
        <v>85</v>
      </c>
      <c r="D214" s="98" t="str">
        <f>+CBEWIP!C27</f>
        <v>NON WOVEN FABRIC 70 GSM x 54 CM - WHITE</v>
      </c>
    </row>
    <row r="215" spans="3:4" ht="27" thickBot="1">
      <c r="C215" s="97" t="s">
        <v>1</v>
      </c>
      <c r="D215" s="98" t="str">
        <f>+CBEWIP!D27</f>
        <v>KGS</v>
      </c>
    </row>
    <row r="216" spans="3:4" ht="27" thickBot="1">
      <c r="C216" s="95" t="s">
        <v>86</v>
      </c>
      <c r="D216" s="96" t="s">
        <v>77</v>
      </c>
    </row>
    <row r="217" spans="3:4">
      <c r="C217" s="94">
        <v>1</v>
      </c>
      <c r="D217" s="102">
        <f>+'WIP ENTRY'!AN6</f>
        <v>0</v>
      </c>
    </row>
    <row r="218" spans="3:4">
      <c r="C218" s="94">
        <v>2</v>
      </c>
      <c r="D218" s="102">
        <f>+'WIP ENTRY'!AN7</f>
        <v>0</v>
      </c>
    </row>
    <row r="219" spans="3:4" ht="27" thickBot="1">
      <c r="C219" s="94">
        <v>3</v>
      </c>
      <c r="D219" s="102">
        <f>+'WIP ENTRY'!AN8</f>
        <v>0</v>
      </c>
    </row>
    <row r="220" spans="3:4" ht="30.75" thickBot="1">
      <c r="C220" s="103" t="s">
        <v>28</v>
      </c>
      <c r="D220" s="104">
        <f>SUM(D217:D219)</f>
        <v>0</v>
      </c>
    </row>
  </sheetData>
  <mergeCells count="13">
    <mergeCell ref="C1:D1"/>
    <mergeCell ref="C14:D14"/>
    <mergeCell ref="C36:D36"/>
    <mergeCell ref="C53:D53"/>
    <mergeCell ref="C75:D75"/>
    <mergeCell ref="C192:D192"/>
    <mergeCell ref="C202:D202"/>
    <mergeCell ref="C212:D212"/>
    <mergeCell ref="C97:D97"/>
    <mergeCell ref="C119:D119"/>
    <mergeCell ref="C136:D136"/>
    <mergeCell ref="C158:D158"/>
    <mergeCell ref="C175:D175"/>
  </mergeCells>
  <pageMargins left="0.7" right="0.7" top="0.33" bottom="0.37" header="0.3" footer="0.3"/>
  <pageSetup scale="13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4"/>
  <sheetViews>
    <sheetView workbookViewId="0">
      <selection activeCell="D90" sqref="D90"/>
    </sheetView>
  </sheetViews>
  <sheetFormatPr defaultRowHeight="15"/>
  <cols>
    <col min="1" max="1" width="1.7109375" customWidth="1"/>
    <col min="2" max="2" width="1" customWidth="1"/>
    <col min="3" max="3" width="45.28515625" customWidth="1"/>
    <col min="4" max="4" width="61.28515625" customWidth="1"/>
    <col min="5" max="5" width="0.85546875" customWidth="1"/>
  </cols>
  <sheetData>
    <row r="1" spans="2:5" ht="15.75" thickBot="1"/>
    <row r="2" spans="2:5" ht="6.75" customHeight="1" thickBot="1">
      <c r="B2" s="105"/>
      <c r="C2" s="106"/>
      <c r="D2" s="106"/>
      <c r="E2" s="107"/>
    </row>
    <row r="3" spans="2:5" ht="60" customHeight="1" thickBot="1">
      <c r="B3" s="108"/>
      <c r="C3" s="109" t="s">
        <v>33</v>
      </c>
      <c r="D3" s="110" t="str">
        <f>+CBEWIP!B10</f>
        <v>RML-STW-3.6MM</v>
      </c>
      <c r="E3" s="111"/>
    </row>
    <row r="4" spans="2:5" ht="60" customHeight="1" thickBot="1">
      <c r="B4" s="108"/>
      <c r="C4" s="11" t="s">
        <v>87</v>
      </c>
      <c r="D4" s="112" t="str">
        <f>+CBEWIP!C10</f>
        <v>STEEL WIRE 3.6 MM DIA</v>
      </c>
      <c r="E4" s="111"/>
    </row>
    <row r="5" spans="2:5" ht="60" customHeight="1" thickBot="1">
      <c r="B5" s="108"/>
      <c r="C5" s="113" t="s">
        <v>1</v>
      </c>
      <c r="D5" s="114" t="str">
        <f>+CBEWIP!D10</f>
        <v>KGS</v>
      </c>
      <c r="E5" s="111"/>
    </row>
    <row r="6" spans="2:5" ht="60" customHeight="1" thickBot="1">
      <c r="B6" s="108"/>
      <c r="C6" s="115" t="s">
        <v>77</v>
      </c>
      <c r="D6" s="116">
        <f>+'WIP ENTRY'!O37</f>
        <v>0</v>
      </c>
      <c r="E6" s="111"/>
    </row>
    <row r="7" spans="2:5" ht="7.5" customHeight="1" thickBot="1">
      <c r="B7" s="117"/>
      <c r="C7" s="118"/>
      <c r="D7" s="118"/>
      <c r="E7" s="119"/>
    </row>
    <row r="11" spans="2:5" ht="15.75" thickBot="1"/>
    <row r="12" spans="2:5" ht="6.75" customHeight="1" thickBot="1">
      <c r="B12" s="105"/>
      <c r="C12" s="106"/>
      <c r="D12" s="106"/>
      <c r="E12" s="107"/>
    </row>
    <row r="13" spans="2:5" ht="60" customHeight="1" thickBot="1">
      <c r="B13" s="108"/>
      <c r="C13" s="109" t="s">
        <v>33</v>
      </c>
      <c r="D13" s="120" t="str">
        <f>+CBEWIP!B11</f>
        <v>RML-STW-4.0MM</v>
      </c>
      <c r="E13" s="111"/>
    </row>
    <row r="14" spans="2:5" ht="60" customHeight="1" thickBot="1">
      <c r="B14" s="108"/>
      <c r="C14" s="11" t="s">
        <v>87</v>
      </c>
      <c r="D14" s="121" t="str">
        <f>+CBEWIP!C11</f>
        <v>STEEL WIRE 4.0 MM DIA</v>
      </c>
      <c r="E14" s="111"/>
    </row>
    <row r="15" spans="2:5" ht="60" customHeight="1" thickBot="1">
      <c r="B15" s="108"/>
      <c r="C15" s="113" t="s">
        <v>1</v>
      </c>
      <c r="D15" s="122" t="str">
        <f>+CBEWIP!D11</f>
        <v>KGS</v>
      </c>
      <c r="E15" s="111"/>
    </row>
    <row r="16" spans="2:5" ht="60" customHeight="1" thickBot="1">
      <c r="B16" s="108"/>
      <c r="C16" s="115" t="s">
        <v>77</v>
      </c>
      <c r="D16" s="123">
        <f>+'WIP ENTRY'!P37</f>
        <v>0</v>
      </c>
      <c r="E16" s="111"/>
    </row>
    <row r="17" spans="2:5" ht="6" customHeight="1" thickBot="1">
      <c r="B17" s="117"/>
      <c r="C17" s="118"/>
      <c r="D17" s="118"/>
      <c r="E17" s="119"/>
    </row>
    <row r="19" spans="2:5" ht="15.75" thickBot="1"/>
    <row r="20" spans="2:5" ht="6.75" customHeight="1" thickBot="1">
      <c r="B20" s="105"/>
      <c r="C20" s="106"/>
      <c r="D20" s="106"/>
      <c r="E20" s="107"/>
    </row>
    <row r="21" spans="2:5" ht="60" customHeight="1" thickBot="1">
      <c r="B21" s="108"/>
      <c r="C21" s="109" t="s">
        <v>33</v>
      </c>
      <c r="D21" s="120" t="str">
        <f>+CBEWIP!B12</f>
        <v>RML-CL85</v>
      </c>
      <c r="E21" s="111"/>
    </row>
    <row r="22" spans="2:5" ht="60" customHeight="1" thickBot="1">
      <c r="B22" s="108"/>
      <c r="C22" s="11" t="s">
        <v>87</v>
      </c>
      <c r="D22" s="121" t="str">
        <f>+CBEWIP!C12</f>
        <v>CLIPS CL-85 (8000 PCS/BOX)</v>
      </c>
      <c r="E22" s="111"/>
    </row>
    <row r="23" spans="2:5" ht="60" customHeight="1" thickBot="1">
      <c r="B23" s="108"/>
      <c r="C23" s="113" t="s">
        <v>1</v>
      </c>
      <c r="D23" s="122" t="str">
        <f>+CBEWIP!D12</f>
        <v>BOX</v>
      </c>
      <c r="E23" s="111"/>
    </row>
    <row r="24" spans="2:5" ht="60" customHeight="1" thickBot="1">
      <c r="B24" s="108"/>
      <c r="C24" s="115" t="s">
        <v>77</v>
      </c>
      <c r="D24" s="123">
        <f>+'WIP ENTRY'!Q37</f>
        <v>0</v>
      </c>
      <c r="E24" s="111"/>
    </row>
    <row r="25" spans="2:5" ht="6" customHeight="1" thickBot="1">
      <c r="B25" s="117"/>
      <c r="C25" s="118"/>
      <c r="D25" s="118"/>
      <c r="E25" s="119"/>
    </row>
    <row r="27" spans="2:5" ht="15.75" thickBot="1"/>
    <row r="28" spans="2:5" ht="6.75" customHeight="1" thickBot="1">
      <c r="B28" s="105"/>
      <c r="C28" s="106"/>
      <c r="D28" s="106"/>
      <c r="E28" s="107"/>
    </row>
    <row r="29" spans="2:5" ht="60" customHeight="1" thickBot="1">
      <c r="B29" s="108"/>
      <c r="C29" s="109" t="s">
        <v>33</v>
      </c>
      <c r="D29" s="120" t="str">
        <f>+CBEWIP!B13</f>
        <v>RML-CL12B</v>
      </c>
      <c r="E29" s="111"/>
    </row>
    <row r="30" spans="2:5" ht="60" customHeight="1" thickBot="1">
      <c r="B30" s="108"/>
      <c r="C30" s="11" t="s">
        <v>87</v>
      </c>
      <c r="D30" s="124" t="str">
        <f>+CBEWIP!C13</f>
        <v>CLIPS CL-12B (13025 PCS/BOX)</v>
      </c>
      <c r="E30" s="111"/>
    </row>
    <row r="31" spans="2:5" ht="60" customHeight="1" thickBot="1">
      <c r="B31" s="108"/>
      <c r="C31" s="113" t="s">
        <v>1</v>
      </c>
      <c r="D31" s="122" t="str">
        <f>+CBEWIP!D13</f>
        <v>BOX</v>
      </c>
      <c r="E31" s="111"/>
    </row>
    <row r="32" spans="2:5" ht="60" customHeight="1" thickBot="1">
      <c r="B32" s="108"/>
      <c r="C32" s="115" t="s">
        <v>90</v>
      </c>
      <c r="D32" s="123">
        <f>+D33/30</f>
        <v>0</v>
      </c>
      <c r="E32" s="111"/>
    </row>
    <row r="33" spans="2:5" ht="60" customHeight="1" thickBot="1">
      <c r="B33" s="108"/>
      <c r="C33" s="115" t="s">
        <v>88</v>
      </c>
      <c r="D33" s="123">
        <f>+'WIP ENTRY'!R37</f>
        <v>0</v>
      </c>
      <c r="E33" s="111"/>
    </row>
    <row r="34" spans="2:5" ht="6" customHeight="1" thickBot="1">
      <c r="B34" s="117"/>
      <c r="C34" s="118"/>
      <c r="D34" s="118"/>
      <c r="E34" s="119"/>
    </row>
    <row r="36" spans="2:5" ht="15.75" thickBot="1"/>
    <row r="37" spans="2:5" ht="6.75" customHeight="1" thickBot="1">
      <c r="B37" s="105"/>
      <c r="C37" s="106"/>
      <c r="D37" s="106"/>
      <c r="E37" s="107"/>
    </row>
    <row r="38" spans="2:5" ht="60" customHeight="1" thickBot="1">
      <c r="B38" s="108"/>
      <c r="C38" s="109" t="s">
        <v>33</v>
      </c>
      <c r="D38" s="120" t="str">
        <f>+CBEWIP!B14</f>
        <v>RML-HR24</v>
      </c>
      <c r="E38" s="111"/>
    </row>
    <row r="39" spans="2:5" ht="60" customHeight="1" thickBot="1">
      <c r="B39" s="108"/>
      <c r="C39" s="11" t="s">
        <v>87</v>
      </c>
      <c r="D39" s="124" t="str">
        <f>+CBEWIP!C14</f>
        <v>C-RINGS HR24 (10000 PCS/CTN)</v>
      </c>
      <c r="E39" s="111"/>
    </row>
    <row r="40" spans="2:5" ht="60" customHeight="1" thickBot="1">
      <c r="B40" s="108"/>
      <c r="C40" s="113" t="s">
        <v>1</v>
      </c>
      <c r="D40" s="122" t="str">
        <f>+CBEWIP!D14</f>
        <v>BOX</v>
      </c>
      <c r="E40" s="111"/>
    </row>
    <row r="41" spans="2:5" ht="60" customHeight="1" thickBot="1">
      <c r="B41" s="108"/>
      <c r="C41" s="115" t="s">
        <v>91</v>
      </c>
      <c r="D41" s="123">
        <f>+D42/26</f>
        <v>0</v>
      </c>
      <c r="E41" s="111"/>
    </row>
    <row r="42" spans="2:5" ht="60" customHeight="1" thickBot="1">
      <c r="B42" s="108"/>
      <c r="C42" s="115" t="s">
        <v>89</v>
      </c>
      <c r="D42" s="123">
        <f>+'WIP ENTRY'!Y37</f>
        <v>0</v>
      </c>
      <c r="E42" s="111"/>
    </row>
    <row r="43" spans="2:5" ht="6" customHeight="1" thickBot="1">
      <c r="B43" s="117"/>
      <c r="C43" s="118"/>
      <c r="D43" s="118"/>
      <c r="E43" s="119"/>
    </row>
    <row r="44" spans="2:5" ht="15.75" thickBot="1"/>
    <row r="45" spans="2:5" ht="6.75" customHeight="1" thickBot="1">
      <c r="B45" s="105"/>
      <c r="C45" s="106"/>
      <c r="D45" s="106"/>
      <c r="E45" s="107"/>
    </row>
    <row r="46" spans="2:5" ht="60" customHeight="1" thickBot="1">
      <c r="B46" s="108"/>
      <c r="C46" s="109" t="s">
        <v>33</v>
      </c>
      <c r="D46" s="120" t="str">
        <f>+CBEWIP!B28</f>
        <v>RM-NWN-POS-58CMX70GSM</v>
      </c>
      <c r="E46" s="111"/>
    </row>
    <row r="47" spans="2:5" ht="60" customHeight="1" thickBot="1">
      <c r="B47" s="108"/>
      <c r="C47" s="11" t="s">
        <v>87</v>
      </c>
      <c r="D47" s="124" t="str">
        <f>+CBEWIP!C28</f>
        <v>NON WOVEN FABRIC 70 GSM x 58 CM - GREEN</v>
      </c>
      <c r="E47" s="111"/>
    </row>
    <row r="48" spans="2:5" ht="60" customHeight="1" thickBot="1">
      <c r="B48" s="108"/>
      <c r="C48" s="113" t="s">
        <v>1</v>
      </c>
      <c r="D48" s="122" t="str">
        <f>+CBEWIP!D28</f>
        <v>KGS</v>
      </c>
      <c r="E48" s="111"/>
    </row>
    <row r="49" spans="2:5" ht="60" customHeight="1" thickBot="1">
      <c r="B49" s="108"/>
      <c r="C49" s="115" t="s">
        <v>77</v>
      </c>
      <c r="D49" s="123">
        <f>+'WIP ENTRY'!S37</f>
        <v>0</v>
      </c>
      <c r="E49" s="111"/>
    </row>
    <row r="50" spans="2:5" ht="6" customHeight="1" thickBot="1">
      <c r="B50" s="117"/>
      <c r="C50" s="118"/>
      <c r="D50" s="118"/>
      <c r="E50" s="119"/>
    </row>
    <row r="51" spans="2:5" ht="15.75" thickBot="1"/>
    <row r="52" spans="2:5" ht="6.75" customHeight="1" thickBot="1">
      <c r="B52" s="105"/>
      <c r="C52" s="106"/>
      <c r="D52" s="106"/>
      <c r="E52" s="107"/>
    </row>
    <row r="53" spans="2:5" ht="60" customHeight="1" thickBot="1">
      <c r="B53" s="108"/>
      <c r="C53" s="109" t="s">
        <v>33</v>
      </c>
      <c r="D53" s="120" t="str">
        <f>+CBEWIP!B29</f>
        <v>RML-NWN-70GSMX76"</v>
      </c>
      <c r="E53" s="111"/>
    </row>
    <row r="54" spans="2:5" ht="60" customHeight="1" thickBot="1">
      <c r="B54" s="108"/>
      <c r="C54" s="11" t="s">
        <v>87</v>
      </c>
      <c r="D54" s="124" t="str">
        <f>+CBEWIP!C29</f>
        <v>NON WOVEN FABRIC 70 GSM x 76 INCH - WHITE</v>
      </c>
      <c r="E54" s="111"/>
    </row>
    <row r="55" spans="2:5" ht="60" customHeight="1" thickBot="1">
      <c r="B55" s="108"/>
      <c r="C55" s="113" t="s">
        <v>1</v>
      </c>
      <c r="D55" s="122" t="str">
        <f>+CBEWIP!D29</f>
        <v>KGS</v>
      </c>
      <c r="E55" s="111"/>
    </row>
    <row r="56" spans="2:5" ht="60" customHeight="1" thickBot="1">
      <c r="B56" s="108"/>
      <c r="C56" s="115" t="s">
        <v>77</v>
      </c>
      <c r="D56" s="123">
        <f>+'WIP ENTRY'!T37</f>
        <v>0</v>
      </c>
      <c r="E56" s="111"/>
    </row>
    <row r="57" spans="2:5" ht="6" customHeight="1" thickBot="1">
      <c r="B57" s="117"/>
      <c r="C57" s="118"/>
      <c r="D57" s="118"/>
      <c r="E57" s="119"/>
    </row>
    <row r="60" spans="2:5" ht="15.75" thickBot="1"/>
    <row r="61" spans="2:5" ht="6.75" customHeight="1" thickBot="1">
      <c r="B61" s="105"/>
      <c r="C61" s="106"/>
      <c r="D61" s="106"/>
      <c r="E61" s="107"/>
    </row>
    <row r="62" spans="2:5" ht="60" customHeight="1" thickBot="1">
      <c r="B62" s="108"/>
      <c r="C62" s="109" t="s">
        <v>33</v>
      </c>
      <c r="D62" s="120" t="str">
        <f>+CBEWIP!B30</f>
        <v>RML-NWN-70GSMX79"</v>
      </c>
      <c r="E62" s="111"/>
    </row>
    <row r="63" spans="2:5" ht="60" customHeight="1" thickBot="1">
      <c r="B63" s="108"/>
      <c r="C63" s="11" t="s">
        <v>87</v>
      </c>
      <c r="D63" s="124" t="str">
        <f>+CBEWIP!C30</f>
        <v>NON WOVEN FABRIC 70 GSM x 79 INCH - WHITE</v>
      </c>
      <c r="E63" s="111"/>
    </row>
    <row r="64" spans="2:5" ht="60" customHeight="1" thickBot="1">
      <c r="B64" s="108"/>
      <c r="C64" s="113" t="s">
        <v>1</v>
      </c>
      <c r="D64" s="122" t="str">
        <f>+CBEWIP!D30</f>
        <v>KGS</v>
      </c>
      <c r="E64" s="111"/>
    </row>
    <row r="65" spans="2:5" ht="60" customHeight="1" thickBot="1">
      <c r="B65" s="108"/>
      <c r="C65" s="115" t="s">
        <v>92</v>
      </c>
      <c r="D65" s="123">
        <f>+D66/25</f>
        <v>0</v>
      </c>
      <c r="E65" s="111"/>
    </row>
    <row r="66" spans="2:5" ht="60" customHeight="1" thickBot="1">
      <c r="B66" s="108"/>
      <c r="C66" s="115" t="s">
        <v>77</v>
      </c>
      <c r="D66" s="123">
        <f>+'WIP ENTRY'!U37</f>
        <v>0</v>
      </c>
      <c r="E66" s="111"/>
    </row>
    <row r="67" spans="2:5" ht="6" customHeight="1" thickBot="1">
      <c r="B67" s="117"/>
      <c r="C67" s="118"/>
      <c r="D67" s="118"/>
      <c r="E67" s="119"/>
    </row>
    <row r="68" spans="2:5" ht="15.75" thickBot="1"/>
    <row r="69" spans="2:5" ht="6.75" customHeight="1" thickBot="1">
      <c r="B69" s="105"/>
      <c r="C69" s="106"/>
      <c r="D69" s="106"/>
      <c r="E69" s="107"/>
    </row>
    <row r="70" spans="2:5" ht="60" customHeight="1" thickBot="1">
      <c r="B70" s="108"/>
      <c r="C70" s="109" t="s">
        <v>33</v>
      </c>
      <c r="D70" s="120" t="str">
        <f>+CBEWIP!B31</f>
        <v>RM-NWN-POS-62CMX70GSM</v>
      </c>
      <c r="E70" s="111"/>
    </row>
    <row r="71" spans="2:5" ht="60" customHeight="1" thickBot="1">
      <c r="B71" s="108"/>
      <c r="C71" s="11" t="s">
        <v>87</v>
      </c>
      <c r="D71" s="124" t="str">
        <f>+CBEWIP!C31</f>
        <v>NON WOVEN FABRIC 70 GSM x 62 CM - WHITE</v>
      </c>
      <c r="E71" s="111"/>
    </row>
    <row r="72" spans="2:5" ht="60" customHeight="1" thickBot="1">
      <c r="B72" s="108"/>
      <c r="C72" s="113" t="s">
        <v>1</v>
      </c>
      <c r="D72" s="122" t="str">
        <f>+CBEWIP!D31</f>
        <v>KGS</v>
      </c>
      <c r="E72" s="111"/>
    </row>
    <row r="73" spans="2:5" ht="60" customHeight="1" thickBot="1">
      <c r="B73" s="108"/>
      <c r="C73" s="115" t="s">
        <v>77</v>
      </c>
      <c r="D73" s="123">
        <f>+'WIP ENTRY'!V37</f>
        <v>0</v>
      </c>
      <c r="E73" s="111"/>
    </row>
    <row r="74" spans="2:5" ht="6" customHeight="1" thickBot="1">
      <c r="B74" s="117"/>
      <c r="C74" s="118"/>
      <c r="D74" s="118"/>
      <c r="E74" s="119"/>
    </row>
  </sheetData>
  <printOptions horizontalCentered="1"/>
  <pageMargins left="0.19685039370078741" right="0.59055118110236227" top="0.78740157480314965" bottom="0.39370078740157483" header="0.39370078740157483" footer="0.3937007874015748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F2" sqref="F2:G4"/>
    </sheetView>
  </sheetViews>
  <sheetFormatPr defaultRowHeight="15"/>
  <cols>
    <col min="1" max="1" width="21" customWidth="1"/>
    <col min="2" max="2" width="20" customWidth="1"/>
    <col min="3" max="3" width="23.140625" customWidth="1"/>
    <col min="4" max="4" width="23.42578125" customWidth="1"/>
  </cols>
  <sheetData>
    <row r="1" spans="1:4" s="2" customFormat="1" ht="45" customHeight="1">
      <c r="A1" s="3" t="s">
        <v>37</v>
      </c>
      <c r="B1" s="3" t="s">
        <v>34</v>
      </c>
      <c r="C1" s="4" t="s">
        <v>35</v>
      </c>
      <c r="D1" s="4" t="s">
        <v>36</v>
      </c>
    </row>
    <row r="2" spans="1:4" s="1" customFormat="1" ht="40.15" customHeight="1">
      <c r="A2" s="5" t="s">
        <v>30</v>
      </c>
      <c r="B2" s="5">
        <v>19</v>
      </c>
      <c r="C2" s="5"/>
      <c r="D2" s="6">
        <f>+C2/B2</f>
        <v>0</v>
      </c>
    </row>
    <row r="3" spans="1:4" s="1" customFormat="1" ht="40.15" customHeight="1">
      <c r="A3" s="5" t="s">
        <v>31</v>
      </c>
      <c r="B3" s="5">
        <v>16.2</v>
      </c>
      <c r="C3" s="5"/>
      <c r="D3" s="6">
        <f>+C3/B3</f>
        <v>0</v>
      </c>
    </row>
    <row r="4" spans="1:4" s="1" customFormat="1" ht="40.15" customHeight="1">
      <c r="A4" s="5" t="s">
        <v>32</v>
      </c>
      <c r="B4" s="5">
        <v>7.1</v>
      </c>
      <c r="C4" s="5"/>
      <c r="D4" s="6">
        <f>+C4/B4</f>
        <v>0</v>
      </c>
    </row>
    <row r="5" spans="1:4" s="1" customFormat="1" ht="40.15" customHeight="1">
      <c r="A5" s="5" t="s">
        <v>29</v>
      </c>
      <c r="B5" s="5">
        <v>4.3600000000000003</v>
      </c>
      <c r="C5" s="5"/>
      <c r="D5" s="6">
        <f>+C5/B5</f>
        <v>0</v>
      </c>
    </row>
    <row r="6" spans="1:4" ht="32.25" customHeight="1">
      <c r="A6" s="5" t="s">
        <v>53</v>
      </c>
      <c r="B6" s="5">
        <v>30</v>
      </c>
      <c r="C6" s="5"/>
      <c r="D6" s="6">
        <f>+B6*0.97</f>
        <v>29.099999999999998</v>
      </c>
    </row>
    <row r="10" spans="1:4">
      <c r="A10" t="s">
        <v>84</v>
      </c>
      <c r="B10" t="s">
        <v>83</v>
      </c>
    </row>
    <row r="11" spans="1:4">
      <c r="A11" t="s">
        <v>84</v>
      </c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7"/>
  <sheetViews>
    <sheetView workbookViewId="0">
      <selection activeCell="F6" sqref="F6"/>
    </sheetView>
  </sheetViews>
  <sheetFormatPr defaultRowHeight="15"/>
  <cols>
    <col min="5" max="5" width="9.5703125" bestFit="1" customWidth="1"/>
  </cols>
  <sheetData>
    <row r="1" spans="2:11">
      <c r="B1" s="187" t="s">
        <v>97</v>
      </c>
      <c r="C1" s="187"/>
      <c r="D1" s="187"/>
      <c r="E1" s="187"/>
    </row>
    <row r="2" spans="2:11">
      <c r="B2" s="138" t="s">
        <v>95</v>
      </c>
      <c r="C2" s="138" t="s">
        <v>52</v>
      </c>
      <c r="D2" s="138" t="s">
        <v>77</v>
      </c>
      <c r="E2" s="138" t="s">
        <v>96</v>
      </c>
      <c r="H2" s="142" t="s">
        <v>95</v>
      </c>
      <c r="I2" s="142" t="s">
        <v>52</v>
      </c>
      <c r="J2" s="142" t="s">
        <v>69</v>
      </c>
    </row>
    <row r="3" spans="2:11" ht="15.75">
      <c r="B3" s="138">
        <v>75</v>
      </c>
      <c r="C3" s="138">
        <v>36</v>
      </c>
      <c r="D3" s="138">
        <v>10</v>
      </c>
      <c r="E3" s="139">
        <f>+((B3+C3)*0.0254*0.0947)*D3</f>
        <v>2.6699717999999999</v>
      </c>
      <c r="H3" s="140">
        <v>75</v>
      </c>
      <c r="I3" s="140">
        <v>36</v>
      </c>
      <c r="J3" s="140" t="str">
        <f>+CONCATENATE(H3,"X",I3)</f>
        <v>75X36</v>
      </c>
      <c r="K3" s="141">
        <v>6</v>
      </c>
    </row>
    <row r="4" spans="2:11" ht="15.75">
      <c r="B4" s="138">
        <v>78</v>
      </c>
      <c r="C4" s="138">
        <v>36</v>
      </c>
      <c r="D4" s="138">
        <v>5</v>
      </c>
      <c r="E4" s="139">
        <f t="shared" ref="E4:E18" si="0">+((B4+C4)*0.0254*0.0947)*D4</f>
        <v>1.3710666000000002</v>
      </c>
      <c r="H4" s="140">
        <v>78</v>
      </c>
      <c r="I4" s="140">
        <v>36</v>
      </c>
      <c r="J4" s="140" t="str">
        <f t="shared" ref="J4:J36" si="1">+CONCATENATE(H4,"X",I4)</f>
        <v>78X36</v>
      </c>
      <c r="K4" s="141">
        <v>3</v>
      </c>
    </row>
    <row r="5" spans="2:11" ht="15.75">
      <c r="B5" s="138">
        <v>75</v>
      </c>
      <c r="C5" s="138">
        <v>36</v>
      </c>
      <c r="D5" s="138">
        <v>26</v>
      </c>
      <c r="E5" s="139">
        <f t="shared" si="0"/>
        <v>6.9419266799999999</v>
      </c>
      <c r="H5" s="140">
        <v>75</v>
      </c>
      <c r="I5" s="140">
        <v>36</v>
      </c>
      <c r="J5" s="140" t="str">
        <f t="shared" si="1"/>
        <v>75X36</v>
      </c>
      <c r="K5" s="141">
        <v>15</v>
      </c>
    </row>
    <row r="6" spans="2:11" ht="15.75">
      <c r="B6" s="138">
        <v>75</v>
      </c>
      <c r="C6" s="138">
        <v>60</v>
      </c>
      <c r="D6" s="138">
        <v>7</v>
      </c>
      <c r="E6" s="139">
        <f t="shared" si="0"/>
        <v>2.2730841000000002</v>
      </c>
      <c r="H6" s="140">
        <v>75</v>
      </c>
      <c r="I6" s="140">
        <v>60</v>
      </c>
      <c r="J6" s="140" t="str">
        <f t="shared" si="1"/>
        <v>75X60</v>
      </c>
      <c r="K6" s="141">
        <v>5</v>
      </c>
    </row>
    <row r="7" spans="2:11" ht="15.75">
      <c r="B7" s="138">
        <v>78</v>
      </c>
      <c r="C7" s="138">
        <v>60</v>
      </c>
      <c r="D7" s="138">
        <v>7</v>
      </c>
      <c r="E7" s="139">
        <f t="shared" si="0"/>
        <v>2.3235970799999999</v>
      </c>
      <c r="H7" s="140">
        <v>78</v>
      </c>
      <c r="I7" s="140">
        <v>60</v>
      </c>
      <c r="J7" s="140" t="str">
        <f t="shared" si="1"/>
        <v>78X60</v>
      </c>
      <c r="K7" s="141">
        <v>5</v>
      </c>
    </row>
    <row r="8" spans="2:11" ht="15.75">
      <c r="B8" s="138">
        <v>78</v>
      </c>
      <c r="C8" s="138">
        <v>60</v>
      </c>
      <c r="D8" s="138">
        <v>2</v>
      </c>
      <c r="E8" s="139">
        <f t="shared" si="0"/>
        <v>0.66388488000000001</v>
      </c>
      <c r="H8" s="140">
        <v>78</v>
      </c>
      <c r="I8" s="140">
        <v>60</v>
      </c>
      <c r="J8" s="140" t="str">
        <f t="shared" si="1"/>
        <v>78X60</v>
      </c>
      <c r="K8" s="141">
        <v>5</v>
      </c>
    </row>
    <row r="9" spans="2:11" ht="15.75">
      <c r="B9" s="138">
        <v>75</v>
      </c>
      <c r="C9" s="138">
        <v>60</v>
      </c>
      <c r="D9" s="138">
        <v>2</v>
      </c>
      <c r="E9" s="139">
        <f t="shared" si="0"/>
        <v>0.64945260000000005</v>
      </c>
      <c r="H9" s="140">
        <v>72</v>
      </c>
      <c r="I9" s="140">
        <v>48</v>
      </c>
      <c r="J9" s="140" t="str">
        <f t="shared" si="1"/>
        <v>72X48</v>
      </c>
      <c r="K9" s="141">
        <v>2</v>
      </c>
    </row>
    <row r="10" spans="2:11" ht="15.75">
      <c r="B10" s="138">
        <v>78</v>
      </c>
      <c r="C10" s="138">
        <v>60</v>
      </c>
      <c r="D10" s="138">
        <v>9</v>
      </c>
      <c r="E10" s="139">
        <f t="shared" si="0"/>
        <v>2.9874819600000002</v>
      </c>
      <c r="H10" s="140">
        <v>72</v>
      </c>
      <c r="I10" s="140">
        <v>30</v>
      </c>
      <c r="J10" s="140" t="str">
        <f t="shared" si="1"/>
        <v>72X30</v>
      </c>
      <c r="K10" s="141">
        <v>1</v>
      </c>
    </row>
    <row r="11" spans="2:11" ht="15.75">
      <c r="B11" s="138">
        <v>75</v>
      </c>
      <c r="C11" s="138">
        <v>72</v>
      </c>
      <c r="D11" s="138">
        <v>6</v>
      </c>
      <c r="E11" s="139">
        <f t="shared" si="0"/>
        <v>2.1215451600000002</v>
      </c>
      <c r="H11" s="140">
        <v>72</v>
      </c>
      <c r="I11" s="140">
        <v>60</v>
      </c>
      <c r="J11" s="140" t="str">
        <f t="shared" si="1"/>
        <v>72X60</v>
      </c>
      <c r="K11" s="141">
        <v>2</v>
      </c>
    </row>
    <row r="12" spans="2:11" ht="15.75">
      <c r="B12" s="138">
        <v>78</v>
      </c>
      <c r="C12" s="138">
        <v>72</v>
      </c>
      <c r="D12" s="138">
        <v>4</v>
      </c>
      <c r="E12" s="139">
        <f t="shared" si="0"/>
        <v>1.4432280000000002</v>
      </c>
      <c r="H12" s="140">
        <v>75</v>
      </c>
      <c r="I12" s="140">
        <v>48</v>
      </c>
      <c r="J12" s="140" t="str">
        <f t="shared" si="1"/>
        <v>75X48</v>
      </c>
      <c r="K12" s="141">
        <v>1</v>
      </c>
    </row>
    <row r="13" spans="2:11" ht="15.75">
      <c r="B13" s="138">
        <v>72</v>
      </c>
      <c r="C13" s="138">
        <v>48</v>
      </c>
      <c r="D13" s="138">
        <v>3</v>
      </c>
      <c r="E13" s="139">
        <f t="shared" si="0"/>
        <v>0.86593680000000006</v>
      </c>
      <c r="H13" s="140">
        <v>75</v>
      </c>
      <c r="I13" s="140">
        <v>48</v>
      </c>
      <c r="J13" s="140" t="str">
        <f t="shared" si="1"/>
        <v>75X48</v>
      </c>
      <c r="K13" s="141">
        <v>1</v>
      </c>
    </row>
    <row r="14" spans="2:11" ht="15.75">
      <c r="B14" s="138">
        <v>75</v>
      </c>
      <c r="C14" s="138">
        <v>30</v>
      </c>
      <c r="D14" s="138">
        <v>2</v>
      </c>
      <c r="E14" s="139">
        <f t="shared" si="0"/>
        <v>0.50512979999999996</v>
      </c>
      <c r="H14" s="138">
        <v>75</v>
      </c>
      <c r="I14" s="138">
        <v>36</v>
      </c>
      <c r="J14" s="140" t="str">
        <f t="shared" si="1"/>
        <v>75X36</v>
      </c>
      <c r="K14" s="138">
        <v>8</v>
      </c>
    </row>
    <row r="15" spans="2:11" ht="15.75">
      <c r="B15" s="138">
        <v>72</v>
      </c>
      <c r="C15" s="138">
        <v>36</v>
      </c>
      <c r="D15" s="138">
        <v>6</v>
      </c>
      <c r="E15" s="139">
        <f t="shared" si="0"/>
        <v>1.5586862400000001</v>
      </c>
      <c r="H15" s="138">
        <v>75</v>
      </c>
      <c r="I15" s="138">
        <v>48</v>
      </c>
      <c r="J15" s="140" t="str">
        <f t="shared" si="1"/>
        <v>75X48</v>
      </c>
      <c r="K15" s="138">
        <v>6</v>
      </c>
    </row>
    <row r="16" spans="2:11" ht="15.75">
      <c r="B16" s="138">
        <v>75</v>
      </c>
      <c r="C16" s="138">
        <v>30</v>
      </c>
      <c r="D16" s="138">
        <v>2</v>
      </c>
      <c r="E16" s="139">
        <f t="shared" si="0"/>
        <v>0.50512979999999996</v>
      </c>
      <c r="H16" s="138">
        <v>75</v>
      </c>
      <c r="I16" s="138">
        <v>48</v>
      </c>
      <c r="J16" s="140" t="str">
        <f t="shared" si="1"/>
        <v>75X48</v>
      </c>
      <c r="K16" s="138">
        <v>4</v>
      </c>
    </row>
    <row r="17" spans="2:11" ht="15.75">
      <c r="B17" s="138">
        <v>72</v>
      </c>
      <c r="C17" s="138">
        <v>60</v>
      </c>
      <c r="D17" s="138">
        <v>2</v>
      </c>
      <c r="E17" s="139">
        <f t="shared" si="0"/>
        <v>0.63502031999999997</v>
      </c>
      <c r="H17" s="138">
        <v>72</v>
      </c>
      <c r="I17" s="138">
        <v>48</v>
      </c>
      <c r="J17" s="140" t="str">
        <f t="shared" si="1"/>
        <v>72X48</v>
      </c>
      <c r="K17" s="138">
        <v>2</v>
      </c>
    </row>
    <row r="18" spans="2:11" ht="15.75">
      <c r="B18" s="138">
        <v>75</v>
      </c>
      <c r="C18" s="138">
        <v>48</v>
      </c>
      <c r="D18" s="138">
        <v>1</v>
      </c>
      <c r="E18" s="139">
        <f t="shared" si="0"/>
        <v>0.29586174000000004</v>
      </c>
      <c r="H18" s="138">
        <v>72</v>
      </c>
      <c r="I18" s="138">
        <v>48</v>
      </c>
      <c r="J18" s="140" t="str">
        <f t="shared" si="1"/>
        <v>72X48</v>
      </c>
      <c r="K18" s="138">
        <v>6</v>
      </c>
    </row>
    <row r="19" spans="2:11" ht="15.75">
      <c r="B19" s="138"/>
      <c r="C19" s="138"/>
      <c r="D19" s="138" t="s">
        <v>28</v>
      </c>
      <c r="E19" s="139">
        <f>SUM(E3:E18)</f>
        <v>27.81100356</v>
      </c>
      <c r="H19" s="138">
        <v>78</v>
      </c>
      <c r="I19" s="138">
        <v>48</v>
      </c>
      <c r="J19" s="140" t="str">
        <f t="shared" si="1"/>
        <v>78X48</v>
      </c>
      <c r="K19" s="138">
        <v>4</v>
      </c>
    </row>
    <row r="20" spans="2:11" ht="15.75">
      <c r="B20" s="138"/>
      <c r="C20" s="138"/>
      <c r="D20" s="138"/>
      <c r="E20" s="139"/>
      <c r="H20" s="138">
        <v>78</v>
      </c>
      <c r="I20" s="138">
        <v>48</v>
      </c>
      <c r="J20" s="140" t="str">
        <f t="shared" si="1"/>
        <v>78X48</v>
      </c>
      <c r="K20" s="138">
        <v>2</v>
      </c>
    </row>
    <row r="21" spans="2:11" ht="15.75">
      <c r="B21" s="138"/>
      <c r="C21" s="138"/>
      <c r="D21" s="138"/>
      <c r="E21" s="138"/>
      <c r="H21" s="138">
        <v>75</v>
      </c>
      <c r="I21" s="138">
        <v>42</v>
      </c>
      <c r="J21" s="140" t="str">
        <f t="shared" si="1"/>
        <v>75X42</v>
      </c>
      <c r="K21" s="138">
        <v>2</v>
      </c>
    </row>
    <row r="22" spans="2:11" ht="15.75">
      <c r="H22" s="138">
        <v>78</v>
      </c>
      <c r="I22" s="138">
        <v>48</v>
      </c>
      <c r="J22" s="140" t="str">
        <f t="shared" si="1"/>
        <v>78X48</v>
      </c>
      <c r="K22" s="138">
        <v>2</v>
      </c>
    </row>
    <row r="23" spans="2:11" ht="15.75">
      <c r="H23" s="138">
        <v>75</v>
      </c>
      <c r="I23" s="138">
        <v>60</v>
      </c>
      <c r="J23" s="140" t="str">
        <f t="shared" si="1"/>
        <v>75X60</v>
      </c>
      <c r="K23" s="138">
        <v>2</v>
      </c>
    </row>
    <row r="24" spans="2:11" ht="15.75">
      <c r="H24" s="138">
        <v>75</v>
      </c>
      <c r="I24" s="138">
        <v>60</v>
      </c>
      <c r="J24" s="140" t="str">
        <f t="shared" si="1"/>
        <v>75X60</v>
      </c>
      <c r="K24" s="138">
        <v>2</v>
      </c>
    </row>
    <row r="25" spans="2:11" ht="15.75">
      <c r="H25" s="138">
        <v>78</v>
      </c>
      <c r="I25" s="138">
        <v>60</v>
      </c>
      <c r="J25" s="140" t="str">
        <f t="shared" si="1"/>
        <v>78X60</v>
      </c>
      <c r="K25" s="138">
        <v>2</v>
      </c>
    </row>
    <row r="26" spans="2:11" ht="15.75">
      <c r="H26" s="138">
        <v>78</v>
      </c>
      <c r="I26" s="138">
        <v>60</v>
      </c>
      <c r="J26" s="140" t="str">
        <f t="shared" si="1"/>
        <v>78X60</v>
      </c>
      <c r="K26" s="138">
        <v>2</v>
      </c>
    </row>
    <row r="27" spans="2:11" ht="15.75">
      <c r="H27" s="138">
        <v>75</v>
      </c>
      <c r="I27" s="138">
        <v>60</v>
      </c>
      <c r="J27" s="140" t="str">
        <f t="shared" si="1"/>
        <v>75X60</v>
      </c>
      <c r="K27" s="138">
        <v>2</v>
      </c>
    </row>
    <row r="28" spans="2:11" ht="15.75">
      <c r="H28" s="138">
        <v>78</v>
      </c>
      <c r="I28" s="138">
        <v>60</v>
      </c>
      <c r="J28" s="140" t="str">
        <f t="shared" si="1"/>
        <v>78X60</v>
      </c>
      <c r="K28" s="138">
        <v>2</v>
      </c>
    </row>
    <row r="29" spans="2:11" ht="15.75">
      <c r="H29" s="138">
        <v>78</v>
      </c>
      <c r="I29" s="138">
        <v>60</v>
      </c>
      <c r="J29" s="140" t="str">
        <f t="shared" si="1"/>
        <v>78X60</v>
      </c>
      <c r="K29" s="138">
        <v>10</v>
      </c>
    </row>
    <row r="30" spans="2:11" ht="15.75">
      <c r="H30" s="138">
        <v>75</v>
      </c>
      <c r="I30" s="138">
        <v>72</v>
      </c>
      <c r="J30" s="140" t="str">
        <f t="shared" si="1"/>
        <v>75X72</v>
      </c>
      <c r="K30" s="138">
        <v>12</v>
      </c>
    </row>
    <row r="31" spans="2:11" ht="15.75">
      <c r="H31" s="138">
        <v>75</v>
      </c>
      <c r="I31" s="138">
        <v>72</v>
      </c>
      <c r="J31" s="140" t="str">
        <f t="shared" si="1"/>
        <v>75X72</v>
      </c>
      <c r="K31" s="138">
        <v>2</v>
      </c>
    </row>
    <row r="32" spans="2:11" ht="15.75">
      <c r="H32" s="138">
        <v>78</v>
      </c>
      <c r="I32" s="138">
        <v>72</v>
      </c>
      <c r="J32" s="140" t="str">
        <f t="shared" si="1"/>
        <v>78X72</v>
      </c>
      <c r="K32" s="138">
        <v>6</v>
      </c>
    </row>
    <row r="33" spans="8:11" ht="15.75">
      <c r="H33" s="138">
        <v>75</v>
      </c>
      <c r="I33" s="138">
        <v>72</v>
      </c>
      <c r="J33" s="140" t="str">
        <f t="shared" si="1"/>
        <v>75X72</v>
      </c>
      <c r="K33" s="138">
        <v>2</v>
      </c>
    </row>
    <row r="34" spans="8:11" ht="15.75">
      <c r="H34" s="138">
        <v>75</v>
      </c>
      <c r="I34" s="138">
        <v>66</v>
      </c>
      <c r="J34" s="140" t="str">
        <f t="shared" si="1"/>
        <v>75X66</v>
      </c>
      <c r="K34" s="138">
        <v>4</v>
      </c>
    </row>
    <row r="35" spans="8:11" ht="15.75">
      <c r="H35" s="138">
        <v>75</v>
      </c>
      <c r="I35" s="138">
        <v>66</v>
      </c>
      <c r="J35" s="140" t="str">
        <f t="shared" si="1"/>
        <v>75X66</v>
      </c>
      <c r="K35" s="138">
        <v>2</v>
      </c>
    </row>
    <row r="36" spans="8:11" ht="15.75">
      <c r="H36" s="138">
        <v>75</v>
      </c>
      <c r="I36" s="138">
        <v>60</v>
      </c>
      <c r="J36" s="140" t="str">
        <f t="shared" si="1"/>
        <v>75X60</v>
      </c>
      <c r="K36" s="138">
        <v>2</v>
      </c>
    </row>
    <row r="37" spans="8:11">
      <c r="K37">
        <f>SUM(K3:K36)</f>
        <v>134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CBEWIP</vt:lpstr>
      <vt:lpstr>WIP ENTRY</vt:lpstr>
      <vt:lpstr>OVERALL</vt:lpstr>
      <vt:lpstr>COTTON FELT CALCULATION</vt:lpstr>
      <vt:lpstr>STEEL WIRE PRINT</vt:lpstr>
      <vt:lpstr>NON-WOVEN</vt:lpstr>
      <vt:lpstr>PIN BOX</vt:lpstr>
      <vt:lpstr>CALCULATION</vt:lpstr>
      <vt:lpstr>Sheet2</vt:lpstr>
      <vt:lpstr>CONTTON FELT CALCULATION</vt:lpstr>
      <vt:lpstr>CBEWIP!Print_Titles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2026-03-03T11:36:49Z</dcterms:modified>
</cp:coreProperties>
</file>